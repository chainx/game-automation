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7.xml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32.xml"/>
  <Override ContentType="application/vnd.openxmlformats-officedocument.spreadsheetml.table+xml" PartName="/xl/tables/table28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36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35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39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2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state" sheetId="1" r:id="rId4"/>
    <sheet state="visible" name="Cards &amp; Triggers" sheetId="2" r:id="rId5"/>
    <sheet state="visible" name="Glitch Shop Items" sheetId="3" r:id="rId6"/>
    <sheet state="visible" name="Slot 9 Address rolls" sheetId="4" r:id="rId7"/>
    <sheet state="visible" name="NG+" sheetId="5" r:id="rId8"/>
    <sheet state="visible" name="Overwritable Addresses" sheetId="6" r:id="rId9"/>
    <sheet state="visible" name="Wrong Warps" sheetId="7" r:id="rId10"/>
    <sheet state="visible" name="Glitch Items" sheetId="8" r:id="rId11"/>
    <sheet state="visible" name="Music" sheetId="9" r:id="rId12"/>
    <sheet state="visible" name="Glitch Shop Addresses" sheetId="10" r:id="rId13"/>
    <sheet state="visible" name="Glitch Shop Item List" sheetId="11" r:id="rId14"/>
    <sheet state="visible" name="ShogunGekomon" sheetId="12" r:id="rId15"/>
    <sheet state="visible" name="Bios Calls" sheetId="13" r:id="rId16"/>
    <sheet state="visible" name="Mojyamon Recruits" sheetId="14" r:id="rId17"/>
    <sheet state="visible" name="Glitch Setups" sheetId="15" r:id="rId18"/>
    <sheet state="visible" name="Test" sheetId="16" r:id="rId19"/>
    <sheet state="visible" name="0xB8C9CC" sheetId="17" r:id="rId20"/>
    <sheet state="visible" name="Recycle Card" sheetId="18" r:id="rId21"/>
    <sheet state="visible" name="Script Instructions" sheetId="19" r:id="rId22"/>
    <sheet state="visible" name="Item Functions" sheetId="20" r:id="rId23"/>
    <sheet state="visible" name="Non-Glitch shop sell overwrite" sheetId="21" r:id="rId2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47">
      <text>
        <t xml:space="preserve">0 -&gt; handle day/night music
1 -&gt; always day music
2 -&gt; Ogremon (6, 2)
3 -&gt; Leomon's Theme (11, 2)
4 -&gt; Frigimon's Hut (15, 2)
5 -&gt; Toy Town #1 (21, 0)
6 -&gt; Toy Town #2 (21, 1)
7 -&gt; Beach Cave Entrance (26, 0)
8 -&gt; Beach Cave Encounter (26, 1)
9 -&gt; Mt. Infinity (27, 0)
10 -&gt; Analogman (27, 1)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tc={66105cd6-f8cb-460c-8124-6010aa11d94c}</author>
  </authors>
  <commentList>
    <comment authorId="0" xr:uid="{66105cd6-f8cb-460c-8124-6010aa11d94c}" ref="G3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Angemon is Ready for Recruit
Reply:
	Als geklärt gekennzeichnet
Reply:
	Erneut geöffnet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Value taken before confirming the textbox that shows the money box.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1">
      <text>
        <t xml:space="preserve">0x00 - Offense
0x01 - Defense
0x02 - Speed
0x03 - Brains
0x04 - Max HP
0x05 - Max MP
0x06 - Current HP
0x07 - Current MP
0x08 - Tiredness
0x09 - Happiness
0x0A - Discipline
0x0B - Energy
0x0C - Virus
0x0D - Lifetime
0x0E - Merit
0x0F - Started Battles
0x10 - Fled Battles
0x11 - Tournamens Won
0x12 - Tournament Wins
0x13 - Tournaments Lost
0x14 - Weight
0x15 - Tamer Level
0x16 - Lives</t>
      </text>
    </comment>
    <comment authorId="0" ref="B24">
      <text>
        <t xml:space="preserve">0x01 - Sleep
0x02 - Tired
0x04 - Hunger
0x08 - Poop
0x10 - Unhappy / Butterfly
0x20 - Injured
0x40 - Sick</t>
      </text>
    </comment>
    <comment authorId="0" ref="B27">
      <text>
        <t xml:space="preserve">0x00 -&gt; !=
0x01 -&gt; ==
0x02 -&gt; &lt;
0x03 -&gt; &gt;
0x04 -&gt; &lt;=
0x05 -&gt; &gt;=</t>
      </text>
    </comment>
  </commentList>
</comments>
</file>

<file path=xl/sharedStrings.xml><?xml version="1.0" encoding="utf-8"?>
<sst xmlns="http://schemas.openxmlformats.org/spreadsheetml/2006/main" count="6773" uniqueCount="2495">
  <si>
    <t>ID</t>
  </si>
  <si>
    <t>Memory</t>
  </si>
  <si>
    <t>ePSXe 1.9.0</t>
  </si>
  <si>
    <t>Savegame</t>
  </si>
  <si>
    <t>Use</t>
  </si>
  <si>
    <t>Comment</t>
  </si>
  <si>
    <t>Timespeed</t>
  </si>
  <si>
    <t>0 = normal, 1 = 2x, 2 = 0.5x, &gt;2 = stop</t>
  </si>
  <si>
    <t>Prosperity Points</t>
  </si>
  <si>
    <t>Gets recalculated on save</t>
  </si>
  <si>
    <t>Day of the Tournament, if negative it's tomorrow</t>
  </si>
  <si>
    <t>Registered Tournament ID</t>
  </si>
  <si>
    <t>Registered Digimon ID</t>
  </si>
  <si>
    <t>Sukamon Backup Digimon ID</t>
  </si>
  <si>
    <t>Show name on scripted map change</t>
  </si>
  <si>
    <t>2 -&gt; no, 1 -&gt; yes, 0 -&gt; depends on how map change to initiated</t>
  </si>
  <si>
    <t>Back Dimension Location</t>
  </si>
  <si>
    <t>Drimogemon dirt carry state</t>
  </si>
  <si>
    <t>2 = can pickup dirt; 3 = picked up dirt; 4 = dumped dirt</t>
  </si>
  <si>
    <t>Drimogemon dirt carry progress</t>
  </si>
  <si>
    <t>Dirt pile visibility</t>
  </si>
  <si>
    <t>Amount of times Nanimon has been spotted</t>
  </si>
  <si>
    <t>Treasure Hunt Item (Normal Plan)</t>
  </si>
  <si>
    <t>Treasure Hunt Item (Special Plan)</t>
  </si>
  <si>
    <t>Current Secret Shop Digimon</t>
  </si>
  <si>
    <t>0 = Numemon, 1 = Mojyamon, 2 = Mamemon, 3 = Devimon</t>
  </si>
  <si>
    <t>Current Big Shop Digimon</t>
  </si>
  <si>
    <t>Amount of Digimon in the big shop (1-4)</t>
  </si>
  <si>
    <t>5 adds a Super Recovery while 0 or 6+ causes only 1 item to be sold</t>
  </si>
  <si>
    <t>Current Restaurant Digimon</t>
  </si>
  <si>
    <t>0 = Meramon, 1 = Tyrannomon, 2 = Garurumon, 3 = Frigimon, 4 = Vademon, 5 = Digitamamon</t>
  </si>
  <si>
    <t>Back Dimension Timer</t>
  </si>
  <si>
    <t>Garurumon days passed after first fight</t>
  </si>
  <si>
    <t>Garurumon I - Current Year</t>
  </si>
  <si>
    <t>Drimogemon/Treasure Hunt passed days</t>
  </si>
  <si>
    <t>Garurumon I - Current Day</t>
  </si>
  <si>
    <t>Can grab meat</t>
  </si>
  <si>
    <t>Garurumon I - Current Minute</t>
  </si>
  <si>
    <t>Palmon, dialogue progress</t>
  </si>
  <si>
    <t>Garurumon I - Current Second</t>
  </si>
  <si>
    <t>Elecmon progress</t>
  </si>
  <si>
    <t>Monochromon in Dino Land dialogue progress</t>
  </si>
  <si>
    <t>Saberdramon in Dino Land dialogue progress</t>
  </si>
  <si>
    <t>Brachiomon in Dino Land dialogue progress</t>
  </si>
  <si>
    <t>Kunemon item hint dialogue progress</t>
  </si>
  <si>
    <t>toy mansion door state</t>
  </si>
  <si>
    <t>gets changed from 17 to 14 when talking to tinmon with monzaemon partner</t>
  </si>
  <si>
    <t>typical storeDate target – year</t>
  </si>
  <si>
    <t>typical storeDate target – day</t>
  </si>
  <si>
    <t>typical storeDate target – hour</t>
  </si>
  <si>
    <t>typical storeDate target – minute</t>
  </si>
  <si>
    <t>typical RNG target</t>
  </si>
  <si>
    <t>Biyomon state</t>
  </si>
  <si>
    <t>0 = Haven't talked to, 1 = Talked to, 2 = Can wait</t>
  </si>
  <si>
    <t>Biyomon hiding place</t>
  </si>
  <si>
    <t>0 = top left, 1 = bottom left, 2 = bottom right, 3 = top right</t>
  </si>
  <si>
    <t>Curling Enabled</t>
  </si>
  <si>
    <t>Amount of failed attempts reaching Cherrymon</t>
  </si>
  <si>
    <t>resets at 10 to 0 and makes Cherrymon reachable even with the fog active</t>
  </si>
  <si>
    <t>Curling Opponent</t>
  </si>
  <si>
    <t>Amount of Monochromon customers</t>
  </si>
  <si>
    <t>Music Override</t>
  </si>
  <si>
    <t>something music related</t>
  </si>
  <si>
    <t>Giromon's Jukebox, selected track</t>
  </si>
  <si>
    <t>Has pre-defined enemies</t>
  </si>
  <si>
    <t>Pre-Defined Enemy #1</t>
  </si>
  <si>
    <t>Pre-Defined Enemy #2</t>
  </si>
  <si>
    <t>Pre-Defined Enemy #3</t>
  </si>
  <si>
    <t>item id of offered item penguin/kunemon</t>
  </si>
  <si>
    <t>5,6,7 when talking to mojyamon in freezland, also gets set when training</t>
  </si>
  <si>
    <t>Win battle = 1, run = 0, loose life = 255</t>
  </si>
  <si>
    <t>Address</t>
  </si>
  <si>
    <t>Bit</t>
  </si>
  <si>
    <t>Amount</t>
  </si>
  <si>
    <t>Glitch Item</t>
  </si>
  <si>
    <t>Inventory is full</t>
  </si>
  <si>
    <t>Some shops only check this at the end, not the start</t>
  </si>
  <si>
    <t>Makes a fight non runnable</t>
  </si>
  <si>
    <t>Enemy stays if you win</t>
  </si>
  <si>
    <t>Disables all battle commands</t>
  </si>
  <si>
    <t>Inventory is empty</t>
  </si>
  <si>
    <t>Used in the secret card shop</t>
  </si>
  <si>
    <t>Buy pack (1), open single card shop (0)</t>
  </si>
  <si>
    <t>Mojyamon #1, Digimushrm traded</t>
  </si>
  <si>
    <t>East</t>
  </si>
  <si>
    <t>Mojyamon #1, Supercarrot traded</t>
  </si>
  <si>
    <t>Mojyamon #1, Happymushrm traded</t>
  </si>
  <si>
    <t>Mojyamon #2, Giant Meat traded</t>
  </si>
  <si>
    <t>South-East</t>
  </si>
  <si>
    <t>Mojyamon #2, Black trout traded</t>
  </si>
  <si>
    <t>Mojyamon #2, Hispeed disk traded</t>
  </si>
  <si>
    <t>Mojyamon #3, Omnipotent traded</t>
  </si>
  <si>
    <t>South</t>
  </si>
  <si>
    <t>Mojyamon #3, med.recovery traded</t>
  </si>
  <si>
    <t>Mojyamon #3, Digianchovy traded</t>
  </si>
  <si>
    <t>-</t>
  </si>
  <si>
    <t>D-Rank Cup won</t>
  </si>
  <si>
    <t>C-Rank Cup won</t>
  </si>
  <si>
    <t>B-Rank Cup won</t>
  </si>
  <si>
    <t>A-Rank Cup won</t>
  </si>
  <si>
    <t>S-Rank Cup won</t>
  </si>
  <si>
    <t>R-Rank Cup won</t>
  </si>
  <si>
    <t>Unused</t>
  </si>
  <si>
    <t>Version 1 Cup won</t>
  </si>
  <si>
    <t>Version 2 Cup won</t>
  </si>
  <si>
    <t>Version 3 Cup won</t>
  </si>
  <si>
    <t>Version 4 Cup won</t>
  </si>
  <si>
    <t>Version 0 Cup won</t>
  </si>
  <si>
    <t>Fire Cup won</t>
  </si>
  <si>
    <t>Battle Cup won</t>
  </si>
  <si>
    <t>Air Cup won</t>
  </si>
  <si>
    <t>Ice Cup won</t>
  </si>
  <si>
    <t>Earth Cup won</t>
  </si>
  <si>
    <t>Mech Cup won</t>
  </si>
  <si>
    <t>Filth Cup won</t>
  </si>
  <si>
    <t>Dino Cup won</t>
  </si>
  <si>
    <t>Wing Cup won</t>
  </si>
  <si>
    <t>Animal Cup won</t>
  </si>
  <si>
    <t>Human Cup won</t>
  </si>
  <si>
    <t>Signed in to an Arena Cup</t>
  </si>
  <si>
    <t>Signed in to underleveled Arena Cup</t>
  </si>
  <si>
    <t>Will lose a tamer level on entering</t>
  </si>
  <si>
    <t>Lost a life in battle</t>
  </si>
  <si>
    <t>???</t>
  </si>
  <si>
    <t>Returned after beating the game</t>
  </si>
  <si>
    <t>Prevents dialogue partners from looking at each other</t>
  </si>
  <si>
    <t>Unlocked Old Fishrod</t>
  </si>
  <si>
    <t>Unlocked Amazing Rod</t>
  </si>
  <si>
    <t>Unlocked Inventory Addon #1</t>
  </si>
  <si>
    <t>Does not extend inventory!</t>
  </si>
  <si>
    <t>Unlocked Inventory Addon #2</t>
  </si>
  <si>
    <t>Cannot cancel selection</t>
  </si>
  <si>
    <t>Usually used in front of selections</t>
  </si>
  <si>
    <t>Beaten the game once already</t>
  </si>
  <si>
    <t>Switches Machinedramon for Digitamamon</t>
  </si>
  <si>
    <t>Talked to Agumon at the bank already</t>
  </si>
  <si>
    <t>Talked to Betamon/Coelamon at their shop</t>
  </si>
  <si>
    <t>Only set before they are collaborating</t>
  </si>
  <si>
    <t>Talked to Centarumon in the clinic already</t>
  </si>
  <si>
    <t>Debug Mode disabled</t>
  </si>
  <si>
    <t>Intro cutscene did not play yet</t>
  </si>
  <si>
    <t>Got starting items from Tokomon</t>
  </si>
  <si>
    <t>Talked to Meramon in the restaurant already</t>
  </si>
  <si>
    <t>Talked to Frigimon in the restaurant already</t>
  </si>
  <si>
    <t>Talked to Garurumon in the restaurant already</t>
  </si>
  <si>
    <t>Talked to Tyrannomon in the restaurant already</t>
  </si>
  <si>
    <t>Talked to Giromon in the restaurant already</t>
  </si>
  <si>
    <t>Talked to Patamon in the shop</t>
  </si>
  <si>
    <t>Talked to Biyomon in the shop</t>
  </si>
  <si>
    <t>Talked to Unimon in the shop</t>
  </si>
  <si>
    <t>Talked to Monochromon in the shop</t>
  </si>
  <si>
    <t>Can talk with Piximon in the shop</t>
  </si>
  <si>
    <t xml:space="preserve">Talked to Numemon in the secret shop </t>
  </si>
  <si>
    <t>Talked to Mojyamon in the secret shop</t>
  </si>
  <si>
    <t>secret shop</t>
  </si>
  <si>
    <t>Talked to Mamemon in the secret shop</t>
  </si>
  <si>
    <t>Talked to Devimon in the secret shop</t>
  </si>
  <si>
    <t>Talked to Tanemon at the meat farm already</t>
  </si>
  <si>
    <t>Unreachable debug thing</t>
  </si>
  <si>
    <t>Doesn't do anything (anymore)</t>
  </si>
  <si>
    <t>Rain Plant has been harvested</t>
  </si>
  <si>
    <t>despawns the plant, even on day 15</t>
  </si>
  <si>
    <t>Talked to Bakemon in File City already</t>
  </si>
  <si>
    <t>Talked to Shellmon in File City already</t>
  </si>
  <si>
    <t>Talked to Kunemon in File City already</t>
  </si>
  <si>
    <t>Talked to Elecmon in File City already</t>
  </si>
  <si>
    <t>Talked to Angemon in Jijimon's house already</t>
  </si>
  <si>
    <t>Talked to Palmon in File City already</t>
  </si>
  <si>
    <t>Talked to Whamon in File City already</t>
  </si>
  <si>
    <t>Talked to Kokatorimon in File City already</t>
  </si>
  <si>
    <t>Talked with Tanemon about the strange plant</t>
  </si>
  <si>
    <t>Vegimon plant spawns in the jungle</t>
  </si>
  <si>
    <t>Will get ambushed by Greymon in File City</t>
  </si>
  <si>
    <t>requires Greymon to not be recruited</t>
  </si>
  <si>
    <t>Beaten Airdramon in the ambush</t>
  </si>
  <si>
    <t>Talked to Birdramon in File City already</t>
  </si>
  <si>
    <t>Talked to Drimogemon in File City already</t>
  </si>
  <si>
    <t>Talked to Greymon at the arena already</t>
  </si>
  <si>
    <t>Required to sign up to cups!</t>
  </si>
  <si>
    <t>Talked to Penguinmon in file city already</t>
  </si>
  <si>
    <t>Talked to Airdramon at the arena already</t>
  </si>
  <si>
    <t>Talked with Jijimon about the saving machine</t>
  </si>
  <si>
    <t>Talked w. Coela &amp; Beta about their collaboration</t>
  </si>
  <si>
    <t>Walked over Coelamon's head once</t>
  </si>
  <si>
    <t>Beaten Saberdramon at end of Bone Tunnel</t>
  </si>
  <si>
    <t>reset every time you enter the screen</t>
  </si>
  <si>
    <t>Has entered Ogremon screen from above</t>
  </si>
  <si>
    <t>Ogremon only appears when you come from south</t>
  </si>
  <si>
    <t>Read the note in Myotismon's fridge</t>
  </si>
  <si>
    <t>First part of your shift at Monochromon done</t>
  </si>
  <si>
    <t>It's set to 0 on starting, so setting it to 1 doesn't skip it</t>
  </si>
  <si>
    <t>Walked over the invisible bridge already</t>
  </si>
  <si>
    <t>Requires the Yuramon trigger</t>
  </si>
  <si>
    <t>Myotismon told you that you lost his fridge key</t>
  </si>
  <si>
    <t xml:space="preserve">Got the text remarking the Landslide cleared
</t>
  </si>
  <si>
    <t>Landslide blocking path to Unimon cleared</t>
  </si>
  <si>
    <t>Mojyamon #1 despawned</t>
  </si>
  <si>
    <t>Eastern one</t>
  </si>
  <si>
    <t>Mojyamon #2 despawned</t>
  </si>
  <si>
    <t>South-Eastern one</t>
  </si>
  <si>
    <t>Mojyamon #3 despawned</t>
  </si>
  <si>
    <t>Southern one</t>
  </si>
  <si>
    <t>Mansion Key despawned</t>
  </si>
  <si>
    <t>Used Mansion key to open dining room</t>
  </si>
  <si>
    <t>door #1</t>
  </si>
  <si>
    <t>Have not been to Misty Trees yet</t>
  </si>
  <si>
    <t>door #2</t>
  </si>
  <si>
    <t>Misty Trees enemies updated</t>
  </si>
  <si>
    <t>set after Shogun, but #147 does the same</t>
  </si>
  <si>
    <t>Used Mansion key to open stairs to attic</t>
  </si>
  <si>
    <t>You don't know about the Monzaemon costume</t>
  </si>
  <si>
    <t>Opened the door at Myotismon's office</t>
  </si>
  <si>
    <t>Spotted Vademons circles</t>
  </si>
  <si>
    <t>Lava Cave opened</t>
  </si>
  <si>
    <t>Rock removed</t>
  </si>
  <si>
    <t>Already entered the mansion once</t>
  </si>
  <si>
    <t>Skips the intro cutscene</t>
  </si>
  <si>
    <t>ShogunGekomon can be traded with</t>
  </si>
  <si>
    <t>Skips talking to Gekomon</t>
  </si>
  <si>
    <t>Used Mansion key to open Brain Chips room</t>
  </si>
  <si>
    <t>Yuramon told you about the Invisible Bridge</t>
  </si>
  <si>
    <t>Used Mansion key to open the Library</t>
  </si>
  <si>
    <t>Back Exit for Drill Tunnel opened</t>
  </si>
  <si>
    <t>Used Mansion key to open east fireplace</t>
  </si>
  <si>
    <t>Saved Myotismon from starving</t>
  </si>
  <si>
    <t>Talked to Myotismon after beating Skullgreymon</t>
  </si>
  <si>
    <t>Beaten Tekkamon in the Secret Lab</t>
  </si>
  <si>
    <t>Fell for the book trap in the mansion</t>
  </si>
  <si>
    <t>Fell into Myotismon's office</t>
  </si>
  <si>
    <t>Talked to Frigimon</t>
  </si>
  <si>
    <t>Entered Leomons cave</t>
  </si>
  <si>
    <t>Picked up Leomons stone tablet</t>
  </si>
  <si>
    <t>Talked to Monochromon at his original shop</t>
  </si>
  <si>
    <t>Got warned from Centarumon for trespassing</t>
  </si>
  <si>
    <t>Talked to the secret card shop</t>
  </si>
  <si>
    <t>Beaten Kitchen Drimogemon</t>
  </si>
  <si>
    <t>Checked the cliff already</t>
  </si>
  <si>
    <t>causes the cliff to collapse next time</t>
  </si>
  <si>
    <t>Fell down the cliff at Ogremon #1 screen</t>
  </si>
  <si>
    <t>Didn't re-enter after checking the cliff yet</t>
  </si>
  <si>
    <t>unset after leaving the map</t>
  </si>
  <si>
    <t>Defeated Tyrannomon</t>
  </si>
  <si>
    <t>Misty Trees warp enabled</t>
  </si>
  <si>
    <t>unlocked by talking to Cherrymon</t>
  </si>
  <si>
    <t>Misty Trees fog removed</t>
  </si>
  <si>
    <t>Drill Tunnel has been spotted</t>
  </si>
  <si>
    <t>Beaten Ogremon #3</t>
  </si>
  <si>
    <t>triggers Ogremon 4 fight in Drill Tunnel</t>
  </si>
  <si>
    <t>Spotted the altered Drill Tunnel sign</t>
  </si>
  <si>
    <t>before entering with Ogremon triggered</t>
  </si>
  <si>
    <t>Read about the UFO sighting in the news</t>
  </si>
  <si>
    <t>Read about Vademon being seen in the news</t>
  </si>
  <si>
    <t>You found even more circles from Vademon</t>
  </si>
  <si>
    <t>Rock removed from the elevator</t>
  </si>
  <si>
    <t>For Birdramon and Ogremon</t>
  </si>
  <si>
    <t>Amida Forest progress</t>
  </si>
  <si>
    <t>The way to travel through the maze</t>
  </si>
  <si>
    <t>Visited Kokatorimon's map on time once</t>
  </si>
  <si>
    <t>Does not do anything at all but check itself</t>
  </si>
  <si>
    <t>Beat Ogremon #2</t>
  </si>
  <si>
    <t>Can use Ogremon's elevator</t>
  </si>
  <si>
    <t>Required to use the escape elevator from the top</t>
  </si>
  <si>
    <t>Treasure Hunt 3 Day Tour ongoing</t>
  </si>
  <si>
    <t>Treasure Hunt 10 Day Tour ongoing</t>
  </si>
  <si>
    <t>Shellmon's island is elevated</t>
  </si>
  <si>
    <t>Not sure why they used 2 triggers for this</t>
  </si>
  <si>
    <t>Shellmon's island is down again</t>
  </si>
  <si>
    <t>Talked with Shellmon about the elevator problem</t>
  </si>
  <si>
    <t>Spotted the repaired bridge</t>
  </si>
  <si>
    <t>Bridge is repaired, enemies despawn</t>
  </si>
  <si>
    <t>Talked to the Vegimon plant in the jungle</t>
  </si>
  <si>
    <t>Misused to also check if you talked to Vegiemon before</t>
  </si>
  <si>
    <t>Path to Speedy Time Zone opened</t>
  </si>
  <si>
    <t>Ancient Dino Region Warp enabled</t>
  </si>
  <si>
    <t>Set when entering the Speedy Time Zone</t>
  </si>
  <si>
    <t>Talked to Leomon in his camp</t>
  </si>
  <si>
    <t>Gear Savanna Warp enabled</t>
  </si>
  <si>
    <t>Set when discovering the Recycle Shop</t>
  </si>
  <si>
    <t>Something about waiting for Biyomon</t>
  </si>
  <si>
    <t>Promised Garurumon a fight tomorrow</t>
  </si>
  <si>
    <t>Watched Leomon play hero</t>
  </si>
  <si>
    <t>Heard about Ogremon from Yuramon</t>
  </si>
  <si>
    <t>Defeated Ogremon #1</t>
  </si>
  <si>
    <t>Talked to guard Agumon at Ogre Fortress</t>
  </si>
  <si>
    <t>Entrance to Ogre Fortress opened</t>
  </si>
  <si>
    <t>Back Dimension Quest started</t>
  </si>
  <si>
    <t>Defeated the 2nd Machinedramon</t>
  </si>
  <si>
    <t>Agumon recruited</t>
  </si>
  <si>
    <t>Betamon recruited</t>
  </si>
  <si>
    <t>Greymon recruited</t>
  </si>
  <si>
    <t>Devimon recruited</t>
  </si>
  <si>
    <t>Airdramon recruited</t>
  </si>
  <si>
    <t>Tyrannomon recruited</t>
  </si>
  <si>
    <t>Meramon recruited</t>
  </si>
  <si>
    <t>Seadramon recruited</t>
  </si>
  <si>
    <t>also unlocks Beetle Land warp</t>
  </si>
  <si>
    <t>Numemon recruited</t>
  </si>
  <si>
    <t>MetalGreymon recruited</t>
  </si>
  <si>
    <t>Mamemon recruited</t>
  </si>
  <si>
    <t>Monzaemon recruited</t>
  </si>
  <si>
    <t>Obtained the Chained Melon</t>
  </si>
  <si>
    <t>100pp completed</t>
  </si>
  <si>
    <t>Gabumon recruited</t>
  </si>
  <si>
    <t>Elecmon recruited</t>
  </si>
  <si>
    <t>Kabuterimon recruited</t>
  </si>
  <si>
    <t>Angemon recruited</t>
  </si>
  <si>
    <t>Birdramon recruited</t>
  </si>
  <si>
    <t>also unlocks Great Canyon Top Area warp</t>
  </si>
  <si>
    <t>Garurumon recruited</t>
  </si>
  <si>
    <t>Frigimon recruited</t>
  </si>
  <si>
    <t>Whamon recruited</t>
  </si>
  <si>
    <t>Vegiemon recruited</t>
  </si>
  <si>
    <t>SkullGreymon recruited</t>
  </si>
  <si>
    <t>MetalMamemon recruited</t>
  </si>
  <si>
    <t>Vademon recruited</t>
  </si>
  <si>
    <t>Didn't give Unimon a healing item</t>
  </si>
  <si>
    <t>Watched Meramon's cutscene</t>
  </si>
  <si>
    <t>Patamon recruited</t>
  </si>
  <si>
    <t>Kunemon recruited</t>
  </si>
  <si>
    <t>Unimon recruited</t>
  </si>
  <si>
    <t>Ogremon recruited</t>
  </si>
  <si>
    <t>Shellmon recruited</t>
  </si>
  <si>
    <t>Centarumon recruited</t>
  </si>
  <si>
    <t>Bakemon recruited</t>
  </si>
  <si>
    <t>Drimogemon recruited</t>
  </si>
  <si>
    <t>Sukamon recruited</t>
  </si>
  <si>
    <t>Andromon recruited</t>
  </si>
  <si>
    <t>Giromon recruited</t>
  </si>
  <si>
    <t>Etemon recruited</t>
  </si>
  <si>
    <t>Defeated the 2nd Machinedramon at least once</t>
  </si>
  <si>
    <t>Biyomon recruited</t>
  </si>
  <si>
    <t>Palmon recruited</t>
  </si>
  <si>
    <t>Monochromon recruited</t>
  </si>
  <si>
    <t>Leomon recruited</t>
  </si>
  <si>
    <t>Coelamon recruited</t>
  </si>
  <si>
    <t>Kokatorimon recruited</t>
  </si>
  <si>
    <t>Kuwagamon recruited</t>
  </si>
  <si>
    <t>Mojyamon recruited</t>
  </si>
  <si>
    <t>Nanimon recruited</t>
  </si>
  <si>
    <t>Megadramon recruited</t>
  </si>
  <si>
    <t>Piximon recruited</t>
  </si>
  <si>
    <t>Digitamamon recruited</t>
  </si>
  <si>
    <t>Penguinmon recruited</t>
  </si>
  <si>
    <t>Ninjamon recruited</t>
  </si>
  <si>
    <t>Phoenixmon unlocked for Arena</t>
  </si>
  <si>
    <t>unused</t>
  </si>
  <si>
    <t>H-Kabuterimon unlocked for Arena</t>
  </si>
  <si>
    <t>MegaSeadramon unlocked for Arena</t>
  </si>
  <si>
    <t>Myotismon unlocked for Arena</t>
  </si>
  <si>
    <t>Unset again by the Skullgreymon quest</t>
  </si>
  <si>
    <t>Yanmamon beaten</t>
  </si>
  <si>
    <t>Gotsumon beaten</t>
  </si>
  <si>
    <t>Flarerizamon beaten</t>
  </si>
  <si>
    <t>WaruMonzaemon beaten</t>
  </si>
  <si>
    <t>Triggers Monzaemon recruit w. Gear</t>
  </si>
  <si>
    <t>SnowAgumon beaten</t>
  </si>
  <si>
    <t>Hyogamon beaten</t>
  </si>
  <si>
    <t>PlatinumSukamon beaten</t>
  </si>
  <si>
    <t>Dokunemon beaten</t>
  </si>
  <si>
    <t>ShimaUnimon beaten</t>
  </si>
  <si>
    <t>Tankmon beaten</t>
  </si>
  <si>
    <t>RedVegiemon beaten</t>
  </si>
  <si>
    <t>J-Mojyamon beaten</t>
  </si>
  <si>
    <t>NiseDrimogemon beaten</t>
  </si>
  <si>
    <t>Goburimon beaten</t>
  </si>
  <si>
    <t>MudFrigimon beaten</t>
  </si>
  <si>
    <t>Psychemon beaten</t>
  </si>
  <si>
    <t>ModokiBetamon beaten</t>
  </si>
  <si>
    <t>ToyAgumon beaten</t>
  </si>
  <si>
    <t>Piddomon beaten</t>
  </si>
  <si>
    <t>Aruraumon beaten</t>
  </si>
  <si>
    <t>Geremon beaten</t>
  </si>
  <si>
    <t>Vermilimon beaten</t>
  </si>
  <si>
    <t>Fugamon beaten</t>
  </si>
  <si>
    <t>Tekkamon beaten</t>
  </si>
  <si>
    <t>MoriShellmon beaten</t>
  </si>
  <si>
    <t>Guardromon beaten</t>
  </si>
  <si>
    <t>Muchomon beaten</t>
  </si>
  <si>
    <t>Icemon beaten</t>
  </si>
  <si>
    <t>Akatorimon beaten</t>
  </si>
  <si>
    <t>Tsukaimon beaten</t>
  </si>
  <si>
    <t>Sharmamon beaten</t>
  </si>
  <si>
    <t>ClearAgumon beaten</t>
  </si>
  <si>
    <t>Weedmon beaten</t>
  </si>
  <si>
    <t>IceDevimon beaten</t>
  </si>
  <si>
    <t>Darkrizamon beaten</t>
  </si>
  <si>
    <t>SandYanmamon beaten</t>
  </si>
  <si>
    <t>SnowGoburimon beaten</t>
  </si>
  <si>
    <t>BlueMeramon beaten</t>
  </si>
  <si>
    <t>Gururumon beaten</t>
  </si>
  <si>
    <t>Saberdramon beaten</t>
  </si>
  <si>
    <t>Soulmon beaten</t>
  </si>
  <si>
    <t>Rockmon beaten</t>
  </si>
  <si>
    <t>Otamamon beaten</t>
  </si>
  <si>
    <t>Gekomon beaten</t>
  </si>
  <si>
    <t>Tentomon beaten</t>
  </si>
  <si>
    <t>WaruSeadramon beaten</t>
  </si>
  <si>
    <t>Meteormon beaten</t>
  </si>
  <si>
    <t>Path to Volume Villa has been opened</t>
  </si>
  <si>
    <t>Old Fishrod despawned</t>
  </si>
  <si>
    <t>Devimon defeated in Mt. Infinity</t>
  </si>
  <si>
    <t>Angemon recruitable, stepped into the light</t>
  </si>
  <si>
    <t>Secret door in Ice Sanctuary unlocked</t>
  </si>
  <si>
    <t>Checked out the Angemon statue</t>
  </si>
  <si>
    <t>Read in the news that Myotismon is fine</t>
  </si>
  <si>
    <t>Setting this to 1 disables the Skull quest!</t>
  </si>
  <si>
    <t>Metalgreymon defeated in Mt. Infinity</t>
  </si>
  <si>
    <t>Factorial Town (Savanna) entrance opened</t>
  </si>
  <si>
    <t>Andromon data repair complete</t>
  </si>
  <si>
    <t>Andromon exposition dump done</t>
  </si>
  <si>
    <t>Guard Change info obtained</t>
  </si>
  <si>
    <t>Factorial Town entrance open</t>
  </si>
  <si>
    <t>Talked to Nanimon in Leomon's Ancestor Cave</t>
  </si>
  <si>
    <t>Talked to Nanimon in Ogremon's Hideout</t>
  </si>
  <si>
    <t>Talked to Nanimon in Ancient Speedy Region</t>
  </si>
  <si>
    <t>Talked to Nanimon in Sewers</t>
  </si>
  <si>
    <t>Talked to Nanimon in Toy Town</t>
  </si>
  <si>
    <t>Disable Leomon cutscene trigger</t>
  </si>
  <si>
    <t>Fished Seadramon once</t>
  </si>
  <si>
    <t>Noticed the fog in the Sewers</t>
  </si>
  <si>
    <t>Talked to Andromon after beating Giromon</t>
  </si>
  <si>
    <t>Talked to Numemon in the Sewers</t>
  </si>
  <si>
    <t>Talked to Andromon before solving the incident</t>
  </si>
  <si>
    <t>Not important as you can enter the Factory without it</t>
  </si>
  <si>
    <t>Beaten Giromon</t>
  </si>
  <si>
    <t>Beaten SkullGreymon</t>
  </si>
  <si>
    <t>Won the Beetle Cup</t>
  </si>
  <si>
    <t>Erroneously set on being 2nd and winning Horn Helmet</t>
  </si>
  <si>
    <t>Guardromon explained that you need a permit</t>
  </si>
  <si>
    <t>Steak spawns in Overdell Cemetery</t>
  </si>
  <si>
    <t>Toy Mansion unlocked</t>
  </si>
  <si>
    <t>Toy Town is back to normal</t>
  </si>
  <si>
    <t>Freezeland Warp enabled</t>
  </si>
  <si>
    <t>unlocked by entering the cross section screen</t>
  </si>
  <si>
    <t>Talked to Whamon in Freeze Land</t>
  </si>
  <si>
    <t>Talked to Drimogemon (at Cave Exit)</t>
  </si>
  <si>
    <t>Mt. Infinity unlocked</t>
  </si>
  <si>
    <t>Airdramons rests in the back of Jijimon's house</t>
  </si>
  <si>
    <t>Myotismon's disappearance quest enabled</t>
  </si>
  <si>
    <t>Used up your one free curling match</t>
  </si>
  <si>
    <t>You notice Myotismon is gone</t>
  </si>
  <si>
    <t>You didn't find Myotismon in his bed</t>
  </si>
  <si>
    <t>Met Devimon at the Mansion</t>
  </si>
  <si>
    <t>You know King Sukamons ability</t>
  </si>
  <si>
    <t>Turned back from Sukamon first time</t>
  </si>
  <si>
    <t>Grade Cup Medal unlocked</t>
  </si>
  <si>
    <t>Version Cup Medal unlocked</t>
  </si>
  <si>
    <t>Type Cup Medal unlocked</t>
  </si>
  <si>
    <t>Special Cup Medal unlocked</t>
  </si>
  <si>
    <t>100 Cup Wins Medal unlocked</t>
  </si>
  <si>
    <t>All Techniques Medal unlocked</t>
  </si>
  <si>
    <t>All Digimon Medal unlocked</t>
  </si>
  <si>
    <t>Max Stats Medal unlocked</t>
  </si>
  <si>
    <t>Perfect Curling Medal unlocked</t>
  </si>
  <si>
    <t>100 Fish Medal unlocked</t>
  </si>
  <si>
    <t>Watched Ending Medal unlocked</t>
  </si>
  <si>
    <t>100pp Medal unlocked</t>
  </si>
  <si>
    <t>All Cards Medal unlocked</t>
  </si>
  <si>
    <t>Max Money Medal unlocked</t>
  </si>
  <si>
    <t>10 Years Medal unlocked</t>
  </si>
  <si>
    <t>sm. recovery buyable in shop</t>
  </si>
  <si>
    <t>med. recovery buyable in shop</t>
  </si>
  <si>
    <t>lrg. recovery buyable in shop</t>
  </si>
  <si>
    <t>sup. recovery buyable in shop</t>
  </si>
  <si>
    <t>MP Floppy buyable in shop</t>
  </si>
  <si>
    <t>Medium MP buyable in shop</t>
  </si>
  <si>
    <t>Large MP buyable in shop</t>
  </si>
  <si>
    <t>Double floppy buyable in shop</t>
  </si>
  <si>
    <t>Various buyable in shop</t>
  </si>
  <si>
    <t>Omnipotent buyable in shop</t>
  </si>
  <si>
    <t>Protection buyable in shop</t>
  </si>
  <si>
    <t>Restore buyable in shop</t>
  </si>
  <si>
    <t>Sup. restore buyable in shop</t>
  </si>
  <si>
    <t>Bandage buyable in shop</t>
  </si>
  <si>
    <t>Medicine buyable in shop</t>
  </si>
  <si>
    <t>Off. Disk buyable in shop</t>
  </si>
  <si>
    <t>Def. Disk buyable in shop</t>
  </si>
  <si>
    <t>Hispeed Disk buyable in shop</t>
  </si>
  <si>
    <t>Omni Disk buyable in shop</t>
  </si>
  <si>
    <t>S. Off. Disk buyable in shop</t>
  </si>
  <si>
    <t>S. Def. Disk buyable in shop</t>
  </si>
  <si>
    <t>S. Speed. Disk buyable in shop</t>
  </si>
  <si>
    <t>Autopilot buyable in shop</t>
  </si>
  <si>
    <t>Off. Chip buyable in shop</t>
  </si>
  <si>
    <t>Def. Chip buyable in shop</t>
  </si>
  <si>
    <t>Brain Chip buyable in shop</t>
  </si>
  <si>
    <t>Quick Chip buyable in shop</t>
  </si>
  <si>
    <t>HP Chip buyable in shop</t>
  </si>
  <si>
    <t>MP Chip buyable in shop</t>
  </si>
  <si>
    <t>DV Chip A buyable in shop</t>
  </si>
  <si>
    <t>DV Chip D buyable in shop</t>
  </si>
  <si>
    <t>DV Chip E buyable in shop</t>
  </si>
  <si>
    <t>Port. potty buyable in shop</t>
  </si>
  <si>
    <t>Trn. manual buyable in shop</t>
  </si>
  <si>
    <t>Rest pillow buyable in shop</t>
  </si>
  <si>
    <t>Enemy repel buyable in shop</t>
  </si>
  <si>
    <t>Enemy bell buyable in shop</t>
  </si>
  <si>
    <t>Health shoe buyable in shop</t>
  </si>
  <si>
    <t>Meat buyable in shop</t>
  </si>
  <si>
    <t>Giant Meat buyable in shop</t>
  </si>
  <si>
    <t>Sirloin buyable in shop</t>
  </si>
  <si>
    <t>Supercarrot buyable in shop</t>
  </si>
  <si>
    <t>Hawk radish buyable in shop</t>
  </si>
  <si>
    <t>Spiny green buyable in shop</t>
  </si>
  <si>
    <t>Digimushroom buyable in shop</t>
  </si>
  <si>
    <t>Ice Mushroom buyable in shop</t>
  </si>
  <si>
    <t>Deleuxmushroom buyable in shop</t>
  </si>
  <si>
    <t>Digipine buyable in shop</t>
  </si>
  <si>
    <t>Blue apple buyable in shop</t>
  </si>
  <si>
    <t>Red Berry buyable in shop</t>
  </si>
  <si>
    <t>Gold Acorn buyable in shop</t>
  </si>
  <si>
    <t>Big Berry buyable in shop</t>
  </si>
  <si>
    <t>Sweet Nut buyable in shop</t>
  </si>
  <si>
    <t>Super veggy buyable in shop</t>
  </si>
  <si>
    <t>Pricklypear buyable in shop</t>
  </si>
  <si>
    <t>Orange banana buyable in shop</t>
  </si>
  <si>
    <t>Power Fruit buyable in shop</t>
  </si>
  <si>
    <t>Power Ice buyable in shop</t>
  </si>
  <si>
    <t>Speed Leaf buyable in shop</t>
  </si>
  <si>
    <t>Sage Fruit buyable in shop</t>
  </si>
  <si>
    <t>Muscle Yam buyable in shop</t>
  </si>
  <si>
    <t>Calm Berry buyable in shop</t>
  </si>
  <si>
    <t>Digianchovy buyable in shop</t>
  </si>
  <si>
    <t>Digisnapper buyable in shop</t>
  </si>
  <si>
    <t>DigiTrout buyable in shop</t>
  </si>
  <si>
    <t>Black trout buyable in shop</t>
  </si>
  <si>
    <t>Digicatfish buyable in shop</t>
  </si>
  <si>
    <t>Digiseabass buyable in shop</t>
  </si>
  <si>
    <t>Moldy Meat buyable in shop</t>
  </si>
  <si>
    <t>Happymushroom buyable in shop</t>
  </si>
  <si>
    <t>Chain Melon buyable in shop</t>
  </si>
  <si>
    <t>Grey Claws buyable in shop</t>
  </si>
  <si>
    <t>Fireball buyable in shop</t>
  </si>
  <si>
    <t>Flamingwing buyable in shop</t>
  </si>
  <si>
    <t>Iron Hoof buyable in shop</t>
  </si>
  <si>
    <t>Mono Stone buyable in shop</t>
  </si>
  <si>
    <t>Steel Drill buyable in shop</t>
  </si>
  <si>
    <t>White Fang buyable in shop</t>
  </si>
  <si>
    <t>Black Wing buyable in shop</t>
  </si>
  <si>
    <t>Spike Club buyable in shop</t>
  </si>
  <si>
    <t>Flamingmane buyable in shop</t>
  </si>
  <si>
    <t>White Wing buyable in shop</t>
  </si>
  <si>
    <t>Torn Tatter buyable in shop</t>
  </si>
  <si>
    <t>Electro Ring buyable in shop</t>
  </si>
  <si>
    <t>Rainbowhorn buyable in shop</t>
  </si>
  <si>
    <t>Rooster buyable in shop</t>
  </si>
  <si>
    <t>Unihorn buyable in shop</t>
  </si>
  <si>
    <t>Horn Helmet buyable in shop</t>
  </si>
  <si>
    <t>Scissor Jaw buyable in shop</t>
  </si>
  <si>
    <t>Fertilizer buyable in shop</t>
  </si>
  <si>
    <t>Koga Laws buyable in shop</t>
  </si>
  <si>
    <t>Waterbottle buyable in shop</t>
  </si>
  <si>
    <t>North Star buyable in shop</t>
  </si>
  <si>
    <t>Red Shell buyable in shop</t>
  </si>
  <si>
    <t>Hard Scale buyable in shop</t>
  </si>
  <si>
    <t>Bluecrystal buyable in shop</t>
  </si>
  <si>
    <t>Ice crystal buyable in shop</t>
  </si>
  <si>
    <t>Hair Grower buyable in shop</t>
  </si>
  <si>
    <t>Sunglasses buyable in shop</t>
  </si>
  <si>
    <t>Metal Part buyable in shop</t>
  </si>
  <si>
    <t>Fatal Bone buyable in shop</t>
  </si>
  <si>
    <t>Cyber Part buyable in shop</t>
  </si>
  <si>
    <t>Mega Hand buyable in shop</t>
  </si>
  <si>
    <t>Silver Ball buyable in shop</t>
  </si>
  <si>
    <t>Metal Armor buyable in shop</t>
  </si>
  <si>
    <t>Chainsaw buyable in shop</t>
  </si>
  <si>
    <t>Small Spear buyable in shop</t>
  </si>
  <si>
    <t>X Bandage buyable in shop</t>
  </si>
  <si>
    <t>Ray Gun buyable in shop</t>
  </si>
  <si>
    <t>Gold Banana buyable in shop</t>
  </si>
  <si>
    <t>Mysty Egg buyable in shop</t>
  </si>
  <si>
    <t>Red Ruby buyable in shop</t>
  </si>
  <si>
    <t>Beetlepearl buyable in shop</t>
  </si>
  <si>
    <t>Coral Charm buyable in shop</t>
  </si>
  <si>
    <t>Moon Mirror buyable in shop</t>
  </si>
  <si>
    <t>Blue Flute buyable in shop</t>
  </si>
  <si>
    <t>old fishrod buyable in shop</t>
  </si>
  <si>
    <t>Amazing Rod buyable in shop</t>
  </si>
  <si>
    <t>Leomonstone buyable in shop</t>
  </si>
  <si>
    <t>Mansion Key buyable in shop</t>
  </si>
  <si>
    <t>Gear buyable in shop</t>
  </si>
  <si>
    <t>Rain Plant buyable in shop</t>
  </si>
  <si>
    <t>Steak buyable in shop</t>
  </si>
  <si>
    <t>Frig Key buyable in shop</t>
  </si>
  <si>
    <t>AS Decoder buyable in shop</t>
  </si>
  <si>
    <t>Giga Hand buyable in shop</t>
  </si>
  <si>
    <t>Noble Mane buyable in shop</t>
  </si>
  <si>
    <t>MetalBanana buyable in shop</t>
  </si>
  <si>
    <t>Botamon trained</t>
  </si>
  <si>
    <t>Koromon trained</t>
  </si>
  <si>
    <t>Agumon trained</t>
  </si>
  <si>
    <t>Betamon trained</t>
  </si>
  <si>
    <t>Greymon trained</t>
  </si>
  <si>
    <t>Devimon trained</t>
  </si>
  <si>
    <t>Airdramon trained</t>
  </si>
  <si>
    <t>Tyrannomon trained</t>
  </si>
  <si>
    <t>Meramon trained</t>
  </si>
  <si>
    <t>Seadramon trained</t>
  </si>
  <si>
    <t>Numemon trained</t>
  </si>
  <si>
    <t>MetalGreymon trained</t>
  </si>
  <si>
    <t>Mamemon trained</t>
  </si>
  <si>
    <t>Monzaemon trained</t>
  </si>
  <si>
    <t>Punimon trained</t>
  </si>
  <si>
    <t>Tsunomon trained</t>
  </si>
  <si>
    <t>Gabumon trained</t>
  </si>
  <si>
    <t>Elecmon trained</t>
  </si>
  <si>
    <t>Kabuterimon trained</t>
  </si>
  <si>
    <t>Angemon trained</t>
  </si>
  <si>
    <t>Birdramon trained</t>
  </si>
  <si>
    <t>Garurumon trained</t>
  </si>
  <si>
    <t>Frigimon trained</t>
  </si>
  <si>
    <t>Whamon trained</t>
  </si>
  <si>
    <t>Vegiemon trained</t>
  </si>
  <si>
    <t>SkullGreymon trained</t>
  </si>
  <si>
    <t>MetalMamemon trained</t>
  </si>
  <si>
    <t>Vademon trained</t>
  </si>
  <si>
    <t>Poyomon trained</t>
  </si>
  <si>
    <t>Tokomon trained</t>
  </si>
  <si>
    <t>Patamon trained</t>
  </si>
  <si>
    <t>Kunemon trained</t>
  </si>
  <si>
    <t>Unimon trained</t>
  </si>
  <si>
    <t>Ogremon trained</t>
  </si>
  <si>
    <t>Shellmon trained</t>
  </si>
  <si>
    <t>Centarumon trained</t>
  </si>
  <si>
    <t>Bakemon trained</t>
  </si>
  <si>
    <t>Drimogemon trained</t>
  </si>
  <si>
    <t>Sukamon trained</t>
  </si>
  <si>
    <t>Andromon trained</t>
  </si>
  <si>
    <t>Giromon trained</t>
  </si>
  <si>
    <t>Etemon trained</t>
  </si>
  <si>
    <t>Yuramon trained</t>
  </si>
  <si>
    <t>Tanemon trained</t>
  </si>
  <si>
    <t>Biyomon trained</t>
  </si>
  <si>
    <t>Palmon trained</t>
  </si>
  <si>
    <t>Monochromon trained</t>
  </si>
  <si>
    <t>Leomon trained</t>
  </si>
  <si>
    <t>Coelamon trained</t>
  </si>
  <si>
    <t>Kokatorimon trained</t>
  </si>
  <si>
    <t>Kuwagamon trained</t>
  </si>
  <si>
    <t>Mojyamon trained</t>
  </si>
  <si>
    <t>Nanimon trained</t>
  </si>
  <si>
    <t>Megadramon trained</t>
  </si>
  <si>
    <t>Piximon trained</t>
  </si>
  <si>
    <t>Digitamamon trained</t>
  </si>
  <si>
    <t>Penguinmon trained</t>
  </si>
  <si>
    <t>Ninjamon trained</t>
  </si>
  <si>
    <t>Phoenixmon trained</t>
  </si>
  <si>
    <t>H-Kabuterimon trained</t>
  </si>
  <si>
    <t>MegaSeadramon trained</t>
  </si>
  <si>
    <t>Talked with Jiji about Agumon</t>
  </si>
  <si>
    <t>Talked with Jiji about Betamon</t>
  </si>
  <si>
    <t>Talked with Jiji about Greymon</t>
  </si>
  <si>
    <t>Talked with Jiji about Devimon</t>
  </si>
  <si>
    <t>Talked with Jiji about Airdramon</t>
  </si>
  <si>
    <t>Talked with Jiji about Tyrannomon / Elecmon</t>
  </si>
  <si>
    <t>Talked with Jiji about Meramon / Kabuterimon</t>
  </si>
  <si>
    <t>Talked with Jiji about Numemon</t>
  </si>
  <si>
    <t>Talked with Jiji about MetalGreymon</t>
  </si>
  <si>
    <t>Talked with Jiji about Mamemon</t>
  </si>
  <si>
    <t>Talked with Jiji about Monochromon</t>
  </si>
  <si>
    <t>Swapped with Monzaemon</t>
  </si>
  <si>
    <t>Talked with Jiji about Gabumon</t>
  </si>
  <si>
    <t>Talked with Jiji about Angemon</t>
  </si>
  <si>
    <t>Talked with Jiji about Birdramon</t>
  </si>
  <si>
    <t>Talked with Jiji about Garurumon</t>
  </si>
  <si>
    <t>Talked with Jiji about Frigimon</t>
  </si>
  <si>
    <t>Talked with Jiji about Whamon</t>
  </si>
  <si>
    <t>Talked with Jiji about Vegiemon</t>
  </si>
  <si>
    <t>Talked with Jiji about SkullGreymon</t>
  </si>
  <si>
    <t>Talked with Jiji about MetalMamemon</t>
  </si>
  <si>
    <t>Talked with Jiji about Vademon</t>
  </si>
  <si>
    <t>Talked with Jiji about Patamon</t>
  </si>
  <si>
    <t>Talked with Jiji about Kunemon</t>
  </si>
  <si>
    <t>Talked with Jiji about Unimon</t>
  </si>
  <si>
    <t>Talked with Jiji about Ogremon</t>
  </si>
  <si>
    <t>Talked with Jiji about Shellmon</t>
  </si>
  <si>
    <t>Talked with Jiji about Centarumon</t>
  </si>
  <si>
    <t>Talked with Jiji about Bakemon</t>
  </si>
  <si>
    <t>Talked with Jiji about Drimogemon</t>
  </si>
  <si>
    <t>.</t>
  </si>
  <si>
    <t>Talked with Jiji about Andromon</t>
  </si>
  <si>
    <t>Talked with Jiji about Giromon</t>
  </si>
  <si>
    <t>Talked with Jiji about Etemon</t>
  </si>
  <si>
    <t>Talked with Jiji about Biyomon</t>
  </si>
  <si>
    <t>Talked with Jiji about Palmon</t>
  </si>
  <si>
    <t>Talked with Jiji about Monzaemon</t>
  </si>
  <si>
    <t>Swapped with Monochromon</t>
  </si>
  <si>
    <t>Talked with Jiji about Leomon</t>
  </si>
  <si>
    <t>Talked with Jiji about Coelamon</t>
  </si>
  <si>
    <t>Talked with Jiji about Kokatorimon</t>
  </si>
  <si>
    <t>Talked with Jiji about Kuwagamon</t>
  </si>
  <si>
    <t>Talked with Jiji about Mojyamon</t>
  </si>
  <si>
    <t>Talked with Jiji about Nanimon</t>
  </si>
  <si>
    <t>Talked with Jiji about Piximon</t>
  </si>
  <si>
    <t>Talked with Jiji about Digitamamon</t>
  </si>
  <si>
    <t>Talked with Jiji about Penguinmon</t>
  </si>
  <si>
    <t>Talked with Jiji about Ninjamon</t>
  </si>
  <si>
    <t>Digimon "fullness" was &gt;= a fixed value once</t>
  </si>
  <si>
    <t>Address "00B8FE3C"</t>
  </si>
  <si>
    <t>Chest containing MP Chip on YAKA02.</t>
  </si>
  <si>
    <t>Chest containing Restore on YAKA02.</t>
  </si>
  <si>
    <t>Chest containing Auto Pilot on YAKA02.</t>
  </si>
  <si>
    <t>Chest containing Sirloin on YAKA14.</t>
  </si>
  <si>
    <t>Chest containing Brain Chip on YAKA17.</t>
  </si>
  <si>
    <t>Chest containing Medicine on YAKA23.</t>
  </si>
  <si>
    <t>Chest containing Restore on ICSA02.</t>
  </si>
  <si>
    <t>Chest containing Off. Chip on TUNN10.</t>
  </si>
  <si>
    <t>Chest containing Quick Chip on TUNN10.</t>
  </si>
  <si>
    <t>Chest containing sup.recovery on ICSA06.</t>
  </si>
  <si>
    <t>Chest containing Large MP on ICSA06.</t>
  </si>
  <si>
    <t>Chest containing Omni Disk on ICSA07.</t>
  </si>
  <si>
    <t>Chest containing Omnipotent on ICSA07.</t>
  </si>
  <si>
    <t>Chest containing lrg.recovery on ICSA02.</t>
  </si>
  <si>
    <t>Chest containing Medicine on ICSA05.</t>
  </si>
  <si>
    <t>Chest containing Def. Chip on GCAN04/GCAN04_2.</t>
  </si>
  <si>
    <t>Chest containing Off. Chip on LEOM02.</t>
  </si>
  <si>
    <t>Chest containing HP Chip on OMOC08.</t>
  </si>
  <si>
    <t>Chest containing Double flop on OGRE00.</t>
  </si>
  <si>
    <t>Chest containing Auto Pilot on OGRE01.</t>
  </si>
  <si>
    <t>Chest containing Port. potty on OGRE03.</t>
  </si>
  <si>
    <t>Chest containing Mysty Egg on OGRE11.</t>
  </si>
  <si>
    <t>Chest containing S.Off.disk on OGRE04.</t>
  </si>
  <si>
    <t>Chest containing Sirloin on OGRE04.</t>
  </si>
  <si>
    <t>Chest containing Off. Chip on OGRE04.</t>
  </si>
  <si>
    <t>Chest containing Protection on TUNN07_3.</t>
  </si>
  <si>
    <t>Chest containing HP Chip on FACT09.</t>
  </si>
  <si>
    <t>Chest containing MP Chip on FACT09.</t>
  </si>
  <si>
    <t>Chest containing S.Def.disk on TUNN08_3.</t>
  </si>
  <si>
    <t>Chest containing Omni Disk on MGEN01.</t>
  </si>
  <si>
    <t>Chest containing Large MP on MGEN02.</t>
  </si>
  <si>
    <t>Chest containing Omnipotent on MGEN03.</t>
  </si>
  <si>
    <t>Chest containing Def. Chip on OGRE04.</t>
  </si>
  <si>
    <t>Chest containing Large MP on MGEN04.</t>
  </si>
  <si>
    <t>Chest containing MP Chip on MGEN05.</t>
  </si>
  <si>
    <t>Chest containing Sirloin on MGEN06.</t>
  </si>
  <si>
    <t>Chest containing Auto Pilot on MGEN07.</t>
  </si>
  <si>
    <t>Chest containing Double flop on MGEN08.</t>
  </si>
  <si>
    <t>Chest containing sup.recovery on MGEN09.</t>
  </si>
  <si>
    <t>Chest containing HP Chip on MGEN10.</t>
  </si>
  <si>
    <t>Chest containing MP Chip on MGEN10.</t>
  </si>
  <si>
    <t>Chest containing med.recovery on TROP01.</t>
  </si>
  <si>
    <t>Chest containing Off. Chip on TUNN08/TUNN08_2.</t>
  </si>
  <si>
    <t>Chest containing Medicine on TUNN08/TUNN08_2.</t>
  </si>
  <si>
    <t>Chest containing med.recovery on MIHA03/MIHA06.</t>
  </si>
  <si>
    <t>Chest containing Medium MP on MIHA03/MIHA06.</t>
  </si>
  <si>
    <t>Chest containing Various on MIHA03/MIHA06.</t>
  </si>
  <si>
    <t>Chest containing Medicine on YAKA25.</t>
  </si>
  <si>
    <t>Chest containing Def. Disk on YAKA25.</t>
  </si>
  <si>
    <t>Chest containing Protection on YAKA25.</t>
  </si>
  <si>
    <t>Chest containing Large MP on YAKA25.</t>
  </si>
  <si>
    <t>Chest containing Omni Disk on YAKA12.</t>
  </si>
  <si>
    <t>Chest containing Auto Pilot on YAKA12.</t>
  </si>
  <si>
    <t>Chest containing Medium MP on MAYO10.</t>
  </si>
  <si>
    <t>Chest containing Ray Gun on MGEN11.</t>
  </si>
  <si>
    <t>Restocked if Back Dimension is in Ogre Fortress</t>
  </si>
  <si>
    <t>Chest containing Quick Chip on MGEN12.</t>
  </si>
  <si>
    <t>Chest containing MP Chip on MGEN12.</t>
  </si>
  <si>
    <t>Chest containing Def. Chip on MGEN12.</t>
  </si>
  <si>
    <t>Chest containing Brain Chip on MGEN12.</t>
  </si>
  <si>
    <t>Chest containing Off. Chip on MGEN13.</t>
  </si>
  <si>
    <t>Chest containing HP Chip on MGEN13.</t>
  </si>
  <si>
    <t>Chest containing Def. Chip on FACT10.</t>
  </si>
  <si>
    <t>Chest containing Auto Pilot on FACT10.</t>
  </si>
  <si>
    <t>Chest containing Brain Chip on FACT10.</t>
  </si>
  <si>
    <t>Default List</t>
  </si>
  <si>
    <t>2nd List</t>
  </si>
  <si>
    <t>2nd List (can't buy item #3)</t>
  </si>
  <si>
    <t>2nd List (Greymon)</t>
  </si>
  <si>
    <t>2nd List (Greymon, can't buy item #3)</t>
  </si>
  <si>
    <t>Secret Shop (can't buy 3 and 4)</t>
  </si>
  <si>
    <t>Secret Shop (can't buy item #4)</t>
  </si>
  <si>
    <t>Shogun+Grey (10 Items) (2 Stack)</t>
  </si>
  <si>
    <t>Shogun (10 Items) (2 Stack)</t>
  </si>
  <si>
    <t>Shogun+Grey (10 Items) (4 Stack)</t>
  </si>
  <si>
    <t>Shogun (10 Items) (4 Stack)</t>
  </si>
  <si>
    <t>Regular</t>
  </si>
  <si>
    <t>Glitched</t>
  </si>
  <si>
    <t>Sm.Recovery</t>
  </si>
  <si>
    <t>Auto Pilot</t>
  </si>
  <si>
    <t>Sweet Nut</t>
  </si>
  <si>
    <t>Sirloin</t>
  </si>
  <si>
    <t>Digisnapper</t>
  </si>
  <si>
    <t>Meat</t>
  </si>
  <si>
    <t>Rest pillow</t>
  </si>
  <si>
    <t>Black Wing</t>
  </si>
  <si>
    <t>Noble Mane</t>
  </si>
  <si>
    <t>Fireball</t>
  </si>
  <si>
    <t>Coral charm</t>
  </si>
  <si>
    <t>MP Floppy</t>
  </si>
  <si>
    <t>Pricklypear</t>
  </si>
  <si>
    <t>Mp Floppy</t>
  </si>
  <si>
    <t>Gold banana</t>
  </si>
  <si>
    <t>Sup.restore</t>
  </si>
  <si>
    <t>lrg.recovery</t>
  </si>
  <si>
    <t>Metal part</t>
  </si>
  <si>
    <t>Red Shell</t>
  </si>
  <si>
    <t>Various</t>
  </si>
  <si>
    <t>Giga Hand</t>
  </si>
  <si>
    <t>AS Decoder</t>
  </si>
  <si>
    <t>Enemy repel</t>
  </si>
  <si>
    <t>Port.Potty</t>
  </si>
  <si>
    <t>Unihorn</t>
  </si>
  <si>
    <t>Black trout</t>
  </si>
  <si>
    <t>Hair grower</t>
  </si>
  <si>
    <t>sup.recovery</t>
  </si>
  <si>
    <t>Supercarrot</t>
  </si>
  <si>
    <t>Mysty Egg</t>
  </si>
  <si>
    <t>Mono Stone</t>
  </si>
  <si>
    <t>Metal armor</t>
  </si>
  <si>
    <t>Metalbanana</t>
  </si>
  <si>
    <t>X Bandage</t>
  </si>
  <si>
    <t>Def.Disk</t>
  </si>
  <si>
    <t>Amazing rod</t>
  </si>
  <si>
    <t>DigiTrout</t>
  </si>
  <si>
    <t>Electo ring</t>
  </si>
  <si>
    <t>Protection</t>
  </si>
  <si>
    <t>Enemy bell</t>
  </si>
  <si>
    <t>Grey Claws</t>
  </si>
  <si>
    <t>S.Def.Disk</t>
  </si>
  <si>
    <t>Double flop</t>
  </si>
  <si>
    <t>MP Chip</t>
  </si>
  <si>
    <t>White Wing</t>
  </si>
  <si>
    <t>Muscle Yam</t>
  </si>
  <si>
    <t>Chain melon</t>
  </si>
  <si>
    <t>Scissor jaw</t>
  </si>
  <si>
    <t>S.speed.disk</t>
  </si>
  <si>
    <t>Def.Chip</t>
  </si>
  <si>
    <t>Flamingwing</t>
  </si>
  <si>
    <t>Red Berry</t>
  </si>
  <si>
    <t>Brain Chip</t>
  </si>
  <si>
    <t>Bandage</t>
  </si>
  <si>
    <t>Waterbottle</t>
  </si>
  <si>
    <t>Digianchovy</t>
  </si>
  <si>
    <t>Steel drill</t>
  </si>
  <si>
    <t>sm.recovery</t>
  </si>
  <si>
    <t>Omni Disk</t>
  </si>
  <si>
    <t>Health shoe</t>
  </si>
  <si>
    <t>Steak</t>
  </si>
  <si>
    <t>Power Fruit</t>
  </si>
  <si>
    <t>Moon mirror</t>
  </si>
  <si>
    <t>Speed Leaf</t>
  </si>
  <si>
    <t>Digimushrm</t>
  </si>
  <si>
    <t>Quick Chip</t>
  </si>
  <si>
    <t>Giant Meat</t>
  </si>
  <si>
    <t>Blue Apple</t>
  </si>
  <si>
    <t>Medium MP</t>
  </si>
  <si>
    <t>Def. Disk</t>
  </si>
  <si>
    <t>Rooster</t>
  </si>
  <si>
    <t>Hard Scale</t>
  </si>
  <si>
    <t>old fishrod</t>
  </si>
  <si>
    <t>Fertilizer</t>
  </si>
  <si>
    <t>Spiny green</t>
  </si>
  <si>
    <t>Moldy Meat</t>
  </si>
  <si>
    <t>med.recovery</t>
  </si>
  <si>
    <t>Calm berry</t>
  </si>
  <si>
    <t>Bluecrystal</t>
  </si>
  <si>
    <t>Flamingmane</t>
  </si>
  <si>
    <t>Steel Drill</t>
  </si>
  <si>
    <t>Rainbowhorn</t>
  </si>
  <si>
    <t>Mega Hand</t>
  </si>
  <si>
    <t>Medicine</t>
  </si>
  <si>
    <t>Orange bana</t>
  </si>
  <si>
    <t>DV Chip A</t>
  </si>
  <si>
    <t>North Star</t>
  </si>
  <si>
    <t>Ice Crystal</t>
  </si>
  <si>
    <t>Sunglasses</t>
  </si>
  <si>
    <t>Fatal Bone</t>
  </si>
  <si>
    <t>Metal Armor</t>
  </si>
  <si>
    <t>S.Off.disk</t>
  </si>
  <si>
    <t>Ray Gun</t>
  </si>
  <si>
    <t>Beetlepearl</t>
  </si>
  <si>
    <t>Old Fishrod</t>
  </si>
  <si>
    <t>Gear</t>
  </si>
  <si>
    <t>Electo Ring</t>
  </si>
  <si>
    <t>Leomonstone</t>
  </si>
  <si>
    <t>Item in Slot 9</t>
  </si>
  <si>
    <t>Address 1</t>
  </si>
  <si>
    <t>Address 2</t>
  </si>
  <si>
    <t>Address 3</t>
  </si>
  <si>
    <t>Effect</t>
  </si>
  <si>
    <t>Closes the shop and enables multi glitch shop</t>
  </si>
  <si>
    <t>Prevents invisible sell pointer from happening once</t>
  </si>
  <si>
    <t>??? Rolled on any shoping window</t>
  </si>
  <si>
    <t>??? Also rolled on keeping the technique menu open</t>
  </si>
  <si>
    <t>Buffer?</t>
  </si>
  <si>
    <t>Overwrites current map enemy #8 data</t>
  </si>
  <si>
    <t>Overwrites current map enemy #7 data</t>
  </si>
  <si>
    <t>Overwrites current map enemy #6 data</t>
  </si>
  <si>
    <t>Overwrites current map enemy #5 data</t>
  </si>
  <si>
    <t>Overwrites current map enemy #4 data</t>
  </si>
  <si>
    <t>Overwrites current map enemy #3 data</t>
  </si>
  <si>
    <t>Flatten enemy #3</t>
  </si>
  <si>
    <t>Overwrites current map enemy #2 data</t>
  </si>
  <si>
    <t>Overwrites current map enemy #1 data</t>
  </si>
  <si>
    <t>Overwrites amount of lifes</t>
  </si>
  <si>
    <t>Overwrites Partner Digimon name</t>
  </si>
  <si>
    <t>Learn Earth, Battle and Filth techniques</t>
  </si>
  <si>
    <t>Learn Fire, Air and Ice techniques</t>
  </si>
  <si>
    <t>Overwrites last technique used</t>
  </si>
  <si>
    <t>Max current HP, lowers current MP</t>
  </si>
  <si>
    <t>Max HP, lowers MP</t>
  </si>
  <si>
    <t>Overwrites all three equipped techniques</t>
  </si>
  <si>
    <t>Max Speed, lowers Brains</t>
  </si>
  <si>
    <t>Gives you the ability to always use your finisher as long as you don't gain more speed</t>
  </si>
  <si>
    <t>Max Offense, lowers Defense</t>
  </si>
  <si>
    <t>Maxes out finisher damage</t>
  </si>
  <si>
    <t>Flattens Partner Digimon</t>
  </si>
  <si>
    <t>Removes your hitbox if BAD17C is exactly 0</t>
  </si>
  <si>
    <t>Changes Partner Digimon animation state</t>
  </si>
  <si>
    <t>Stops Digimon animation if exactly 0</t>
  </si>
  <si>
    <t>Corrupts Happiness/Discipline bar</t>
  </si>
  <si>
    <t>Corrupts partner Digimon idle animation</t>
  </si>
  <si>
    <t>Changes partner Digimons Y-Axis location</t>
  </si>
  <si>
    <t>Changes partner Digimons Z-Axis location</t>
  </si>
  <si>
    <t>Changes partner Digimons X-Axis location</t>
  </si>
  <si>
    <t>Teleports the partner Digimon way off screen</t>
  </si>
  <si>
    <t>Corrupts partner Digimon</t>
  </si>
  <si>
    <t>Corrupts partner Digimon (crashes, even on epsxe)</t>
  </si>
  <si>
    <t>Overwrites partner Digimon type</t>
  </si>
  <si>
    <t>Makes the new Digimon normal on save and reload</t>
  </si>
  <si>
    <t>Overwrites tamer level and amount of Digimon raised</t>
  </si>
  <si>
    <t>Corrupts Hiros character model</t>
  </si>
  <si>
    <t>Corrupts Digimon Status menu</t>
  </si>
  <si>
    <t>BAD126</t>
  </si>
  <si>
    <t>Changes Hiros Y-Axis location (crashes)</t>
  </si>
  <si>
    <t>Type</t>
  </si>
  <si>
    <t>Description</t>
  </si>
  <si>
    <t>Can be used to do what</t>
  </si>
  <si>
    <t>A609B0</t>
  </si>
  <si>
    <t>4 Bytes</t>
  </si>
  <si>
    <t>Current RNG</t>
  </si>
  <si>
    <t>Manip early game without wasting any time</t>
  </si>
  <si>
    <t>B8C5F9</t>
  </si>
  <si>
    <t>Binary:1 -&gt; 1</t>
  </si>
  <si>
    <t>Takes item</t>
  </si>
  <si>
    <t>Can be pre-set to feed an item without any catch ups</t>
  </si>
  <si>
    <t>B8C7F0</t>
  </si>
  <si>
    <t>2 Bytes</t>
  </si>
  <si>
    <t>Evolution Trigger</t>
  </si>
  <si>
    <t>Digivolve to the desired Digimon after leaving Jijimon's house</t>
  </si>
  <si>
    <t>B8C7F2</t>
  </si>
  <si>
    <t>1 Byte</t>
  </si>
  <si>
    <t>Evolution Type</t>
  </si>
  <si>
    <t>Disables evolution stat changes if evolved via item before</t>
  </si>
  <si>
    <t>B8FE1A</t>
  </si>
  <si>
    <t>Unknown</t>
  </si>
  <si>
    <t>B8FE1C</t>
  </si>
  <si>
    <t>B8FE24</t>
  </si>
  <si>
    <t>When 60, increases tiredness</t>
  </si>
  <si>
    <t>B8FE2E</t>
  </si>
  <si>
    <t>B8FE32</t>
  </si>
  <si>
    <t>Sickness Chance</t>
  </si>
  <si>
    <t>B8FE40</t>
  </si>
  <si>
    <t>Starvation Timer</t>
  </si>
  <si>
    <t>B8FE44</t>
  </si>
  <si>
    <t>B8FE46</t>
  </si>
  <si>
    <t>B8FE4A</t>
  </si>
  <si>
    <t>Age</t>
  </si>
  <si>
    <t>B8FE58</t>
  </si>
  <si>
    <t>B8FE5A</t>
  </si>
  <si>
    <t>B8FE5C</t>
  </si>
  <si>
    <t>B8FE5E</t>
  </si>
  <si>
    <t>Fish caught</t>
  </si>
  <si>
    <t>Get the fishing medal after leaving Jijimon's house</t>
  </si>
  <si>
    <t>B8FE60</t>
  </si>
  <si>
    <t>B8FE62</t>
  </si>
  <si>
    <t>B8FE64</t>
  </si>
  <si>
    <t>B8FE66</t>
  </si>
  <si>
    <t>Upgrade Counter HP</t>
  </si>
  <si>
    <t>Boosts gym training by 20% for HP</t>
  </si>
  <si>
    <t>B8FE68</t>
  </si>
  <si>
    <t>Upgrade Counter MP</t>
  </si>
  <si>
    <t>Boosts gym training by 20% for MP and Brains</t>
  </si>
  <si>
    <t>B8FE6A</t>
  </si>
  <si>
    <t>Upgrade Counter Offense</t>
  </si>
  <si>
    <t>Boosts gym training by 20% for Offense</t>
  </si>
  <si>
    <t>B8FE6C</t>
  </si>
  <si>
    <t>Upgrade Counter Brains (Bugged)</t>
  </si>
  <si>
    <t>B8FE6E</t>
  </si>
  <si>
    <t>Upgrade Counter Defense</t>
  </si>
  <si>
    <t>Boosts gym training by 20% for Defense</t>
  </si>
  <si>
    <t>B8FE70</t>
  </si>
  <si>
    <t>Upgrade Counter Speed</t>
  </si>
  <si>
    <t>Boosts gym training by 20% for Speed</t>
  </si>
  <si>
    <t>B8FE72</t>
  </si>
  <si>
    <t>Upgrade Counter Brains (Unused)</t>
  </si>
  <si>
    <t>B8FE74</t>
  </si>
  <si>
    <t>B8FE76</t>
  </si>
  <si>
    <t>Sukamon Backup HP</t>
  </si>
  <si>
    <t>B8FE78</t>
  </si>
  <si>
    <t>Sukamon Backup MP</t>
  </si>
  <si>
    <t>B8FE7A</t>
  </si>
  <si>
    <t>Sukamon Backup Offense</t>
  </si>
  <si>
    <t>B8FE7C</t>
  </si>
  <si>
    <t>Sukamon Backup Defense</t>
  </si>
  <si>
    <t>B8FE7E</t>
  </si>
  <si>
    <t>Sukamon Backup Speed</t>
  </si>
  <si>
    <t>B8FE80</t>
  </si>
  <si>
    <t>Sukamon Backup Brains</t>
  </si>
  <si>
    <t>B8FE82</t>
  </si>
  <si>
    <t>B8FE84</t>
  </si>
  <si>
    <t>B8FE88</t>
  </si>
  <si>
    <t>B8FE8C</t>
  </si>
  <si>
    <t>B94FFB</t>
  </si>
  <si>
    <t>Finisher Progress</t>
  </si>
  <si>
    <t>BAC93A</t>
  </si>
  <si>
    <t>Evolution Target ID</t>
  </si>
  <si>
    <t>Address #1</t>
  </si>
  <si>
    <t>Address #2</t>
  </si>
  <si>
    <t>Address #3</t>
  </si>
  <si>
    <t>Setup #1</t>
  </si>
  <si>
    <t>Setup #2</t>
  </si>
  <si>
    <t>Setup #3</t>
  </si>
  <si>
    <t>Setup #4</t>
  </si>
  <si>
    <t>Setup #5</t>
  </si>
  <si>
    <t>Setup #6</t>
  </si>
  <si>
    <t>Setup #7</t>
  </si>
  <si>
    <t>Setup #8</t>
  </si>
  <si>
    <t>Setup #9</t>
  </si>
  <si>
    <t>BAD4C0</t>
  </si>
  <si>
    <t>Can lock on Buy</t>
  </si>
  <si>
    <t>Softlock on Buy</t>
  </si>
  <si>
    <t>Partner Name (Bank)</t>
  </si>
  <si>
    <t>Techniques (Bank)</t>
  </si>
  <si>
    <t>Max HP (Bank)</t>
  </si>
  <si>
    <t>Offense (Bank)</t>
  </si>
  <si>
    <t>Partner Name</t>
  </si>
  <si>
    <t>Techniques</t>
  </si>
  <si>
    <t>BAD190</t>
  </si>
  <si>
    <t>Max HP</t>
  </si>
  <si>
    <t>Offense</t>
  </si>
  <si>
    <t>Partner Position</t>
  </si>
  <si>
    <t>Currupts Partner</t>
  </si>
  <si>
    <t>Unloads Hiro</t>
  </si>
  <si>
    <t>Autoclose on Buy</t>
  </si>
  <si>
    <t>BAD4F0</t>
  </si>
  <si>
    <t>Position</t>
  </si>
  <si>
    <t>MapID</t>
  </si>
  <si>
    <t>ExitID</t>
  </si>
  <si>
    <t>B87E9C</t>
  </si>
  <si>
    <t>Name</t>
  </si>
  <si>
    <t>Name Color</t>
  </si>
  <si>
    <t>Description (△)</t>
  </si>
  <si>
    <t>Icon</t>
  </si>
  <si>
    <t>Icon changes</t>
  </si>
  <si>
    <t>Feed Effect</t>
  </si>
  <si>
    <t>Throw Effect</t>
  </si>
  <si>
    <t>Droppable</t>
  </si>
  <si>
    <t>Price</t>
  </si>
  <si>
    <t>Sells for (Bits)</t>
  </si>
  <si>
    <t>Comments</t>
  </si>
  <si>
    <t>△△△R△△R△</t>
  </si>
  <si>
    <t>(Empty)</t>
  </si>
  <si>
    <t>Silvery Metal Texture</t>
  </si>
  <si>
    <t>Cannot be fed!</t>
  </si>
  <si>
    <t>Unthrowable</t>
  </si>
  <si>
    <t>No</t>
  </si>
  <si>
    <t>pS△△S△△S△</t>
  </si>
  <si>
    <t>△△△△△△△△△h5△△△△△△△△△△</t>
  </si>
  <si>
    <t>Vaccine Pill/Virus Head in grey/beige</t>
  </si>
  <si>
    <t>Looking at the description crashes</t>
  </si>
  <si>
    <t>HT△△T△△T</t>
  </si>
  <si>
    <t>Fire Icon, very red</t>
  </si>
  <si>
    <t>0U△△U△△U△</t>
  </si>
  <si>
    <t>Dark Green-Gray</t>
  </si>
  <si>
    <t>s</t>
  </si>
  <si>
    <t>△V△△V△△V</t>
  </si>
  <si>
    <t>Black, Greenish</t>
  </si>
  <si>
    <t>△△△V△△V△</t>
  </si>
  <si>
    <t>Dark Green with slightly lighter spots</t>
  </si>
  <si>
    <t>xW△△W△△W△</t>
  </si>
  <si>
    <t>Red</t>
  </si>
  <si>
    <t>△△△△△?△△△:△△△'R△△△△△:△</t>
  </si>
  <si>
    <t>White with Yellow/Black stripes</t>
  </si>
  <si>
    <t>△X△△X△△X</t>
  </si>
  <si>
    <t>Dark Red</t>
  </si>
  <si>
    <t>△△△△△!△</t>
  </si>
  <si>
    <t>Green with black "skulls"</t>
  </si>
  <si>
    <t>△△△W△△Y△</t>
  </si>
  <si>
    <t>Purple</t>
  </si>
  <si>
    <t>△</t>
  </si>
  <si>
    <t>Black Greenish with slightly lighter area</t>
  </si>
  <si>
    <t>△△△Y△△Y△</t>
  </si>
  <si>
    <t>Dark Cyan</t>
  </si>
  <si>
    <t>Black Torn Tatter</t>
  </si>
  <si>
    <t>pZ△△Z△△Z△</t>
  </si>
  <si>
    <t>White+Grey/Brown</t>
  </si>
  <si>
    <t>△△△△△△△△</t>
  </si>
  <si>
    <t>Dark Green with slightly lighter poop</t>
  </si>
  <si>
    <t>△△△\△△\△△</t>
  </si>
  <si>
    <t>Grey</t>
  </si>
  <si>
    <t>Black Poop on Orange background</t>
  </si>
  <si>
    <t>Very Light Blue</t>
  </si>
  <si>
    <t>Sun with yellow background, Blue elements</t>
  </si>
  <si>
    <t>None</t>
  </si>
  <si>
    <t>"FIRE" on gray and green background</t>
  </si>
  <si>
    <t>?</t>
  </si>
  <si>
    <t>"ARTH" on redish gray background</t>
  </si>
  <si>
    <t>△△△D△△D△</t>
  </si>
  <si>
    <t>Dark Blue</t>
  </si>
  <si>
    <t>Gray shapes on blue gray background</t>
  </si>
  <si>
    <t>|9△△9△△9△△</t>
  </si>
  <si>
    <t>Dark red</t>
  </si>
  <si>
    <t>Orange "L" shape on red background</t>
  </si>
  <si>
    <t>△8△△8△△8△</t>
  </si>
  <si>
    <t>Grayish purple</t>
  </si>
  <si>
    <t>Light textured dark gray square</t>
  </si>
  <si>
    <t>"U PRI" "D LIV" on variable background</t>
  </si>
  <si>
    <t>Yes</t>
  </si>
  <si>
    <t>Light blue square</t>
  </si>
  <si>
    <t>Gray</t>
  </si>
  <si>
    <t>"ME P" "ANG" on variable background</t>
  </si>
  <si>
    <t>△OUNDS/SS</t>
  </si>
  <si>
    <t>"ME ERT" und dark background</t>
  </si>
  <si>
    <t>△△△△△</t>
  </si>
  <si>
    <t>"NU" "YPE" on dark background</t>
  </si>
  <si>
    <t>△△</t>
  </si>
  <si>
    <t>Black</t>
  </si>
  <si>
    <t>Glitched dark fishing rod</t>
  </si>
  <si>
    <t>Greenish gray</t>
  </si>
  <si>
    <t>Glitched fishing rod</t>
  </si>
  <si>
    <t>Makes some text blue</t>
  </si>
  <si>
    <t>Green</t>
  </si>
  <si>
    <t>Light blue and black mangle</t>
  </si>
  <si>
    <t>Dark gray or black square</t>
  </si>
  <si>
    <t>!△△△△△'△△</t>
  </si>
  <si>
    <t>Dark Gray</t>
  </si>
  <si>
    <t>"SPEC" on gray background</t>
  </si>
  <si>
    <t>Cannot be sold!</t>
  </si>
  <si>
    <t>L△△△△L</t>
  </si>
  <si>
    <t>Light blue "TECH" "SP" on dark background</t>
  </si>
  <si>
    <t>△8</t>
  </si>
  <si>
    <t>Grayish Purple</t>
  </si>
  <si>
    <t>Orange and yellow "DAT" "ECIAL"</t>
  </si>
  <si>
    <t>△△△</t>
  </si>
  <si>
    <t>"A PL" "ACT" on gray background</t>
  </si>
  <si>
    <t>"ACE VE" on gray background</t>
  </si>
  <si>
    <t>Dark with light blue "POIN" text</t>
  </si>
  <si>
    <t>Pink</t>
  </si>
  <si>
    <t>Orange with "T COU" readable</t>
  </si>
  <si>
    <t>Red square</t>
  </si>
  <si>
    <t>Dark gray square</t>
  </si>
  <si>
    <t>"AINS" on a red background</t>
  </si>
  <si>
    <t>△ '△t△△4△△</t>
  </si>
  <si>
    <t>Teal</t>
  </si>
  <si>
    <t>Glitches the item list</t>
  </si>
  <si>
    <t>△\</t>
  </si>
  <si>
    <t>△△△△△r△f△</t>
  </si>
  <si>
    <t>"AME" flashing on dark gray background</t>
  </si>
  <si>
    <t>Makes some text yellow</t>
  </si>
  <si>
    <t>△△L</t>
  </si>
  <si>
    <t>Letters on striped yellow/orange background</t>
  </si>
  <si>
    <t>△△△△k△△△△</t>
  </si>
  <si>
    <t>Flashing lines on flashing gray background</t>
  </si>
  <si>
    <t>Makes some text black</t>
  </si>
  <si>
    <t>△△e△d△△</t>
  </si>
  <si>
    <t>△△△△△X△△</t>
  </si>
  <si>
    <t>Black to gray flashing animation</t>
  </si>
  <si>
    <t>Green square</t>
  </si>
  <si>
    <t>Pink square</t>
  </si>
  <si>
    <t>△△△△X△j△△</t>
  </si>
  <si>
    <t>Light gray to gray flashing square w. stains</t>
  </si>
  <si>
    <t>Dark gray square with flashing line</t>
  </si>
  <si>
    <t>Yellow</t>
  </si>
  <si>
    <t>Green and light green square with angry face</t>
  </si>
  <si>
    <t>White and pink square with an angry face</t>
  </si>
  <si>
    <t>Dark gray square with 3 green lines</t>
  </si>
  <si>
    <t>Dark gray</t>
  </si>
  <si>
    <t>△△ △4△G△△</t>
  </si>
  <si>
    <t>M△b△v△△△△</t>
  </si>
  <si>
    <t>Grayish pink</t>
  </si>
  <si>
    <t>Dark blue</t>
  </si>
  <si>
    <t>△△△7△N△e</t>
  </si>
  <si>
    <t>Grayish green</t>
  </si>
  <si>
    <t>△△3△M△g△△</t>
  </si>
  <si>
    <t>Light Blue</t>
  </si>
  <si>
    <t>Black with some slightly less black spots</t>
  </si>
  <si>
    <t>Hardlock</t>
  </si>
  <si>
    <t>Light blue</t>
  </si>
  <si>
    <t>Light blue square with dark cracks</t>
  </si>
  <si>
    <t>blue "MP ERTY" on dark background</t>
  </si>
  <si>
    <t>"DAT POW" on flashing background</t>
  </si>
  <si>
    <t>△3:,△△△△△:C</t>
  </si>
  <si>
    <t>Orange Gameboy</t>
  </si>
  <si>
    <t>Dark, sometimes "NT" is readable</t>
  </si>
  <si>
    <t>Gray text "NAN AGE" on darker gray</t>
  </si>
  <si>
    <t>Light blue + dark "ME D" and a Heart</t>
  </si>
  <si>
    <t>△△△△△△</t>
  </si>
  <si>
    <t>Brown Text "IGI" with orange parts below</t>
  </si>
  <si>
    <t>Text "GHT" with yellow parts below</t>
  </si>
  <si>
    <t>Flashing textues on gray square</t>
  </si>
  <si>
    <t>Blood Red with some lighter red text below</t>
  </si>
  <si>
    <t>Small flashing "cee" on gray background</t>
  </si>
  <si>
    <t>1.5 Card Icons in yellow, gray parts below</t>
  </si>
  <si>
    <t>△△0</t>
  </si>
  <si>
    <t>Cursive huge 0 on gray background</t>
  </si>
  <si>
    <t>Some grey lines and a lot of yellow</t>
  </si>
  <si>
    <t>Flashing curved lines on gray square</t>
  </si>
  <si>
    <t>Poop on textured red background</t>
  </si>
  <si>
    <t>Flashing letters &amp; numbers on gray square</t>
  </si>
  <si>
    <t>Dark gray stripe on gray background</t>
  </si>
  <si>
    <t>Flashing "V" shape on gray background</t>
  </si>
  <si>
    <t>Two strange halfed balls on red background</t>
  </si>
  <si>
    <t>"EED" on red background</t>
  </si>
  <si>
    <t>"AON" on yellow / orange background</t>
  </si>
  <si>
    <t>Gray square with very big letters</t>
  </si>
  <si>
    <t>Flashing cut off circle with dot</t>
  </si>
  <si>
    <t>Orange texture on red background</t>
  </si>
  <si>
    <t>"BRA" on a dark gray background</t>
  </si>
  <si>
    <t>△△△△△△△8△</t>
  </si>
  <si>
    <t>Blue</t>
  </si>
  <si>
    <t>Makes some text light red</t>
  </si>
  <si>
    <t>△U△4△-△△△</t>
  </si>
  <si>
    <t>Black to transparent flashing animation</t>
  </si>
  <si>
    <t>Dark, sometimes "WE" is readable</t>
  </si>
  <si>
    <t>Softlocks on opening inventory, disables inventory in battle, softlocks on battle death, sets bits to 0</t>
  </si>
  <si>
    <t>None?</t>
  </si>
  <si>
    <t>Light textured gray square or transparent</t>
  </si>
  <si>
    <t>Flashing "SP" on gray background</t>
  </si>
  <si>
    <t>Face with sunglasses on green background</t>
  </si>
  <si>
    <t>Round shape on pink background</t>
  </si>
  <si>
    <t>Blue/white gltiched chip</t>
  </si>
  <si>
    <t>"0 0" on top, 105 below on gray background</t>
  </si>
  <si>
    <t>1.5 Card Icons in orange, orange parts below</t>
  </si>
  <si>
    <t>"CO" on gray background or transparent</t>
  </si>
  <si>
    <t>Soundfont ID</t>
  </si>
  <si>
    <t>Song #1</t>
  </si>
  <si>
    <t>Song #2</t>
  </si>
  <si>
    <t>Song #3</t>
  </si>
  <si>
    <t>Song #4</t>
  </si>
  <si>
    <t>Song #5</t>
  </si>
  <si>
    <t>Start</t>
  </si>
  <si>
    <t>Forest</t>
  </si>
  <si>
    <t>Forest (day)</t>
  </si>
  <si>
    <t>Forest (night)</t>
  </si>
  <si>
    <t>Tropical Jungle</t>
  </si>
  <si>
    <t>Jungle (day)</t>
  </si>
  <si>
    <t>Jungle (night)</t>
  </si>
  <si>
    <t>Mt. Panorama</t>
  </si>
  <si>
    <t>Panorama (day)</t>
  </si>
  <si>
    <t>Panorama (night)</t>
  </si>
  <si>
    <t>Addresses</t>
  </si>
  <si>
    <t>Drill Tunnel / Ogre</t>
  </si>
  <si>
    <t>Drill Tunnel</t>
  </si>
  <si>
    <t>Ogremon Theme</t>
  </si>
  <si>
    <t>Cemetary</t>
  </si>
  <si>
    <t>Overdell</t>
  </si>
  <si>
    <t>Soundfont</t>
  </si>
  <si>
    <t xml:space="preserve">B8C736 </t>
  </si>
  <si>
    <t>Defines how instruments sound</t>
  </si>
  <si>
    <t>Canyon</t>
  </si>
  <si>
    <t>Canyon (day)</t>
  </si>
  <si>
    <t>Canyon (night)</t>
  </si>
  <si>
    <t>Song number</t>
  </si>
  <si>
    <t>B9C768</t>
  </si>
  <si>
    <t>Song number in order</t>
  </si>
  <si>
    <t>Monochromon</t>
  </si>
  <si>
    <t>Monochrome Shop</t>
  </si>
  <si>
    <t>Song Start</t>
  </si>
  <si>
    <t>B9FE6C</t>
  </si>
  <si>
    <t>Points to the first note</t>
  </si>
  <si>
    <t>Ogre Fortress</t>
  </si>
  <si>
    <t>Current note</t>
  </si>
  <si>
    <t>B9FE64</t>
  </si>
  <si>
    <t>Currently played note</t>
  </si>
  <si>
    <t>Lava Cave</t>
  </si>
  <si>
    <t>Note delay</t>
  </si>
  <si>
    <t>B9FEF4</t>
  </si>
  <si>
    <t>Time to next note</t>
  </si>
  <si>
    <t>Grey Lord's</t>
  </si>
  <si>
    <t>Mansion</t>
  </si>
  <si>
    <t>Secret Lab</t>
  </si>
  <si>
    <t>Volume (left)</t>
  </si>
  <si>
    <t>B9FEBC</t>
  </si>
  <si>
    <t>Default = 80</t>
  </si>
  <si>
    <t>Gear Savanna</t>
  </si>
  <si>
    <t>Savanna (day)</t>
  </si>
  <si>
    <t>Savanna (night)</t>
  </si>
  <si>
    <t>Leomon's theme</t>
  </si>
  <si>
    <t>Volume (right)</t>
  </si>
  <si>
    <t>B9FEBE</t>
  </si>
  <si>
    <t>Amida Forest</t>
  </si>
  <si>
    <t>Amida (day)</t>
  </si>
  <si>
    <t>Amida (night)</t>
  </si>
  <si>
    <t>Music speed</t>
  </si>
  <si>
    <t>B9FEB8</t>
  </si>
  <si>
    <t>Usually between 14 - 63</t>
  </si>
  <si>
    <t>A. Speedy Region</t>
  </si>
  <si>
    <t>Speedy (day)</t>
  </si>
  <si>
    <t>Speedy (night)</t>
  </si>
  <si>
    <t>Instruments</t>
  </si>
  <si>
    <t>B9FE9C</t>
  </si>
  <si>
    <t>Byte Array (15)</t>
  </si>
  <si>
    <t>Default instrument = index</t>
  </si>
  <si>
    <t>A. Dino Region</t>
  </si>
  <si>
    <t>Dino (day)</t>
  </si>
  <si>
    <t>Dino (night)</t>
  </si>
  <si>
    <t>Giromon Song</t>
  </si>
  <si>
    <t>C15ACA</t>
  </si>
  <si>
    <t>Changes song in Jukebox mode</t>
  </si>
  <si>
    <t>Freezeland</t>
  </si>
  <si>
    <t>Freezeland (day)</t>
  </si>
  <si>
    <t>Freezeland (night)</t>
  </si>
  <si>
    <t>Igloo</t>
  </si>
  <si>
    <t xml:space="preserve">Penguinmon
</t>
  </si>
  <si>
    <t>Curling Theme</t>
  </si>
  <si>
    <t xml:space="preserve">Sanctuary Entrance
</t>
  </si>
  <si>
    <t>Ice Sanctuary</t>
  </si>
  <si>
    <t>Sanctuary Below</t>
  </si>
  <si>
    <t>Geko Swamp</t>
  </si>
  <si>
    <t>Swamp (day)</t>
  </si>
  <si>
    <t>Swamp (night)</t>
  </si>
  <si>
    <t>*copy-pasted from #30</t>
  </si>
  <si>
    <t>Misty Trees</t>
  </si>
  <si>
    <t>Misty (day)</t>
  </si>
  <si>
    <t>Misty (night)</t>
  </si>
  <si>
    <t>Toy Town</t>
  </si>
  <si>
    <t>Evil Toy Town (day)</t>
  </si>
  <si>
    <t>Good Toy Town</t>
  </si>
  <si>
    <t>Factorial Town</t>
  </si>
  <si>
    <t>Factory (day)</t>
  </si>
  <si>
    <t>Factory (night)</t>
  </si>
  <si>
    <t>Sewer</t>
  </si>
  <si>
    <t>Trash Mountain</t>
  </si>
  <si>
    <t>Sukamon (day)</t>
  </si>
  <si>
    <t>Sukamon (night)</t>
  </si>
  <si>
    <t>Beetle Land</t>
  </si>
  <si>
    <t>Beetle Land (day)</t>
  </si>
  <si>
    <t>Beetle Land (night)</t>
  </si>
  <si>
    <t>S. Beach Cave</t>
  </si>
  <si>
    <t>Mt. Infinity</t>
  </si>
  <si>
    <t>Boss Room</t>
  </si>
  <si>
    <t>File City</t>
  </si>
  <si>
    <t>File City (day)</t>
  </si>
  <si>
    <t>File City (night)</t>
  </si>
  <si>
    <t>Arena Misc.</t>
  </si>
  <si>
    <t>Arena Opening</t>
  </si>
  <si>
    <t>Arena Progress</t>
  </si>
  <si>
    <t>Win Cup</t>
  </si>
  <si>
    <t>Arena Battles</t>
  </si>
  <si>
    <t>Partner Entrance</t>
  </si>
  <si>
    <t>Enemy Entrance</t>
  </si>
  <si>
    <t>Arena Battle</t>
  </si>
  <si>
    <t>Partner win</t>
  </si>
  <si>
    <t>Partner lose</t>
  </si>
  <si>
    <t>Boss Remix*</t>
  </si>
  <si>
    <t>Boss Remix</t>
  </si>
  <si>
    <t>Beetle Cup*</t>
  </si>
  <si>
    <t>Beetle Battle</t>
  </si>
  <si>
    <t>Battle Themes</t>
  </si>
  <si>
    <t>Event Battle</t>
  </si>
  <si>
    <t>Hard Battle</t>
  </si>
  <si>
    <t>Normal Battle</t>
  </si>
  <si>
    <t>Machinedramon</t>
  </si>
  <si>
    <t>Default Shop</t>
  </si>
  <si>
    <t>Second Shop</t>
  </si>
  <si>
    <t>Recycle card glitch shop</t>
  </si>
  <si>
    <t>Item</t>
  </si>
  <si>
    <t>Can select</t>
  </si>
  <si>
    <t>AE01C8</t>
  </si>
  <si>
    <t>AD7AC6</t>
  </si>
  <si>
    <t>AE032C</t>
  </si>
  <si>
    <t>No = 0</t>
  </si>
  <si>
    <t>Yes = Not 0</t>
  </si>
  <si>
    <t>AE03CC</t>
  </si>
  <si>
    <t>AD7CCA</t>
  </si>
  <si>
    <t>AE052A</t>
  </si>
  <si>
    <t>Item Name</t>
  </si>
  <si>
    <t>Default</t>
  </si>
  <si>
    <t>ShogunGekomon</t>
  </si>
  <si>
    <t>10 Items</t>
  </si>
  <si>
    <t>20 / 30 Items</t>
  </si>
  <si>
    <t xml:space="preserve"> Greymon  + 10 Items</t>
  </si>
  <si>
    <t xml:space="preserve"> Greymon + 20 / 30 Items</t>
  </si>
  <si>
    <t xml:space="preserve"> Reg. Recycle 10 Items</t>
  </si>
  <si>
    <t>0</t>
  </si>
  <si>
    <t>Y</t>
  </si>
  <si>
    <t>1</t>
  </si>
  <si>
    <t>N</t>
  </si>
  <si>
    <t>Shopkeeps for Shogun Setup</t>
  </si>
  <si>
    <t>2</t>
  </si>
  <si>
    <t>Forced Monochromon (inverted)</t>
  </si>
  <si>
    <t>3</t>
  </si>
  <si>
    <t>Forced Unimon (inverted)</t>
  </si>
  <si>
    <t>4</t>
  </si>
  <si>
    <t>Forced Patamon (inverted)</t>
  </si>
  <si>
    <t>5</t>
  </si>
  <si>
    <t>X1</t>
  </si>
  <si>
    <t>Betamon</t>
  </si>
  <si>
    <t>6</t>
  </si>
  <si>
    <t>Large MP</t>
  </si>
  <si>
    <t>Coelamon</t>
  </si>
  <si>
    <t>7</t>
  </si>
  <si>
    <t>Coelamon + Betamon</t>
  </si>
  <si>
    <t>8</t>
  </si>
  <si>
    <t>Regular item recycle shop</t>
  </si>
  <si>
    <t>9</t>
  </si>
  <si>
    <t>Omnipotent</t>
  </si>
  <si>
    <t>10</t>
  </si>
  <si>
    <t>11</t>
  </si>
  <si>
    <t>Restore</t>
  </si>
  <si>
    <t>Abbreviations</t>
  </si>
  <si>
    <t>12</t>
  </si>
  <si>
    <t>Y = Yes</t>
  </si>
  <si>
    <t>13</t>
  </si>
  <si>
    <t>N = No</t>
  </si>
  <si>
    <t>14</t>
  </si>
  <si>
    <t>? = Unknown (not with reg. stack)</t>
  </si>
  <si>
    <t>15</t>
  </si>
  <si>
    <t>Off. Disk</t>
  </si>
  <si>
    <t>X1 = Requires 1 extra stack</t>
  </si>
  <si>
    <t>16</t>
  </si>
  <si>
    <t>X3 = Requires 3 extra stacks</t>
  </si>
  <si>
    <t>17</t>
  </si>
  <si>
    <t>Hispeed dsk</t>
  </si>
  <si>
    <t>X5 = Requires 5 extra stacks</t>
  </si>
  <si>
    <t>18</t>
  </si>
  <si>
    <t>X7 = Requires 7 extra stacks</t>
  </si>
  <si>
    <t>19</t>
  </si>
  <si>
    <t>X9 = Requires 9 extra stacks</t>
  </si>
  <si>
    <t>20</t>
  </si>
  <si>
    <t>S.Def.disk</t>
  </si>
  <si>
    <t>X? = Exists, but inaccessible</t>
  </si>
  <si>
    <t>21</t>
  </si>
  <si>
    <t>22</t>
  </si>
  <si>
    <t>23</t>
  </si>
  <si>
    <t>Off. Chip</t>
  </si>
  <si>
    <t>24</t>
  </si>
  <si>
    <t>Def. Chip</t>
  </si>
  <si>
    <t>25</t>
  </si>
  <si>
    <t>26</t>
  </si>
  <si>
    <t>27</t>
  </si>
  <si>
    <t>HP Chip</t>
  </si>
  <si>
    <t>28</t>
  </si>
  <si>
    <t>29</t>
  </si>
  <si>
    <t>X?</t>
  </si>
  <si>
    <t>30</t>
  </si>
  <si>
    <t>DV Chip D</t>
  </si>
  <si>
    <t>31</t>
  </si>
  <si>
    <t>DV Chip E</t>
  </si>
  <si>
    <t>32</t>
  </si>
  <si>
    <t>Port. potty</t>
  </si>
  <si>
    <t>33</t>
  </si>
  <si>
    <t>Trn. manual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</si>
  <si>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</si>
  <si>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</si>
  <si>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</si>
  <si>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</si>
  <si>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</si>
  <si>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</si>
  <si>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</si>
  <si>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</si>
  <si>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</si>
  <si>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Hawk radish</t>
  </si>
  <si>
    <t>43</t>
  </si>
  <si>
    <t>44</t>
  </si>
  <si>
    <t>45</t>
  </si>
  <si>
    <t>Ice mushrm</t>
  </si>
  <si>
    <t>46</t>
  </si>
  <si>
    <t>Deluxmushrm</t>
  </si>
  <si>
    <t>47</t>
  </si>
  <si>
    <t>Digipine</t>
  </si>
  <si>
    <t>48</t>
  </si>
  <si>
    <t>Blue apple</t>
  </si>
  <si>
    <t>49</t>
  </si>
  <si>
    <t>50</t>
  </si>
  <si>
    <t>Gold Acorn</t>
  </si>
  <si>
    <t>51</t>
  </si>
  <si>
    <t>Big Berry</t>
  </si>
  <si>
    <t>52</t>
  </si>
  <si>
    <t>53</t>
  </si>
  <si>
    <t>Super veggy</t>
  </si>
  <si>
    <t>54</t>
  </si>
  <si>
    <t>55</t>
  </si>
  <si>
    <t>56</t>
  </si>
  <si>
    <t>Power fruit</t>
  </si>
  <si>
    <t>57</t>
  </si>
  <si>
    <t>Power Ice</t>
  </si>
  <si>
    <t>X9</t>
  </si>
  <si>
    <t>58</t>
  </si>
  <si>
    <t>59</t>
  </si>
  <si>
    <t>Sage Fruit</t>
  </si>
  <si>
    <t>60</t>
  </si>
  <si>
    <t>61</t>
  </si>
  <si>
    <t>62</t>
  </si>
  <si>
    <t>63</t>
  </si>
  <si>
    <t>64</t>
  </si>
  <si>
    <t>65</t>
  </si>
  <si>
    <t>66</t>
  </si>
  <si>
    <t>Digicatfish</t>
  </si>
  <si>
    <t>67</t>
  </si>
  <si>
    <t>Digiseabass</t>
  </si>
  <si>
    <t>68</t>
  </si>
  <si>
    <t>69</t>
  </si>
  <si>
    <t>Happymushrm</t>
  </si>
  <si>
    <t>70</t>
  </si>
  <si>
    <t>71</t>
  </si>
  <si>
    <t>72</t>
  </si>
  <si>
    <t>73</t>
  </si>
  <si>
    <t>74</t>
  </si>
  <si>
    <t>Iron Hoof</t>
  </si>
  <si>
    <t>75</t>
  </si>
  <si>
    <t>76</t>
  </si>
  <si>
    <t>77</t>
  </si>
  <si>
    <t>White Fang</t>
  </si>
  <si>
    <t>78</t>
  </si>
  <si>
    <t>79</t>
  </si>
  <si>
    <t>Spike Club</t>
  </si>
  <si>
    <t>80</t>
  </si>
  <si>
    <t>81</t>
  </si>
  <si>
    <t>82</t>
  </si>
  <si>
    <t>Torn tatter</t>
  </si>
  <si>
    <t>83</t>
  </si>
  <si>
    <t>84</t>
  </si>
  <si>
    <t>85</t>
  </si>
  <si>
    <t>86</t>
  </si>
  <si>
    <t>87</t>
  </si>
  <si>
    <t>Horn helmet</t>
  </si>
  <si>
    <t>88</t>
  </si>
  <si>
    <t>89</t>
  </si>
  <si>
    <t>90</t>
  </si>
  <si>
    <t>Koga laws</t>
  </si>
  <si>
    <t>91</t>
  </si>
  <si>
    <t>92</t>
  </si>
  <si>
    <t>93</t>
  </si>
  <si>
    <t>94</t>
  </si>
  <si>
    <t>95</t>
  </si>
  <si>
    <t>96</t>
  </si>
  <si>
    <t>Ice crystal</t>
  </si>
  <si>
    <t>97</t>
  </si>
  <si>
    <t>98</t>
  </si>
  <si>
    <t>99</t>
  </si>
  <si>
    <t>100</t>
  </si>
  <si>
    <t>101</t>
  </si>
  <si>
    <t>Cyber part</t>
  </si>
  <si>
    <t>102</t>
  </si>
  <si>
    <t>103</t>
  </si>
  <si>
    <t>Silver ball</t>
  </si>
  <si>
    <t>104</t>
  </si>
  <si>
    <t>105</t>
  </si>
  <si>
    <t>Chainsaw</t>
  </si>
  <si>
    <t>106</t>
  </si>
  <si>
    <t>Small spear</t>
  </si>
  <si>
    <t>107</t>
  </si>
  <si>
    <t>108</t>
  </si>
  <si>
    <t>109</t>
  </si>
  <si>
    <t>110</t>
  </si>
  <si>
    <t>111</t>
  </si>
  <si>
    <t>Red Ruby</t>
  </si>
  <si>
    <t>112</t>
  </si>
  <si>
    <t>113</t>
  </si>
  <si>
    <t>114</t>
  </si>
  <si>
    <t>115</t>
  </si>
  <si>
    <t>Blue Flute</t>
  </si>
  <si>
    <t>116</t>
  </si>
  <si>
    <t>117</t>
  </si>
  <si>
    <t>118</t>
  </si>
  <si>
    <t>X5</t>
  </si>
  <si>
    <t>119</t>
  </si>
  <si>
    <t>Mansion key</t>
  </si>
  <si>
    <t>120</t>
  </si>
  <si>
    <t>121</t>
  </si>
  <si>
    <t>Rain Plant</t>
  </si>
  <si>
    <t>122</t>
  </si>
  <si>
    <t>123</t>
  </si>
  <si>
    <t>Frig Key</t>
  </si>
  <si>
    <t>124</t>
  </si>
  <si>
    <t>125</t>
  </si>
  <si>
    <t>126</t>
  </si>
  <si>
    <t>X3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</si>
  <si>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</si>
  <si>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</si>
  <si>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</si>
  <si>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</si>
  <si>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</si>
  <si>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</si>
  <si>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</si>
  <si>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</si>
  <si>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</si>
  <si>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</si>
  <si>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</si>
  <si>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</si>
  <si>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</si>
  <si>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</si>
  <si>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</si>
  <si>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</si>
  <si>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</si>
  <si>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</si>
  <si>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</si>
  <si>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</si>
  <si>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</si>
  <si>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</si>
  <si>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</si>
  <si>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</si>
  <si>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</si>
  <si>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</si>
  <si>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</si>
  <si>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</si>
  <si>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</si>
  <si>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</si>
  <si>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</si>
  <si>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</si>
  <si>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</si>
  <si>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</si>
  <si>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</si>
  <si>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</si>
  <si>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</si>
  <si>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</si>
  <si>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</si>
  <si>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</si>
  <si>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</si>
  <si>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</si>
  <si>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</si>
  <si>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</si>
  <si>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</si>
  <si>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</si>
  <si>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</si>
  <si>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</si>
  <si>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</si>
  <si>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</si>
  <si>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</si>
  <si>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</si>
  <si>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</si>
  <si>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</si>
  <si>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</si>
  <si>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</si>
  <si>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</si>
  <si>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</si>
  <si>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</si>
  <si>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</si>
  <si>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</si>
  <si>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</si>
  <si>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</si>
  <si>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</si>
  <si>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</si>
  <si>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</si>
  <si>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</si>
  <si>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</si>
  <si>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</si>
  <si>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</si>
  <si>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</si>
  <si>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</si>
  <si>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</si>
  <si>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</si>
  <si>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</si>
  <si>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</si>
  <si>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</si>
  <si>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</si>
  <si>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</si>
  <si>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</si>
  <si>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</si>
  <si>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</si>
  <si>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</si>
  <si>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</si>
  <si>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</si>
  <si>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</si>
  <si>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</si>
  <si>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</si>
  <si>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</si>
  <si>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</si>
  <si>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</si>
  <si>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</si>
  <si>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</si>
  <si>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</si>
  <si>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</si>
  <si>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</si>
  <si>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</si>
  <si>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</si>
  <si>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</si>
  <si>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</si>
  <si>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</si>
  <si>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</si>
  <si>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</si>
  <si>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</si>
  <si>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</si>
  <si>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</si>
  <si>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</si>
  <si>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</si>
  <si>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</si>
  <si>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</si>
  <si>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</si>
  <si>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</si>
  <si>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</si>
  <si>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</si>
  <si>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</si>
  <si>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</si>
  <si>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</si>
  <si>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</si>
  <si>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</si>
  <si>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</si>
  <si>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</si>
  <si>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</si>
  <si>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</si>
  <si>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</si>
  <si>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</si>
  <si>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</si>
  <si>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</si>
  <si>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</si>
  <si>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 xml:space="preserve">Amount of times talked
</t>
  </si>
  <si>
    <t>Setup Value</t>
  </si>
  <si>
    <t xml:space="preserve">Card Pointer
</t>
  </si>
  <si>
    <t>Buy Pointer</t>
  </si>
  <si>
    <t>Phoenixmon Cards</t>
  </si>
  <si>
    <t>Nanimon Cards</t>
  </si>
  <si>
    <t>Price #1</t>
  </si>
  <si>
    <t>Price #2</t>
  </si>
  <si>
    <t>Price #3</t>
  </si>
  <si>
    <t>Price #4</t>
  </si>
  <si>
    <t>Price #5</t>
  </si>
  <si>
    <t>Price #6</t>
  </si>
  <si>
    <t>Effect(s)</t>
  </si>
  <si>
    <t>AE01AE</t>
  </si>
  <si>
    <t>AE025A</t>
  </si>
  <si>
    <t>AE0247</t>
  </si>
  <si>
    <t>AE0274</t>
  </si>
  <si>
    <t>AE0276</t>
  </si>
  <si>
    <t>AE0278</t>
  </si>
  <si>
    <t>AE027A</t>
  </si>
  <si>
    <t>AE027C</t>
  </si>
  <si>
    <t>AE027F</t>
  </si>
  <si>
    <t>Crashes the game on exiting the map</t>
  </si>
  <si>
    <t>Crashes the game on opening the inventory</t>
  </si>
  <si>
    <t>Crashes the game immediately</t>
  </si>
  <si>
    <t>Address (ePSXe 1.9.0)</t>
  </si>
  <si>
    <t>Size in Bytes</t>
  </si>
  <si>
    <t>Does what</t>
  </si>
  <si>
    <t>Can be overwritten</t>
  </si>
  <si>
    <t>090800</t>
  </si>
  <si>
    <t>FlushCache()</t>
  </si>
  <si>
    <t>on talk</t>
  </si>
  <si>
    <t>090810</t>
  </si>
  <si>
    <t>GPU_cw(gp0cmd = r4)</t>
  </si>
  <si>
    <t>090820</t>
  </si>
  <si>
    <t>_bu_init()</t>
  </si>
  <si>
    <t>on sell card</t>
  </si>
  <si>
    <t>090830</t>
  </si>
  <si>
    <t>CdRemove()</t>
  </si>
  <si>
    <t>090848</t>
  </si>
  <si>
    <t>DeliverEvent(class = r4, spec = r5)</t>
  </si>
  <si>
    <t>090858</t>
  </si>
  <si>
    <t>OpenEvent(class = r4, spec = r5, mode = r6, func = r7) -&gt; eventDescriptor = r2</t>
  </si>
  <si>
    <t>090868</t>
  </si>
  <si>
    <t>CloseEvent(event = r4) -&gt; r2 = 1</t>
  </si>
  <si>
    <t>090878</t>
  </si>
  <si>
    <t>WaitEvent(event = r4) -&gt; isReady = r2</t>
  </si>
  <si>
    <t>090888</t>
  </si>
  <si>
    <t>TestEvent(event = r4) -&gt; isReady = r2</t>
  </si>
  <si>
    <t>090898</t>
  </si>
  <si>
    <t>EnableEvent(event = r4) -&gt; r2 = 1</t>
  </si>
  <si>
    <t>0908A8</t>
  </si>
  <si>
    <t>DisableEvent(event = r4) -&gt; r2 = 1</t>
  </si>
  <si>
    <t>0908B8</t>
  </si>
  <si>
    <t>InitPad(buf1 = r4, size1 = r5, buf2 = r6, size2 = r7)</t>
  </si>
  <si>
    <t>0908C8</t>
  </si>
  <si>
    <t>StartPad()</t>
  </si>
  <si>
    <t>0908D8</t>
  </si>
  <si>
    <t>StopPad()</t>
  </si>
  <si>
    <t>on buy</t>
  </si>
  <si>
    <t>0908E8</t>
  </si>
  <si>
    <t>OutdatedPadInitAndStart(type = r4, button_dest = r5, unused = r6, unused = r7)</t>
  </si>
  <si>
    <t>0908F8</t>
  </si>
  <si>
    <t>OutdatedPadGetButtons()</t>
  </si>
  <si>
    <t>no</t>
  </si>
  <si>
    <t>090908</t>
  </si>
  <si>
    <t>ReturnFromException()</t>
  </si>
  <si>
    <t>090918</t>
  </si>
  <si>
    <t>SetDefaultExitFromException()</t>
  </si>
  <si>
    <t>090928</t>
  </si>
  <si>
    <t>SetCustomExitFromException()</t>
  </si>
  <si>
    <t>090938</t>
  </si>
  <si>
    <t>EnterCriticalSection()</t>
  </si>
  <si>
    <t>090948</t>
  </si>
  <si>
    <t>ExitCriticalSection()</t>
  </si>
  <si>
    <t>090958</t>
  </si>
  <si>
    <t>FileOpen(fileName = r4, accessMode = r5) -&gt; fileHandle = r2</t>
  </si>
  <si>
    <t>090968</t>
  </si>
  <si>
    <t>FileSeek(fileHandle = r4, offset = r5, seekType = r6)</t>
  </si>
  <si>
    <t>090978</t>
  </si>
  <si>
    <t>FileRead(fileHandle = r4, dest = r5, length = r6) -&gt; bytesRead = r2</t>
  </si>
  <si>
    <t>090988</t>
  </si>
  <si>
    <t>FileWrite(fileHandle = r4, src = r5, length = r6) -&gt; bytesWritten = r2</t>
  </si>
  <si>
    <t>090998</t>
  </si>
  <si>
    <t>FileClose(fileHandle = r4) -&gt; fileHandle = r2</t>
  </si>
  <si>
    <t>0909A8</t>
  </si>
  <si>
    <t>FormatDevice(deviceName = r4) -&gt; success = r2</t>
  </si>
  <si>
    <t>0909B8</t>
  </si>
  <si>
    <t>firstfile(fileName = r4, dirEntry = r5) -&gt; dirEntry = r2</t>
  </si>
  <si>
    <t>0909C8</t>
  </si>
  <si>
    <t>nextfile(dirEntry = r4) -&gt; direntry = r2</t>
  </si>
  <si>
    <t>0909D8</t>
  </si>
  <si>
    <t>FileDelete(fileName = r4) -&gt; success = r2</t>
  </si>
  <si>
    <t>0909E8</t>
  </si>
  <si>
    <t>ChangeClearPad(val = r4)</t>
  </si>
  <si>
    <t>0909F8</t>
  </si>
  <si>
    <t>SysEnqIntRP(priority = r4, struct = r5)</t>
  </si>
  <si>
    <t>090A08</t>
  </si>
  <si>
    <t>SysDeqIntRP(priority = r4, struct = r5)</t>
  </si>
  <si>
    <t>090A18</t>
  </si>
  <si>
    <t>ChangeClearRCnt(irq = r4, flag = r5)</t>
  </si>
  <si>
    <t>091174</t>
  </si>
  <si>
    <t>exit(exitcode = r4)</t>
  </si>
  <si>
    <t>091184</t>
  </si>
  <si>
    <t>std_out_puts(stringPtr = r4)</t>
  </si>
  <si>
    <t>09119C</t>
  </si>
  <si>
    <t>abs(val = r4) -&gt; result = r2</t>
  </si>
  <si>
    <t>0911AC</t>
  </si>
  <si>
    <t>SaveState(buf = r4) -&gt; result = r2</t>
  </si>
  <si>
    <t>0911BC</t>
  </si>
  <si>
    <t>RestoreState(buf = r4, param = r5) -&gt; result = r2</t>
  </si>
  <si>
    <t>0911CC</t>
  </si>
  <si>
    <t>strcat(dst = r4, src = r5) -&gt; dst = r2</t>
  </si>
  <si>
    <t>0911DC</t>
  </si>
  <si>
    <t>strcmp(str1 = r4, str2 = r5) -&gt; result = r2</t>
  </si>
  <si>
    <t>0911EC</t>
  </si>
  <si>
    <t>strncmp(str1 = r4, str2 = r5, maxlen = r6) -&gt; result = r2</t>
  </si>
  <si>
    <t>0911FC</t>
  </si>
  <si>
    <t>strcpy(dst = r4, src = r5) -&gt; dst = r2</t>
  </si>
  <si>
    <t>09120C</t>
  </si>
  <si>
    <t>strncpy(dst = r4, src = r5, maxlen = r6) -&gt; dst = r2</t>
  </si>
  <si>
    <t>09121C</t>
  </si>
  <si>
    <t>strlen(src = r4) -&gt; length = r2</t>
  </si>
  <si>
    <t>09122C</t>
  </si>
  <si>
    <t>strrchr(src = r4, char = r5) -&gt; address = r2</t>
  </si>
  <si>
    <t>09123C</t>
  </si>
  <si>
    <t>bzero(dst = r4, len = r5) -&gt; dst = r2</t>
  </si>
  <si>
    <t>09124C</t>
  </si>
  <si>
    <t>memcpy(dest = r4, src = r5, length = r6)</t>
  </si>
  <si>
    <t>09125C</t>
  </si>
  <si>
    <t>memset(dest = r4, fillbyte = r5, length = r6)</t>
  </si>
  <si>
    <t>09126C</t>
  </si>
  <si>
    <t>memchr(src = r4, scanbyte = r5, len = r6) -&gt; address = r2</t>
  </si>
  <si>
    <t>09127C</t>
  </si>
  <si>
    <t>rand() -&gt; value = r2</t>
  </si>
  <si>
    <t>09128C</t>
  </si>
  <si>
    <t>printf(txtPtr = r4, params = r5,r6,r7,stack)</t>
  </si>
  <si>
    <t>Traded Item</t>
  </si>
  <si>
    <t>Obtained Item</t>
  </si>
  <si>
    <t>Nothing</t>
  </si>
  <si>
    <t>Moyjamon #2</t>
  </si>
  <si>
    <t>Moyjamon #3</t>
  </si>
  <si>
    <t>Talked to the hungry Kunemon</t>
  </si>
  <si>
    <t>Currently talking to KingSukamon</t>
  </si>
  <si>
    <t>Talked to Coelamon at the shop already</t>
  </si>
  <si>
    <t>Got starting items from Poyomon</t>
  </si>
  <si>
    <t>Talked to Devimon in the shop already</t>
  </si>
  <si>
    <t>Talked to Birdramon at its hut already</t>
  </si>
  <si>
    <t>Can walk over the invisible bridge</t>
  </si>
  <si>
    <t>Used Ogremons escape elevator</t>
  </si>
  <si>
    <t>Value</t>
  </si>
  <si>
    <t>Setup Type</t>
  </si>
  <si>
    <t>Sell Pointer</t>
  </si>
  <si>
    <t>Fluctuating values on selecting "Buy"</t>
  </si>
  <si>
    <t>Fluctuating values on selecting "Sell"</t>
  </si>
  <si>
    <t>Effect 1</t>
  </si>
  <si>
    <t>Effect 2</t>
  </si>
  <si>
    <t>Effect 3</t>
  </si>
  <si>
    <t>AE02D6</t>
  </si>
  <si>
    <t>BAD490</t>
  </si>
  <si>
    <t>Enemy #7?</t>
  </si>
  <si>
    <t>BAD4C8</t>
  </si>
  <si>
    <t>Enemy #8?</t>
  </si>
  <si>
    <t>Coelamon x1</t>
  </si>
  <si>
    <t>AE0312</t>
  </si>
  <si>
    <t>AE043A</t>
  </si>
  <si>
    <t>BAD360</t>
  </si>
  <si>
    <t>Enemy #4?</t>
  </si>
  <si>
    <t>Coelamon x2</t>
  </si>
  <si>
    <t>BAD1D0</t>
  </si>
  <si>
    <t>Enemy #1?</t>
  </si>
  <si>
    <t>Coelamon x3</t>
  </si>
  <si>
    <t>BAD440</t>
  </si>
  <si>
    <t>Coelamon x4</t>
  </si>
  <si>
    <t>BAD2B0</t>
  </si>
  <si>
    <t>Enemy #3?</t>
  </si>
  <si>
    <t>ShogunGekomon x1</t>
  </si>
  <si>
    <t>AE0382</t>
  </si>
  <si>
    <t>AE04AA</t>
  </si>
  <si>
    <t>BAD1A0</t>
  </si>
  <si>
    <t>Changes Fire skills</t>
  </si>
  <si>
    <t>Changes Air skills</t>
  </si>
  <si>
    <t>Changes Water skills</t>
  </si>
  <si>
    <t>ShogunGekomon x2</t>
  </si>
  <si>
    <t>Enemy #2 Animation freeze</t>
  </si>
  <si>
    <t>ShogunGekomon x3</t>
  </si>
  <si>
    <t>Enemy #4 Type</t>
  </si>
  <si>
    <t>Enemy #4 Visibility</t>
  </si>
  <si>
    <t>Enemy #4 Animation freeze</t>
  </si>
  <si>
    <t>ShogunGekomon x4</t>
  </si>
  <si>
    <t>Enemy #5?</t>
  </si>
  <si>
    <t>Setup Group</t>
  </si>
  <si>
    <t>Address Range</t>
  </si>
  <si>
    <t>Bank Extra #1</t>
  </si>
  <si>
    <t>Bank Extra #2</t>
  </si>
  <si>
    <t>Bank Extra #3</t>
  </si>
  <si>
    <t>State</t>
  </si>
  <si>
    <t>Crashes</t>
  </si>
  <si>
    <t>Can't buy down</t>
  </si>
  <si>
    <t>Action</t>
  </si>
  <si>
    <t>Advances by</t>
  </si>
  <si>
    <t>Pausing</t>
  </si>
  <si>
    <t>Change Map (also Autopilot)</t>
  </si>
  <si>
    <t>Open Menu</t>
  </si>
  <si>
    <t>Open Inventory</t>
  </si>
  <si>
    <t>Open Digimon Menu</t>
  </si>
  <si>
    <t>Open Tamer Menu</t>
  </si>
  <si>
    <t>Switch from Status to Tech</t>
  </si>
  <si>
    <t>Switch from Tech to Status</t>
  </si>
  <si>
    <t>Close any (Sup)menu</t>
  </si>
  <si>
    <t>Move to Inv. Slot #1</t>
  </si>
  <si>
    <t>Move to Inv. Slot #2</t>
  </si>
  <si>
    <t>Move to Inv. Slot #3</t>
  </si>
  <si>
    <t>Move to Inv. Slot #4</t>
  </si>
  <si>
    <t>Move to Inv. Slot #5</t>
  </si>
  <si>
    <t>Move to Inv. Slot #6</t>
  </si>
  <si>
    <t>Move to Inv. Slot #7</t>
  </si>
  <si>
    <t>Move to Inv. Slot #8</t>
  </si>
  <si>
    <t>Move to Inv. Slot #9</t>
  </si>
  <si>
    <t>Move to Inv. Slot #10</t>
  </si>
  <si>
    <t>Pick up Digimushrm</t>
  </si>
  <si>
    <t>Pick up Steak</t>
  </si>
  <si>
    <t>Getting Sick</t>
  </si>
  <si>
    <t>Battle</t>
  </si>
  <si>
    <t>Varies</t>
  </si>
  <si>
    <t>Card Pointer</t>
  </si>
  <si>
    <t>ePSXe Address</t>
  </si>
  <si>
    <t>C1587E</t>
  </si>
  <si>
    <t>no error, its in there twice!</t>
  </si>
  <si>
    <t>Trigger #00</t>
  </si>
  <si>
    <t>Trigger #01</t>
  </si>
  <si>
    <t>Trigger #02</t>
  </si>
  <si>
    <t>Trigger #03</t>
  </si>
  <si>
    <t>Trigger #04</t>
  </si>
  <si>
    <t>Trigger #05</t>
  </si>
  <si>
    <t>Trigger #06</t>
  </si>
  <si>
    <t>Trigger #07</t>
  </si>
  <si>
    <t>Trigger #08</t>
  </si>
  <si>
    <t>Trigger #09</t>
  </si>
  <si>
    <t>Trigger #10</t>
  </si>
  <si>
    <t>Trigger #11</t>
  </si>
  <si>
    <t>Trigger #12</t>
  </si>
  <si>
    <t>Trigger #13</t>
  </si>
  <si>
    <t>Trigger #14</t>
  </si>
  <si>
    <t>Trigger #15</t>
  </si>
  <si>
    <t>Trigger #16</t>
  </si>
  <si>
    <t>Trigger #17</t>
  </si>
  <si>
    <t>Trigger #18</t>
  </si>
  <si>
    <t>Trigger #19</t>
  </si>
  <si>
    <t>Trigger #20</t>
  </si>
  <si>
    <t>Trigger #21</t>
  </si>
  <si>
    <t>Trigger #22</t>
  </si>
  <si>
    <t>Trigger #23</t>
  </si>
  <si>
    <t>Trigger #24</t>
  </si>
  <si>
    <t>Trigger #25</t>
  </si>
  <si>
    <t>Trigger #26</t>
  </si>
  <si>
    <t>Trigger #27</t>
  </si>
  <si>
    <t>Trigger #28</t>
  </si>
  <si>
    <t>Trigger #29</t>
  </si>
  <si>
    <t>Trigger #30</t>
  </si>
  <si>
    <t>Trigger #31</t>
  </si>
  <si>
    <t>Trigger #32</t>
  </si>
  <si>
    <t>Trigger #33</t>
  </si>
  <si>
    <t>Trigger #34</t>
  </si>
  <si>
    <t>Trigger #35</t>
  </si>
  <si>
    <t>Trigger #36</t>
  </si>
  <si>
    <t>Trigger #37</t>
  </si>
  <si>
    <t>Trigger #38</t>
  </si>
  <si>
    <t>Trigger #39</t>
  </si>
  <si>
    <t>Trigger #40</t>
  </si>
  <si>
    <t>Trigger #41</t>
  </si>
  <si>
    <t>Trigger #42</t>
  </si>
  <si>
    <t>Trigger #43</t>
  </si>
  <si>
    <t>Trigger #44</t>
  </si>
  <si>
    <t>Trigger #45</t>
  </si>
  <si>
    <t>Trigger #46</t>
  </si>
  <si>
    <t>Trigger #47</t>
  </si>
  <si>
    <t>Trigger #48</t>
  </si>
  <si>
    <t>Trigger #49</t>
  </si>
  <si>
    <t>Trigger #50</t>
  </si>
  <si>
    <t>Trigger #51</t>
  </si>
  <si>
    <t>Trigger #52</t>
  </si>
  <si>
    <t>Trigger #53</t>
  </si>
  <si>
    <t>Trigger #54</t>
  </si>
  <si>
    <t>Trigger #55</t>
  </si>
  <si>
    <t>Trigger #56</t>
  </si>
  <si>
    <t>Trigger #57</t>
  </si>
  <si>
    <t>Trigger #58</t>
  </si>
  <si>
    <t>Trigger #59</t>
  </si>
  <si>
    <t>Trigger #60</t>
  </si>
  <si>
    <t>Trigger #61</t>
  </si>
  <si>
    <t>Trigger #62</t>
  </si>
  <si>
    <t>Trigger #63</t>
  </si>
  <si>
    <t>Trigger #64</t>
  </si>
  <si>
    <t>Trigger #65</t>
  </si>
  <si>
    <t>Trigger #66</t>
  </si>
  <si>
    <t>Trigger #67</t>
  </si>
  <si>
    <t>Trigger #68</t>
  </si>
  <si>
    <t>Trigger #69</t>
  </si>
  <si>
    <t>Trigger #70</t>
  </si>
  <si>
    <t>Trigger #71</t>
  </si>
  <si>
    <t>Trigger #72</t>
  </si>
  <si>
    <t>Trigger #73</t>
  </si>
  <si>
    <t>Trigger #74</t>
  </si>
  <si>
    <t>Trigger #75</t>
  </si>
  <si>
    <t>Trigger #76</t>
  </si>
  <si>
    <t>Trigger #77</t>
  </si>
  <si>
    <t>Trigger #78</t>
  </si>
  <si>
    <t>Trigger #79</t>
  </si>
  <si>
    <t>Trigger #80</t>
  </si>
  <si>
    <t>Trigger #81</t>
  </si>
  <si>
    <t>Trigger #82</t>
  </si>
  <si>
    <t>Trigger #83</t>
  </si>
  <si>
    <t>Trigger #84</t>
  </si>
  <si>
    <t>Size in bytes</t>
  </si>
  <si>
    <t>Instruction Format</t>
  </si>
  <si>
    <t>Internal Format (if different)</t>
  </si>
  <si>
    <t>0x10</t>
  </si>
  <si>
    <t>setSelection</t>
  </si>
  <si>
    <t>2 + count * 2</t>
  </si>
  <si>
    <t>&lt;B count&gt; &lt;S jumpOffsets...&gt;</t>
  </si>
  <si>
    <t>0x11</t>
  </si>
  <si>
    <t>unused11</t>
  </si>
  <si>
    <t>does nothing/not exist</t>
  </si>
  <si>
    <t>0x12</t>
  </si>
  <si>
    <t>unused12</t>
  </si>
  <si>
    <t>&lt;B unknown&gt;</t>
  </si>
  <si>
    <t>Used to terminate setSelection, not actual instruction</t>
  </si>
  <si>
    <t>0x13</t>
  </si>
  <si>
    <t>jumpAndLink</t>
  </si>
  <si>
    <t>&lt;S jumpOffset&gt;</t>
  </si>
  <si>
    <t>&lt;B empty&gt; &lt;S jumpOffset&gt;</t>
  </si>
  <si>
    <t>0x14</t>
  </si>
  <si>
    <t>jumpToFileAndLink</t>
  </si>
  <si>
    <t>&lt;S scriptFile&gt; &lt;S scriptSection&gt;</t>
  </si>
  <si>
    <t>&lt;B empty&gt; &lt;S unk1&gt; &lt;S unk2&gt;</t>
  </si>
  <si>
    <t>0x15</t>
  </si>
  <si>
    <t>jumpReturn</t>
  </si>
  <si>
    <t>&lt;B empty&gt;</t>
  </si>
  <si>
    <t>0x16</t>
  </si>
  <si>
    <t>jumpTo</t>
  </si>
  <si>
    <t>0x17</t>
  </si>
  <si>
    <t>jumpToFile</t>
  </si>
  <si>
    <t>&lt;B empty&gt; &lt;S scriptFile&gt; &lt;S scriptSection&gt;</t>
  </si>
  <si>
    <t>0x18</t>
  </si>
  <si>
    <t>switch</t>
  </si>
  <si>
    <t>4 + count * 2</t>
  </si>
  <si>
    <t>&lt;B pstat&gt; case &lt;S casePointer&gt;</t>
  </si>
  <si>
    <t>&lt;B pstat&gt; &lt;S count&gt; &lt;S casePointer...&gt;</t>
  </si>
  <si>
    <t>0x19</t>
  </si>
  <si>
    <t>if</t>
  </si>
  <si>
    <t>8 + comperators</t>
  </si>
  <si>
    <t>&lt;comperators...&gt; then &lt;S jumpOffset&gt;</t>
  </si>
  <si>
    <t>&lt;B empty&gt; &lt;comperators...&gt; 0x18 &lt;S jumpOffset&gt; 0x19</t>
  </si>
  <si>
    <t>(comperator)</t>
  </si>
  <si>
    <t>2 + payload</t>
  </si>
  <si>
    <t>(0x40 -&gt; &amp;&amp; | 0x80 -&gt; || )</t>
  </si>
  <si>
    <t>&lt;S link + operation&gt; &lt;operationPayload&gt;</t>
  </si>
  <si>
    <t>0x00 isFalse</t>
  </si>
  <si>
    <t>trigger(&lt;S triggerId&gt;) == false</t>
  </si>
  <si>
    <t>&lt;S triggerId&gt;</t>
  </si>
  <si>
    <t>0x01 isTrue</t>
  </si>
  <si>
    <t>trigger(&lt;S triggerId&gt;) == true</t>
  </si>
  <si>
    <t>0x08 notEquals</t>
  </si>
  <si>
    <t>pstat(&lt;B pstat&gt;) != &lt;B value&gt;</t>
  </si>
  <si>
    <t>&lt;B pstat&gt; &lt;B value&gt;</t>
  </si>
  <si>
    <t>0x09 equals</t>
  </si>
  <si>
    <t>pstat(&lt;B pstat&gt;) == &lt;B value&gt;</t>
  </si>
  <si>
    <t>0x0A smallerThan</t>
  </si>
  <si>
    <t>pstat(&lt;B pstat&gt;) &lt; &lt;B value&gt;</t>
  </si>
  <si>
    <t>0x0B greaterThan</t>
  </si>
  <si>
    <t>pstat(&lt;B pstat&gt;) &gt; &lt;B value&gt;</t>
  </si>
  <si>
    <t>0x0C smallerEquals</t>
  </si>
  <si>
    <t>pstat(&lt;B pstat&gt;) &lt;= &lt;B value&gt;</t>
  </si>
  <si>
    <t>0x0D greaterEquals</t>
  </si>
  <si>
    <t>pstat(&lt;B pstat&gt;) &gt;= &lt;B value&gt;</t>
  </si>
  <si>
    <t>0x20 stat</t>
  </si>
  <si>
    <t>&lt;stat&gt; &lt;compSign&gt; &lt;S value&gt;</t>
  </si>
  <si>
    <t>&lt;B stat&gt; &lt;B comperator&gt; &lt;S value&gt;</t>
  </si>
  <si>
    <t>0x21 card</t>
  </si>
  <si>
    <t>card(&lt;B cardId&gt;) &lt;compSign&gt; &lt;S value&gt;</t>
  </si>
  <si>
    <t>&lt;B card&gt; &lt;B comperator&gt; &lt;S value&gt;</t>
  </si>
  <si>
    <t>0x22 move</t>
  </si>
  <si>
    <t>move(&lt;B move&gt;) == &lt;B value&gt;</t>
  </si>
  <si>
    <t>&lt;B move&gt; &lt;B value&gt;</t>
  </si>
  <si>
    <t>0x23 condition</t>
  </si>
  <si>
    <t>condition(&lt;B mask&gt;) == &lt;B value&gt;</t>
  </si>
  <si>
    <t>&lt;B mask&gt; &lt;B value&gt;</t>
  </si>
  <si>
    <t>0x24 item</t>
  </si>
  <si>
    <t>item(&lt;B item&gt;) &lt;compSign&gt; &lt;S amount&gt;</t>
  </si>
  <si>
    <t>&lt;B item&gt; &lt;B comperator&gt; &lt;S amount&gt;</t>
  </si>
  <si>
    <t>0x25 money</t>
  </si>
  <si>
    <t>getMoney &lt;compSign&gt; &lt;I amount&gt;</t>
  </si>
  <si>
    <t>&lt;S comperator&gt; &lt;I amount&gt;</t>
  </si>
  <si>
    <t>(compSign)</t>
  </si>
  <si>
    <t>0x1A</t>
  </si>
  <si>
    <t>showTextbox</t>
  </si>
  <si>
    <t>2 + message</t>
  </si>
  <si>
    <t>&lt;String (2 byte per character)&gt;</t>
  </si>
  <si>
    <t>0x1B</t>
  </si>
  <si>
    <t>setDialogOwner</t>
  </si>
  <si>
    <t>&lt;B actorId&gt;</t>
  </si>
  <si>
    <t>0x1C</t>
  </si>
  <si>
    <t>setTrigger</t>
  </si>
  <si>
    <t>&lt;B empty&gt; &lt;S triggerId&gt;</t>
  </si>
  <si>
    <t>0x1D</t>
  </si>
  <si>
    <t>unsetTrigger</t>
  </si>
  <si>
    <t>0x1E</t>
  </si>
  <si>
    <t>setPStat</t>
  </si>
  <si>
    <t>&lt;B empty&gt; &lt;B pstat&gt; &lt;B value&gt;</t>
  </si>
  <si>
    <t>0x1F</t>
  </si>
  <si>
    <t>addToPStat</t>
  </si>
  <si>
    <t>0x20</t>
  </si>
  <si>
    <t>reducePStat</t>
  </si>
  <si>
    <t>0x21</t>
  </si>
  <si>
    <t>storeMapID</t>
  </si>
  <si>
    <t>&lt;B pstat&gt;</t>
  </si>
  <si>
    <t>0x22</t>
  </si>
  <si>
    <t>storeDigimonType</t>
  </si>
  <si>
    <t>0x23</t>
  </si>
  <si>
    <t>setInventorySize</t>
  </si>
  <si>
    <t>&lt;B size&gt;</t>
  </si>
  <si>
    <t>0x24</t>
  </si>
  <si>
    <t>storeRandom</t>
  </si>
  <si>
    <t>&lt;B pstat&gt; &lt;B upperLimit&gt;</t>
  </si>
  <si>
    <t>&lt;B empty&gt; &lt;B pstat&gt; &lt;B upperLimit&gt;</t>
  </si>
  <si>
    <t>0x25</t>
  </si>
  <si>
    <t>storeDate</t>
  </si>
  <si>
    <t>0x26</t>
  </si>
  <si>
    <t>setTextboxSize</t>
  </si>
  <si>
    <t>&lt;B width&gt; &lt;B height&gt;</t>
  </si>
  <si>
    <t>&lt;B empty&gt; &lt;B width&gt; &lt;B height&gt;</t>
  </si>
  <si>
    <t>0x27</t>
  </si>
  <si>
    <t>fadeoutHud</t>
  </si>
  <si>
    <t>0x28</t>
  </si>
  <si>
    <t>giveItem</t>
  </si>
  <si>
    <t>&lt;B itemId&gt; &lt;B amount&gt;</t>
  </si>
  <si>
    <t>&lt;B empty&gt; &lt;B itemId&gt; &lt;B amount&gt;</t>
  </si>
  <si>
    <t>0x29</t>
  </si>
  <si>
    <t>removeItem</t>
  </si>
  <si>
    <t>0x2A</t>
  </si>
  <si>
    <t>addMoney</t>
  </si>
  <si>
    <t>&lt;I amount&gt;</t>
  </si>
  <si>
    <t>&lt;B empty&gt; &lt;I amount&gt;</t>
  </si>
  <si>
    <t>0x2B</t>
  </si>
  <si>
    <t>reduceMoney</t>
  </si>
  <si>
    <t>0x2C</t>
  </si>
  <si>
    <t>compareDate</t>
  </si>
  <si>
    <t>&lt;B pstat&gt; &lt;S trigger&gt; &lt;B mode&gt; &lt;B year&gt; &lt;B day&gt; &lt;B hour&gt; &lt;B minute&gt; &lt;B empty&gt;</t>
  </si>
  <si>
    <t>Compares input date with date stored at pstat</t>
  </si>
  <si>
    <t>0x2D</t>
  </si>
  <si>
    <t>learnMove</t>
  </si>
  <si>
    <t>&lt;B move&gt;</t>
  </si>
  <si>
    <t>0x2E</t>
  </si>
  <si>
    <t>unused2E</t>
  </si>
  <si>
    <t>does nothing</t>
  </si>
  <si>
    <t>0x2F</t>
  </si>
  <si>
    <t>giveCard</t>
  </si>
  <si>
    <t>&lt;B cardId&gt;</t>
  </si>
  <si>
    <t>0x30</t>
  </si>
  <si>
    <t>takeCard</t>
  </si>
  <si>
    <t>0x31</t>
  </si>
  <si>
    <t>setMerit</t>
  </si>
  <si>
    <t>&lt;S value&gt;</t>
  </si>
  <si>
    <t>&lt;B empty&gt; &lt;S value&gt;</t>
  </si>
  <si>
    <t>0x32</t>
  </si>
  <si>
    <t>addMerit</t>
  </si>
  <si>
    <t>0x33</t>
  </si>
  <si>
    <t>reduceMerit</t>
  </si>
  <si>
    <t>0x34</t>
  </si>
  <si>
    <t>setStat</t>
  </si>
  <si>
    <t>&lt;stat&gt; &lt;S value&gt;</t>
  </si>
  <si>
    <t>&lt;B stat&gt; &lt;S value&gt;</t>
  </si>
  <si>
    <t>0x35</t>
  </si>
  <si>
    <t>addStat</t>
  </si>
  <si>
    <t>0x36</t>
  </si>
  <si>
    <t>reduceStat</t>
  </si>
  <si>
    <t>0x37</t>
  </si>
  <si>
    <t>advanceToDateAt</t>
  </si>
  <si>
    <t>0x38</t>
  </si>
  <si>
    <t>addMinutesToDateAt</t>
  </si>
  <si>
    <t>&lt;B pstat&gt; &lt;I value&gt;</t>
  </si>
  <si>
    <t>0x39</t>
  </si>
  <si>
    <t>addMinutesToDateAt2</t>
  </si>
  <si>
    <t>0x3A</t>
  </si>
  <si>
    <t>unused3A</t>
  </si>
  <si>
    <t>0x3B</t>
  </si>
  <si>
    <t>unused3B</t>
  </si>
  <si>
    <t>0x3C</t>
  </si>
  <si>
    <t>unused3C</t>
  </si>
  <si>
    <t>0x3D</t>
  </si>
  <si>
    <t>unused3D</t>
  </si>
  <si>
    <t>0x3E</t>
  </si>
  <si>
    <t>unused3E</t>
  </si>
  <si>
    <t>0x3F</t>
  </si>
  <si>
    <t>storeDigimonValue</t>
  </si>
  <si>
    <t>&lt;B value&gt; &lt;B pstat&gt;</t>
  </si>
  <si>
    <t>&lt;B empty&gt; &lt;B value&gt; &lt;B pstat&gt;</t>
  </si>
  <si>
    <t>0x46</t>
  </si>
  <si>
    <t>loadDigimon</t>
  </si>
  <si>
    <t>&lt;B digimonId&gt;</t>
  </si>
  <si>
    <t>0x47</t>
  </si>
  <si>
    <t>setDigimon</t>
  </si>
  <si>
    <t>&lt;B typeId&gt; &lt;B actorId&gt; &lt;B autotalk&gt;</t>
  </si>
  <si>
    <t>0x48</t>
  </si>
  <si>
    <t>unloadEntity</t>
  </si>
  <si>
    <t>0x49</t>
  </si>
  <si>
    <t>callDigimonRoutine</t>
  </si>
  <si>
    <t>&lt;B routine&gt;</t>
  </si>
  <si>
    <t>0x4A</t>
  </si>
  <si>
    <t>waitForEntity</t>
  </si>
  <si>
    <t>&lt;B entityId&gt;</t>
  </si>
  <si>
    <t>probably wait for animation</t>
  </si>
  <si>
    <t>0x4B</t>
  </si>
  <si>
    <t>warpTo</t>
  </si>
  <si>
    <t>&lt;B mapId&gt; &lt;B spawnPoint&gt; &lt;B activateTrigger&gt;</t>
  </si>
  <si>
    <t>0x4C</t>
  </si>
  <si>
    <t>entityLookAtEntity</t>
  </si>
  <si>
    <t>&lt;B actor&gt; &lt;B target&gt;</t>
  </si>
  <si>
    <t>&lt;B empty&gt; &lt;B actor&gt; &lt;B target&gt;</t>
  </si>
  <si>
    <t>0x4D</t>
  </si>
  <si>
    <t>entitySetRotation</t>
  </si>
  <si>
    <t>&lt;B actor&gt; &lt;S rotation&gt;</t>
  </si>
  <si>
    <t>0x4E</t>
  </si>
  <si>
    <t>entityWalkTo</t>
  </si>
  <si>
    <t>&lt;B actor&gt; &lt;S posX&gt; &lt;S posY&gt; &lt;S sprint&gt;</t>
  </si>
  <si>
    <t>0x4F</t>
  </si>
  <si>
    <t>moveCameraTo</t>
  </si>
  <si>
    <t>&lt;B slowdown&gt; &lt;S posX&gt; &lt;S posY&gt;</t>
  </si>
  <si>
    <t>0x50</t>
  </si>
  <si>
    <t>moveCameraToEntity</t>
  </si>
  <si>
    <t>&lt;B actor&gt; &lt;B speed&gt;</t>
  </si>
  <si>
    <t>&lt;B empty&gt; &lt;B actor&gt; &lt;B speed&gt;</t>
  </si>
  <si>
    <t>0x51</t>
  </si>
  <si>
    <t>entityWalkToEntity</t>
  </si>
  <si>
    <t>&lt;B actor&gt; &lt;B sprint&gt; &lt;B target&gt;</t>
  </si>
  <si>
    <t>0x52</t>
  </si>
  <si>
    <t>entityWalkToWithCamera</t>
  </si>
  <si>
    <t>0x53</t>
  </si>
  <si>
    <t>entityWalkToEntityWithCamera</t>
  </si>
  <si>
    <t>&lt;B entity&gt; &lt;B sprint&gt; &lt;B target&gt;</t>
  </si>
  <si>
    <t>0x54</t>
  </si>
  <si>
    <t>resetEntityOrigin</t>
  </si>
  <si>
    <t>&lt;B actor&gt;</t>
  </si>
  <si>
    <t>uses the current location as new "origin", recalculating all waypoints based on the difference between old and new origin</t>
  </si>
  <si>
    <t>0x55</t>
  </si>
  <si>
    <t>setTextboxOrigin</t>
  </si>
  <si>
    <t>&lt;S posX&gt; &lt;S posZ&gt; &lt;S posY&gt;</t>
  </si>
  <si>
    <t>&lt;B empty&gt; &lt;S posX&gt; &lt;S posZ&gt; &lt;S posY&gt;</t>
  </si>
  <si>
    <t>0x56</t>
  </si>
  <si>
    <t>playAnimation</t>
  </si>
  <si>
    <t>&lt;B actor&gt; &lt;B animation&gt;</t>
  </si>
  <si>
    <t>&lt;B empty&gt; &lt;B actor&gt; &lt;B animation&gt;</t>
  </si>
  <si>
    <t>0x57</t>
  </si>
  <si>
    <t>setObjVisibility</t>
  </si>
  <si>
    <t>&lt;B objectId&gt; &lt;B invisible&gt;</t>
  </si>
  <si>
    <t>&lt;B empty&gt; &lt;B objectId&gt; &lt;B invisible&gt;</t>
  </si>
  <si>
    <t>0x58</t>
  </si>
  <si>
    <t>teleport</t>
  </si>
  <si>
    <t>0x5A</t>
  </si>
  <si>
    <t>playSound</t>
  </si>
  <si>
    <t>&lt;B soundRegister&gt; &lt;B soundId&gt;</t>
  </si>
  <si>
    <t>&lt;B empty&gt; &lt;B soundRegister&gt; &lt;B soundId&gt;</t>
  </si>
  <si>
    <t>0x5B</t>
  </si>
  <si>
    <t>unused5B</t>
  </si>
  <si>
    <t>0x5C</t>
  </si>
  <si>
    <t>unused5C</t>
  </si>
  <si>
    <t>0x5D</t>
  </si>
  <si>
    <t>setBGM</t>
  </si>
  <si>
    <t>&lt;B musicID&gt;</t>
  </si>
  <si>
    <t>0x5E</t>
  </si>
  <si>
    <t>stopBGM</t>
  </si>
  <si>
    <t>0x5F</t>
  </si>
  <si>
    <t>unused5F</t>
  </si>
  <si>
    <t>0x64</t>
  </si>
  <si>
    <t>callRoutine</t>
  </si>
  <si>
    <t>&lt;B routineId&gt;</t>
  </si>
  <si>
    <t>0x65</t>
  </si>
  <si>
    <t>removeCondition</t>
  </si>
  <si>
    <t>&lt;B mask&gt;</t>
  </si>
  <si>
    <t>0x66</t>
  </si>
  <si>
    <t>startBattle</t>
  </si>
  <si>
    <t>0x67</t>
  </si>
  <si>
    <t>delay</t>
  </si>
  <si>
    <t>&lt;S duration&gt;</t>
  </si>
  <si>
    <t>&lt;B empty&gt; &lt;S duration&gt;</t>
  </si>
  <si>
    <t>0x68</t>
  </si>
  <si>
    <t>setTextboxMode</t>
  </si>
  <si>
    <t>&lt;B mode&gt; &lt;B delay&gt;</t>
  </si>
  <si>
    <t>&lt;B empty&gt; &lt;B mode&gt; &lt;B delay&gt;</t>
  </si>
  <si>
    <t>0x69</t>
  </si>
  <si>
    <t>dealDamage</t>
  </si>
  <si>
    <t>0x6A</t>
  </si>
  <si>
    <t>setAutotalk</t>
  </si>
  <si>
    <t>&lt;B actor&gt; &lt;B value&gt;</t>
  </si>
  <si>
    <t>&lt;B empty&gt; &lt;B actor&gt; &lt;B value&gt;</t>
  </si>
  <si>
    <t>0x6B</t>
  </si>
  <si>
    <t>unknown6B</t>
  </si>
  <si>
    <t>unused/not real, some tournament data starts with 0x6B</t>
  </si>
  <si>
    <t>0x6C</t>
  </si>
  <si>
    <t>entityMoveTo</t>
  </si>
  <si>
    <t>&lt;B actor&gt; &lt;S posX&gt; &lt;S posY&gt; &lt;S animDuration&gt;</t>
  </si>
  <si>
    <t>0x6D</t>
  </si>
  <si>
    <t>entityMoveToEntity</t>
  </si>
  <si>
    <t>&lt;B actor&gt; &lt;B targetId&gt; &lt;B speed&gt;</t>
  </si>
  <si>
    <t>0x6E</t>
  </si>
  <si>
    <t>entityMoveToWithCamera</t>
  </si>
  <si>
    <t>&lt;B actor&gt; &lt;S posX&gt; &lt;S posY&gt; &lt;B animDuration&gt;</t>
  </si>
  <si>
    <t>&lt;B actor&gt; &lt;S posX&gt; &lt;S posY&gt; &lt;B animDuration&gt; &lt;B empty&gt;</t>
  </si>
  <si>
    <t>bugged, behaves like entityMoveToEntityWithCamera, but without setting the target</t>
  </si>
  <si>
    <t>0x6F</t>
  </si>
  <si>
    <t>entityMoveToEntityWithCamera</t>
  </si>
  <si>
    <t>0x70</t>
  </si>
  <si>
    <t>rotate3DObject</t>
  </si>
  <si>
    <t>&lt;B modelID&gt; &lt;B rotation&gt;</t>
  </si>
  <si>
    <t>&lt;B modelID&gt; &lt;B empty&gt; &lt;B rotation&gt;</t>
  </si>
  <si>
    <t>0x71</t>
  </si>
  <si>
    <t>moveObjectTo</t>
  </si>
  <si>
    <t>&lt;B moveSlot&gt; &lt;B objId&gt; &lt;B speed&gt; &lt;B targetId&gt; &lt;B pad&gt; &lt;S posX&gt; &lt;S posY&gt;</t>
  </si>
  <si>
    <t>0x72</t>
  </si>
  <si>
    <t>entityMoveToAxis</t>
  </si>
  <si>
    <t>&lt;B actor&gt; &lt;S position&gt; &lt;B axis&gt; &lt;B speed&gt;</t>
  </si>
  <si>
    <t>0x73</t>
  </si>
  <si>
    <t>entityMoveToAxisWithCamera</t>
  </si>
  <si>
    <t>0x74</t>
  </si>
  <si>
    <t>spawnItem</t>
  </si>
  <si>
    <t>&lt;B id&gt; &lt;S posX&gt; &lt;S posY&gt;</t>
  </si>
  <si>
    <t>0x75</t>
  </si>
  <si>
    <t>spawnChest</t>
  </si>
  <si>
    <t>&lt;B id&gt; &lt;S posX&gt; &lt;S empty&gt; &lt;S posY&gt; &lt;S rotation&gt; &lt;S trigger&gt;</t>
  </si>
  <si>
    <t>positions get rounded to the closest number ending with 50</t>
  </si>
  <si>
    <t>0x76</t>
  </si>
  <si>
    <t>spawnBoulder</t>
  </si>
  <si>
    <t>0x77</t>
  </si>
  <si>
    <t>moveBoulder</t>
  </si>
  <si>
    <t>&lt;S translateZ&gt; &lt;S translateY&gt;</t>
  </si>
  <si>
    <t>&lt;B empty&gt; &lt;S translateZ&gt; &lt;S translateY&gt;</t>
  </si>
  <si>
    <t>0x78</t>
  </si>
  <si>
    <t>despawnBoulder</t>
  </si>
  <si>
    <t>0x79</t>
  </si>
  <si>
    <t>unloadDigimon</t>
  </si>
  <si>
    <t>0x7A</t>
  </si>
  <si>
    <t>copyPStat</t>
  </si>
  <si>
    <t>&lt;B source&gt; &lt;B target&gt;</t>
  </si>
  <si>
    <t>&lt;B empty&gt; &lt;B source&gt; &lt;B target&gt;</t>
  </si>
  <si>
    <t>0x7B</t>
  </si>
  <si>
    <t>sectionOnExit</t>
  </si>
  <si>
    <t>&lt;B section&gt;</t>
  </si>
  <si>
    <t>Pushes section/trigger to the script stack</t>
  </si>
  <si>
    <t>0x7C</t>
  </si>
  <si>
    <t>setRectImpassible</t>
  </si>
  <si>
    <t>&lt;S x&gt; &lt;S y&gt; &lt;B width&gt; &lt;B height&gt;</t>
  </si>
  <si>
    <t>&lt;B empty&gt; &lt;S x&gt; &lt;S y&gt; &lt;B width&gt; &lt;B height&gt;</t>
  </si>
  <si>
    <t>0x7D</t>
  </si>
  <si>
    <t>spawnSpriteAtLocation</t>
  </si>
  <si>
    <t>&lt;B sprite&gt; &lt;S posX&gt; &lt;S posY&gt; &lt;S posZ&gt; &lt;S unk&gt;</t>
  </si>
  <si>
    <t>0x7E</t>
  </si>
  <si>
    <t>spawnSpriteAtEntity</t>
  </si>
  <si>
    <t>&lt;B entity&gt; &lt;S sprite&gt;</t>
  </si>
  <si>
    <t>0xFB</t>
  </si>
  <si>
    <t>setScript</t>
  </si>
  <si>
    <t>&lt;S scriptId&gt; &lt;S mapId&gt;</t>
  </si>
  <si>
    <t>&lt;B empty&gt; &lt;S scriptId&gt; &lt;S mapId&gt;</t>
  </si>
  <si>
    <t>0xFE</t>
  </si>
  <si>
    <t>endSection</t>
  </si>
  <si>
    <t>0xFF</t>
  </si>
  <si>
    <t>garbage</t>
  </si>
  <si>
    <t>script ends here</t>
  </si>
  <si>
    <t>Function Ptr.</t>
  </si>
  <si>
    <t>Version?</t>
  </si>
  <si>
    <t>Offset</t>
  </si>
  <si>
    <t>Size Code</t>
  </si>
  <si>
    <t>Size Data</t>
  </si>
  <si>
    <t>0x800C4AC0</t>
  </si>
  <si>
    <t>MOV_REL</t>
  </si>
  <si>
    <t>Movie?</t>
  </si>
  <si>
    <t>0x7</t>
  </si>
  <si>
    <t>0x10000</t>
  </si>
  <si>
    <t>0x90C</t>
  </si>
  <si>
    <t>0x72AD8</t>
  </si>
  <si>
    <t>KAR_REL</t>
  </si>
  <si>
    <t>Curling</t>
  </si>
  <si>
    <t>0x5</t>
  </si>
  <si>
    <t>0x53800</t>
  </si>
  <si>
    <t>0x72D0</t>
  </si>
  <si>
    <t>0x8ED8</t>
  </si>
  <si>
    <t>BTL_REL</t>
  </si>
  <si>
    <t>Battle?</t>
  </si>
  <si>
    <t>0x1</t>
  </si>
  <si>
    <t>0x56C68</t>
  </si>
  <si>
    <t>0x1C0B8</t>
  </si>
  <si>
    <t>0x3218</t>
  </si>
  <si>
    <t>STD_REL</t>
  </si>
  <si>
    <t>Tournament Combat?</t>
  </si>
  <si>
    <t>0x2</t>
  </si>
  <si>
    <t>0x22C44</t>
  </si>
  <si>
    <t>0x65D8</t>
  </si>
  <si>
    <t>0x800C4A08</t>
  </si>
  <si>
    <t>VS_REL</t>
  </si>
  <si>
    <t>VS Mode</t>
  </si>
  <si>
    <t>0x6</t>
  </si>
  <si>
    <t>0x18D14</t>
  </si>
  <si>
    <t>0x38A8</t>
  </si>
  <si>
    <t>EAB_REL</t>
  </si>
  <si>
    <t>Machinedramon spawn anim</t>
  </si>
  <si>
    <t>0xF</t>
  </si>
  <si>
    <t>0x60000</t>
  </si>
  <si>
    <t>0x169C</t>
  </si>
  <si>
    <t>0x974</t>
  </si>
  <si>
    <t>ENDI_REL</t>
  </si>
  <si>
    <t>Ending</t>
  </si>
  <si>
    <t>0xE</t>
  </si>
  <si>
    <t>0xD58</t>
  </si>
  <si>
    <t>0x798</t>
  </si>
  <si>
    <t>0x800C4950</t>
  </si>
  <si>
    <t>EVL_REL</t>
  </si>
  <si>
    <t>Evolution</t>
  </si>
  <si>
    <t>0x4</t>
  </si>
  <si>
    <t>0x3EA8</t>
  </si>
  <si>
    <t>0x511C</t>
  </si>
  <si>
    <t>0x800C4728</t>
  </si>
  <si>
    <t>DOO2_REL</t>
  </si>
  <si>
    <t>dying</t>
  </si>
  <si>
    <t>0x8</t>
  </si>
  <si>
    <t>0x70000</t>
  </si>
  <si>
    <t>0x1A40</t>
  </si>
  <si>
    <t>0x9C68</t>
  </si>
  <si>
    <t>FISH_REL</t>
  </si>
  <si>
    <t>Fishing</t>
  </si>
  <si>
    <t>0x3</t>
  </si>
  <si>
    <t>0xA120</t>
  </si>
  <si>
    <t>0x3808</t>
  </si>
  <si>
    <t>MURD_REL</t>
  </si>
  <si>
    <t>lose life?</t>
  </si>
  <si>
    <t>0xD</t>
  </si>
  <si>
    <t>0x7C000</t>
  </si>
  <si>
    <t>0x1708</t>
  </si>
  <si>
    <t>0x1214</t>
  </si>
  <si>
    <t>0x800C4834</t>
  </si>
  <si>
    <t>DOOA_REL</t>
  </si>
  <si>
    <t>dying fade out?</t>
  </si>
  <si>
    <t>0x9</t>
  </si>
  <si>
    <t>0x80000</t>
  </si>
  <si>
    <t>0x4894</t>
  </si>
  <si>
    <t>0x2FD4</t>
  </si>
  <si>
    <t>DGET_REL</t>
  </si>
  <si>
    <t>tournament list?</t>
  </si>
  <si>
    <t>0xB</t>
  </si>
  <si>
    <t>0x80800</t>
  </si>
  <si>
    <t>0x148C</t>
  </si>
  <si>
    <t>SHOP_REL</t>
  </si>
  <si>
    <t>Shop</t>
  </si>
  <si>
    <t>0x7820</t>
  </si>
  <si>
    <t>0x5AC</t>
  </si>
  <si>
    <t>TRN_REL</t>
  </si>
  <si>
    <t>Training (City)</t>
  </si>
  <si>
    <t>0xA</t>
  </si>
  <si>
    <t>0x88800</t>
  </si>
  <si>
    <t>0x6718</t>
  </si>
  <si>
    <t>0x478</t>
  </si>
  <si>
    <t>0x800F06F0</t>
  </si>
  <si>
    <t>TRN2_REL</t>
  </si>
  <si>
    <t>Training (Extern)</t>
  </si>
  <si>
    <t>0xC</t>
  </si>
  <si>
    <t>0x50F0</t>
  </si>
  <si>
    <t>0x38C</t>
  </si>
  <si>
    <t>SLUS_010.32</t>
  </si>
  <si>
    <t>0x90800</t>
  </si>
  <si>
    <t>0xA4800</t>
  </si>
  <si>
    <t>0xA4240</t>
  </si>
  <si>
    <t>0x134C4C</t>
  </si>
  <si>
    <t>0x8B000</t>
  </si>
  <si>
    <t>0x800C44C0</t>
  </si>
  <si>
    <t>0x800C396C</t>
  </si>
  <si>
    <t>0x800C3860</t>
  </si>
  <si>
    <t>0x00000000</t>
  </si>
  <si>
    <t>Setup</t>
  </si>
  <si>
    <t>Slot 1</t>
  </si>
  <si>
    <t>Slot 2</t>
  </si>
  <si>
    <t>Slot 3</t>
  </si>
  <si>
    <t>Slot 4</t>
  </si>
  <si>
    <t>Slot 5</t>
  </si>
  <si>
    <t>Slot 6</t>
  </si>
  <si>
    <t>Slot 7</t>
  </si>
  <si>
    <t>Slot 8</t>
  </si>
  <si>
    <t>Slot 9</t>
  </si>
  <si>
    <t>Slot 10</t>
  </si>
  <si>
    <t>AE02E0</t>
  </si>
  <si>
    <t>AE02E2</t>
  </si>
  <si>
    <t>AE02E4</t>
  </si>
  <si>
    <t>AE02E6</t>
  </si>
  <si>
    <t>AE02E8</t>
  </si>
  <si>
    <t>AE02FA</t>
  </si>
  <si>
    <t>AE02FC</t>
  </si>
  <si>
    <t>AE02FE</t>
  </si>
  <si>
    <t>AE0300</t>
  </si>
  <si>
    <t>AE02DA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</si>
</sst>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0.0"/>
      <color rgb="FF000000"/>
      <name val="Arial"/>
    </font>
    <font>
      <name val="Arial"/>
    </font>
    <font>
      <color rgb="FF000000"/>
      <name val="'Arial'"/>
    </font>
    <font/>
    <font>
      <sz val="10.0"/>
    </font>
    <font>
      <b/>
    </font>
    <font>
      <b/>
      <strike/>
    </font>
    <font>
      <strike/>
    </font>
    <font>
      <color rgb="FFFF0000"/>
    </font>
    <font>
      <color rgb="FF999999"/>
    </font>
    <font>
      <color rgb="FF666666"/>
    </font>
    <font>
      <color rgb="FF000000"/>
    </font>
    <font>
      <sz val="11.0"/>
    </font>
    <font>
      <i/>
    </font>
    <font>
      <b/>
      <color rgb="FFFF0000"/>
    </font>
    <font>
      <b/>
      <color rgb="FF000000"/>
    </font>
    <font>
      <b/>
      <color rgb="FFFFFFFF"/>
    </font>
    <font>
      <b/>
      <name val="Arial"/>
    </font>
    <font>
      <b/>
      <color rgb="FFFFFFFF"/>
      <name val="Arial"/>
    </font>
    <font>
      <color rgb="FF000000"/>
      <name val="Arial"/>
    </font>
    <font>
      <sz val="11.0"/>
      <color rgb="FF000000"/>
    </font>
    <font>
      <sz val="11.0"/>
      <name val="Arial"/>
    </font>
    <font>
      <strike/>
      <name val="Arial"/>
    </font>
    <font>
      <strike/>
      <sz val="11.0"/>
      <name val="Arial"/>
    </font>
    <font>
      <strike/>
      <color rgb="FF000000"/>
      <name val="Arial"/>
    </font>
    <font>
      <color rgb="FF000000"/>
      <name val="&quot;Arial&quot;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</fills>
  <borders count="15">
    <border/>
    <border>
      <right/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right" readingOrder="0"/>
    </xf>
    <xf borderId="0" fillId="0" fontId="4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3" numFmtId="0" xfId="0" applyAlignment="1" applyFont="1">
      <alignment horizontal="right"/>
    </xf>
    <xf borderId="0" fillId="0" fontId="3" numFmtId="0" xfId="0" applyFont="1"/>
    <xf borderId="0" fillId="0" fontId="3" numFmtId="0" xfId="0" applyAlignment="1" applyFont="1">
      <alignment readingOrder="0"/>
    </xf>
    <xf borderId="0" fillId="2" fontId="3" numFmtId="0" xfId="0" applyFill="1" applyFont="1"/>
    <xf borderId="0" fillId="2" fontId="1" numFmtId="0" xfId="0" applyAlignment="1" applyFont="1">
      <alignment vertical="bottom"/>
    </xf>
    <xf borderId="0" fillId="2" fontId="1" numFmtId="0" xfId="0" applyAlignment="1" applyFont="1">
      <alignment readingOrder="0" vertical="bottom"/>
    </xf>
    <xf borderId="0" fillId="2" fontId="1" numFmtId="0" xfId="0" applyAlignment="1" applyFont="1">
      <alignment readingOrder="0" vertical="bottom"/>
    </xf>
    <xf borderId="0" fillId="2" fontId="3" numFmtId="0" xfId="0" applyAlignment="1" applyFont="1">
      <alignment readingOrder="0"/>
    </xf>
    <xf borderId="1" fillId="0" fontId="1" numFmtId="0" xfId="0" applyAlignment="1" applyBorder="1" applyFont="1">
      <alignment shrinkToFit="0" vertical="bottom" wrapText="0"/>
    </xf>
    <xf borderId="2" fillId="0" fontId="5" numFmtId="0" xfId="0" applyAlignment="1" applyBorder="1" applyFont="1">
      <alignment horizontal="center" readingOrder="0"/>
    </xf>
    <xf borderId="3" fillId="0" fontId="3" numFmtId="0" xfId="0" applyBorder="1" applyFont="1"/>
    <xf borderId="0" fillId="0" fontId="5" numFmtId="0" xfId="0" applyAlignment="1" applyFont="1">
      <alignment horizontal="center" readingOrder="0"/>
    </xf>
    <xf borderId="3" fillId="0" fontId="5" numFmtId="0" xfId="0" applyAlignment="1" applyBorder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4" fillId="0" fontId="3" numFmtId="0" xfId="0" applyAlignment="1" applyBorder="1" applyFont="1">
      <alignment horizontal="center" readingOrder="0"/>
    </xf>
    <xf borderId="5" fillId="0" fontId="3" numFmtId="0" xfId="0" applyAlignment="1" applyBorder="1" applyFont="1">
      <alignment horizontal="center" readingOrder="0"/>
    </xf>
    <xf borderId="4" fillId="0" fontId="7" numFmtId="0" xfId="0" applyAlignment="1" applyBorder="1" applyFont="1">
      <alignment horizontal="center" readingOrder="0"/>
    </xf>
    <xf borderId="5" fillId="0" fontId="7" numFmtId="0" xfId="0" applyAlignment="1" applyBorder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2" fillId="0" fontId="3" numFmtId="0" xfId="0" applyAlignment="1" applyBorder="1" applyFont="1">
      <alignment readingOrder="0"/>
    </xf>
    <xf borderId="3" fillId="0" fontId="3" numFmtId="0" xfId="0" applyAlignment="1" applyBorder="1" applyFont="1">
      <alignment horizontal="center" readingOrder="0"/>
    </xf>
    <xf borderId="0" fillId="0" fontId="7" numFmtId="0" xfId="0" applyAlignment="1" applyFont="1">
      <alignment readingOrder="0"/>
    </xf>
    <xf borderId="3" fillId="0" fontId="7" numFmtId="0" xfId="0" applyAlignment="1" applyBorder="1" applyFont="1">
      <alignment horizontal="center" readingOrder="0"/>
    </xf>
    <xf borderId="0" fillId="0" fontId="7" numFmtId="0" xfId="0" applyAlignment="1" applyFont="1">
      <alignment horizontal="left" readingOrder="0"/>
    </xf>
    <xf borderId="3" fillId="0" fontId="7" numFmtId="0" xfId="0" applyAlignment="1" applyBorder="1" applyFont="1">
      <alignment horizontal="center"/>
    </xf>
    <xf borderId="0" fillId="0" fontId="7" numFmtId="0" xfId="0" applyFont="1"/>
    <xf borderId="3" fillId="0" fontId="7" numFmtId="0" xfId="0" applyBorder="1" applyFont="1"/>
    <xf borderId="0" fillId="0" fontId="7" numFmtId="0" xfId="0" applyAlignment="1" applyFont="1">
      <alignment horizontal="left"/>
    </xf>
    <xf borderId="0" fillId="0" fontId="8" numFmtId="0" xfId="0" applyAlignment="1" applyFont="1">
      <alignment readingOrder="0"/>
    </xf>
    <xf borderId="3" fillId="0" fontId="8" numFmtId="0" xfId="0" applyAlignment="1" applyBorder="1" applyFont="1">
      <alignment horizontal="center" readingOrder="0"/>
    </xf>
    <xf borderId="3" fillId="0" fontId="3" numFmtId="0" xfId="0" applyAlignment="1" applyBorder="1" applyFont="1">
      <alignment horizontal="center"/>
    </xf>
    <xf borderId="2" fillId="0" fontId="3" numFmtId="0" xfId="0" applyBorder="1" applyFont="1"/>
    <xf borderId="2" fillId="0" fontId="8" numFmtId="0" xfId="0" applyAlignment="1" applyBorder="1" applyFont="1">
      <alignment readingOrder="0"/>
    </xf>
    <xf borderId="0" fillId="0" fontId="3" numFmtId="0" xfId="0" applyAlignment="1" applyFont="1">
      <alignment horizontal="left"/>
    </xf>
    <xf borderId="0" fillId="0" fontId="5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0" numFmtId="0" xfId="0" applyFont="1"/>
    <xf borderId="0" fillId="0" fontId="11" numFmtId="0" xfId="0" applyAlignment="1" applyFont="1">
      <alignment readingOrder="0"/>
    </xf>
    <xf borderId="0" fillId="0" fontId="12" numFmtId="0" xfId="0" applyFont="1"/>
    <xf borderId="0" fillId="0" fontId="3" numFmtId="0" xfId="0" applyAlignment="1" applyFont="1">
      <alignment horizontal="right" readingOrder="0"/>
    </xf>
    <xf borderId="0" fillId="0" fontId="1" numFmtId="0" xfId="0" applyAlignment="1" applyFont="1">
      <alignment horizontal="right" vertical="bottom"/>
    </xf>
    <xf borderId="0" fillId="3" fontId="3" numFmtId="0" xfId="0" applyFill="1" applyFont="1"/>
    <xf borderId="0" fillId="2" fontId="3" numFmtId="0" xfId="0" applyAlignment="1" applyFont="1">
      <alignment horizontal="left" readingOrder="0"/>
    </xf>
    <xf borderId="0" fillId="2" fontId="3" numFmtId="0" xfId="0" applyAlignment="1" applyFont="1">
      <alignment readingOrder="0"/>
    </xf>
    <xf borderId="0" fillId="2" fontId="3" numFmtId="0" xfId="0" applyAlignment="1" applyFont="1">
      <alignment horizontal="left" readingOrder="0"/>
    </xf>
    <xf borderId="0" fillId="2" fontId="3" numFmtId="0" xfId="0" applyAlignment="1" applyFont="1">
      <alignment readingOrder="0"/>
    </xf>
    <xf borderId="0" fillId="2" fontId="3" numFmtId="0" xfId="0" applyAlignment="1" applyFont="1">
      <alignment readingOrder="0"/>
    </xf>
    <xf borderId="0" fillId="2" fontId="3" numFmtId="0" xfId="0" applyFont="1"/>
    <xf borderId="0" fillId="0" fontId="13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right"/>
    </xf>
    <xf borderId="4" fillId="0" fontId="5" numFmtId="0" xfId="0" applyAlignment="1" applyBorder="1" applyFont="1">
      <alignment readingOrder="0"/>
    </xf>
    <xf borderId="4" fillId="0" fontId="3" numFmtId="0" xfId="0" applyAlignment="1" applyBorder="1" applyFont="1">
      <alignment readingOrder="0"/>
    </xf>
    <xf borderId="4" fillId="0" fontId="8" numFmtId="0" xfId="0" applyAlignment="1" applyBorder="1" applyFont="1">
      <alignment readingOrder="0"/>
    </xf>
    <xf borderId="4" fillId="0" fontId="3" numFmtId="0" xfId="0" applyBorder="1" applyFont="1"/>
    <xf borderId="4" fillId="0" fontId="3" numFmtId="0" xfId="0" applyAlignment="1" applyBorder="1" applyFont="1">
      <alignment horizontal="left"/>
    </xf>
    <xf borderId="0" fillId="0" fontId="14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left" readingOrder="0" vertical="center"/>
    </xf>
    <xf borderId="6" fillId="4" fontId="16" numFmtId="0" xfId="0" applyAlignment="1" applyBorder="1" applyFill="1" applyFont="1">
      <alignment horizontal="left" readingOrder="0" vertical="center"/>
    </xf>
    <xf borderId="7" fillId="0" fontId="3" numFmtId="0" xfId="0" applyBorder="1" applyFont="1"/>
    <xf borderId="8" fillId="0" fontId="3" numFmtId="0" xfId="0" applyBorder="1" applyFont="1"/>
    <xf borderId="6" fillId="0" fontId="5" numFmtId="0" xfId="0" applyAlignment="1" applyBorder="1" applyFont="1">
      <alignment horizontal="left" readingOrder="0" vertical="center"/>
    </xf>
    <xf borderId="7" fillId="0" fontId="5" numFmtId="0" xfId="0" applyAlignment="1" applyBorder="1" applyFont="1">
      <alignment horizontal="left" readingOrder="0" vertical="center"/>
    </xf>
    <xf borderId="7" fillId="0" fontId="5" numFmtId="0" xfId="0" applyAlignment="1" applyBorder="1" applyFont="1">
      <alignment horizontal="left" readingOrder="0"/>
    </xf>
    <xf borderId="8" fillId="0" fontId="5" numFmtId="0" xfId="0" applyAlignment="1" applyBorder="1" applyFont="1">
      <alignment horizontal="left" readingOrder="0" vertical="center"/>
    </xf>
    <xf borderId="2" fillId="0" fontId="3" numFmtId="0" xfId="0" applyAlignment="1" applyBorder="1" applyFont="1">
      <alignment horizontal="left" readingOrder="0" vertical="center"/>
    </xf>
    <xf borderId="3" fillId="0" fontId="3" numFmtId="0" xfId="0" applyAlignment="1" applyBorder="1" applyFont="1">
      <alignment horizontal="left" readingOrder="0" vertical="center"/>
    </xf>
    <xf borderId="2" fillId="0" fontId="3" numFmtId="0" xfId="0" applyAlignment="1" applyBorder="1" applyFont="1">
      <alignment horizontal="left" readingOrder="0"/>
    </xf>
    <xf borderId="9" fillId="0" fontId="3" numFmtId="0" xfId="0" applyAlignment="1" applyBorder="1" applyFont="1">
      <alignment horizontal="left" readingOrder="0" vertical="center"/>
    </xf>
    <xf borderId="4" fillId="0" fontId="3" numFmtId="0" xfId="0" applyAlignment="1" applyBorder="1" applyFont="1">
      <alignment horizontal="left" readingOrder="0" vertical="center"/>
    </xf>
    <xf borderId="4" fillId="0" fontId="3" numFmtId="0" xfId="0" applyAlignment="1" applyBorder="1" applyFont="1">
      <alignment horizontal="left" readingOrder="0"/>
    </xf>
    <xf borderId="5" fillId="0" fontId="3" numFmtId="0" xfId="0" applyAlignment="1" applyBorder="1" applyFont="1">
      <alignment horizontal="left" readingOrder="0" vertical="center"/>
    </xf>
    <xf borderId="0" fillId="0" fontId="3" numFmtId="0" xfId="0" applyAlignment="1" applyFont="1">
      <alignment horizontal="left" vertical="center"/>
    </xf>
    <xf borderId="0" fillId="2" fontId="3" numFmtId="0" xfId="0" applyAlignment="1" applyFont="1">
      <alignment horizontal="left" readingOrder="0" vertical="center"/>
    </xf>
    <xf borderId="0" fillId="0" fontId="11" numFmtId="0" xfId="0" applyAlignment="1" applyFont="1">
      <alignment horizontal="left" readingOrder="0" vertical="center"/>
    </xf>
    <xf borderId="0" fillId="0" fontId="11" numFmtId="0" xfId="0" applyAlignment="1" applyFont="1">
      <alignment horizontal="left" readingOrder="0"/>
    </xf>
    <xf borderId="0" fillId="2" fontId="3" numFmtId="0" xfId="0" applyAlignment="1" applyFont="1">
      <alignment horizontal="center" readingOrder="0" vertical="center"/>
    </xf>
    <xf borderId="0" fillId="2" fontId="3" numFmtId="0" xfId="0" applyAlignment="1" applyFont="1">
      <alignment horizontal="center" readingOrder="0"/>
    </xf>
    <xf borderId="0" fillId="2" fontId="12" numFmtId="0" xfId="0" applyAlignment="1" applyFont="1">
      <alignment horizontal="center" readingOrder="0"/>
    </xf>
    <xf borderId="0" fillId="2" fontId="1" numFmtId="0" xfId="0" applyAlignment="1" applyFont="1">
      <alignment horizontal="center" vertical="bottom"/>
    </xf>
    <xf borderId="0" fillId="2" fontId="1" numFmtId="0" xfId="0" applyAlignment="1" applyFont="1">
      <alignment horizontal="center" readingOrder="0" vertical="bottom"/>
    </xf>
    <xf borderId="0" fillId="2" fontId="3" numFmtId="0" xfId="0" applyAlignment="1" applyFont="1">
      <alignment horizontal="right" readingOrder="0"/>
    </xf>
    <xf borderId="0" fillId="2" fontId="12" numFmtId="0" xfId="0" applyAlignment="1" applyFont="1">
      <alignment readingOrder="0"/>
    </xf>
    <xf borderId="0" fillId="2" fontId="1" numFmtId="0" xfId="0" applyAlignment="1" applyFont="1">
      <alignment vertical="bottom"/>
    </xf>
    <xf borderId="10" fillId="4" fontId="16" numFmtId="0" xfId="0" applyAlignment="1" applyBorder="1" applyFont="1">
      <alignment readingOrder="0"/>
    </xf>
    <xf borderId="11" fillId="2" fontId="3" numFmtId="0" xfId="0" applyAlignment="1" applyBorder="1" applyFont="1">
      <alignment readingOrder="0"/>
    </xf>
    <xf borderId="12" fillId="2" fontId="3" numFmtId="0" xfId="0" applyAlignment="1" applyBorder="1" applyFont="1">
      <alignment readingOrder="0"/>
    </xf>
    <xf borderId="0" fillId="0" fontId="12" numFmtId="0" xfId="0" applyAlignment="1" applyFont="1">
      <alignment horizontal="right"/>
    </xf>
    <xf borderId="0" fillId="2" fontId="5" numFmtId="0" xfId="0" applyFont="1"/>
    <xf borderId="0" fillId="2" fontId="10" numFmtId="0" xfId="0" applyFont="1"/>
    <xf borderId="10" fillId="5" fontId="17" numFmtId="0" xfId="0" applyAlignment="1" applyBorder="1" applyFill="1" applyFont="1">
      <alignment horizontal="center" vertical="bottom"/>
    </xf>
    <xf borderId="0" fillId="2" fontId="3" numFmtId="0" xfId="0" applyAlignment="1" applyFont="1">
      <alignment horizontal="center"/>
    </xf>
    <xf borderId="0" fillId="2" fontId="1" numFmtId="0" xfId="0" applyAlignment="1" applyFont="1">
      <alignment readingOrder="0" vertical="bottom"/>
    </xf>
    <xf borderId="0" fillId="2" fontId="3" numFmtId="0" xfId="0" applyAlignment="1" applyFont="1">
      <alignment horizontal="right"/>
    </xf>
    <xf borderId="0" fillId="2" fontId="3" numFmtId="0" xfId="0" applyAlignment="1" applyFont="1">
      <alignment horizontal="center" vertical="center"/>
    </xf>
    <xf borderId="0" fillId="2" fontId="17" numFmtId="0" xfId="0" applyAlignment="1" applyFont="1">
      <alignment horizontal="center" vertical="top"/>
    </xf>
    <xf borderId="3" fillId="2" fontId="17" numFmtId="0" xfId="0" applyAlignment="1" applyBorder="1" applyFont="1">
      <alignment horizontal="center" vertical="top"/>
    </xf>
    <xf borderId="0" fillId="2" fontId="17" numFmtId="0" xfId="0" applyAlignment="1" applyFont="1">
      <alignment horizontal="center" readingOrder="0" vertical="top"/>
    </xf>
    <xf borderId="0" fillId="2" fontId="17" numFmtId="0" xfId="0" applyAlignment="1" applyFont="1">
      <alignment horizontal="center" readingOrder="0" vertical="bottom"/>
    </xf>
    <xf borderId="3" fillId="2" fontId="17" numFmtId="0" xfId="0" applyAlignment="1" applyBorder="1" applyFont="1">
      <alignment horizontal="center" readingOrder="0" vertical="bottom"/>
    </xf>
    <xf borderId="0" fillId="2" fontId="17" numFmtId="0" xfId="0" applyAlignment="1" applyFont="1">
      <alignment horizontal="left" vertical="bottom"/>
    </xf>
    <xf borderId="4" fillId="6" fontId="3" numFmtId="0" xfId="0" applyBorder="1" applyFill="1" applyFont="1"/>
    <xf borderId="5" fillId="6" fontId="3" numFmtId="0" xfId="0" applyBorder="1" applyFont="1"/>
    <xf borderId="4" fillId="2" fontId="1" numFmtId="0" xfId="0" applyAlignment="1" applyBorder="1" applyFont="1">
      <alignment horizontal="center" readingOrder="0" vertical="bottom"/>
    </xf>
    <xf borderId="4" fillId="2" fontId="1" numFmtId="0" xfId="0" applyAlignment="1" applyBorder="1" applyFont="1">
      <alignment horizontal="center" readingOrder="0" vertical="bottom"/>
    </xf>
    <xf borderId="5" fillId="2" fontId="1" numFmtId="0" xfId="0" applyAlignment="1" applyBorder="1" applyFont="1">
      <alignment horizontal="center" readingOrder="0" vertical="bottom"/>
    </xf>
    <xf quotePrefix="1" borderId="0" fillId="2" fontId="1" numFmtId="0" xfId="0" applyAlignment="1" applyFont="1">
      <alignment horizontal="center" vertical="bottom"/>
    </xf>
    <xf borderId="3" fillId="2" fontId="1" numFmtId="0" xfId="0" applyAlignment="1" applyBorder="1" applyFont="1">
      <alignment horizontal="center" vertical="bottom"/>
    </xf>
    <xf borderId="0" fillId="7" fontId="1" numFmtId="0" xfId="0" applyAlignment="1" applyFill="1" applyFont="1">
      <alignment horizontal="center" readingOrder="0" vertical="bottom"/>
    </xf>
    <xf borderId="0" fillId="8" fontId="1" numFmtId="0" xfId="0" applyAlignment="1" applyFill="1" applyFont="1">
      <alignment horizontal="center" readingOrder="0" vertical="bottom"/>
    </xf>
    <xf borderId="3" fillId="7" fontId="1" numFmtId="0" xfId="0" applyAlignment="1" applyBorder="1" applyFont="1">
      <alignment horizontal="center" readingOrder="0" vertical="bottom"/>
    </xf>
    <xf borderId="0" fillId="2" fontId="1" numFmtId="0" xfId="0" applyAlignment="1" applyFont="1">
      <alignment horizontal="left" vertical="bottom"/>
    </xf>
    <xf borderId="0" fillId="9" fontId="1" numFmtId="0" xfId="0" applyAlignment="1" applyFill="1" applyFont="1">
      <alignment horizontal="center" readingOrder="0" vertical="bottom"/>
    </xf>
    <xf borderId="3" fillId="8" fontId="1" numFmtId="0" xfId="0" applyAlignment="1" applyBorder="1" applyFont="1">
      <alignment horizontal="center" readingOrder="0" vertical="bottom"/>
    </xf>
    <xf borderId="10" fillId="4" fontId="18" numFmtId="0" xfId="0" applyAlignment="1" applyBorder="1" applyFont="1">
      <alignment horizontal="left" readingOrder="0" vertical="bottom"/>
    </xf>
    <xf borderId="11" fillId="10" fontId="1" numFmtId="0" xfId="0" applyAlignment="1" applyBorder="1" applyFill="1" applyFont="1">
      <alignment horizontal="left" readingOrder="0" vertical="bottom"/>
    </xf>
    <xf borderId="0" fillId="11" fontId="1" numFmtId="0" xfId="0" applyAlignment="1" applyFill="1" applyFont="1">
      <alignment horizontal="center" readingOrder="0" vertical="bottom"/>
    </xf>
    <xf borderId="11" fillId="7" fontId="1" numFmtId="0" xfId="0" applyAlignment="1" applyBorder="1" applyFont="1">
      <alignment horizontal="left" readingOrder="0" vertical="bottom"/>
    </xf>
    <xf borderId="11" fillId="7" fontId="3" numFmtId="0" xfId="0" applyAlignment="1" applyBorder="1" applyFont="1">
      <alignment readingOrder="0"/>
    </xf>
    <xf borderId="12" fillId="8" fontId="3" numFmtId="0" xfId="0" applyAlignment="1" applyBorder="1" applyFont="1">
      <alignment readingOrder="0"/>
    </xf>
    <xf borderId="13" fillId="7" fontId="1" numFmtId="0" xfId="0" applyAlignment="1" applyBorder="1" applyFont="1">
      <alignment horizontal="left" readingOrder="0" vertical="bottom"/>
    </xf>
    <xf borderId="11" fillId="9" fontId="1" numFmtId="0" xfId="0" applyAlignment="1" applyBorder="1" applyFont="1">
      <alignment horizontal="left" readingOrder="0" vertical="bottom"/>
    </xf>
    <xf borderId="11" fillId="8" fontId="1" numFmtId="0" xfId="0" applyAlignment="1" applyBorder="1" applyFont="1">
      <alignment horizontal="left" readingOrder="0" vertical="bottom"/>
    </xf>
    <xf borderId="11" fillId="10" fontId="3" numFmtId="0" xfId="0" applyAlignment="1" applyBorder="1" applyFont="1">
      <alignment readingOrder="0"/>
    </xf>
    <xf borderId="12" fillId="9" fontId="1" numFmtId="0" xfId="0" applyAlignment="1" applyBorder="1" applyFont="1">
      <alignment horizontal="left" readingOrder="0" vertical="bottom"/>
    </xf>
    <xf borderId="0" fillId="10" fontId="1" numFmtId="0" xfId="0" applyAlignment="1" applyFont="1">
      <alignment horizontal="center" readingOrder="0" vertical="bottom"/>
    </xf>
    <xf borderId="3" fillId="2" fontId="1" numFmtId="0" xfId="0" applyAlignment="1" applyBorder="1" applyFont="1">
      <alignment horizontal="center" readingOrder="0" vertical="bottom"/>
    </xf>
    <xf borderId="0" fillId="8" fontId="1" numFmtId="0" xfId="0" applyAlignment="1" applyFont="1">
      <alignment horizontal="center" vertical="bottom"/>
    </xf>
    <xf borderId="0" fillId="7" fontId="19" numFmtId="0" xfId="0" applyAlignment="1" applyFont="1">
      <alignment horizontal="center" readingOrder="0" vertical="bottom"/>
    </xf>
    <xf borderId="4" fillId="2" fontId="1" numFmtId="0" xfId="0" applyAlignment="1" applyBorder="1" applyFont="1">
      <alignment horizontal="center" vertical="bottom"/>
    </xf>
    <xf borderId="4" fillId="9" fontId="1" numFmtId="0" xfId="0" applyAlignment="1" applyBorder="1" applyFont="1">
      <alignment horizontal="center" readingOrder="0" vertical="bottom"/>
    </xf>
    <xf borderId="4" fillId="7" fontId="1" numFmtId="0" xfId="0" applyAlignment="1" applyBorder="1" applyFont="1">
      <alignment horizontal="center" readingOrder="0" vertical="bottom"/>
    </xf>
    <xf borderId="5" fillId="2" fontId="1" numFmtId="0" xfId="0" applyAlignment="1" applyBorder="1" applyFont="1">
      <alignment horizontal="center" vertical="bottom"/>
    </xf>
    <xf borderId="3" fillId="0" fontId="15" numFmtId="0" xfId="0" applyAlignment="1" applyBorder="1" applyFont="1">
      <alignment horizontal="center" readingOrder="0"/>
    </xf>
    <xf borderId="0" fillId="0" fontId="5" numFmtId="0" xfId="0" applyFont="1"/>
    <xf borderId="2" fillId="0" fontId="3" numFmtId="0" xfId="0" applyAlignment="1" applyBorder="1" applyFont="1">
      <alignment horizontal="center" readingOrder="0"/>
    </xf>
    <xf borderId="3" fillId="0" fontId="11" numFmtId="0" xfId="0" applyAlignment="1" applyBorder="1" applyFont="1">
      <alignment horizontal="center" readingOrder="0"/>
    </xf>
    <xf borderId="3" fillId="0" fontId="20" numFmtId="0" xfId="0" applyAlignment="1" applyBorder="1" applyFont="1">
      <alignment horizontal="center"/>
    </xf>
    <xf borderId="0" fillId="0" fontId="20" numFmtId="0" xfId="0" applyFont="1"/>
    <xf borderId="4" fillId="0" fontId="3" numFmtId="0" xfId="0" applyAlignment="1" applyBorder="1" applyFont="1">
      <alignment horizontal="center"/>
    </xf>
    <xf borderId="9" fillId="0" fontId="3" numFmtId="0" xfId="0" applyAlignment="1" applyBorder="1" applyFont="1">
      <alignment horizontal="center" readingOrder="0"/>
    </xf>
    <xf borderId="5" fillId="0" fontId="20" numFmtId="0" xfId="0" applyAlignment="1" applyBorder="1" applyFont="1">
      <alignment horizontal="center"/>
    </xf>
    <xf borderId="4" fillId="0" fontId="20" numFmtId="0" xfId="0" applyBorder="1" applyFont="1"/>
    <xf borderId="2" fillId="0" fontId="3" numFmtId="0" xfId="0" applyAlignment="1" applyBorder="1" applyFont="1">
      <alignment horizontal="center"/>
    </xf>
    <xf borderId="3" fillId="0" fontId="11" numFmtId="0" xfId="0" applyAlignment="1" applyBorder="1" applyFont="1">
      <alignment horizontal="center"/>
    </xf>
    <xf borderId="0" fillId="0" fontId="11" numFmtId="0" xfId="0" applyFont="1"/>
    <xf borderId="0" fillId="0" fontId="5" numFmtId="49" xfId="0" applyAlignment="1" applyFont="1" applyNumberFormat="1">
      <alignment horizontal="left" readingOrder="0"/>
    </xf>
    <xf borderId="0" fillId="0" fontId="5" numFmtId="0" xfId="0" applyAlignment="1" applyFont="1">
      <alignment horizontal="left" readingOrder="0"/>
    </xf>
    <xf borderId="0" fillId="0" fontId="3" numFmtId="49" xfId="0" applyAlignment="1" applyFont="1" applyNumberFormat="1">
      <alignment horizontal="left" readingOrder="0"/>
    </xf>
    <xf borderId="0" fillId="0" fontId="3" numFmtId="49" xfId="0" applyAlignment="1" applyFont="1" applyNumberFormat="1">
      <alignment readingOrder="0"/>
    </xf>
    <xf borderId="4" fillId="0" fontId="5" numFmtId="0" xfId="0" applyAlignment="1" applyBorder="1" applyFont="1">
      <alignment horizontal="center" readingOrder="0"/>
    </xf>
    <xf borderId="4" fillId="2" fontId="5" numFmtId="0" xfId="0" applyAlignment="1" applyBorder="1" applyFont="1">
      <alignment horizontal="center" readingOrder="0"/>
    </xf>
    <xf borderId="4" fillId="0" fontId="5" numFmtId="0" xfId="0" applyAlignment="1" applyBorder="1" applyFont="1">
      <alignment horizontal="left" readingOrder="0"/>
    </xf>
    <xf borderId="5" fillId="0" fontId="5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 vertical="bottom"/>
    </xf>
    <xf borderId="0" fillId="0" fontId="21" numFmtId="0" xfId="0" applyAlignment="1" applyFont="1">
      <alignment horizontal="center" readingOrder="0" vertical="bottom"/>
    </xf>
    <xf borderId="0" fillId="0" fontId="1" numFmtId="0" xfId="0" applyAlignment="1" applyFont="1">
      <alignment horizontal="left" readingOrder="0" vertical="bottom"/>
    </xf>
    <xf borderId="0" fillId="0" fontId="7" numFmtId="0" xfId="0" applyAlignment="1" applyFont="1">
      <alignment horizontal="center" readingOrder="0"/>
    </xf>
    <xf borderId="0" fillId="0" fontId="22" numFmtId="0" xfId="0" applyAlignment="1" applyFont="1">
      <alignment horizontal="center" vertical="bottom"/>
    </xf>
    <xf borderId="0" fillId="0" fontId="23" numFmtId="0" xfId="0" applyAlignment="1" applyFont="1">
      <alignment horizontal="center" vertical="bottom"/>
    </xf>
    <xf borderId="0" fillId="0" fontId="22" numFmtId="0" xfId="0" applyAlignment="1" applyFont="1">
      <alignment horizontal="left" vertical="bottom"/>
    </xf>
    <xf borderId="0" fillId="0" fontId="7" numFmtId="0" xfId="0" applyAlignment="1" applyFont="1">
      <alignment horizontal="center"/>
    </xf>
    <xf borderId="0" fillId="0" fontId="21" numFmtId="0" xfId="0" applyAlignment="1" applyFont="1">
      <alignment horizontal="center" vertical="bottom"/>
    </xf>
    <xf borderId="0" fillId="0" fontId="1" numFmtId="0" xfId="0" applyAlignment="1" applyFont="1">
      <alignment horizontal="left" vertical="bottom"/>
    </xf>
    <xf borderId="0" fillId="2" fontId="22" numFmtId="0" xfId="0" applyAlignment="1" applyFont="1">
      <alignment horizontal="center" vertical="bottom"/>
    </xf>
    <xf borderId="0" fillId="2" fontId="7" numFmtId="0" xfId="0" applyAlignment="1" applyFont="1">
      <alignment horizontal="center" readingOrder="0"/>
    </xf>
    <xf borderId="0" fillId="0" fontId="1" numFmtId="0" xfId="0" applyAlignment="1" applyFont="1">
      <alignment horizontal="left" vertical="bottom"/>
    </xf>
    <xf borderId="4" fillId="2" fontId="3" numFmtId="0" xfId="0" applyAlignment="1" applyBorder="1" applyFont="1">
      <alignment horizontal="center" readingOrder="0"/>
    </xf>
    <xf borderId="0" fillId="0" fontId="3" numFmtId="0" xfId="0" applyAlignment="1" applyFont="1">
      <alignment readingOrder="0" vertical="center"/>
    </xf>
    <xf borderId="0" fillId="0" fontId="12" numFmtId="0" xfId="0" applyAlignment="1" applyFont="1">
      <alignment vertical="center"/>
    </xf>
    <xf borderId="0" fillId="0" fontId="2" numFmtId="0" xfId="0" applyAlignment="1" applyFont="1">
      <alignment horizontal="left" readingOrder="0"/>
    </xf>
    <xf borderId="0" fillId="0" fontId="5" numFmtId="0" xfId="0" applyAlignment="1" applyFont="1">
      <alignment horizontal="left" readingOrder="0" vertical="center"/>
    </xf>
    <xf borderId="0" fillId="0" fontId="5" numFmtId="0" xfId="0" applyAlignment="1" applyFont="1">
      <alignment readingOrder="0" vertical="center"/>
    </xf>
    <xf borderId="3" fillId="0" fontId="3" numFmtId="0" xfId="0" applyAlignment="1" applyBorder="1" applyFont="1">
      <alignment readingOrder="0"/>
    </xf>
    <xf borderId="0" fillId="0" fontId="21" numFmtId="0" xfId="0" applyAlignment="1" applyFont="1">
      <alignment vertical="bottom"/>
    </xf>
    <xf borderId="3" fillId="0" fontId="21" numFmtId="0" xfId="0" applyAlignment="1" applyBorder="1" applyFont="1">
      <alignment vertical="bottom"/>
    </xf>
    <xf borderId="7" fillId="0" fontId="3" numFmtId="0" xfId="0" applyAlignment="1" applyBorder="1" applyFont="1">
      <alignment readingOrder="0"/>
    </xf>
    <xf borderId="0" fillId="2" fontId="22" numFmtId="0" xfId="0" applyAlignment="1" applyFont="1">
      <alignment vertical="bottom"/>
    </xf>
    <xf borderId="0" fillId="2" fontId="24" numFmtId="0" xfId="0" applyAlignment="1" applyFont="1">
      <alignment vertical="bottom"/>
    </xf>
    <xf borderId="0" fillId="2" fontId="19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5" numFmtId="0" xfId="0" applyAlignment="1" applyFont="1">
      <alignment readingOrder="0"/>
    </xf>
    <xf borderId="14" fillId="0" fontId="3" numFmtId="0" xfId="0" applyAlignment="1" applyBorder="1" applyFont="1">
      <alignment readingOrder="0"/>
    </xf>
    <xf borderId="14" fillId="0" fontId="3" numFmtId="0" xfId="0" applyBorder="1" applyFont="1"/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</dxfs>
  <tableStyles count="44">
    <tableStyle count="3" pivot="0" name="Cards &amp; Triggers-style">
      <tableStyleElement dxfId="1" type="headerRow"/>
      <tableStyleElement dxfId="2" type="firstRowStripe"/>
      <tableStyleElement dxfId="3" type="secondRowStripe"/>
    </tableStyle>
    <tableStyle count="3" pivot="0" name="Wrong Warps-style">
      <tableStyleElement dxfId="1" type="headerRow"/>
      <tableStyleElement dxfId="2" type="firstRowStripe"/>
      <tableStyleElement dxfId="3" type="secondRowStripe"/>
    </tableStyle>
    <tableStyle count="2" pivot="0" name="Glitch Shop Addresses-style">
      <tableStyleElement dxfId="2" type="firstRowStripe"/>
      <tableStyleElement dxfId="3" type="secondRowStripe"/>
    </tableStyle>
    <tableStyle count="2" pivot="0" name="Glitch Shop Addresses-style 2">
      <tableStyleElement dxfId="3" type="firstRowStripe"/>
      <tableStyleElement dxfId="2" type="secondRowStripe"/>
    </tableStyle>
    <tableStyle count="2" pivot="0" name="Glitch Shop Addresses-style 3">
      <tableStyleElement dxfId="3" type="firstRowStripe"/>
      <tableStyleElement dxfId="2" type="secondRowStripe"/>
    </tableStyle>
    <tableStyle count="2" pivot="0" name="Glitch Shop Item List-style">
      <tableStyleElement dxfId="5" type="firstRowStripe"/>
      <tableStyleElement dxfId="6" type="secondRowStripe"/>
    </tableStyle>
    <tableStyle count="2" pivot="0" name="Glitch Shop Item List-style 2">
      <tableStyleElement dxfId="5" type="firstRowStripe"/>
      <tableStyleElement dxfId="6" type="secondRowStripe"/>
    </tableStyle>
    <tableStyle count="2" pivot="0" name="Glitch Shop Item List-style 3">
      <tableStyleElement dxfId="5" type="firstRowStripe"/>
      <tableStyleElement dxfId="6" type="secondRowStripe"/>
    </tableStyle>
    <tableStyle count="2" pivot="0" name="Glitch Shop Item List-style 4">
      <tableStyleElement dxfId="5" type="firstRowStripe"/>
      <tableStyleElement dxfId="6" type="secondRowStripe"/>
    </tableStyle>
    <tableStyle count="2" pivot="0" name="Glitch Shop Item List-style 5">
      <tableStyleElement dxfId="5" type="firstRowStripe"/>
      <tableStyleElement dxfId="6" type="secondRowStripe"/>
    </tableStyle>
    <tableStyle count="2" pivot="0" name="Glitch Shop Item List-style 6">
      <tableStyleElement dxfId="5" type="firstRowStripe"/>
      <tableStyleElement dxfId="6" type="secondRowStripe"/>
    </tableStyle>
    <tableStyle count="2" pivot="0" name="Glitch Shop Item List-style 7">
      <tableStyleElement dxfId="5" type="firstRowStripe"/>
      <tableStyleElement dxfId="6" type="secondRowStripe"/>
    </tableStyle>
    <tableStyle count="2" pivot="0" name="Glitch Shop Item List-style 8">
      <tableStyleElement dxfId="5" type="firstRowStripe"/>
      <tableStyleElement dxfId="6" type="secondRowStripe"/>
    </tableStyle>
    <tableStyle count="2" pivot="0" name="Glitch Shop Item List-style 9">
      <tableStyleElement dxfId="5" type="firstRowStripe"/>
      <tableStyleElement dxfId="6" type="secondRowStripe"/>
    </tableStyle>
    <tableStyle count="2" pivot="0" name="Glitch Shop Item List-style 10">
      <tableStyleElement dxfId="5" type="firstRowStripe"/>
      <tableStyleElement dxfId="6" type="secondRowStripe"/>
    </tableStyle>
    <tableStyle count="2" pivot="0" name="Glitch Shop Item List-style 11">
      <tableStyleElement dxfId="5" type="firstRowStripe"/>
      <tableStyleElement dxfId="6" type="secondRowStripe"/>
    </tableStyle>
    <tableStyle count="2" pivot="0" name="Glitch Shop Item List-style 12">
      <tableStyleElement dxfId="5" type="firstRowStripe"/>
      <tableStyleElement dxfId="6" type="secondRowStripe"/>
    </tableStyle>
    <tableStyle count="2" pivot="0" name="Glitch Shop Item List-style 13">
      <tableStyleElement dxfId="5" type="firstRowStripe"/>
      <tableStyleElement dxfId="6" type="secondRowStripe"/>
    </tableStyle>
    <tableStyle count="2" pivot="0" name="Glitch Shop Item List-style 14">
      <tableStyleElement dxfId="5" type="firstRowStripe"/>
      <tableStyleElement dxfId="6" type="secondRowStripe"/>
    </tableStyle>
    <tableStyle count="2" pivot="0" name="Glitch Shop Item List-style 15">
      <tableStyleElement dxfId="5" type="firstRowStripe"/>
      <tableStyleElement dxfId="6" type="secondRowStripe"/>
    </tableStyle>
    <tableStyle count="2" pivot="0" name="Glitch Shop Item List-style 16">
      <tableStyleElement dxfId="6" type="firstRowStripe"/>
      <tableStyleElement dxfId="5" type="secondRowStripe"/>
    </tableStyle>
    <tableStyle count="2" pivot="0" name="Glitch Shop Item List-style 17">
      <tableStyleElement dxfId="5" type="firstRowStripe"/>
      <tableStyleElement dxfId="6" type="secondRowStripe"/>
    </tableStyle>
    <tableStyle count="2" pivot="0" name="Glitch Shop Item List-style 18">
      <tableStyleElement dxfId="5" type="firstRowStripe"/>
      <tableStyleElement dxfId="6" type="secondRowStripe"/>
    </tableStyle>
    <tableStyle count="2" pivot="0" name="Glitch Shop Item List-style 19">
      <tableStyleElement dxfId="5" type="firstRowStripe"/>
      <tableStyleElement dxfId="6" type="secondRowStripe"/>
    </tableStyle>
    <tableStyle count="2" pivot="0" name="Glitch Shop Item List-style 20">
      <tableStyleElement dxfId="5" type="firstRowStripe"/>
      <tableStyleElement dxfId="6" type="secondRowStripe"/>
    </tableStyle>
    <tableStyle count="2" pivot="0" name="Glitch Shop Item List-style 21">
      <tableStyleElement dxfId="5" type="firstRowStripe"/>
      <tableStyleElement dxfId="6" type="secondRowStripe"/>
    </tableStyle>
    <tableStyle count="2" pivot="0" name="Glitch Shop Item List-style 22">
      <tableStyleElement dxfId="6" type="firstRowStripe"/>
      <tableStyleElement dxfId="5" type="secondRowStripe"/>
    </tableStyle>
    <tableStyle count="2" pivot="0" name="Glitch Shop Item List-style 23">
      <tableStyleElement dxfId="5" type="firstRowStripe"/>
      <tableStyleElement dxfId="6" type="secondRowStripe"/>
    </tableStyle>
    <tableStyle count="2" pivot="0" name="Glitch Shop Item List-style 24">
      <tableStyleElement dxfId="5" type="firstRowStripe"/>
      <tableStyleElement dxfId="6" type="secondRowStripe"/>
    </tableStyle>
    <tableStyle count="2" pivot="0" name="Glitch Shop Item List-style 25">
      <tableStyleElement dxfId="5" type="firstRowStripe"/>
      <tableStyleElement dxfId="6" type="secondRowStripe"/>
    </tableStyle>
    <tableStyle count="2" pivot="0" name="Glitch Shop Item List-style 26">
      <tableStyleElement dxfId="5" type="firstRowStripe"/>
      <tableStyleElement dxfId="6" type="secondRowStripe"/>
    </tableStyle>
    <tableStyle count="2" pivot="0" name="Glitch Shop Item List-style 27">
      <tableStyleElement dxfId="5" type="firstRowStripe"/>
      <tableStyleElement dxfId="6" type="secondRowStripe"/>
    </tableStyle>
    <tableStyle count="2" pivot="0" name="Glitch Shop Item List-style 28">
      <tableStyleElement dxfId="5" type="firstRowStripe"/>
      <tableStyleElement dxfId="6" type="secondRowStripe"/>
    </tableStyle>
    <tableStyle count="2" pivot="0" name="Glitch Shop Item List-style 29">
      <tableStyleElement dxfId="5" type="firstRowStripe"/>
      <tableStyleElement dxfId="6" type="secondRowStripe"/>
    </tableStyle>
    <tableStyle count="2" pivot="0" name="Glitch Shop Item List-style 30">
      <tableStyleElement dxfId="5" type="firstRowStripe"/>
      <tableStyleElement dxfId="6" type="secondRowStripe"/>
    </tableStyle>
    <tableStyle count="2" pivot="0" name="Glitch Shop Item List-style 31">
      <tableStyleElement dxfId="5" type="firstRowStripe"/>
      <tableStyleElement dxfId="6" type="secondRowStripe"/>
    </tableStyle>
    <tableStyle count="2" pivot="0" name="Recycle Card-style">
      <tableStyleElement dxfId="5" type="firstRowStripe"/>
      <tableStyleElement dxfId="6" type="secondRowStripe"/>
    </tableStyle>
    <tableStyle count="2" pivot="0" name="Recycle Card-style 2">
      <tableStyleElement dxfId="5" type="firstRowStripe"/>
      <tableStyleElement dxfId="6" type="secondRowStripe"/>
    </tableStyle>
    <tableStyle count="2" pivot="0" name="Recycle Card-style 3">
      <tableStyleElement dxfId="5" type="firstRowStripe"/>
      <tableStyleElement dxfId="6" type="secondRowStripe"/>
    </tableStyle>
    <tableStyle count="2" pivot="0" name="Recycle Card-style 4">
      <tableStyleElement dxfId="6" type="firstRowStripe"/>
      <tableStyleElement dxfId="5" type="secondRowStripe"/>
    </tableStyle>
    <tableStyle count="2" pivot="0" name="Recycle Card-style 5">
      <tableStyleElement dxfId="6" type="firstRowStripe"/>
      <tableStyleElement dxfId="5" type="secondRowStripe"/>
    </tableStyle>
    <tableStyle count="2" pivot="0" name="Recycle Card-style 6">
      <tableStyleElement dxfId="6" type="firstRowStripe"/>
      <tableStyleElement dxfId="5" type="secondRowStripe"/>
    </tableStyle>
    <tableStyle count="3" pivot="0" name="Script Instructions-style">
      <tableStyleElement dxfId="1" type="headerRow"/>
      <tableStyleElement dxfId="5" type="firstRowStripe"/>
      <tableStyleElement dxfId="3" type="secondRowStripe"/>
    </tableStyle>
    <tableStyle count="3" pivot="0" name="Item Functions-style">
      <tableStyleElement dxfId="5" type="headerRow"/>
      <tableStyleElement dxfId="6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Retro Jogos #Gledson999" id="{c4bd1bff-a28e-449b-bcc7-aa7ca8f05966}" providerId="google-sheets"/>
  <x18tc:person displayName="SydMontague" id="{9e433fcd-8f6c-4ab1-a2ad-8e32dab72c86}" providerId="google-sheets"/>
  <x18tc:person displayName="Raikou" id="{c5da38a0-df35-437d-ab56-45ee83fed143}" providerId="google-sheets"/>
</x18tc:personList>
</file>

<file path=xl/tables/table1.xml><?xml version="1.0" encoding="utf-8"?>
<table xmlns="http://schemas.openxmlformats.org/spreadsheetml/2006/main" headerRowCount="0" ref="A1:I801" displayName="Table_1" name="Table_1" id="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Cards &amp; Trigger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D1:F4" displayName="Table_2" name="Table_2" id="2">
  <tableColumns count="3">
    <tableColumn name="Column1" id="1"/>
    <tableColumn name="Column2" id="2"/>
    <tableColumn name="Column3" id="3"/>
  </tableColumns>
  <tableStyleInfo name="Wrong Warp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3:I3" displayName="Table_3" name="Table_3" id="3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Glitch Shop Addresses-style" showColumnStripes="0" showFirstColumn="1" showLastColumn="1" showRowStripes="1"/>
</table>
</file>

<file path=xl/tables/table4.xml><?xml version="1.0" encoding="utf-8"?>
<table xmlns="http://schemas.openxmlformats.org/spreadsheetml/2006/main" headerRowCount="0" ref="A4:I4" displayName="Table_4" name="Table_4" id="4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Glitch Shop Addresses-style 2" showColumnStripes="0" showFirstColumn="1" showLastColumn="1" showRowStripes="1"/>
</table>
</file>

<file path=xl/tables/table5.xml><?xml version="1.0" encoding="utf-8"?>
<table xmlns="http://schemas.openxmlformats.org/spreadsheetml/2006/main" headerRowCount="0" ref="A6:I6" displayName="Table_5" name="Table_5" id="5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Glitch Shop Addresses-style 3" showColumnStripes="0" showFirstColumn="1" showLastColumn="1" showRowStripes="1"/>
</table>
</file>

<file path=xl/tables/table6.xml><?xml version="1.0" encoding="utf-8"?>
<table xmlns="http://schemas.openxmlformats.org/spreadsheetml/2006/main" headerRowCount="0" ref="C132:C134" displayName="Table_6" name="Table_6" id="6">
  <tableColumns count="1">
    <tableColumn name="Column1" id="1"/>
  </tableColumns>
  <tableStyleInfo name="Glitch Shop Item List-style" showColumnStripes="0" showFirstColumn="1" showLastColumn="1" showRowStripes="1"/>
</table>
</file>

<file path=xl/tables/table7.xml><?xml version="1.0" encoding="utf-8"?>
<table xmlns="http://schemas.openxmlformats.org/spreadsheetml/2006/main" headerRowCount="0" ref="C136:C138" displayName="Table_7" name="Table_7" id="7">
  <tableColumns count="1">
    <tableColumn name="Column1" id="1"/>
  </tableColumns>
  <tableStyleInfo name="Glitch Shop Item List-style 2" showColumnStripes="0" showFirstColumn="1" showLastColumn="1" showRowStripes="1"/>
</table>
</file>

<file path=xl/tables/table8.xml><?xml version="1.0" encoding="utf-8"?>
<table xmlns="http://schemas.openxmlformats.org/spreadsheetml/2006/main" headerRowCount="0" ref="C140:C142" displayName="Table_8" name="Table_8" id="8">
  <tableColumns count="1">
    <tableColumn name="Column1" id="1"/>
  </tableColumns>
  <tableStyleInfo name="Glitch Shop Item List-style 3" showColumnStripes="0" showFirstColumn="1" showLastColumn="1" showRowStripes="1"/>
</table>
</file>

<file path=xl/tables/table9.xml><?xml version="1.0" encoding="utf-8"?>
<table xmlns="http://schemas.openxmlformats.org/spreadsheetml/2006/main" headerRowCount="0" ref="C144:G146" displayName="Table_9" name="Table_9" id="9">
  <tableColumns count="5">
    <tableColumn name="Column1" id="1"/>
    <tableColumn name="Column2" id="2"/>
    <tableColumn name="Column3" id="3"/>
    <tableColumn name="Column4" id="4"/>
    <tableColumn name="Column5" id="5"/>
  </tableColumns>
  <tableStyleInfo name="Glitch Shop Item List-style 4" showColumnStripes="0" showFirstColumn="1" showLastColumn="1" showRowStripes="1"/>
</table>
</file>

<file path=xl/tables/table10.xml><?xml version="1.0" encoding="utf-8"?>
<table xmlns="http://schemas.openxmlformats.org/spreadsheetml/2006/main" headerRowCount="0" ref="C148:C150" displayName="Table_10" name="Table_10" id="10">
  <tableColumns count="1">
    <tableColumn name="Column1" id="1"/>
  </tableColumns>
  <tableStyleInfo name="Glitch Shop Item List-style 5" showColumnStripes="0" showFirstColumn="1" showLastColumn="1" showRowStripes="1"/>
</table>
</file>

<file path=xl/tables/table11.xml><?xml version="1.0" encoding="utf-8"?>
<table xmlns="http://schemas.openxmlformats.org/spreadsheetml/2006/main" headerRowCount="0" ref="C152:C154" displayName="Table_11" name="Table_11" id="11">
  <tableColumns count="1">
    <tableColumn name="Column1" id="1"/>
  </tableColumns>
  <tableStyleInfo name="Glitch Shop Item List-style 6" showColumnStripes="0" showFirstColumn="1" showLastColumn="1" showRowStripes="1"/>
</table>
</file>

<file path=xl/tables/table12.xml><?xml version="1.0" encoding="utf-8"?>
<table xmlns="http://schemas.openxmlformats.org/spreadsheetml/2006/main" headerRowCount="0" ref="C156:C158" displayName="Table_12" name="Table_12" id="12">
  <tableColumns count="1">
    <tableColumn name="Column1" id="1"/>
  </tableColumns>
  <tableStyleInfo name="Glitch Shop Item List-style 7" showColumnStripes="0" showFirstColumn="1" showLastColumn="1" showRowStripes="1"/>
</table>
</file>

<file path=xl/tables/table13.xml><?xml version="1.0" encoding="utf-8"?>
<table xmlns="http://schemas.openxmlformats.org/spreadsheetml/2006/main" headerRowCount="0" ref="C160:C162" displayName="Table_13" name="Table_13" id="13">
  <tableColumns count="1">
    <tableColumn name="Column1" id="1"/>
  </tableColumns>
  <tableStyleInfo name="Glitch Shop Item List-style 8" showColumnStripes="0" showFirstColumn="1" showLastColumn="1" showRowStripes="1"/>
</table>
</file>

<file path=xl/tables/table14.xml><?xml version="1.0" encoding="utf-8"?>
<table xmlns="http://schemas.openxmlformats.org/spreadsheetml/2006/main" headerRowCount="0" ref="C164:G166" displayName="Table_14" name="Table_14" id="14">
  <tableColumns count="5">
    <tableColumn name="Column1" id="1"/>
    <tableColumn name="Column2" id="2"/>
    <tableColumn name="Column3" id="3"/>
    <tableColumn name="Column4" id="4"/>
    <tableColumn name="Column5" id="5"/>
  </tableColumns>
  <tableStyleInfo name="Glitch Shop Item List-style 9" showColumnStripes="0" showFirstColumn="1" showLastColumn="1" showRowStripes="1"/>
</table>
</file>

<file path=xl/tables/table15.xml><?xml version="1.0" encoding="utf-8"?>
<table xmlns="http://schemas.openxmlformats.org/spreadsheetml/2006/main" headerRowCount="0" ref="C168:G170" displayName="Table_15" name="Table_15" id="15">
  <tableColumns count="5">
    <tableColumn name="Column1" id="1"/>
    <tableColumn name="Column2" id="2"/>
    <tableColumn name="Column3" id="3"/>
    <tableColumn name="Column4" id="4"/>
    <tableColumn name="Column5" id="5"/>
  </tableColumns>
  <tableStyleInfo name="Glitch Shop Item List-style 10" showColumnStripes="0" showFirstColumn="1" showLastColumn="1" showRowStripes="1"/>
</table>
</file>

<file path=xl/tables/table16.xml><?xml version="1.0" encoding="utf-8"?>
<table xmlns="http://schemas.openxmlformats.org/spreadsheetml/2006/main" headerRowCount="0" ref="C172:C174" displayName="Table_16" name="Table_16" id="16">
  <tableColumns count="1">
    <tableColumn name="Column1" id="1"/>
  </tableColumns>
  <tableStyleInfo name="Glitch Shop Item List-style 11" showColumnStripes="0" showFirstColumn="1" showLastColumn="1" showRowStripes="1"/>
</table>
</file>

<file path=xl/tables/table17.xml><?xml version="1.0" encoding="utf-8"?>
<table xmlns="http://schemas.openxmlformats.org/spreadsheetml/2006/main" headerRowCount="0" ref="C176:G178" displayName="Table_17" name="Table_17" id="17">
  <tableColumns count="5">
    <tableColumn name="Column1" id="1"/>
    <tableColumn name="Column2" id="2"/>
    <tableColumn name="Column3" id="3"/>
    <tableColumn name="Column4" id="4"/>
    <tableColumn name="Column5" id="5"/>
  </tableColumns>
  <tableStyleInfo name="Glitch Shop Item List-style 12" showColumnStripes="0" showFirstColumn="1" showLastColumn="1" showRowStripes="1"/>
</table>
</file>

<file path=xl/tables/table18.xml><?xml version="1.0" encoding="utf-8"?>
<table xmlns="http://schemas.openxmlformats.org/spreadsheetml/2006/main" headerRowCount="0" ref="D179:E180" displayName="Table_18" name="Table_18" id="18">
  <tableColumns count="2">
    <tableColumn name="Column1" id="1"/>
    <tableColumn name="Column2" id="2"/>
  </tableColumns>
  <tableStyleInfo name="Glitch Shop Item List-style 13" showColumnStripes="0" showFirstColumn="1" showLastColumn="1" showRowStripes="1"/>
</table>
</file>

<file path=xl/tables/table19.xml><?xml version="1.0" encoding="utf-8"?>
<table xmlns="http://schemas.openxmlformats.org/spreadsheetml/2006/main" headerRowCount="0" ref="C180:C182" displayName="Table_19" name="Table_19" id="19">
  <tableColumns count="1">
    <tableColumn name="Column1" id="1"/>
  </tableColumns>
  <tableStyleInfo name="Glitch Shop Item List-style 14" showColumnStripes="0" showFirstColumn="1" showLastColumn="1" showRowStripes="1"/>
</table>
</file>

<file path=xl/tables/table20.xml><?xml version="1.0" encoding="utf-8"?>
<table xmlns="http://schemas.openxmlformats.org/spreadsheetml/2006/main" headerRowCount="0" ref="C184:C186" displayName="Table_20" name="Table_20" id="20">
  <tableColumns count="1">
    <tableColumn name="Column1" id="1"/>
  </tableColumns>
  <tableStyleInfo name="Glitch Shop Item List-style 15" showColumnStripes="0" showFirstColumn="1" showLastColumn="1" showRowStripes="1"/>
</table>
</file>

<file path=xl/tables/table21.xml><?xml version="1.0" encoding="utf-8"?>
<table xmlns="http://schemas.openxmlformats.org/spreadsheetml/2006/main" headerRowCount="0" ref="E187" displayName="Table_21" name="Table_21" id="21">
  <tableColumns count="1">
    <tableColumn name="Column1" id="1"/>
  </tableColumns>
  <tableStyleInfo name="Glitch Shop Item List-style 16" showColumnStripes="0" showFirstColumn="1" showLastColumn="1" showRowStripes="1"/>
</table>
</file>

<file path=xl/tables/table22.xml><?xml version="1.0" encoding="utf-8"?>
<table xmlns="http://schemas.openxmlformats.org/spreadsheetml/2006/main" headerRowCount="0" ref="C188:E190" displayName="Table_22" name="Table_22" id="22">
  <tableColumns count="3">
    <tableColumn name="Column1" id="1"/>
    <tableColumn name="Column2" id="2"/>
    <tableColumn name="Column3" id="3"/>
  </tableColumns>
  <tableStyleInfo name="Glitch Shop Item List-style 17" showColumnStripes="0" showFirstColumn="1" showLastColumn="1" showRowStripes="1"/>
</table>
</file>

<file path=xl/tables/table23.xml><?xml version="1.0" encoding="utf-8"?>
<table xmlns="http://schemas.openxmlformats.org/spreadsheetml/2006/main" headerRowCount="0" ref="D191:E191" displayName="Table_23" name="Table_23" id="23">
  <tableColumns count="2">
    <tableColumn name="Column1" id="1"/>
    <tableColumn name="Column2" id="2"/>
  </tableColumns>
  <tableStyleInfo name="Glitch Shop Item List-style 18" showColumnStripes="0" showFirstColumn="1" showLastColumn="1" showRowStripes="1"/>
</table>
</file>

<file path=xl/tables/table24.xml><?xml version="1.0" encoding="utf-8"?>
<table xmlns="http://schemas.openxmlformats.org/spreadsheetml/2006/main" headerRowCount="0" ref="C192:E194" displayName="Table_24" name="Table_24" id="24">
  <tableColumns count="3">
    <tableColumn name="Column1" id="1"/>
    <tableColumn name="Column2" id="2"/>
    <tableColumn name="Column3" id="3"/>
  </tableColumns>
  <tableStyleInfo name="Glitch Shop Item List-style 19" showColumnStripes="0" showFirstColumn="1" showLastColumn="1" showRowStripes="1"/>
</table>
</file>

<file path=xl/tables/table25.xml><?xml version="1.0" encoding="utf-8"?>
<table xmlns="http://schemas.openxmlformats.org/spreadsheetml/2006/main" headerRowCount="0" ref="E195:E199" displayName="Table_25" name="Table_25" id="25">
  <tableColumns count="1">
    <tableColumn name="Column1" id="1"/>
  </tableColumns>
  <tableStyleInfo name="Glitch Shop Item List-style 20" showColumnStripes="0" showFirstColumn="1" showLastColumn="1" showRowStripes="1"/>
</table>
</file>

<file path=xl/tables/table26.xml><?xml version="1.0" encoding="utf-8"?>
<table xmlns="http://schemas.openxmlformats.org/spreadsheetml/2006/main" headerRowCount="0" ref="C196:C198" displayName="Table_26" name="Table_26" id="26">
  <tableColumns count="1">
    <tableColumn name="Column1" id="1"/>
  </tableColumns>
  <tableStyleInfo name="Glitch Shop Item List-style 21" showColumnStripes="0" showFirstColumn="1" showLastColumn="1" showRowStripes="1"/>
</table>
</file>

<file path=xl/tables/table27.xml><?xml version="1.0" encoding="utf-8"?>
<table xmlns="http://schemas.openxmlformats.org/spreadsheetml/2006/main" headerRowCount="0" ref="D197:D199" displayName="Table_27" name="Table_27" id="27">
  <tableColumns count="1">
    <tableColumn name="Column1" id="1"/>
  </tableColumns>
  <tableStyleInfo name="Glitch Shop Item List-style 22" showColumnStripes="0" showFirstColumn="1" showLastColumn="1" showRowStripes="1"/>
</table>
</file>

<file path=xl/tables/table28.xml><?xml version="1.0" encoding="utf-8"?>
<table xmlns="http://schemas.openxmlformats.org/spreadsheetml/2006/main" headerRowCount="0" ref="C200:E202" displayName="Table_28" name="Table_28" id="28">
  <tableColumns count="3">
    <tableColumn name="Column1" id="1"/>
    <tableColumn name="Column2" id="2"/>
    <tableColumn name="Column3" id="3"/>
  </tableColumns>
  <tableStyleInfo name="Glitch Shop Item List-style 23" showColumnStripes="0" showFirstColumn="1" showLastColumn="1" showRowStripes="1"/>
</table>
</file>

<file path=xl/tables/table29.xml><?xml version="1.0" encoding="utf-8"?>
<table xmlns="http://schemas.openxmlformats.org/spreadsheetml/2006/main" headerRowCount="0" ref="C204:E206" displayName="Table_29" name="Table_29" id="29">
  <tableColumns count="3">
    <tableColumn name="Column1" id="1"/>
    <tableColumn name="Column2" id="2"/>
    <tableColumn name="Column3" id="3"/>
  </tableColumns>
  <tableStyleInfo name="Glitch Shop Item List-style 24" showColumnStripes="0" showFirstColumn="1" showLastColumn="1" showRowStripes="1"/>
</table>
</file>

<file path=xl/tables/table30.xml><?xml version="1.0" encoding="utf-8"?>
<table xmlns="http://schemas.openxmlformats.org/spreadsheetml/2006/main" headerRowCount="0" ref="F207:G207" displayName="Table_30" name="Table_30" id="30">
  <tableColumns count="2">
    <tableColumn name="Column1" id="1"/>
    <tableColumn name="Column2" id="2"/>
  </tableColumns>
  <tableStyleInfo name="Glitch Shop Item List-style 25" showColumnStripes="0" showFirstColumn="1" showLastColumn="1" showRowStripes="1"/>
</table>
</file>

<file path=xl/tables/table31.xml><?xml version="1.0" encoding="utf-8"?>
<table xmlns="http://schemas.openxmlformats.org/spreadsheetml/2006/main" headerRowCount="0" ref="C208:C210" displayName="Table_31" name="Table_31" id="31">
  <tableColumns count="1">
    <tableColumn name="Column1" id="1"/>
  </tableColumns>
  <tableStyleInfo name="Glitch Shop Item List-style 26" showColumnStripes="0" showFirstColumn="1" showLastColumn="1" showRowStripes="1"/>
</table>
</file>

<file path=xl/tables/table32.xml><?xml version="1.0" encoding="utf-8"?>
<table xmlns="http://schemas.openxmlformats.org/spreadsheetml/2006/main" headerRowCount="0" ref="F210:G211" displayName="Table_32" name="Table_32" id="32">
  <tableColumns count="2">
    <tableColumn name="Column1" id="1"/>
    <tableColumn name="Column2" id="2"/>
  </tableColumns>
  <tableStyleInfo name="Glitch Shop Item List-style 27" showColumnStripes="0" showFirstColumn="1" showLastColumn="1" showRowStripes="1"/>
</table>
</file>

<file path=xl/tables/table33.xml><?xml version="1.0" encoding="utf-8"?>
<table xmlns="http://schemas.openxmlformats.org/spreadsheetml/2006/main" headerRowCount="0" ref="C212:C214" displayName="Table_33" name="Table_33" id="33">
  <tableColumns count="1">
    <tableColumn name="Column1" id="1"/>
  </tableColumns>
  <tableStyleInfo name="Glitch Shop Item List-style 28" showColumnStripes="0" showFirstColumn="1" showLastColumn="1" showRowStripes="1"/>
</table>
</file>

<file path=xl/tables/table34.xml><?xml version="1.0" encoding="utf-8"?>
<table xmlns="http://schemas.openxmlformats.org/spreadsheetml/2006/main" headerRowCount="0" ref="C216:C218" displayName="Table_34" name="Table_34" id="34">
  <tableColumns count="1">
    <tableColumn name="Column1" id="1"/>
  </tableColumns>
  <tableStyleInfo name="Glitch Shop Item List-style 29" showColumnStripes="0" showFirstColumn="1" showLastColumn="1" showRowStripes="1"/>
</table>
</file>

<file path=xl/tables/table35.xml><?xml version="1.0" encoding="utf-8"?>
<table xmlns="http://schemas.openxmlformats.org/spreadsheetml/2006/main" headerRowCount="0" ref="C220:C222" displayName="Table_35" name="Table_35" id="35">
  <tableColumns count="1">
    <tableColumn name="Column1" id="1"/>
  </tableColumns>
  <tableStyleInfo name="Glitch Shop Item List-style 30" showColumnStripes="0" showFirstColumn="1" showLastColumn="1" showRowStripes="1"/>
</table>
</file>

<file path=xl/tables/table36.xml><?xml version="1.0" encoding="utf-8"?>
<table xmlns="http://schemas.openxmlformats.org/spreadsheetml/2006/main" headerRowCount="0" ref="C224:C226" displayName="Table_36" name="Table_36" id="36">
  <tableColumns count="1">
    <tableColumn name="Column1" id="1"/>
  </tableColumns>
  <tableStyleInfo name="Glitch Shop Item List-style 31" showColumnStripes="0" showFirstColumn="1" showLastColumn="1" showRowStripes="1"/>
</table>
</file>

<file path=xl/tables/table37.xml><?xml version="1.0" encoding="utf-8"?>
<table xmlns="http://schemas.openxmlformats.org/spreadsheetml/2006/main" headerRowCount="0" ref="B10:B15" displayName="Table_37" name="Table_37" id="37">
  <tableColumns count="1">
    <tableColumn name="Column1" id="1"/>
  </tableColumns>
  <tableStyleInfo name="Recycle Card-style" showColumnStripes="0" showFirstColumn="1" showLastColumn="1" showRowStripes="1"/>
</table>
</file>

<file path=xl/tables/table38.xml><?xml version="1.0" encoding="utf-8"?>
<table xmlns="http://schemas.openxmlformats.org/spreadsheetml/2006/main" headerRowCount="0" ref="B16:B18" displayName="Table_38" name="Table_38" id="38">
  <tableColumns count="1">
    <tableColumn name="Column1" id="1"/>
  </tableColumns>
  <tableStyleInfo name="Recycle Card-style 2" showColumnStripes="0" showFirstColumn="1" showLastColumn="1" showRowStripes="1"/>
</table>
</file>

<file path=xl/tables/table39.xml><?xml version="1.0" encoding="utf-8"?>
<table xmlns="http://schemas.openxmlformats.org/spreadsheetml/2006/main" headerRowCount="0" ref="B20:B21" displayName="Table_39" name="Table_39" id="39">
  <tableColumns count="1">
    <tableColumn name="Column1" id="1"/>
  </tableColumns>
  <tableStyleInfo name="Recycle Card-style 3" showColumnStripes="0" showFirstColumn="1" showLastColumn="1" showRowStripes="1"/>
</table>
</file>

<file path=xl/tables/table40.xml><?xml version="1.0" encoding="utf-8"?>
<table xmlns="http://schemas.openxmlformats.org/spreadsheetml/2006/main" headerRowCount="0" ref="B24:B29" displayName="Table_40" name="Table_40" id="40">
  <tableColumns count="1">
    <tableColumn name="Column1" id="1"/>
  </tableColumns>
  <tableStyleInfo name="Recycle Card-style 4" showColumnStripes="0" showFirstColumn="1" showLastColumn="1" showRowStripes="1"/>
</table>
</file>

<file path=xl/tables/table41.xml><?xml version="1.0" encoding="utf-8"?>
<table xmlns="http://schemas.openxmlformats.org/spreadsheetml/2006/main" headerRowCount="0" ref="B30:B43" displayName="Table_41" name="Table_41" id="41">
  <tableColumns count="1">
    <tableColumn name="Column1" id="1"/>
  </tableColumns>
  <tableStyleInfo name="Recycle Card-style 5" showColumnStripes="0" showFirstColumn="1" showLastColumn="1" showRowStripes="1"/>
</table>
</file>

<file path=xl/tables/table42.xml><?xml version="1.0" encoding="utf-8"?>
<table xmlns="http://schemas.openxmlformats.org/spreadsheetml/2006/main" headerRowCount="0" ref="B45:B85" displayName="Table_42" name="Table_42" id="42">
  <tableColumns count="1">
    <tableColumn name="Column1" id="1"/>
  </tableColumns>
  <tableStyleInfo name="Recycle Card-style 6" showColumnStripes="0" showFirstColumn="1" showLastColumn="1" showRowStripes="1"/>
</table>
</file>

<file path=xl/tables/table43.xml><?xml version="1.0" encoding="utf-8"?>
<table xmlns="http://schemas.openxmlformats.org/spreadsheetml/2006/main" ref="A1:F120" displayName="Table_43" name="Table_43" id="43">
  <tableColumns count="6">
    <tableColumn name="ID" id="1"/>
    <tableColumn name="Name" id="2"/>
    <tableColumn name="Size in bytes" id="3"/>
    <tableColumn name="Instruction Format" id="4"/>
    <tableColumn name="Internal Format (if different)" id="5"/>
    <tableColumn name="Comment" id="6"/>
  </tableColumns>
  <tableStyleInfo name="Script Instructions-style" showColumnStripes="0" showFirstColumn="1" showLastColumn="1" showRowStripes="1"/>
</table>
</file>

<file path=xl/tables/table44.xml><?xml version="1.0" encoding="utf-8"?>
<table xmlns="http://schemas.openxmlformats.org/spreadsheetml/2006/main" ref="A1:C129" displayName="Table_44" name="Table_44" id="44">
  <tableColumns count="3">
    <tableColumn name="ID" id="1"/>
    <tableColumn name="Name" id="2"/>
    <tableColumn name="Function Ptr." id="3"/>
  </tableColumns>
  <tableStyleInfo name="Item Functions-style" showColumnStripes="0" showFirstColumn="1" showLastColumn="1" showRowStripes="1"/>
</tabl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324" dT="2018-09-27T13:52:12.00" personId="{c5da38a0-df35-437d-ab56-45ee83fed143}" id="{66105cd6-f8cb-460c-8124-6010aa11d94c}" done="1">
    <x18tc:text xml:space="preserve">Angemon is Ready for Recruit</x18tc:text>
  </x18tc:threadedComment>
  <x18tc:threadedComment ref="G324" dT="2018-09-27T14:34:50.00" personId="{9e433fcd-8f6c-4ab1-a2ad-8e32dab72c86}" id="{89d8ea2e-4cec-4249-8aeb-8a542f10658c}" parentId="{66105cd6-f8cb-460c-8124-6010aa11d94c}">
    <x18tc:text xml:space="preserve">Als geklärt gekennzeichnet</x18tc:text>
  </x18tc:threadedComment>
  <x18tc:threadedComment ref="G324" dT="2019-07-18T14:43:03.00" personId="{c4bd1bff-a28e-449b-bcc7-aa7ca8f05966}" id="{cccfdb38-4cdb-438b-8f0a-fc00a38e5552}" parentId="{66105cd6-f8cb-460c-8124-6010aa11d94c}">
    <x18tc:text xml:space="preserve">Erneut geöffnet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Relationship Id="rId7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2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5" Type="http://schemas.openxmlformats.org/officeDocument/2006/relationships/table" Target="../tables/table3.xml"/><Relationship Id="rId6" Type="http://schemas.openxmlformats.org/officeDocument/2006/relationships/table" Target="../tables/table4.xml"/><Relationship Id="rId7" Type="http://schemas.openxmlformats.org/officeDocument/2006/relationships/table" Target="../tables/table5.xml"/></Relationships>
</file>

<file path=xl/worksheets/_rels/sheet11.xml.rels><?xml version="1.0" encoding="UTF-8" standalone="yes"?><Relationships xmlns="http://schemas.openxmlformats.org/package/2006/relationships"><Relationship Id="rId40" Type="http://schemas.openxmlformats.org/officeDocument/2006/relationships/table" Target="../tables/table13.xml"/><Relationship Id="rId62" Type="http://schemas.openxmlformats.org/officeDocument/2006/relationships/table" Target="../tables/table35.xml"/><Relationship Id="rId61" Type="http://schemas.openxmlformats.org/officeDocument/2006/relationships/table" Target="../tables/table34.xml"/><Relationship Id="rId42" Type="http://schemas.openxmlformats.org/officeDocument/2006/relationships/table" Target="../tables/table15.xml"/><Relationship Id="rId41" Type="http://schemas.openxmlformats.org/officeDocument/2006/relationships/table" Target="../tables/table14.xml"/><Relationship Id="rId63" Type="http://schemas.openxmlformats.org/officeDocument/2006/relationships/table" Target="../tables/table36.xml"/><Relationship Id="rId44" Type="http://schemas.openxmlformats.org/officeDocument/2006/relationships/table" Target="../tables/table17.xml"/><Relationship Id="rId43" Type="http://schemas.openxmlformats.org/officeDocument/2006/relationships/table" Target="../tables/table16.xml"/><Relationship Id="rId46" Type="http://schemas.openxmlformats.org/officeDocument/2006/relationships/table" Target="../tables/table19.xml"/><Relationship Id="rId45" Type="http://schemas.openxmlformats.org/officeDocument/2006/relationships/table" Target="../tables/table18.xml"/><Relationship Id="rId60" Type="http://schemas.openxmlformats.org/officeDocument/2006/relationships/table" Target="../tables/table33.xml"/><Relationship Id="rId1" Type="http://schemas.openxmlformats.org/officeDocument/2006/relationships/drawing" Target="../drawings/drawing11.xml"/><Relationship Id="rId48" Type="http://schemas.openxmlformats.org/officeDocument/2006/relationships/table" Target="../tables/table21.xml"/><Relationship Id="rId47" Type="http://schemas.openxmlformats.org/officeDocument/2006/relationships/table" Target="../tables/table20.xml"/><Relationship Id="rId49" Type="http://schemas.openxmlformats.org/officeDocument/2006/relationships/table" Target="../tables/table22.xml"/><Relationship Id="rId51" Type="http://schemas.openxmlformats.org/officeDocument/2006/relationships/table" Target="../tables/table24.xml"/><Relationship Id="rId50" Type="http://schemas.openxmlformats.org/officeDocument/2006/relationships/table" Target="../tables/table23.xml"/><Relationship Id="rId53" Type="http://schemas.openxmlformats.org/officeDocument/2006/relationships/table" Target="../tables/table26.xml"/><Relationship Id="rId52" Type="http://schemas.openxmlformats.org/officeDocument/2006/relationships/table" Target="../tables/table25.xml"/><Relationship Id="rId33" Type="http://schemas.openxmlformats.org/officeDocument/2006/relationships/table" Target="../tables/table6.xml"/><Relationship Id="rId55" Type="http://schemas.openxmlformats.org/officeDocument/2006/relationships/table" Target="../tables/table28.xml"/><Relationship Id="rId54" Type="http://schemas.openxmlformats.org/officeDocument/2006/relationships/table" Target="../tables/table27.xml"/><Relationship Id="rId35" Type="http://schemas.openxmlformats.org/officeDocument/2006/relationships/table" Target="../tables/table8.xml"/><Relationship Id="rId57" Type="http://schemas.openxmlformats.org/officeDocument/2006/relationships/table" Target="../tables/table30.xml"/><Relationship Id="rId34" Type="http://schemas.openxmlformats.org/officeDocument/2006/relationships/table" Target="../tables/table7.xml"/><Relationship Id="rId56" Type="http://schemas.openxmlformats.org/officeDocument/2006/relationships/table" Target="../tables/table29.xml"/><Relationship Id="rId37" Type="http://schemas.openxmlformats.org/officeDocument/2006/relationships/table" Target="../tables/table10.xml"/><Relationship Id="rId59" Type="http://schemas.openxmlformats.org/officeDocument/2006/relationships/table" Target="../tables/table32.xml"/><Relationship Id="rId36" Type="http://schemas.openxmlformats.org/officeDocument/2006/relationships/table" Target="../tables/table9.xml"/><Relationship Id="rId58" Type="http://schemas.openxmlformats.org/officeDocument/2006/relationships/table" Target="../tables/table31.xml"/><Relationship Id="rId39" Type="http://schemas.openxmlformats.org/officeDocument/2006/relationships/table" Target="../tables/table12.xml"/><Relationship Id="rId38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7.xml"/><Relationship Id="rId3" Type="http://schemas.openxmlformats.org/officeDocument/2006/relationships/vmlDrawing" Target="../drawings/vmlDrawing3.v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9" Type="http://schemas.openxmlformats.org/officeDocument/2006/relationships/table" Target="../tables/table38.xml"/><Relationship Id="rId8" Type="http://schemas.openxmlformats.org/officeDocument/2006/relationships/table" Target="../tables/table37.xml"/><Relationship Id="rId11" Type="http://schemas.openxmlformats.org/officeDocument/2006/relationships/table" Target="../tables/table40.xml"/><Relationship Id="rId10" Type="http://schemas.openxmlformats.org/officeDocument/2006/relationships/table" Target="../tables/table39.xml"/><Relationship Id="rId13" Type="http://schemas.openxmlformats.org/officeDocument/2006/relationships/table" Target="../tables/table42.xml"/><Relationship Id="rId12" Type="http://schemas.openxmlformats.org/officeDocument/2006/relationships/table" Target="../tables/table41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9.xml"/><Relationship Id="rId3" Type="http://schemas.openxmlformats.org/officeDocument/2006/relationships/vmlDrawing" Target="../drawings/vmlDrawing4.vml"/><Relationship Id="rId5" Type="http://schemas.openxmlformats.org/officeDocument/2006/relationships/table" Target="../tables/table43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44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F6000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5" max="5" width="36.63"/>
    <col customWidth="1" min="6" max="6" width="6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0.0</v>
      </c>
      <c r="B2" s="1" t="str">
        <f t="shared" ref="B2:B257" si="1">DEC2HEX(1826865+A2,6)</f>
        <v>1BE031</v>
      </c>
      <c r="C2" s="1" t="str">
        <f t="shared" ref="C2:C257" si="2">DEC2HEX(10844576+HEX2DEC(B2),6)</f>
        <v>C159D1</v>
      </c>
      <c r="D2" s="3" t="b">
        <v>1</v>
      </c>
      <c r="E2" s="4" t="s">
        <v>6</v>
      </c>
      <c r="F2" s="4" t="s">
        <v>7</v>
      </c>
    </row>
    <row r="3">
      <c r="A3" s="2">
        <v>1.0</v>
      </c>
      <c r="B3" s="1" t="str">
        <f t="shared" si="1"/>
        <v>1BE032</v>
      </c>
      <c r="C3" s="1" t="str">
        <f t="shared" si="2"/>
        <v>C159D2</v>
      </c>
      <c r="D3" s="3" t="b">
        <v>1</v>
      </c>
      <c r="E3" s="1" t="s">
        <v>8</v>
      </c>
      <c r="F3" s="4" t="s">
        <v>9</v>
      </c>
    </row>
    <row r="4">
      <c r="A4" s="2">
        <v>2.0</v>
      </c>
      <c r="B4" s="1" t="str">
        <f t="shared" si="1"/>
        <v>1BE033</v>
      </c>
      <c r="C4" s="1" t="str">
        <f t="shared" si="2"/>
        <v>C159D3</v>
      </c>
      <c r="D4" s="3" t="b">
        <v>1</v>
      </c>
      <c r="E4" s="1" t="s">
        <v>10</v>
      </c>
      <c r="F4" s="1"/>
    </row>
    <row r="5">
      <c r="A5" s="2">
        <v>3.0</v>
      </c>
      <c r="B5" s="1" t="str">
        <f t="shared" si="1"/>
        <v>1BE034</v>
      </c>
      <c r="C5" s="1" t="str">
        <f t="shared" si="2"/>
        <v>C159D4</v>
      </c>
      <c r="D5" s="3" t="b">
        <v>1</v>
      </c>
      <c r="E5" s="1" t="s">
        <v>11</v>
      </c>
      <c r="F5" s="1"/>
    </row>
    <row r="6">
      <c r="A6" s="2">
        <v>4.0</v>
      </c>
      <c r="B6" s="1" t="str">
        <f t="shared" si="1"/>
        <v>1BE035</v>
      </c>
      <c r="C6" s="1" t="str">
        <f t="shared" si="2"/>
        <v>C159D5</v>
      </c>
      <c r="D6" s="3" t="b">
        <v>1</v>
      </c>
      <c r="E6" s="1" t="s">
        <v>12</v>
      </c>
      <c r="F6" s="1"/>
    </row>
    <row r="7">
      <c r="A7" s="2">
        <v>5.0</v>
      </c>
      <c r="B7" s="1" t="str">
        <f t="shared" si="1"/>
        <v>1BE036</v>
      </c>
      <c r="C7" s="1" t="str">
        <f t="shared" si="2"/>
        <v>C159D6</v>
      </c>
      <c r="D7" s="3" t="b">
        <v>1</v>
      </c>
      <c r="E7" s="1" t="s">
        <v>13</v>
      </c>
      <c r="F7" s="1"/>
    </row>
    <row r="8">
      <c r="A8" s="2">
        <v>6.0</v>
      </c>
      <c r="B8" s="1" t="str">
        <f t="shared" si="1"/>
        <v>1BE037</v>
      </c>
      <c r="C8" s="1" t="str">
        <f t="shared" si="2"/>
        <v>C159D7</v>
      </c>
      <c r="D8" s="3" t="b">
        <v>1</v>
      </c>
      <c r="E8" s="4" t="s">
        <v>14</v>
      </c>
      <c r="F8" s="4" t="s">
        <v>15</v>
      </c>
    </row>
    <row r="9">
      <c r="A9" s="2">
        <v>7.0</v>
      </c>
      <c r="B9" s="1" t="str">
        <f t="shared" si="1"/>
        <v>1BE038</v>
      </c>
      <c r="C9" s="1" t="str">
        <f t="shared" si="2"/>
        <v>C159D8</v>
      </c>
      <c r="D9" s="3" t="b">
        <v>1</v>
      </c>
      <c r="E9" s="1"/>
      <c r="F9" s="1"/>
    </row>
    <row r="10">
      <c r="A10" s="2">
        <v>8.0</v>
      </c>
      <c r="B10" s="1" t="str">
        <f t="shared" si="1"/>
        <v>1BE039</v>
      </c>
      <c r="C10" s="1" t="str">
        <f t="shared" si="2"/>
        <v>C159D9</v>
      </c>
      <c r="D10" s="3" t="b">
        <v>1</v>
      </c>
      <c r="E10" s="1"/>
      <c r="F10" s="1"/>
    </row>
    <row r="11">
      <c r="A11" s="2">
        <v>9.0</v>
      </c>
      <c r="B11" s="1" t="str">
        <f t="shared" si="1"/>
        <v>1BE03A</v>
      </c>
      <c r="C11" s="1" t="str">
        <f t="shared" si="2"/>
        <v>C159DA</v>
      </c>
      <c r="D11" s="3" t="b">
        <v>1</v>
      </c>
      <c r="E11" s="1"/>
      <c r="F11" s="1"/>
    </row>
    <row r="12">
      <c r="A12" s="2">
        <v>10.0</v>
      </c>
      <c r="B12" s="1" t="str">
        <f t="shared" si="1"/>
        <v>1BE03B</v>
      </c>
      <c r="C12" s="1" t="str">
        <f t="shared" si="2"/>
        <v>C159DB</v>
      </c>
      <c r="D12" s="3" t="b">
        <v>1</v>
      </c>
      <c r="E12" s="1"/>
      <c r="F12" s="1"/>
    </row>
    <row r="13">
      <c r="A13" s="2">
        <v>11.0</v>
      </c>
      <c r="B13" s="1" t="str">
        <f t="shared" si="1"/>
        <v>1BE03C</v>
      </c>
      <c r="C13" s="1" t="str">
        <f t="shared" si="2"/>
        <v>C159DC</v>
      </c>
      <c r="D13" s="3" t="b">
        <v>1</v>
      </c>
      <c r="E13" s="1"/>
      <c r="F13" s="1"/>
    </row>
    <row r="14">
      <c r="A14" s="2">
        <v>12.0</v>
      </c>
      <c r="B14" s="1" t="str">
        <f t="shared" si="1"/>
        <v>1BE03D</v>
      </c>
      <c r="C14" s="1" t="str">
        <f t="shared" si="2"/>
        <v>C159DD</v>
      </c>
      <c r="D14" s="3" t="b">
        <v>1</v>
      </c>
      <c r="E14" s="4"/>
      <c r="F14" s="4"/>
    </row>
    <row r="15">
      <c r="A15" s="2">
        <v>13.0</v>
      </c>
      <c r="B15" s="1" t="str">
        <f t="shared" si="1"/>
        <v>1BE03E</v>
      </c>
      <c r="C15" s="1" t="str">
        <f t="shared" si="2"/>
        <v>C159DE</v>
      </c>
      <c r="D15" s="3" t="b">
        <v>1</v>
      </c>
      <c r="E15" s="1"/>
      <c r="F15" s="1"/>
    </row>
    <row r="16">
      <c r="A16" s="2">
        <v>14.0</v>
      </c>
      <c r="B16" s="1" t="str">
        <f t="shared" si="1"/>
        <v>1BE03F</v>
      </c>
      <c r="C16" s="1" t="str">
        <f t="shared" si="2"/>
        <v>C159DF</v>
      </c>
      <c r="D16" s="3" t="b">
        <v>1</v>
      </c>
      <c r="E16" s="1"/>
      <c r="F16" s="1"/>
    </row>
    <row r="17">
      <c r="A17" s="2">
        <v>15.0</v>
      </c>
      <c r="B17" s="1" t="str">
        <f t="shared" si="1"/>
        <v>1BE040</v>
      </c>
      <c r="C17" s="1" t="str">
        <f t="shared" si="2"/>
        <v>C159E0</v>
      </c>
      <c r="D17" s="3" t="b">
        <v>1</v>
      </c>
      <c r="E17" s="1"/>
      <c r="F17" s="1"/>
    </row>
    <row r="18">
      <c r="A18" s="2">
        <v>16.0</v>
      </c>
      <c r="B18" s="1" t="str">
        <f t="shared" si="1"/>
        <v>1BE041</v>
      </c>
      <c r="C18" s="1" t="str">
        <f t="shared" si="2"/>
        <v>C159E1</v>
      </c>
      <c r="D18" s="3" t="b">
        <v>1</v>
      </c>
      <c r="E18" s="1" t="s">
        <v>16</v>
      </c>
      <c r="F18" s="1"/>
    </row>
    <row r="19">
      <c r="A19" s="2">
        <v>17.0</v>
      </c>
      <c r="B19" s="1" t="str">
        <f t="shared" si="1"/>
        <v>1BE042</v>
      </c>
      <c r="C19" s="1" t="str">
        <f t="shared" si="2"/>
        <v>C159E2</v>
      </c>
      <c r="D19" s="3" t="b">
        <v>1</v>
      </c>
      <c r="E19" s="4" t="s">
        <v>17</v>
      </c>
      <c r="F19" s="4" t="s">
        <v>18</v>
      </c>
    </row>
    <row r="20">
      <c r="A20" s="2">
        <v>18.0</v>
      </c>
      <c r="B20" s="1" t="str">
        <f t="shared" si="1"/>
        <v>1BE043</v>
      </c>
      <c r="C20" s="1" t="str">
        <f t="shared" si="2"/>
        <v>C159E3</v>
      </c>
      <c r="D20" s="3" t="b">
        <v>1</v>
      </c>
      <c r="E20" s="4" t="s">
        <v>19</v>
      </c>
      <c r="F20" s="1"/>
    </row>
    <row r="21">
      <c r="A21" s="2">
        <v>19.0</v>
      </c>
      <c r="B21" s="1" t="str">
        <f t="shared" si="1"/>
        <v>1BE044</v>
      </c>
      <c r="C21" s="1" t="str">
        <f t="shared" si="2"/>
        <v>C159E4</v>
      </c>
      <c r="D21" s="3" t="b">
        <v>1</v>
      </c>
      <c r="E21" s="4" t="s">
        <v>20</v>
      </c>
      <c r="F21" s="1"/>
    </row>
    <row r="22">
      <c r="A22" s="2">
        <v>20.0</v>
      </c>
      <c r="B22" s="1" t="str">
        <f t="shared" si="1"/>
        <v>1BE045</v>
      </c>
      <c r="C22" s="1" t="str">
        <f t="shared" si="2"/>
        <v>C159E5</v>
      </c>
      <c r="D22" s="3" t="b">
        <v>1</v>
      </c>
      <c r="E22" s="1"/>
      <c r="F22" s="1"/>
    </row>
    <row r="23">
      <c r="A23" s="2">
        <v>21.0</v>
      </c>
      <c r="B23" s="1" t="str">
        <f t="shared" si="1"/>
        <v>1BE046</v>
      </c>
      <c r="C23" s="1" t="str">
        <f t="shared" si="2"/>
        <v>C159E6</v>
      </c>
      <c r="D23" s="3" t="b">
        <v>1</v>
      </c>
      <c r="E23" s="4" t="s">
        <v>21</v>
      </c>
      <c r="F23" s="1"/>
    </row>
    <row r="24">
      <c r="A24" s="2">
        <v>22.0</v>
      </c>
      <c r="B24" s="1" t="str">
        <f t="shared" si="1"/>
        <v>1BE047</v>
      </c>
      <c r="C24" s="1" t="str">
        <f t="shared" si="2"/>
        <v>C159E7</v>
      </c>
      <c r="D24" s="3" t="b">
        <v>1</v>
      </c>
      <c r="E24" s="1" t="s">
        <v>22</v>
      </c>
      <c r="F24" s="1"/>
    </row>
    <row r="25">
      <c r="A25" s="2">
        <v>23.0</v>
      </c>
      <c r="B25" s="1" t="str">
        <f t="shared" si="1"/>
        <v>1BE048</v>
      </c>
      <c r="C25" s="1" t="str">
        <f t="shared" si="2"/>
        <v>C159E8</v>
      </c>
      <c r="D25" s="3" t="b">
        <v>1</v>
      </c>
      <c r="E25" s="1" t="s">
        <v>23</v>
      </c>
      <c r="F25" s="1"/>
    </row>
    <row r="26">
      <c r="A26" s="2">
        <v>24.0</v>
      </c>
      <c r="B26" s="1" t="str">
        <f t="shared" si="1"/>
        <v>1BE049</v>
      </c>
      <c r="C26" s="1" t="str">
        <f t="shared" si="2"/>
        <v>C159E9</v>
      </c>
      <c r="D26" s="3" t="b">
        <v>1</v>
      </c>
      <c r="E26" s="4" t="s">
        <v>24</v>
      </c>
      <c r="F26" s="4" t="s">
        <v>25</v>
      </c>
    </row>
    <row r="27">
      <c r="A27" s="2">
        <v>25.0</v>
      </c>
      <c r="B27" s="1" t="str">
        <f t="shared" si="1"/>
        <v>1BE04A</v>
      </c>
      <c r="C27" s="1" t="str">
        <f t="shared" si="2"/>
        <v>C159EA</v>
      </c>
      <c r="D27" s="3" t="b">
        <v>1</v>
      </c>
      <c r="E27" s="4" t="s">
        <v>26</v>
      </c>
      <c r="F27" s="1"/>
    </row>
    <row r="28">
      <c r="A28" s="2">
        <v>26.0</v>
      </c>
      <c r="B28" s="1" t="str">
        <f t="shared" si="1"/>
        <v>1BE04B</v>
      </c>
      <c r="C28" s="1" t="str">
        <f t="shared" si="2"/>
        <v>C159EB</v>
      </c>
      <c r="D28" s="3" t="b">
        <v>1</v>
      </c>
      <c r="E28" s="4" t="s">
        <v>27</v>
      </c>
      <c r="F28" s="4" t="s">
        <v>28</v>
      </c>
    </row>
    <row r="29">
      <c r="A29" s="2">
        <v>27.0</v>
      </c>
      <c r="B29" s="1" t="str">
        <f t="shared" si="1"/>
        <v>1BE04C</v>
      </c>
      <c r="C29" s="1" t="str">
        <f t="shared" si="2"/>
        <v>C159EC</v>
      </c>
      <c r="D29" s="3" t="b">
        <v>1</v>
      </c>
      <c r="E29" s="4" t="s">
        <v>29</v>
      </c>
      <c r="F29" s="4" t="s">
        <v>30</v>
      </c>
    </row>
    <row r="30">
      <c r="A30" s="2">
        <v>28.0</v>
      </c>
      <c r="B30" s="1" t="str">
        <f t="shared" si="1"/>
        <v>1BE04D</v>
      </c>
      <c r="C30" s="1" t="str">
        <f t="shared" si="2"/>
        <v>C159ED</v>
      </c>
      <c r="D30" s="3" t="b">
        <v>1</v>
      </c>
      <c r="E30" s="1" t="s">
        <v>31</v>
      </c>
      <c r="F30" s="1"/>
    </row>
    <row r="31">
      <c r="A31" s="2">
        <v>29.0</v>
      </c>
      <c r="B31" s="1" t="str">
        <f t="shared" si="1"/>
        <v>1BE04E</v>
      </c>
      <c r="C31" s="1" t="str">
        <f t="shared" si="2"/>
        <v>C159EE</v>
      </c>
      <c r="D31" s="3" t="b">
        <v>1</v>
      </c>
      <c r="E31" s="4" t="s">
        <v>32</v>
      </c>
      <c r="F31" s="4" t="s">
        <v>33</v>
      </c>
    </row>
    <row r="32">
      <c r="A32" s="2">
        <v>30.0</v>
      </c>
      <c r="B32" s="1" t="str">
        <f t="shared" si="1"/>
        <v>1BE04F</v>
      </c>
      <c r="C32" s="1" t="str">
        <f t="shared" si="2"/>
        <v>C159EF</v>
      </c>
      <c r="D32" s="3" t="b">
        <v>1</v>
      </c>
      <c r="E32" s="4" t="s">
        <v>34</v>
      </c>
      <c r="F32" s="4" t="s">
        <v>35</v>
      </c>
    </row>
    <row r="33">
      <c r="A33" s="2">
        <v>31.0</v>
      </c>
      <c r="B33" s="1" t="str">
        <f t="shared" si="1"/>
        <v>1BE050</v>
      </c>
      <c r="C33" s="1" t="str">
        <f t="shared" si="2"/>
        <v>C159F0</v>
      </c>
      <c r="D33" s="3" t="b">
        <v>1</v>
      </c>
      <c r="E33" s="1" t="s">
        <v>36</v>
      </c>
      <c r="F33" s="4" t="s">
        <v>37</v>
      </c>
    </row>
    <row r="34">
      <c r="A34" s="2">
        <v>32.0</v>
      </c>
      <c r="B34" s="1" t="str">
        <f t="shared" si="1"/>
        <v>1BE051</v>
      </c>
      <c r="C34" s="1" t="str">
        <f t="shared" si="2"/>
        <v>C159F1</v>
      </c>
      <c r="D34" s="3" t="b">
        <v>1</v>
      </c>
      <c r="E34" s="4" t="s">
        <v>38</v>
      </c>
      <c r="F34" s="4" t="s">
        <v>39</v>
      </c>
    </row>
    <row r="35">
      <c r="A35" s="2">
        <v>33.0</v>
      </c>
      <c r="B35" s="1" t="str">
        <f t="shared" si="1"/>
        <v>1BE052</v>
      </c>
      <c r="C35" s="1" t="str">
        <f t="shared" si="2"/>
        <v>C159F2</v>
      </c>
      <c r="D35" s="3" t="b">
        <v>1</v>
      </c>
      <c r="E35" s="4" t="s">
        <v>40</v>
      </c>
      <c r="F35" s="1"/>
    </row>
    <row r="36">
      <c r="A36" s="2">
        <v>34.0</v>
      </c>
      <c r="B36" s="1" t="str">
        <f t="shared" si="1"/>
        <v>1BE053</v>
      </c>
      <c r="C36" s="1" t="str">
        <f t="shared" si="2"/>
        <v>C159F3</v>
      </c>
      <c r="D36" s="3" t="b">
        <v>1</v>
      </c>
      <c r="E36" s="4" t="s">
        <v>41</v>
      </c>
      <c r="F36" s="1"/>
    </row>
    <row r="37">
      <c r="A37" s="2">
        <v>35.0</v>
      </c>
      <c r="B37" s="1" t="str">
        <f t="shared" si="1"/>
        <v>1BE054</v>
      </c>
      <c r="C37" s="1" t="str">
        <f t="shared" si="2"/>
        <v>C159F4</v>
      </c>
      <c r="D37" s="3" t="b">
        <v>0</v>
      </c>
      <c r="E37" s="4" t="s">
        <v>42</v>
      </c>
      <c r="F37" s="1"/>
    </row>
    <row r="38">
      <c r="A38" s="2">
        <v>36.0</v>
      </c>
      <c r="B38" s="1" t="str">
        <f t="shared" si="1"/>
        <v>1BE055</v>
      </c>
      <c r="C38" s="1" t="str">
        <f t="shared" si="2"/>
        <v>C159F5</v>
      </c>
      <c r="D38" s="3" t="b">
        <v>0</v>
      </c>
      <c r="E38" s="4" t="s">
        <v>43</v>
      </c>
      <c r="F38" s="1"/>
    </row>
    <row r="39">
      <c r="A39" s="2">
        <v>37.0</v>
      </c>
      <c r="B39" s="1" t="str">
        <f t="shared" si="1"/>
        <v>1BE056</v>
      </c>
      <c r="C39" s="1" t="str">
        <f t="shared" si="2"/>
        <v>C159F6</v>
      </c>
      <c r="D39" s="3" t="b">
        <v>0</v>
      </c>
      <c r="E39" s="4" t="s">
        <v>44</v>
      </c>
      <c r="F39" s="1"/>
    </row>
    <row r="40">
      <c r="A40" s="2">
        <v>38.0</v>
      </c>
      <c r="B40" s="1" t="str">
        <f t="shared" si="1"/>
        <v>1BE057</v>
      </c>
      <c r="C40" s="1" t="str">
        <f t="shared" si="2"/>
        <v>C159F7</v>
      </c>
      <c r="D40" s="3" t="b">
        <v>0</v>
      </c>
      <c r="E40" s="1"/>
      <c r="F40" s="1"/>
    </row>
    <row r="41">
      <c r="A41" s="2">
        <v>39.0</v>
      </c>
      <c r="B41" s="1" t="str">
        <f t="shared" si="1"/>
        <v>1BE058</v>
      </c>
      <c r="C41" s="1" t="str">
        <f t="shared" si="2"/>
        <v>C159F8</v>
      </c>
      <c r="D41" s="3" t="b">
        <v>0</v>
      </c>
      <c r="E41" s="1"/>
      <c r="F41" s="1"/>
    </row>
    <row r="42">
      <c r="A42" s="2">
        <v>40.0</v>
      </c>
      <c r="B42" s="1" t="str">
        <f t="shared" si="1"/>
        <v>1BE059</v>
      </c>
      <c r="C42" s="1" t="str">
        <f t="shared" si="2"/>
        <v>C159F9</v>
      </c>
      <c r="D42" s="3" t="b">
        <v>0</v>
      </c>
      <c r="E42" s="1"/>
      <c r="F42" s="1"/>
    </row>
    <row r="43">
      <c r="A43" s="2">
        <v>41.0</v>
      </c>
      <c r="B43" s="1" t="str">
        <f t="shared" si="1"/>
        <v>1BE05A</v>
      </c>
      <c r="C43" s="1" t="str">
        <f t="shared" si="2"/>
        <v>C159FA</v>
      </c>
      <c r="D43" s="3" t="b">
        <v>0</v>
      </c>
      <c r="E43" s="1"/>
      <c r="F43" s="1"/>
    </row>
    <row r="44">
      <c r="A44" s="2">
        <v>42.0</v>
      </c>
      <c r="B44" s="1" t="str">
        <f t="shared" si="1"/>
        <v>1BE05B</v>
      </c>
      <c r="C44" s="1" t="str">
        <f t="shared" si="2"/>
        <v>C159FB</v>
      </c>
      <c r="D44" s="3" t="b">
        <v>0</v>
      </c>
      <c r="E44" s="1"/>
      <c r="F44" s="1"/>
    </row>
    <row r="45">
      <c r="A45" s="2">
        <v>43.0</v>
      </c>
      <c r="B45" s="1" t="str">
        <f t="shared" si="1"/>
        <v>1BE05C</v>
      </c>
      <c r="C45" s="1" t="str">
        <f t="shared" si="2"/>
        <v>C159FC</v>
      </c>
      <c r="D45" s="3" t="b">
        <v>0</v>
      </c>
      <c r="E45" s="1"/>
      <c r="F45" s="1"/>
    </row>
    <row r="46">
      <c r="A46" s="2">
        <v>44.0</v>
      </c>
      <c r="B46" s="1" t="str">
        <f t="shared" si="1"/>
        <v>1BE05D</v>
      </c>
      <c r="C46" s="1" t="str">
        <f t="shared" si="2"/>
        <v>C159FD</v>
      </c>
      <c r="D46" s="3" t="b">
        <v>0</v>
      </c>
      <c r="E46" s="1"/>
      <c r="F46" s="1"/>
    </row>
    <row r="47">
      <c r="A47" s="2">
        <v>45.0</v>
      </c>
      <c r="B47" s="1" t="str">
        <f t="shared" si="1"/>
        <v>1BE05E</v>
      </c>
      <c r="C47" s="1" t="str">
        <f t="shared" si="2"/>
        <v>C159FE</v>
      </c>
      <c r="D47" s="3" t="b">
        <v>0</v>
      </c>
      <c r="E47" s="1"/>
      <c r="F47" s="1"/>
    </row>
    <row r="48">
      <c r="A48" s="2">
        <v>46.0</v>
      </c>
      <c r="B48" s="1" t="str">
        <f t="shared" si="1"/>
        <v>1BE05F</v>
      </c>
      <c r="C48" s="1" t="str">
        <f t="shared" si="2"/>
        <v>C159FF</v>
      </c>
      <c r="D48" s="3" t="b">
        <v>0</v>
      </c>
      <c r="E48" s="1"/>
      <c r="F48" s="1"/>
    </row>
    <row r="49">
      <c r="A49" s="2">
        <v>47.0</v>
      </c>
      <c r="B49" s="1" t="str">
        <f t="shared" si="1"/>
        <v>1BE060</v>
      </c>
      <c r="C49" s="1" t="str">
        <f t="shared" si="2"/>
        <v>C15A00</v>
      </c>
      <c r="D49" s="3" t="b">
        <v>0</v>
      </c>
      <c r="E49" s="1"/>
      <c r="F49" s="1"/>
    </row>
    <row r="50">
      <c r="A50" s="2">
        <v>48.0</v>
      </c>
      <c r="B50" s="1" t="str">
        <f t="shared" si="1"/>
        <v>1BE061</v>
      </c>
      <c r="C50" s="1" t="str">
        <f t="shared" si="2"/>
        <v>C15A01</v>
      </c>
      <c r="D50" s="3" t="b">
        <v>0</v>
      </c>
      <c r="E50" s="1"/>
      <c r="F50" s="1"/>
    </row>
    <row r="51">
      <c r="A51" s="2">
        <v>49.0</v>
      </c>
      <c r="B51" s="1" t="str">
        <f t="shared" si="1"/>
        <v>1BE062</v>
      </c>
      <c r="C51" s="1" t="str">
        <f t="shared" si="2"/>
        <v>C15A02</v>
      </c>
      <c r="D51" s="3" t="b">
        <v>0</v>
      </c>
      <c r="E51" s="1"/>
      <c r="F51" s="1"/>
    </row>
    <row r="52">
      <c r="A52" s="2">
        <v>50.0</v>
      </c>
      <c r="B52" s="1" t="str">
        <f t="shared" si="1"/>
        <v>1BE063</v>
      </c>
      <c r="C52" s="1" t="str">
        <f t="shared" si="2"/>
        <v>C15A03</v>
      </c>
      <c r="D52" s="3" t="b">
        <v>0</v>
      </c>
      <c r="E52" s="1"/>
      <c r="F52" s="1"/>
    </row>
    <row r="53">
      <c r="A53" s="2">
        <v>51.0</v>
      </c>
      <c r="B53" s="1" t="str">
        <f t="shared" si="1"/>
        <v>1BE064</v>
      </c>
      <c r="C53" s="1" t="str">
        <f t="shared" si="2"/>
        <v>C15A04</v>
      </c>
      <c r="D53" s="3" t="b">
        <v>0</v>
      </c>
      <c r="E53" s="1"/>
      <c r="F53" s="1"/>
    </row>
    <row r="54">
      <c r="A54" s="2">
        <v>52.0</v>
      </c>
      <c r="B54" s="1" t="str">
        <f t="shared" si="1"/>
        <v>1BE065</v>
      </c>
      <c r="C54" s="1" t="str">
        <f t="shared" si="2"/>
        <v>C15A05</v>
      </c>
      <c r="D54" s="3" t="b">
        <v>0</v>
      </c>
      <c r="E54" s="1"/>
      <c r="F54" s="1"/>
    </row>
    <row r="55">
      <c r="A55" s="2">
        <v>53.0</v>
      </c>
      <c r="B55" s="1" t="str">
        <f t="shared" si="1"/>
        <v>1BE066</v>
      </c>
      <c r="C55" s="1" t="str">
        <f t="shared" si="2"/>
        <v>C15A06</v>
      </c>
      <c r="D55" s="3" t="b">
        <v>0</v>
      </c>
      <c r="E55" s="1"/>
      <c r="F55" s="1"/>
    </row>
    <row r="56">
      <c r="A56" s="2">
        <v>54.0</v>
      </c>
      <c r="B56" s="1" t="str">
        <f t="shared" si="1"/>
        <v>1BE067</v>
      </c>
      <c r="C56" s="1" t="str">
        <f t="shared" si="2"/>
        <v>C15A07</v>
      </c>
      <c r="D56" s="3" t="b">
        <v>0</v>
      </c>
      <c r="E56" s="1"/>
      <c r="F56" s="1"/>
    </row>
    <row r="57">
      <c r="A57" s="2">
        <v>55.0</v>
      </c>
      <c r="B57" s="1" t="str">
        <f t="shared" si="1"/>
        <v>1BE068</v>
      </c>
      <c r="C57" s="1" t="str">
        <f t="shared" si="2"/>
        <v>C15A08</v>
      </c>
      <c r="D57" s="3" t="b">
        <v>0</v>
      </c>
      <c r="E57" s="1"/>
      <c r="F57" s="1"/>
    </row>
    <row r="58">
      <c r="A58" s="2">
        <v>56.0</v>
      </c>
      <c r="B58" s="1" t="str">
        <f t="shared" si="1"/>
        <v>1BE069</v>
      </c>
      <c r="C58" s="1" t="str">
        <f t="shared" si="2"/>
        <v>C15A09</v>
      </c>
      <c r="D58" s="3" t="b">
        <v>0</v>
      </c>
      <c r="E58" s="1"/>
      <c r="F58" s="1"/>
    </row>
    <row r="59">
      <c r="A59" s="2">
        <v>57.0</v>
      </c>
      <c r="B59" s="1" t="str">
        <f t="shared" si="1"/>
        <v>1BE06A</v>
      </c>
      <c r="C59" s="1" t="str">
        <f t="shared" si="2"/>
        <v>C15A0A</v>
      </c>
      <c r="D59" s="3" t="b">
        <v>0</v>
      </c>
      <c r="E59" s="1"/>
      <c r="F59" s="1"/>
    </row>
    <row r="60">
      <c r="A60" s="2">
        <v>58.0</v>
      </c>
      <c r="B60" s="1" t="str">
        <f t="shared" si="1"/>
        <v>1BE06B</v>
      </c>
      <c r="C60" s="1" t="str">
        <f t="shared" si="2"/>
        <v>C15A0B</v>
      </c>
      <c r="D60" s="3" t="b">
        <v>0</v>
      </c>
      <c r="E60" s="1"/>
      <c r="F60" s="1"/>
    </row>
    <row r="61">
      <c r="A61" s="2">
        <v>59.0</v>
      </c>
      <c r="B61" s="1" t="str">
        <f t="shared" si="1"/>
        <v>1BE06C</v>
      </c>
      <c r="C61" s="1" t="str">
        <f t="shared" si="2"/>
        <v>C15A0C</v>
      </c>
      <c r="D61" s="3" t="b">
        <v>0</v>
      </c>
      <c r="E61" s="1"/>
      <c r="F61" s="1"/>
    </row>
    <row r="62">
      <c r="A62" s="2">
        <v>60.0</v>
      </c>
      <c r="B62" s="1" t="str">
        <f t="shared" si="1"/>
        <v>1BE06D</v>
      </c>
      <c r="C62" s="1" t="str">
        <f t="shared" si="2"/>
        <v>C15A0D</v>
      </c>
      <c r="D62" s="3" t="b">
        <v>0</v>
      </c>
      <c r="E62" s="1"/>
      <c r="F62" s="1"/>
    </row>
    <row r="63">
      <c r="A63" s="2">
        <v>61.0</v>
      </c>
      <c r="B63" s="1" t="str">
        <f t="shared" si="1"/>
        <v>1BE06E</v>
      </c>
      <c r="C63" s="1" t="str">
        <f t="shared" si="2"/>
        <v>C15A0E</v>
      </c>
      <c r="D63" s="3" t="b">
        <v>0</v>
      </c>
      <c r="E63" s="1"/>
      <c r="F63" s="1"/>
    </row>
    <row r="64">
      <c r="A64" s="2">
        <v>62.0</v>
      </c>
      <c r="B64" s="1" t="str">
        <f t="shared" si="1"/>
        <v>1BE06F</v>
      </c>
      <c r="C64" s="1" t="str">
        <f t="shared" si="2"/>
        <v>C15A0F</v>
      </c>
      <c r="D64" s="3" t="b">
        <v>0</v>
      </c>
      <c r="E64" s="1"/>
      <c r="F64" s="1"/>
    </row>
    <row r="65">
      <c r="A65" s="2">
        <v>63.0</v>
      </c>
      <c r="B65" s="1" t="str">
        <f t="shared" si="1"/>
        <v>1BE070</v>
      </c>
      <c r="C65" s="1" t="str">
        <f t="shared" si="2"/>
        <v>C15A10</v>
      </c>
      <c r="D65" s="3" t="b">
        <v>0</v>
      </c>
      <c r="E65" s="1"/>
      <c r="F65" s="1"/>
    </row>
    <row r="66">
      <c r="A66" s="2">
        <v>64.0</v>
      </c>
      <c r="B66" s="1" t="str">
        <f t="shared" si="1"/>
        <v>1BE071</v>
      </c>
      <c r="C66" s="1" t="str">
        <f t="shared" si="2"/>
        <v>C15A11</v>
      </c>
      <c r="D66" s="3" t="b">
        <v>0</v>
      </c>
      <c r="E66" s="1"/>
      <c r="F66" s="1"/>
    </row>
    <row r="67">
      <c r="A67" s="2">
        <v>65.0</v>
      </c>
      <c r="B67" s="1" t="str">
        <f t="shared" si="1"/>
        <v>1BE072</v>
      </c>
      <c r="C67" s="1" t="str">
        <f t="shared" si="2"/>
        <v>C15A12</v>
      </c>
      <c r="D67" s="3" t="b">
        <v>0</v>
      </c>
      <c r="E67" s="1"/>
      <c r="F67" s="1"/>
    </row>
    <row r="68">
      <c r="A68" s="2">
        <v>66.0</v>
      </c>
      <c r="B68" s="1" t="str">
        <f t="shared" si="1"/>
        <v>1BE073</v>
      </c>
      <c r="C68" s="1" t="str">
        <f t="shared" si="2"/>
        <v>C15A13</v>
      </c>
      <c r="D68" s="3" t="b">
        <v>0</v>
      </c>
      <c r="E68" s="1"/>
      <c r="F68" s="1"/>
    </row>
    <row r="69">
      <c r="A69" s="2">
        <v>67.0</v>
      </c>
      <c r="B69" s="1" t="str">
        <f t="shared" si="1"/>
        <v>1BE074</v>
      </c>
      <c r="C69" s="1" t="str">
        <f t="shared" si="2"/>
        <v>C15A14</v>
      </c>
      <c r="D69" s="3" t="b">
        <v>0</v>
      </c>
      <c r="E69" s="1"/>
      <c r="F69" s="1"/>
    </row>
    <row r="70">
      <c r="A70" s="2">
        <v>68.0</v>
      </c>
      <c r="B70" s="1" t="str">
        <f t="shared" si="1"/>
        <v>1BE075</v>
      </c>
      <c r="C70" s="1" t="str">
        <f t="shared" si="2"/>
        <v>C15A15</v>
      </c>
      <c r="D70" s="3" t="b">
        <v>0</v>
      </c>
      <c r="E70" s="1"/>
      <c r="F70" s="1"/>
    </row>
    <row r="71">
      <c r="A71" s="2">
        <v>69.0</v>
      </c>
      <c r="B71" s="1" t="str">
        <f t="shared" si="1"/>
        <v>1BE076</v>
      </c>
      <c r="C71" s="1" t="str">
        <f t="shared" si="2"/>
        <v>C15A16</v>
      </c>
      <c r="D71" s="3" t="b">
        <v>0</v>
      </c>
      <c r="E71" s="1"/>
      <c r="F71" s="1"/>
    </row>
    <row r="72">
      <c r="A72" s="2">
        <v>70.0</v>
      </c>
      <c r="B72" s="1" t="str">
        <f t="shared" si="1"/>
        <v>1BE077</v>
      </c>
      <c r="C72" s="1" t="str">
        <f t="shared" si="2"/>
        <v>C15A17</v>
      </c>
      <c r="D72" s="3" t="b">
        <v>0</v>
      </c>
      <c r="E72" s="1"/>
      <c r="F72" s="1"/>
    </row>
    <row r="73">
      <c r="A73" s="2">
        <v>71.0</v>
      </c>
      <c r="B73" s="1" t="str">
        <f t="shared" si="1"/>
        <v>1BE078</v>
      </c>
      <c r="C73" s="1" t="str">
        <f t="shared" si="2"/>
        <v>C15A18</v>
      </c>
      <c r="D73" s="3" t="b">
        <v>0</v>
      </c>
      <c r="E73" s="1"/>
      <c r="F73" s="1"/>
    </row>
    <row r="74">
      <c r="A74" s="2">
        <v>72.0</v>
      </c>
      <c r="B74" s="1" t="str">
        <f t="shared" si="1"/>
        <v>1BE079</v>
      </c>
      <c r="C74" s="1" t="str">
        <f t="shared" si="2"/>
        <v>C15A19</v>
      </c>
      <c r="D74" s="3" t="b">
        <v>0</v>
      </c>
      <c r="E74" s="1"/>
      <c r="F74" s="1"/>
    </row>
    <row r="75">
      <c r="A75" s="2">
        <v>73.0</v>
      </c>
      <c r="B75" s="1" t="str">
        <f t="shared" si="1"/>
        <v>1BE07A</v>
      </c>
      <c r="C75" s="1" t="str">
        <f t="shared" si="2"/>
        <v>C15A1A</v>
      </c>
      <c r="D75" s="3" t="b">
        <v>0</v>
      </c>
      <c r="E75" s="1"/>
      <c r="F75" s="1"/>
    </row>
    <row r="76">
      <c r="A76" s="2">
        <v>74.0</v>
      </c>
      <c r="B76" s="1" t="str">
        <f t="shared" si="1"/>
        <v>1BE07B</v>
      </c>
      <c r="C76" s="1" t="str">
        <f t="shared" si="2"/>
        <v>C15A1B</v>
      </c>
      <c r="D76" s="3" t="b">
        <v>0</v>
      </c>
      <c r="E76" s="1"/>
      <c r="F76" s="1"/>
    </row>
    <row r="77">
      <c r="A77" s="2">
        <v>75.0</v>
      </c>
      <c r="B77" s="1" t="str">
        <f t="shared" si="1"/>
        <v>1BE07C</v>
      </c>
      <c r="C77" s="1" t="str">
        <f t="shared" si="2"/>
        <v>C15A1C</v>
      </c>
      <c r="D77" s="3" t="b">
        <v>0</v>
      </c>
      <c r="E77" s="1"/>
      <c r="F77" s="1"/>
    </row>
    <row r="78">
      <c r="A78" s="2">
        <v>76.0</v>
      </c>
      <c r="B78" s="1" t="str">
        <f t="shared" si="1"/>
        <v>1BE07D</v>
      </c>
      <c r="C78" s="1" t="str">
        <f t="shared" si="2"/>
        <v>C15A1D</v>
      </c>
      <c r="D78" s="3" t="b">
        <v>0</v>
      </c>
      <c r="E78" s="1"/>
      <c r="F78" s="1"/>
    </row>
    <row r="79">
      <c r="A79" s="2">
        <v>77.0</v>
      </c>
      <c r="B79" s="1" t="str">
        <f t="shared" si="1"/>
        <v>1BE07E</v>
      </c>
      <c r="C79" s="1" t="str">
        <f t="shared" si="2"/>
        <v>C15A1E</v>
      </c>
      <c r="D79" s="3" t="b">
        <v>0</v>
      </c>
      <c r="E79" s="1"/>
      <c r="F79" s="1"/>
    </row>
    <row r="80">
      <c r="A80" s="2">
        <v>78.0</v>
      </c>
      <c r="B80" s="1" t="str">
        <f t="shared" si="1"/>
        <v>1BE07F</v>
      </c>
      <c r="C80" s="1" t="str">
        <f t="shared" si="2"/>
        <v>C15A1F</v>
      </c>
      <c r="D80" s="3" t="b">
        <v>0</v>
      </c>
      <c r="E80" s="1"/>
      <c r="F80" s="1"/>
    </row>
    <row r="81">
      <c r="A81" s="2">
        <v>79.0</v>
      </c>
      <c r="B81" s="1" t="str">
        <f t="shared" si="1"/>
        <v>1BE080</v>
      </c>
      <c r="C81" s="1" t="str">
        <f t="shared" si="2"/>
        <v>C15A20</v>
      </c>
      <c r="D81" s="3" t="b">
        <v>0</v>
      </c>
      <c r="E81" s="1"/>
      <c r="F81" s="1"/>
    </row>
    <row r="82">
      <c r="A82" s="2">
        <v>80.0</v>
      </c>
      <c r="B82" s="1" t="str">
        <f t="shared" si="1"/>
        <v>1BE081</v>
      </c>
      <c r="C82" s="1" t="str">
        <f t="shared" si="2"/>
        <v>C15A21</v>
      </c>
      <c r="D82" s="3" t="b">
        <v>0</v>
      </c>
      <c r="E82" s="1"/>
      <c r="F82" s="1"/>
    </row>
    <row r="83">
      <c r="A83" s="2">
        <v>81.0</v>
      </c>
      <c r="B83" s="1" t="str">
        <f t="shared" si="1"/>
        <v>1BE082</v>
      </c>
      <c r="C83" s="1" t="str">
        <f t="shared" si="2"/>
        <v>C15A22</v>
      </c>
      <c r="D83" s="3" t="b">
        <v>0</v>
      </c>
      <c r="E83" s="1"/>
      <c r="F83" s="1"/>
    </row>
    <row r="84">
      <c r="A84" s="2">
        <v>82.0</v>
      </c>
      <c r="B84" s="1" t="str">
        <f t="shared" si="1"/>
        <v>1BE083</v>
      </c>
      <c r="C84" s="1" t="str">
        <f t="shared" si="2"/>
        <v>C15A23</v>
      </c>
      <c r="D84" s="3" t="b">
        <v>0</v>
      </c>
      <c r="E84" s="1"/>
      <c r="F84" s="1"/>
    </row>
    <row r="85">
      <c r="A85" s="2">
        <v>83.0</v>
      </c>
      <c r="B85" s="1" t="str">
        <f t="shared" si="1"/>
        <v>1BE084</v>
      </c>
      <c r="C85" s="1" t="str">
        <f t="shared" si="2"/>
        <v>C15A24</v>
      </c>
      <c r="D85" s="3" t="b">
        <v>0</v>
      </c>
      <c r="E85" s="1"/>
      <c r="F85" s="1"/>
    </row>
    <row r="86">
      <c r="A86" s="2">
        <v>84.0</v>
      </c>
      <c r="B86" s="1" t="str">
        <f t="shared" si="1"/>
        <v>1BE085</v>
      </c>
      <c r="C86" s="1" t="str">
        <f t="shared" si="2"/>
        <v>C15A25</v>
      </c>
      <c r="D86" s="3" t="b">
        <v>0</v>
      </c>
      <c r="E86" s="1"/>
      <c r="F86" s="1"/>
    </row>
    <row r="87">
      <c r="A87" s="2">
        <v>85.0</v>
      </c>
      <c r="B87" s="1" t="str">
        <f t="shared" si="1"/>
        <v>1BE086</v>
      </c>
      <c r="C87" s="1" t="str">
        <f t="shared" si="2"/>
        <v>C15A26</v>
      </c>
      <c r="D87" s="3" t="b">
        <v>0</v>
      </c>
      <c r="E87" s="1"/>
      <c r="F87" s="1"/>
    </row>
    <row r="88">
      <c r="A88" s="2">
        <v>86.0</v>
      </c>
      <c r="B88" s="1" t="str">
        <f t="shared" si="1"/>
        <v>1BE087</v>
      </c>
      <c r="C88" s="1" t="str">
        <f t="shared" si="2"/>
        <v>C15A27</v>
      </c>
      <c r="D88" s="3" t="b">
        <v>0</v>
      </c>
      <c r="E88" s="1"/>
      <c r="F88" s="1"/>
    </row>
    <row r="89">
      <c r="A89" s="2">
        <v>87.0</v>
      </c>
      <c r="B89" s="1" t="str">
        <f t="shared" si="1"/>
        <v>1BE088</v>
      </c>
      <c r="C89" s="1" t="str">
        <f t="shared" si="2"/>
        <v>C15A28</v>
      </c>
      <c r="D89" s="3" t="b">
        <v>0</v>
      </c>
      <c r="E89" s="1"/>
      <c r="F89" s="1"/>
    </row>
    <row r="90">
      <c r="A90" s="2">
        <v>88.0</v>
      </c>
      <c r="B90" s="1" t="str">
        <f t="shared" si="1"/>
        <v>1BE089</v>
      </c>
      <c r="C90" s="1" t="str">
        <f t="shared" si="2"/>
        <v>C15A29</v>
      </c>
      <c r="D90" s="3" t="b">
        <v>0</v>
      </c>
      <c r="E90" s="1"/>
      <c r="F90" s="1"/>
    </row>
    <row r="91">
      <c r="A91" s="2">
        <v>89.0</v>
      </c>
      <c r="B91" s="1" t="str">
        <f t="shared" si="1"/>
        <v>1BE08A</v>
      </c>
      <c r="C91" s="1" t="str">
        <f t="shared" si="2"/>
        <v>C15A2A</v>
      </c>
      <c r="D91" s="3" t="b">
        <v>0</v>
      </c>
      <c r="E91" s="1"/>
      <c r="F91" s="1"/>
    </row>
    <row r="92">
      <c r="A92" s="2">
        <v>90.0</v>
      </c>
      <c r="B92" s="1" t="str">
        <f t="shared" si="1"/>
        <v>1BE08B</v>
      </c>
      <c r="C92" s="1" t="str">
        <f t="shared" si="2"/>
        <v>C15A2B</v>
      </c>
      <c r="D92" s="3" t="b">
        <v>0</v>
      </c>
      <c r="E92" s="1"/>
      <c r="F92" s="1"/>
    </row>
    <row r="93">
      <c r="A93" s="2">
        <v>91.0</v>
      </c>
      <c r="B93" s="1" t="str">
        <f t="shared" si="1"/>
        <v>1BE08C</v>
      </c>
      <c r="C93" s="1" t="str">
        <f t="shared" si="2"/>
        <v>C15A2C</v>
      </c>
      <c r="D93" s="3" t="b">
        <v>0</v>
      </c>
      <c r="E93" s="1"/>
      <c r="F93" s="1"/>
    </row>
    <row r="94">
      <c r="A94" s="2">
        <v>92.0</v>
      </c>
      <c r="B94" s="1" t="str">
        <f t="shared" si="1"/>
        <v>1BE08D</v>
      </c>
      <c r="C94" s="1" t="str">
        <f t="shared" si="2"/>
        <v>C15A2D</v>
      </c>
      <c r="D94" s="3" t="b">
        <v>0</v>
      </c>
      <c r="E94" s="1"/>
      <c r="F94" s="1"/>
    </row>
    <row r="95">
      <c r="A95" s="2">
        <v>93.0</v>
      </c>
      <c r="B95" s="1" t="str">
        <f t="shared" si="1"/>
        <v>1BE08E</v>
      </c>
      <c r="C95" s="1" t="str">
        <f t="shared" si="2"/>
        <v>C15A2E</v>
      </c>
      <c r="D95" s="3" t="b">
        <v>0</v>
      </c>
      <c r="E95" s="1"/>
      <c r="F95" s="1"/>
    </row>
    <row r="96">
      <c r="A96" s="2">
        <v>94.0</v>
      </c>
      <c r="B96" s="1" t="str">
        <f t="shared" si="1"/>
        <v>1BE08F</v>
      </c>
      <c r="C96" s="1" t="str">
        <f t="shared" si="2"/>
        <v>C15A2F</v>
      </c>
      <c r="D96" s="3" t="b">
        <v>0</v>
      </c>
      <c r="E96" s="1"/>
      <c r="F96" s="1"/>
    </row>
    <row r="97">
      <c r="A97" s="2">
        <v>95.0</v>
      </c>
      <c r="B97" s="1" t="str">
        <f t="shared" si="1"/>
        <v>1BE090</v>
      </c>
      <c r="C97" s="1" t="str">
        <f t="shared" si="2"/>
        <v>C15A30</v>
      </c>
      <c r="D97" s="3" t="b">
        <v>0</v>
      </c>
      <c r="E97" s="1"/>
      <c r="F97" s="1"/>
    </row>
    <row r="98">
      <c r="A98" s="2">
        <v>96.0</v>
      </c>
      <c r="B98" s="1" t="str">
        <f t="shared" si="1"/>
        <v>1BE091</v>
      </c>
      <c r="C98" s="1" t="str">
        <f t="shared" si="2"/>
        <v>C15A31</v>
      </c>
      <c r="D98" s="3" t="b">
        <v>0</v>
      </c>
      <c r="E98" s="1"/>
      <c r="F98" s="1"/>
    </row>
    <row r="99">
      <c r="A99" s="2">
        <v>97.0</v>
      </c>
      <c r="B99" s="1" t="str">
        <f t="shared" si="1"/>
        <v>1BE092</v>
      </c>
      <c r="C99" s="1" t="str">
        <f t="shared" si="2"/>
        <v>C15A32</v>
      </c>
      <c r="D99" s="3" t="b">
        <v>0</v>
      </c>
      <c r="E99" s="1"/>
      <c r="F99" s="1"/>
    </row>
    <row r="100">
      <c r="A100" s="2">
        <v>98.0</v>
      </c>
      <c r="B100" s="1" t="str">
        <f t="shared" si="1"/>
        <v>1BE093</v>
      </c>
      <c r="C100" s="1" t="str">
        <f t="shared" si="2"/>
        <v>C15A33</v>
      </c>
      <c r="D100" s="3" t="b">
        <v>0</v>
      </c>
      <c r="E100" s="1"/>
      <c r="F100" s="1"/>
    </row>
    <row r="101">
      <c r="A101" s="2">
        <v>99.0</v>
      </c>
      <c r="B101" s="1" t="str">
        <f t="shared" si="1"/>
        <v>1BE094</v>
      </c>
      <c r="C101" s="1" t="str">
        <f t="shared" si="2"/>
        <v>C15A34</v>
      </c>
      <c r="D101" s="3" t="b">
        <v>0</v>
      </c>
      <c r="E101" s="1"/>
      <c r="F101" s="1"/>
    </row>
    <row r="102">
      <c r="A102" s="2">
        <v>100.0</v>
      </c>
      <c r="B102" s="1" t="str">
        <f t="shared" si="1"/>
        <v>1BE095</v>
      </c>
      <c r="C102" s="1" t="str">
        <f t="shared" si="2"/>
        <v>C15A35</v>
      </c>
      <c r="D102" s="3" t="b">
        <v>0</v>
      </c>
      <c r="E102" s="1"/>
      <c r="F102" s="1"/>
    </row>
    <row r="103">
      <c r="A103" s="2">
        <v>101.0</v>
      </c>
      <c r="B103" s="1" t="str">
        <f t="shared" si="1"/>
        <v>1BE096</v>
      </c>
      <c r="C103" s="1" t="str">
        <f t="shared" si="2"/>
        <v>C15A36</v>
      </c>
      <c r="D103" s="3" t="b">
        <v>0</v>
      </c>
      <c r="E103" s="1"/>
      <c r="F103" s="1"/>
    </row>
    <row r="104">
      <c r="A104" s="2">
        <v>102.0</v>
      </c>
      <c r="B104" s="1" t="str">
        <f t="shared" si="1"/>
        <v>1BE097</v>
      </c>
      <c r="C104" s="1" t="str">
        <f t="shared" si="2"/>
        <v>C15A37</v>
      </c>
      <c r="D104" s="3" t="b">
        <v>0</v>
      </c>
      <c r="E104" s="1"/>
      <c r="F104" s="1"/>
    </row>
    <row r="105">
      <c r="A105" s="2">
        <v>103.0</v>
      </c>
      <c r="B105" s="1" t="str">
        <f t="shared" si="1"/>
        <v>1BE098</v>
      </c>
      <c r="C105" s="1" t="str">
        <f t="shared" si="2"/>
        <v>C15A38</v>
      </c>
      <c r="D105" s="3" t="b">
        <v>0</v>
      </c>
      <c r="E105" s="4" t="s">
        <v>45</v>
      </c>
      <c r="F105" s="4" t="s">
        <v>46</v>
      </c>
    </row>
    <row r="106">
      <c r="A106" s="2">
        <v>104.0</v>
      </c>
      <c r="B106" s="1" t="str">
        <f t="shared" si="1"/>
        <v>1BE099</v>
      </c>
      <c r="C106" s="1" t="str">
        <f t="shared" si="2"/>
        <v>C15A39</v>
      </c>
      <c r="D106" s="3" t="b">
        <v>0</v>
      </c>
      <c r="E106" s="1"/>
      <c r="F106" s="1"/>
    </row>
    <row r="107">
      <c r="A107" s="2">
        <v>105.0</v>
      </c>
      <c r="B107" s="1" t="str">
        <f t="shared" si="1"/>
        <v>1BE09A</v>
      </c>
      <c r="C107" s="1" t="str">
        <f t="shared" si="2"/>
        <v>C15A3A</v>
      </c>
      <c r="D107" s="3" t="b">
        <v>0</v>
      </c>
      <c r="E107" s="4" t="s">
        <v>47</v>
      </c>
      <c r="F107" s="1"/>
    </row>
    <row r="108">
      <c r="A108" s="2">
        <v>106.0</v>
      </c>
      <c r="B108" s="1" t="str">
        <f t="shared" si="1"/>
        <v>1BE09B</v>
      </c>
      <c r="C108" s="1" t="str">
        <f t="shared" si="2"/>
        <v>C15A3B</v>
      </c>
      <c r="D108" s="3" t="b">
        <v>0</v>
      </c>
      <c r="E108" s="4" t="s">
        <v>48</v>
      </c>
      <c r="F108" s="1"/>
    </row>
    <row r="109">
      <c r="A109" s="2">
        <v>107.0</v>
      </c>
      <c r="B109" s="1" t="str">
        <f t="shared" si="1"/>
        <v>1BE09C</v>
      </c>
      <c r="C109" s="1" t="str">
        <f t="shared" si="2"/>
        <v>C15A3C</v>
      </c>
      <c r="D109" s="3" t="b">
        <v>0</v>
      </c>
      <c r="E109" s="4" t="s">
        <v>49</v>
      </c>
      <c r="F109" s="1"/>
    </row>
    <row r="110">
      <c r="A110" s="2">
        <v>108.0</v>
      </c>
      <c r="B110" s="1" t="str">
        <f t="shared" si="1"/>
        <v>1BE09D</v>
      </c>
      <c r="C110" s="1" t="str">
        <f t="shared" si="2"/>
        <v>C15A3D</v>
      </c>
      <c r="D110" s="3" t="b">
        <v>0</v>
      </c>
      <c r="E110" s="4" t="s">
        <v>50</v>
      </c>
      <c r="F110" s="1"/>
    </row>
    <row r="111">
      <c r="A111" s="2">
        <v>109.0</v>
      </c>
      <c r="B111" s="1" t="str">
        <f t="shared" si="1"/>
        <v>1BE09E</v>
      </c>
      <c r="C111" s="1" t="str">
        <f t="shared" si="2"/>
        <v>C15A3E</v>
      </c>
      <c r="D111" s="3" t="b">
        <v>0</v>
      </c>
      <c r="E111" s="1"/>
      <c r="F111" s="1"/>
    </row>
    <row r="112">
      <c r="A112" s="2">
        <v>110.0</v>
      </c>
      <c r="B112" s="1" t="str">
        <f t="shared" si="1"/>
        <v>1BE09F</v>
      </c>
      <c r="C112" s="1" t="str">
        <f t="shared" si="2"/>
        <v>C15A3F</v>
      </c>
      <c r="D112" s="3" t="b">
        <v>0</v>
      </c>
      <c r="E112" s="4" t="s">
        <v>51</v>
      </c>
      <c r="F112" s="1"/>
    </row>
    <row r="113">
      <c r="A113" s="2">
        <v>111.0</v>
      </c>
      <c r="B113" s="1" t="str">
        <f t="shared" si="1"/>
        <v>1BE0A0</v>
      </c>
      <c r="C113" s="1" t="str">
        <f t="shared" si="2"/>
        <v>C15A40</v>
      </c>
      <c r="D113" s="3" t="b">
        <v>0</v>
      </c>
      <c r="E113" s="4" t="s">
        <v>52</v>
      </c>
      <c r="F113" s="4" t="s">
        <v>53</v>
      </c>
    </row>
    <row r="114">
      <c r="A114" s="2">
        <v>112.0</v>
      </c>
      <c r="B114" s="1" t="str">
        <f t="shared" si="1"/>
        <v>1BE0A1</v>
      </c>
      <c r="C114" s="1" t="str">
        <f t="shared" si="2"/>
        <v>C15A41</v>
      </c>
      <c r="D114" s="3" t="b">
        <v>0</v>
      </c>
      <c r="E114" s="4" t="s">
        <v>54</v>
      </c>
      <c r="F114" s="4" t="s">
        <v>55</v>
      </c>
    </row>
    <row r="115">
      <c r="A115" s="2">
        <v>113.0</v>
      </c>
      <c r="B115" s="1" t="str">
        <f t="shared" si="1"/>
        <v>1BE0A2</v>
      </c>
      <c r="C115" s="1" t="str">
        <f t="shared" si="2"/>
        <v>C15A42</v>
      </c>
      <c r="D115" s="3" t="b">
        <v>0</v>
      </c>
      <c r="E115" s="4" t="s">
        <v>56</v>
      </c>
      <c r="F115" s="1"/>
    </row>
    <row r="116">
      <c r="A116" s="2">
        <v>114.0</v>
      </c>
      <c r="B116" s="1" t="str">
        <f t="shared" si="1"/>
        <v>1BE0A3</v>
      </c>
      <c r="C116" s="1" t="str">
        <f t="shared" si="2"/>
        <v>C15A43</v>
      </c>
      <c r="D116" s="3" t="b">
        <v>0</v>
      </c>
      <c r="E116" s="1"/>
      <c r="F116" s="1"/>
    </row>
    <row r="117">
      <c r="A117" s="2">
        <v>115.0</v>
      </c>
      <c r="B117" s="1" t="str">
        <f t="shared" si="1"/>
        <v>1BE0A4</v>
      </c>
      <c r="C117" s="1" t="str">
        <f t="shared" si="2"/>
        <v>C15A44</v>
      </c>
      <c r="D117" s="3" t="b">
        <v>0</v>
      </c>
      <c r="E117" s="1"/>
      <c r="F117" s="1"/>
    </row>
    <row r="118">
      <c r="A118" s="2">
        <v>116.0</v>
      </c>
      <c r="B118" s="1" t="str">
        <f t="shared" si="1"/>
        <v>1BE0A5</v>
      </c>
      <c r="C118" s="1" t="str">
        <f t="shared" si="2"/>
        <v>C15A45</v>
      </c>
      <c r="D118" s="3" t="b">
        <v>0</v>
      </c>
      <c r="E118" s="1"/>
      <c r="F118" s="1"/>
    </row>
    <row r="119">
      <c r="A119" s="2">
        <v>117.0</v>
      </c>
      <c r="B119" s="1" t="str">
        <f t="shared" si="1"/>
        <v>1BE0A6</v>
      </c>
      <c r="C119" s="1" t="str">
        <f t="shared" si="2"/>
        <v>C15A46</v>
      </c>
      <c r="D119" s="3" t="b">
        <v>0</v>
      </c>
      <c r="E119" s="1"/>
      <c r="F119" s="1"/>
    </row>
    <row r="120">
      <c r="A120" s="2">
        <v>118.0</v>
      </c>
      <c r="B120" s="1" t="str">
        <f t="shared" si="1"/>
        <v>1BE0A7</v>
      </c>
      <c r="C120" s="1" t="str">
        <f t="shared" si="2"/>
        <v>C15A47</v>
      </c>
      <c r="D120" s="3" t="b">
        <v>0</v>
      </c>
      <c r="E120" s="1"/>
      <c r="F120" s="1"/>
    </row>
    <row r="121">
      <c r="A121" s="2">
        <v>119.0</v>
      </c>
      <c r="B121" s="1" t="str">
        <f t="shared" si="1"/>
        <v>1BE0A8</v>
      </c>
      <c r="C121" s="1" t="str">
        <f t="shared" si="2"/>
        <v>C15A48</v>
      </c>
      <c r="D121" s="3" t="b">
        <v>0</v>
      </c>
      <c r="E121" s="1"/>
      <c r="F121" s="1"/>
    </row>
    <row r="122">
      <c r="A122" s="2">
        <v>120.0</v>
      </c>
      <c r="B122" s="1" t="str">
        <f t="shared" si="1"/>
        <v>1BE0A9</v>
      </c>
      <c r="C122" s="1" t="str">
        <f t="shared" si="2"/>
        <v>C15A49</v>
      </c>
      <c r="D122" s="3" t="b">
        <v>0</v>
      </c>
      <c r="E122" s="4" t="s">
        <v>57</v>
      </c>
      <c r="F122" s="4" t="s">
        <v>58</v>
      </c>
    </row>
    <row r="123">
      <c r="A123" s="2">
        <v>121.0</v>
      </c>
      <c r="B123" s="1" t="str">
        <f t="shared" si="1"/>
        <v>1BE0AA</v>
      </c>
      <c r="C123" s="1" t="str">
        <f t="shared" si="2"/>
        <v>C15A4A</v>
      </c>
      <c r="D123" s="3" t="b">
        <v>0</v>
      </c>
      <c r="E123" s="1"/>
      <c r="F123" s="1"/>
    </row>
    <row r="124">
      <c r="A124" s="2">
        <v>122.0</v>
      </c>
      <c r="B124" s="1" t="str">
        <f t="shared" si="1"/>
        <v>1BE0AB</v>
      </c>
      <c r="C124" s="1" t="str">
        <f t="shared" si="2"/>
        <v>C15A4B</v>
      </c>
      <c r="D124" s="3" t="b">
        <v>0</v>
      </c>
      <c r="E124" s="4" t="s">
        <v>59</v>
      </c>
      <c r="F124" s="1"/>
    </row>
    <row r="125">
      <c r="A125" s="2">
        <v>123.0</v>
      </c>
      <c r="B125" s="1" t="str">
        <f t="shared" si="1"/>
        <v>1BE0AC</v>
      </c>
      <c r="C125" s="1" t="str">
        <f t="shared" si="2"/>
        <v>C15A4C</v>
      </c>
      <c r="D125" s="3" t="b">
        <v>0</v>
      </c>
      <c r="E125" s="4" t="s">
        <v>60</v>
      </c>
      <c r="F125" s="1"/>
    </row>
    <row r="126">
      <c r="A126" s="2">
        <v>124.0</v>
      </c>
      <c r="B126" s="1" t="str">
        <f t="shared" si="1"/>
        <v>1BE0AD</v>
      </c>
      <c r="C126" s="1" t="str">
        <f t="shared" si="2"/>
        <v>C15A4D</v>
      </c>
      <c r="D126" s="3" t="b">
        <v>0</v>
      </c>
      <c r="E126" s="1"/>
      <c r="F126" s="1"/>
    </row>
    <row r="127">
      <c r="A127" s="2">
        <v>125.0</v>
      </c>
      <c r="B127" s="1" t="str">
        <f t="shared" si="1"/>
        <v>1BE0AE</v>
      </c>
      <c r="C127" s="1" t="str">
        <f t="shared" si="2"/>
        <v>C15A4E</v>
      </c>
      <c r="D127" s="3" t="b">
        <v>0</v>
      </c>
      <c r="E127" s="1"/>
      <c r="F127" s="1"/>
    </row>
    <row r="128">
      <c r="A128" s="2">
        <v>126.0</v>
      </c>
      <c r="B128" s="1" t="str">
        <f t="shared" si="1"/>
        <v>1BE0AF</v>
      </c>
      <c r="C128" s="1" t="str">
        <f t="shared" si="2"/>
        <v>C15A4F</v>
      </c>
      <c r="D128" s="3" t="b">
        <v>0</v>
      </c>
      <c r="E128" s="1"/>
      <c r="F128" s="1"/>
    </row>
    <row r="129">
      <c r="A129" s="2">
        <v>127.0</v>
      </c>
      <c r="B129" s="1" t="str">
        <f t="shared" si="1"/>
        <v>1BE0B0</v>
      </c>
      <c r="C129" s="1" t="str">
        <f t="shared" si="2"/>
        <v>C15A50</v>
      </c>
      <c r="D129" s="3" t="b">
        <v>0</v>
      </c>
      <c r="E129" s="1"/>
      <c r="F129" s="1"/>
    </row>
    <row r="130">
      <c r="A130" s="2">
        <v>128.0</v>
      </c>
      <c r="B130" s="1" t="str">
        <f t="shared" si="1"/>
        <v>1BE0B1</v>
      </c>
      <c r="C130" s="1" t="str">
        <f t="shared" si="2"/>
        <v>C15A51</v>
      </c>
      <c r="D130" s="3" t="b">
        <v>0</v>
      </c>
      <c r="E130" s="1"/>
      <c r="F130" s="1"/>
    </row>
    <row r="131">
      <c r="A131" s="2">
        <v>129.0</v>
      </c>
      <c r="B131" s="1" t="str">
        <f t="shared" si="1"/>
        <v>1BE0B2</v>
      </c>
      <c r="C131" s="1" t="str">
        <f t="shared" si="2"/>
        <v>C15A52</v>
      </c>
      <c r="D131" s="3" t="b">
        <v>0</v>
      </c>
      <c r="E131" s="1"/>
      <c r="F131" s="1"/>
    </row>
    <row r="132">
      <c r="A132" s="2">
        <v>130.0</v>
      </c>
      <c r="B132" s="1" t="str">
        <f t="shared" si="1"/>
        <v>1BE0B3</v>
      </c>
      <c r="C132" s="1" t="str">
        <f t="shared" si="2"/>
        <v>C15A53</v>
      </c>
      <c r="D132" s="3" t="b">
        <v>0</v>
      </c>
      <c r="E132" s="1"/>
      <c r="F132" s="1"/>
    </row>
    <row r="133">
      <c r="A133" s="2">
        <v>131.0</v>
      </c>
      <c r="B133" s="1" t="str">
        <f t="shared" si="1"/>
        <v>1BE0B4</v>
      </c>
      <c r="C133" s="1" t="str">
        <f t="shared" si="2"/>
        <v>C15A54</v>
      </c>
      <c r="D133" s="3" t="b">
        <v>0</v>
      </c>
      <c r="E133" s="1"/>
      <c r="F133" s="1"/>
    </row>
    <row r="134">
      <c r="A134" s="2">
        <v>132.0</v>
      </c>
      <c r="B134" s="1" t="str">
        <f t="shared" si="1"/>
        <v>1BE0B5</v>
      </c>
      <c r="C134" s="1" t="str">
        <f t="shared" si="2"/>
        <v>C15A55</v>
      </c>
      <c r="D134" s="3" t="b">
        <v>0</v>
      </c>
      <c r="E134" s="1"/>
      <c r="F134" s="1"/>
    </row>
    <row r="135">
      <c r="A135" s="2">
        <v>133.0</v>
      </c>
      <c r="B135" s="1" t="str">
        <f t="shared" si="1"/>
        <v>1BE0B6</v>
      </c>
      <c r="C135" s="1" t="str">
        <f t="shared" si="2"/>
        <v>C15A56</v>
      </c>
      <c r="D135" s="3" t="b">
        <v>0</v>
      </c>
      <c r="E135" s="1"/>
      <c r="F135" s="1"/>
    </row>
    <row r="136">
      <c r="A136" s="2">
        <v>134.0</v>
      </c>
      <c r="B136" s="1" t="str">
        <f t="shared" si="1"/>
        <v>1BE0B7</v>
      </c>
      <c r="C136" s="1" t="str">
        <f t="shared" si="2"/>
        <v>C15A57</v>
      </c>
      <c r="D136" s="3" t="b">
        <v>0</v>
      </c>
      <c r="E136" s="1"/>
      <c r="F136" s="1"/>
    </row>
    <row r="137">
      <c r="A137" s="2">
        <v>135.0</v>
      </c>
      <c r="B137" s="1" t="str">
        <f t="shared" si="1"/>
        <v>1BE0B8</v>
      </c>
      <c r="C137" s="1" t="str">
        <f t="shared" si="2"/>
        <v>C15A58</v>
      </c>
      <c r="D137" s="3" t="b">
        <v>0</v>
      </c>
      <c r="E137" s="1"/>
      <c r="F137" s="1"/>
    </row>
    <row r="138">
      <c r="A138" s="2">
        <v>136.0</v>
      </c>
      <c r="B138" s="1" t="str">
        <f t="shared" si="1"/>
        <v>1BE0B9</v>
      </c>
      <c r="C138" s="1" t="str">
        <f t="shared" si="2"/>
        <v>C15A59</v>
      </c>
      <c r="D138" s="3" t="b">
        <v>0</v>
      </c>
      <c r="E138" s="1"/>
      <c r="F138" s="1"/>
    </row>
    <row r="139">
      <c r="A139" s="2">
        <v>137.0</v>
      </c>
      <c r="B139" s="1" t="str">
        <f t="shared" si="1"/>
        <v>1BE0BA</v>
      </c>
      <c r="C139" s="1" t="str">
        <f t="shared" si="2"/>
        <v>C15A5A</v>
      </c>
      <c r="D139" s="3" t="b">
        <v>0</v>
      </c>
      <c r="E139" s="1"/>
      <c r="F139" s="1"/>
    </row>
    <row r="140">
      <c r="A140" s="2">
        <v>138.0</v>
      </c>
      <c r="B140" s="1" t="str">
        <f t="shared" si="1"/>
        <v>1BE0BB</v>
      </c>
      <c r="C140" s="1" t="str">
        <f t="shared" si="2"/>
        <v>C15A5B</v>
      </c>
      <c r="D140" s="3" t="b">
        <v>0</v>
      </c>
      <c r="E140" s="1"/>
      <c r="F140" s="1"/>
    </row>
    <row r="141">
      <c r="A141" s="2">
        <v>139.0</v>
      </c>
      <c r="B141" s="1" t="str">
        <f t="shared" si="1"/>
        <v>1BE0BC</v>
      </c>
      <c r="C141" s="1" t="str">
        <f t="shared" si="2"/>
        <v>C15A5C</v>
      </c>
      <c r="D141" s="3" t="b">
        <v>0</v>
      </c>
      <c r="E141" s="1"/>
      <c r="F141" s="1"/>
    </row>
    <row r="142">
      <c r="A142" s="2">
        <v>140.0</v>
      </c>
      <c r="B142" s="1" t="str">
        <f t="shared" si="1"/>
        <v>1BE0BD</v>
      </c>
      <c r="C142" s="1" t="str">
        <f t="shared" si="2"/>
        <v>C15A5D</v>
      </c>
      <c r="D142" s="3" t="b">
        <v>0</v>
      </c>
      <c r="E142" s="1"/>
      <c r="F142" s="1"/>
    </row>
    <row r="143">
      <c r="A143" s="2">
        <v>141.0</v>
      </c>
      <c r="B143" s="1" t="str">
        <f t="shared" si="1"/>
        <v>1BE0BE</v>
      </c>
      <c r="C143" s="1" t="str">
        <f t="shared" si="2"/>
        <v>C15A5E</v>
      </c>
      <c r="D143" s="3" t="b">
        <v>0</v>
      </c>
      <c r="E143" s="1"/>
      <c r="F143" s="1"/>
    </row>
    <row r="144">
      <c r="A144" s="2">
        <v>142.0</v>
      </c>
      <c r="B144" s="1" t="str">
        <f t="shared" si="1"/>
        <v>1BE0BF</v>
      </c>
      <c r="C144" s="1" t="str">
        <f t="shared" si="2"/>
        <v>C15A5F</v>
      </c>
      <c r="D144" s="3" t="b">
        <v>0</v>
      </c>
      <c r="E144" s="1"/>
      <c r="F144" s="1"/>
    </row>
    <row r="145">
      <c r="A145" s="2">
        <v>143.0</v>
      </c>
      <c r="B145" s="1" t="str">
        <f t="shared" si="1"/>
        <v>1BE0C0</v>
      </c>
      <c r="C145" s="1" t="str">
        <f t="shared" si="2"/>
        <v>C15A60</v>
      </c>
      <c r="D145" s="3" t="b">
        <v>0</v>
      </c>
      <c r="E145" s="1"/>
      <c r="F145" s="1"/>
    </row>
    <row r="146">
      <c r="A146" s="2">
        <v>144.0</v>
      </c>
      <c r="B146" s="1" t="str">
        <f t="shared" si="1"/>
        <v>1BE0C1</v>
      </c>
      <c r="C146" s="1" t="str">
        <f t="shared" si="2"/>
        <v>C15A61</v>
      </c>
      <c r="D146" s="3" t="b">
        <v>0</v>
      </c>
      <c r="E146" s="1"/>
      <c r="F146" s="1"/>
    </row>
    <row r="147">
      <c r="A147" s="2">
        <v>145.0</v>
      </c>
      <c r="B147" s="1" t="str">
        <f t="shared" si="1"/>
        <v>1BE0C2</v>
      </c>
      <c r="C147" s="1" t="str">
        <f t="shared" si="2"/>
        <v>C15A62</v>
      </c>
      <c r="D147" s="3" t="b">
        <v>0</v>
      </c>
      <c r="E147" s="1"/>
      <c r="F147" s="1"/>
    </row>
    <row r="148">
      <c r="A148" s="2">
        <v>146.0</v>
      </c>
      <c r="B148" s="1" t="str">
        <f t="shared" si="1"/>
        <v>1BE0C3</v>
      </c>
      <c r="C148" s="1" t="str">
        <f t="shared" si="2"/>
        <v>C15A63</v>
      </c>
      <c r="D148" s="3" t="b">
        <v>0</v>
      </c>
      <c r="E148" s="1"/>
      <c r="F148" s="1"/>
    </row>
    <row r="149">
      <c r="A149" s="2">
        <v>147.0</v>
      </c>
      <c r="B149" s="1" t="str">
        <f t="shared" si="1"/>
        <v>1BE0C4</v>
      </c>
      <c r="C149" s="1" t="str">
        <f t="shared" si="2"/>
        <v>C15A64</v>
      </c>
      <c r="D149" s="3" t="b">
        <v>0</v>
      </c>
      <c r="E149" s="1"/>
      <c r="F149" s="1"/>
    </row>
    <row r="150">
      <c r="A150" s="2">
        <v>148.0</v>
      </c>
      <c r="B150" s="1" t="str">
        <f t="shared" si="1"/>
        <v>1BE0C5</v>
      </c>
      <c r="C150" s="1" t="str">
        <f t="shared" si="2"/>
        <v>C15A65</v>
      </c>
      <c r="D150" s="3" t="b">
        <v>0</v>
      </c>
      <c r="E150" s="1"/>
      <c r="F150" s="1"/>
    </row>
    <row r="151">
      <c r="A151" s="2">
        <v>149.0</v>
      </c>
      <c r="B151" s="1" t="str">
        <f t="shared" si="1"/>
        <v>1BE0C6</v>
      </c>
      <c r="C151" s="1" t="str">
        <f t="shared" si="2"/>
        <v>C15A66</v>
      </c>
      <c r="D151" s="3" t="b">
        <v>0</v>
      </c>
      <c r="E151" s="1"/>
      <c r="F151" s="1"/>
    </row>
    <row r="152">
      <c r="A152" s="2">
        <v>150.0</v>
      </c>
      <c r="B152" s="1" t="str">
        <f t="shared" si="1"/>
        <v>1BE0C7</v>
      </c>
      <c r="C152" s="1" t="str">
        <f t="shared" si="2"/>
        <v>C15A67</v>
      </c>
      <c r="D152" s="3" t="b">
        <v>0</v>
      </c>
      <c r="E152" s="1"/>
      <c r="F152" s="1"/>
    </row>
    <row r="153">
      <c r="A153" s="2">
        <v>151.0</v>
      </c>
      <c r="B153" s="1" t="str">
        <f t="shared" si="1"/>
        <v>1BE0C8</v>
      </c>
      <c r="C153" s="1" t="str">
        <f t="shared" si="2"/>
        <v>C15A68</v>
      </c>
      <c r="D153" s="3" t="b">
        <v>0</v>
      </c>
      <c r="E153" s="1"/>
      <c r="F153" s="1"/>
    </row>
    <row r="154">
      <c r="A154" s="2">
        <v>152.0</v>
      </c>
      <c r="B154" s="1" t="str">
        <f t="shared" si="1"/>
        <v>1BE0C9</v>
      </c>
      <c r="C154" s="1" t="str">
        <f t="shared" si="2"/>
        <v>C15A69</v>
      </c>
      <c r="D154" s="3" t="b">
        <v>0</v>
      </c>
      <c r="E154" s="1"/>
      <c r="F154" s="1"/>
    </row>
    <row r="155">
      <c r="A155" s="2">
        <v>153.0</v>
      </c>
      <c r="B155" s="1" t="str">
        <f t="shared" si="1"/>
        <v>1BE0CA</v>
      </c>
      <c r="C155" s="1" t="str">
        <f t="shared" si="2"/>
        <v>C15A6A</v>
      </c>
      <c r="D155" s="3" t="b">
        <v>0</v>
      </c>
      <c r="E155" s="1"/>
      <c r="F155" s="1"/>
    </row>
    <row r="156">
      <c r="A156" s="2">
        <v>154.0</v>
      </c>
      <c r="B156" s="1" t="str">
        <f t="shared" si="1"/>
        <v>1BE0CB</v>
      </c>
      <c r="C156" s="1" t="str">
        <f t="shared" si="2"/>
        <v>C15A6B</v>
      </c>
      <c r="D156" s="3" t="b">
        <v>0</v>
      </c>
      <c r="E156" s="1"/>
      <c r="F156" s="1"/>
    </row>
    <row r="157">
      <c r="A157" s="2">
        <v>155.0</v>
      </c>
      <c r="B157" s="1" t="str">
        <f t="shared" si="1"/>
        <v>1BE0CC</v>
      </c>
      <c r="C157" s="1" t="str">
        <f t="shared" si="2"/>
        <v>C15A6C</v>
      </c>
      <c r="D157" s="3" t="b">
        <v>0</v>
      </c>
      <c r="E157" s="1"/>
      <c r="F157" s="1"/>
    </row>
    <row r="158">
      <c r="A158" s="2">
        <v>156.0</v>
      </c>
      <c r="B158" s="1" t="str">
        <f t="shared" si="1"/>
        <v>1BE0CD</v>
      </c>
      <c r="C158" s="1" t="str">
        <f t="shared" si="2"/>
        <v>C15A6D</v>
      </c>
      <c r="D158" s="3" t="b">
        <v>0</v>
      </c>
      <c r="E158" s="1"/>
      <c r="F158" s="1"/>
    </row>
    <row r="159">
      <c r="A159" s="2">
        <v>157.0</v>
      </c>
      <c r="B159" s="1" t="str">
        <f t="shared" si="1"/>
        <v>1BE0CE</v>
      </c>
      <c r="C159" s="1" t="str">
        <f t="shared" si="2"/>
        <v>C15A6E</v>
      </c>
      <c r="D159" s="3" t="b">
        <v>0</v>
      </c>
      <c r="E159" s="1"/>
      <c r="F159" s="1"/>
    </row>
    <row r="160">
      <c r="A160" s="2">
        <v>158.0</v>
      </c>
      <c r="B160" s="1" t="str">
        <f t="shared" si="1"/>
        <v>1BE0CF</v>
      </c>
      <c r="C160" s="1" t="str">
        <f t="shared" si="2"/>
        <v>C15A6F</v>
      </c>
      <c r="D160" s="3" t="b">
        <v>0</v>
      </c>
      <c r="E160" s="1"/>
      <c r="F160" s="1"/>
    </row>
    <row r="161">
      <c r="A161" s="2">
        <v>159.0</v>
      </c>
      <c r="B161" s="1" t="str">
        <f t="shared" si="1"/>
        <v>1BE0D0</v>
      </c>
      <c r="C161" s="1" t="str">
        <f t="shared" si="2"/>
        <v>C15A70</v>
      </c>
      <c r="D161" s="3" t="b">
        <v>0</v>
      </c>
      <c r="E161" s="1"/>
      <c r="F161" s="1"/>
    </row>
    <row r="162">
      <c r="A162" s="2">
        <v>160.0</v>
      </c>
      <c r="B162" s="1" t="str">
        <f t="shared" si="1"/>
        <v>1BE0D1</v>
      </c>
      <c r="C162" s="1" t="str">
        <f t="shared" si="2"/>
        <v>C15A71</v>
      </c>
      <c r="D162" s="3" t="b">
        <v>0</v>
      </c>
      <c r="E162" s="1"/>
      <c r="F162" s="1"/>
    </row>
    <row r="163">
      <c r="A163" s="2">
        <v>161.0</v>
      </c>
      <c r="B163" s="1" t="str">
        <f t="shared" si="1"/>
        <v>1BE0D2</v>
      </c>
      <c r="C163" s="1" t="str">
        <f t="shared" si="2"/>
        <v>C15A72</v>
      </c>
      <c r="D163" s="3" t="b">
        <v>0</v>
      </c>
      <c r="E163" s="1"/>
      <c r="F163" s="1"/>
    </row>
    <row r="164">
      <c r="A164" s="2">
        <v>162.0</v>
      </c>
      <c r="B164" s="1" t="str">
        <f t="shared" si="1"/>
        <v>1BE0D3</v>
      </c>
      <c r="C164" s="1" t="str">
        <f t="shared" si="2"/>
        <v>C15A73</v>
      </c>
      <c r="D164" s="3" t="b">
        <v>0</v>
      </c>
      <c r="E164" s="1"/>
      <c r="F164" s="1"/>
    </row>
    <row r="165">
      <c r="A165" s="2">
        <v>163.0</v>
      </c>
      <c r="B165" s="1" t="str">
        <f t="shared" si="1"/>
        <v>1BE0D4</v>
      </c>
      <c r="C165" s="1" t="str">
        <f t="shared" si="2"/>
        <v>C15A74</v>
      </c>
      <c r="D165" s="3" t="b">
        <v>0</v>
      </c>
      <c r="E165" s="1"/>
      <c r="F165" s="1"/>
    </row>
    <row r="166">
      <c r="A166" s="2">
        <v>164.0</v>
      </c>
      <c r="B166" s="1" t="str">
        <f t="shared" si="1"/>
        <v>1BE0D5</v>
      </c>
      <c r="C166" s="1" t="str">
        <f t="shared" si="2"/>
        <v>C15A75</v>
      </c>
      <c r="D166" s="3" t="b">
        <v>0</v>
      </c>
      <c r="E166" s="1"/>
      <c r="F166" s="1"/>
    </row>
    <row r="167">
      <c r="A167" s="2">
        <v>165.0</v>
      </c>
      <c r="B167" s="1" t="str">
        <f t="shared" si="1"/>
        <v>1BE0D6</v>
      </c>
      <c r="C167" s="1" t="str">
        <f t="shared" si="2"/>
        <v>C15A76</v>
      </c>
      <c r="D167" s="3" t="b">
        <v>0</v>
      </c>
      <c r="E167" s="1"/>
      <c r="F167" s="1"/>
    </row>
    <row r="168">
      <c r="A168" s="2">
        <v>166.0</v>
      </c>
      <c r="B168" s="1" t="str">
        <f t="shared" si="1"/>
        <v>1BE0D7</v>
      </c>
      <c r="C168" s="1" t="str">
        <f t="shared" si="2"/>
        <v>C15A77</v>
      </c>
      <c r="D168" s="3" t="b">
        <v>0</v>
      </c>
      <c r="E168" s="1"/>
      <c r="F168" s="1"/>
    </row>
    <row r="169">
      <c r="A169" s="2">
        <v>167.0</v>
      </c>
      <c r="B169" s="1" t="str">
        <f t="shared" si="1"/>
        <v>1BE0D8</v>
      </c>
      <c r="C169" s="1" t="str">
        <f t="shared" si="2"/>
        <v>C15A78</v>
      </c>
      <c r="D169" s="3" t="b">
        <v>0</v>
      </c>
      <c r="E169" s="1"/>
      <c r="F169" s="1"/>
    </row>
    <row r="170">
      <c r="A170" s="2">
        <v>168.0</v>
      </c>
      <c r="B170" s="1" t="str">
        <f t="shared" si="1"/>
        <v>1BE0D9</v>
      </c>
      <c r="C170" s="1" t="str">
        <f t="shared" si="2"/>
        <v>C15A79</v>
      </c>
      <c r="D170" s="3" t="b">
        <v>0</v>
      </c>
      <c r="E170" s="1"/>
      <c r="F170" s="1"/>
    </row>
    <row r="171">
      <c r="A171" s="2">
        <v>169.0</v>
      </c>
      <c r="B171" s="1" t="str">
        <f t="shared" si="1"/>
        <v>1BE0DA</v>
      </c>
      <c r="C171" s="1" t="str">
        <f t="shared" si="2"/>
        <v>C15A7A</v>
      </c>
      <c r="D171" s="3" t="b">
        <v>0</v>
      </c>
      <c r="E171" s="1"/>
      <c r="F171" s="1"/>
    </row>
    <row r="172">
      <c r="A172" s="2">
        <v>170.0</v>
      </c>
      <c r="B172" s="1" t="str">
        <f t="shared" si="1"/>
        <v>1BE0DB</v>
      </c>
      <c r="C172" s="1" t="str">
        <f t="shared" si="2"/>
        <v>C15A7B</v>
      </c>
      <c r="D172" s="3" t="b">
        <v>0</v>
      </c>
      <c r="E172" s="1"/>
      <c r="F172" s="1"/>
    </row>
    <row r="173">
      <c r="A173" s="2">
        <v>171.0</v>
      </c>
      <c r="B173" s="1" t="str">
        <f t="shared" si="1"/>
        <v>1BE0DC</v>
      </c>
      <c r="C173" s="1" t="str">
        <f t="shared" si="2"/>
        <v>C15A7C</v>
      </c>
      <c r="D173" s="3" t="b">
        <v>0</v>
      </c>
      <c r="E173" s="1"/>
      <c r="F173" s="1"/>
    </row>
    <row r="174">
      <c r="A174" s="2">
        <v>172.0</v>
      </c>
      <c r="B174" s="1" t="str">
        <f t="shared" si="1"/>
        <v>1BE0DD</v>
      </c>
      <c r="C174" s="1" t="str">
        <f t="shared" si="2"/>
        <v>C15A7D</v>
      </c>
      <c r="D174" s="3" t="b">
        <v>0</v>
      </c>
      <c r="E174" s="1"/>
      <c r="F174" s="1"/>
    </row>
    <row r="175">
      <c r="A175" s="2">
        <v>173.0</v>
      </c>
      <c r="B175" s="1" t="str">
        <f t="shared" si="1"/>
        <v>1BE0DE</v>
      </c>
      <c r="C175" s="1" t="str">
        <f t="shared" si="2"/>
        <v>C15A7E</v>
      </c>
      <c r="D175" s="3" t="b">
        <v>0</v>
      </c>
      <c r="E175" s="1"/>
      <c r="F175" s="1"/>
    </row>
    <row r="176">
      <c r="A176" s="2">
        <v>174.0</v>
      </c>
      <c r="B176" s="1" t="str">
        <f t="shared" si="1"/>
        <v>1BE0DF</v>
      </c>
      <c r="C176" s="1" t="str">
        <f t="shared" si="2"/>
        <v>C15A7F</v>
      </c>
      <c r="D176" s="3" t="b">
        <v>0</v>
      </c>
      <c r="E176" s="1"/>
      <c r="F176" s="1"/>
    </row>
    <row r="177">
      <c r="A177" s="2">
        <v>175.0</v>
      </c>
      <c r="B177" s="1" t="str">
        <f t="shared" si="1"/>
        <v>1BE0E0</v>
      </c>
      <c r="C177" s="1" t="str">
        <f t="shared" si="2"/>
        <v>C15A80</v>
      </c>
      <c r="D177" s="3" t="b">
        <v>0</v>
      </c>
      <c r="E177" s="1"/>
      <c r="F177" s="1"/>
    </row>
    <row r="178">
      <c r="A178" s="2">
        <v>176.0</v>
      </c>
      <c r="B178" s="1" t="str">
        <f t="shared" si="1"/>
        <v>1BE0E1</v>
      </c>
      <c r="C178" s="1" t="str">
        <f t="shared" si="2"/>
        <v>C15A81</v>
      </c>
      <c r="D178" s="3" t="b">
        <v>0</v>
      </c>
      <c r="E178" s="1"/>
      <c r="F178" s="1"/>
    </row>
    <row r="179">
      <c r="A179" s="2">
        <v>177.0</v>
      </c>
      <c r="B179" s="1" t="str">
        <f t="shared" si="1"/>
        <v>1BE0E2</v>
      </c>
      <c r="C179" s="1" t="str">
        <f t="shared" si="2"/>
        <v>C15A82</v>
      </c>
      <c r="D179" s="3" t="b">
        <v>0</v>
      </c>
      <c r="E179" s="1"/>
      <c r="F179" s="1"/>
    </row>
    <row r="180">
      <c r="A180" s="2">
        <v>178.0</v>
      </c>
      <c r="B180" s="1" t="str">
        <f t="shared" si="1"/>
        <v>1BE0E3</v>
      </c>
      <c r="C180" s="1" t="str">
        <f t="shared" si="2"/>
        <v>C15A83</v>
      </c>
      <c r="D180" s="3" t="b">
        <v>0</v>
      </c>
      <c r="E180" s="1"/>
      <c r="F180" s="1"/>
    </row>
    <row r="181">
      <c r="A181" s="2">
        <v>179.0</v>
      </c>
      <c r="B181" s="1" t="str">
        <f t="shared" si="1"/>
        <v>1BE0E4</v>
      </c>
      <c r="C181" s="1" t="str">
        <f t="shared" si="2"/>
        <v>C15A84</v>
      </c>
      <c r="D181" s="3" t="b">
        <v>0</v>
      </c>
      <c r="E181" s="1"/>
      <c r="F181" s="1"/>
    </row>
    <row r="182">
      <c r="A182" s="2">
        <v>180.0</v>
      </c>
      <c r="B182" s="1" t="str">
        <f t="shared" si="1"/>
        <v>1BE0E5</v>
      </c>
      <c r="C182" s="1" t="str">
        <f t="shared" si="2"/>
        <v>C15A85</v>
      </c>
      <c r="D182" s="3" t="b">
        <v>0</v>
      </c>
      <c r="E182" s="1"/>
      <c r="F182" s="1"/>
    </row>
    <row r="183">
      <c r="A183" s="2">
        <v>181.0</v>
      </c>
      <c r="B183" s="1" t="str">
        <f t="shared" si="1"/>
        <v>1BE0E6</v>
      </c>
      <c r="C183" s="1" t="str">
        <f t="shared" si="2"/>
        <v>C15A86</v>
      </c>
      <c r="D183" s="3" t="b">
        <v>0</v>
      </c>
      <c r="E183" s="1"/>
      <c r="F183" s="1"/>
    </row>
    <row r="184">
      <c r="A184" s="2">
        <v>182.0</v>
      </c>
      <c r="B184" s="1" t="str">
        <f t="shared" si="1"/>
        <v>1BE0E7</v>
      </c>
      <c r="C184" s="1" t="str">
        <f t="shared" si="2"/>
        <v>C15A87</v>
      </c>
      <c r="D184" s="3" t="b">
        <v>0</v>
      </c>
      <c r="E184" s="1"/>
      <c r="F184" s="1"/>
    </row>
    <row r="185">
      <c r="A185" s="2">
        <v>183.0</v>
      </c>
      <c r="B185" s="1" t="str">
        <f t="shared" si="1"/>
        <v>1BE0E8</v>
      </c>
      <c r="C185" s="1" t="str">
        <f t="shared" si="2"/>
        <v>C15A88</v>
      </c>
      <c r="D185" s="3" t="b">
        <v>0</v>
      </c>
      <c r="E185" s="1"/>
      <c r="F185" s="1"/>
    </row>
    <row r="186">
      <c r="A186" s="2">
        <v>184.0</v>
      </c>
      <c r="B186" s="1" t="str">
        <f t="shared" si="1"/>
        <v>1BE0E9</v>
      </c>
      <c r="C186" s="1" t="str">
        <f t="shared" si="2"/>
        <v>C15A89</v>
      </c>
      <c r="D186" s="3" t="b">
        <v>0</v>
      </c>
      <c r="E186" s="1"/>
      <c r="F186" s="1"/>
    </row>
    <row r="187">
      <c r="A187" s="2">
        <v>185.0</v>
      </c>
      <c r="B187" s="1" t="str">
        <f t="shared" si="1"/>
        <v>1BE0EA</v>
      </c>
      <c r="C187" s="1" t="str">
        <f t="shared" si="2"/>
        <v>C15A8A</v>
      </c>
      <c r="D187" s="3" t="b">
        <v>0</v>
      </c>
      <c r="E187" s="1"/>
      <c r="F187" s="1"/>
    </row>
    <row r="188">
      <c r="A188" s="2">
        <v>186.0</v>
      </c>
      <c r="B188" s="1" t="str">
        <f t="shared" si="1"/>
        <v>1BE0EB</v>
      </c>
      <c r="C188" s="1" t="str">
        <f t="shared" si="2"/>
        <v>C15A8B</v>
      </c>
      <c r="D188" s="3" t="b">
        <v>0</v>
      </c>
      <c r="E188" s="1"/>
      <c r="F188" s="1"/>
    </row>
    <row r="189">
      <c r="A189" s="2">
        <v>187.0</v>
      </c>
      <c r="B189" s="1" t="str">
        <f t="shared" si="1"/>
        <v>1BE0EC</v>
      </c>
      <c r="C189" s="1" t="str">
        <f t="shared" si="2"/>
        <v>C15A8C</v>
      </c>
      <c r="D189" s="3" t="b">
        <v>0</v>
      </c>
      <c r="E189" s="1"/>
      <c r="F189" s="1"/>
    </row>
    <row r="190">
      <c r="A190" s="2">
        <v>188.0</v>
      </c>
      <c r="B190" s="1" t="str">
        <f t="shared" si="1"/>
        <v>1BE0ED</v>
      </c>
      <c r="C190" s="1" t="str">
        <f t="shared" si="2"/>
        <v>C15A8D</v>
      </c>
      <c r="D190" s="3" t="b">
        <v>0</v>
      </c>
      <c r="E190" s="1"/>
      <c r="F190" s="1"/>
    </row>
    <row r="191">
      <c r="A191" s="2">
        <v>189.0</v>
      </c>
      <c r="B191" s="1" t="str">
        <f t="shared" si="1"/>
        <v>1BE0EE</v>
      </c>
      <c r="C191" s="1" t="str">
        <f t="shared" si="2"/>
        <v>C15A8E</v>
      </c>
      <c r="D191" s="3" t="b">
        <v>0</v>
      </c>
      <c r="E191" s="1"/>
      <c r="F191" s="1"/>
    </row>
    <row r="192">
      <c r="A192" s="2">
        <v>190.0</v>
      </c>
      <c r="B192" s="1" t="str">
        <f t="shared" si="1"/>
        <v>1BE0EF</v>
      </c>
      <c r="C192" s="1" t="str">
        <f t="shared" si="2"/>
        <v>C15A8F</v>
      </c>
      <c r="D192" s="3" t="b">
        <v>0</v>
      </c>
      <c r="E192" s="1"/>
      <c r="F192" s="1"/>
    </row>
    <row r="193">
      <c r="A193" s="2">
        <v>191.0</v>
      </c>
      <c r="B193" s="1" t="str">
        <f t="shared" si="1"/>
        <v>1BE0F0</v>
      </c>
      <c r="C193" s="1" t="str">
        <f t="shared" si="2"/>
        <v>C15A90</v>
      </c>
      <c r="D193" s="3" t="b">
        <v>0</v>
      </c>
      <c r="E193" s="1"/>
      <c r="F193" s="1"/>
    </row>
    <row r="194">
      <c r="A194" s="2">
        <v>192.0</v>
      </c>
      <c r="B194" s="1" t="str">
        <f t="shared" si="1"/>
        <v>1BE0F1</v>
      </c>
      <c r="C194" s="1" t="str">
        <f t="shared" si="2"/>
        <v>C15A91</v>
      </c>
      <c r="D194" s="3" t="b">
        <v>0</v>
      </c>
      <c r="E194" s="1"/>
      <c r="F194" s="1"/>
    </row>
    <row r="195">
      <c r="A195" s="2">
        <v>193.0</v>
      </c>
      <c r="B195" s="1" t="str">
        <f t="shared" si="1"/>
        <v>1BE0F2</v>
      </c>
      <c r="C195" s="1" t="str">
        <f t="shared" si="2"/>
        <v>C15A92</v>
      </c>
      <c r="D195" s="3" t="b">
        <v>0</v>
      </c>
      <c r="E195" s="1"/>
      <c r="F195" s="1"/>
    </row>
    <row r="196">
      <c r="A196" s="2">
        <v>194.0</v>
      </c>
      <c r="B196" s="1" t="str">
        <f t="shared" si="1"/>
        <v>1BE0F3</v>
      </c>
      <c r="C196" s="1" t="str">
        <f t="shared" si="2"/>
        <v>C15A93</v>
      </c>
      <c r="D196" s="3" t="b">
        <v>0</v>
      </c>
      <c r="E196" s="1"/>
      <c r="F196" s="1"/>
    </row>
    <row r="197">
      <c r="A197" s="2">
        <v>195.0</v>
      </c>
      <c r="B197" s="1" t="str">
        <f t="shared" si="1"/>
        <v>1BE0F4</v>
      </c>
      <c r="C197" s="1" t="str">
        <f t="shared" si="2"/>
        <v>C15A94</v>
      </c>
      <c r="D197" s="3" t="b">
        <v>0</v>
      </c>
      <c r="E197" s="1"/>
      <c r="F197" s="1"/>
    </row>
    <row r="198">
      <c r="A198" s="2">
        <v>196.0</v>
      </c>
      <c r="B198" s="1" t="str">
        <f t="shared" si="1"/>
        <v>1BE0F5</v>
      </c>
      <c r="C198" s="1" t="str">
        <f t="shared" si="2"/>
        <v>C15A95</v>
      </c>
      <c r="D198" s="3" t="b">
        <v>0</v>
      </c>
      <c r="E198" s="1"/>
      <c r="F198" s="1"/>
    </row>
    <row r="199">
      <c r="A199" s="2">
        <v>197.0</v>
      </c>
      <c r="B199" s="1" t="str">
        <f t="shared" si="1"/>
        <v>1BE0F6</v>
      </c>
      <c r="C199" s="1" t="str">
        <f t="shared" si="2"/>
        <v>C15A96</v>
      </c>
      <c r="D199" s="3" t="b">
        <v>0</v>
      </c>
      <c r="E199" s="1"/>
      <c r="F199" s="1"/>
    </row>
    <row r="200">
      <c r="A200" s="2">
        <v>198.0</v>
      </c>
      <c r="B200" s="1" t="str">
        <f t="shared" si="1"/>
        <v>1BE0F7</v>
      </c>
      <c r="C200" s="1" t="str">
        <f t="shared" si="2"/>
        <v>C15A97</v>
      </c>
      <c r="D200" s="3" t="b">
        <v>0</v>
      </c>
      <c r="E200" s="1"/>
      <c r="F200" s="1"/>
    </row>
    <row r="201">
      <c r="A201" s="2">
        <v>199.0</v>
      </c>
      <c r="B201" s="1" t="str">
        <f t="shared" si="1"/>
        <v>1BE0F8</v>
      </c>
      <c r="C201" s="1" t="str">
        <f t="shared" si="2"/>
        <v>C15A98</v>
      </c>
      <c r="D201" s="3" t="b">
        <v>0</v>
      </c>
      <c r="E201" s="1"/>
      <c r="F201" s="1"/>
    </row>
    <row r="202">
      <c r="A202" s="2">
        <v>200.0</v>
      </c>
      <c r="B202" s="1" t="str">
        <f t="shared" si="1"/>
        <v>1BE0F9</v>
      </c>
      <c r="C202" s="1" t="str">
        <f t="shared" si="2"/>
        <v>C15A99</v>
      </c>
      <c r="D202" s="3" t="b">
        <v>0</v>
      </c>
      <c r="E202" s="1"/>
      <c r="F202" s="1"/>
    </row>
    <row r="203">
      <c r="A203" s="2">
        <v>201.0</v>
      </c>
      <c r="B203" s="1" t="str">
        <f t="shared" si="1"/>
        <v>1BE0FA</v>
      </c>
      <c r="C203" s="1" t="str">
        <f t="shared" si="2"/>
        <v>C15A9A</v>
      </c>
      <c r="D203" s="3" t="b">
        <v>0</v>
      </c>
      <c r="E203" s="1"/>
      <c r="F203" s="1"/>
    </row>
    <row r="204">
      <c r="A204" s="2">
        <v>202.0</v>
      </c>
      <c r="B204" s="1" t="str">
        <f t="shared" si="1"/>
        <v>1BE0FB</v>
      </c>
      <c r="C204" s="1" t="str">
        <f t="shared" si="2"/>
        <v>C15A9B</v>
      </c>
      <c r="D204" s="3" t="b">
        <v>0</v>
      </c>
      <c r="E204" s="1"/>
      <c r="F204" s="1"/>
    </row>
    <row r="205">
      <c r="A205" s="2">
        <v>203.0</v>
      </c>
      <c r="B205" s="1" t="str">
        <f t="shared" si="1"/>
        <v>1BE0FC</v>
      </c>
      <c r="C205" s="1" t="str">
        <f t="shared" si="2"/>
        <v>C15A9C</v>
      </c>
      <c r="D205" s="3" t="b">
        <v>0</v>
      </c>
      <c r="E205" s="1"/>
      <c r="F205" s="1"/>
    </row>
    <row r="206">
      <c r="A206" s="2">
        <v>204.0</v>
      </c>
      <c r="B206" s="1" t="str">
        <f t="shared" si="1"/>
        <v>1BE0FD</v>
      </c>
      <c r="C206" s="1" t="str">
        <f t="shared" si="2"/>
        <v>C15A9D</v>
      </c>
      <c r="D206" s="3" t="b">
        <v>0</v>
      </c>
      <c r="E206" s="1"/>
      <c r="F206" s="1"/>
    </row>
    <row r="207">
      <c r="A207" s="2">
        <v>205.0</v>
      </c>
      <c r="B207" s="1" t="str">
        <f t="shared" si="1"/>
        <v>1BE0FE</v>
      </c>
      <c r="C207" s="1" t="str">
        <f t="shared" si="2"/>
        <v>C15A9E</v>
      </c>
      <c r="D207" s="3" t="b">
        <v>0</v>
      </c>
      <c r="E207" s="1"/>
      <c r="F207" s="1"/>
    </row>
    <row r="208">
      <c r="A208" s="2">
        <v>206.0</v>
      </c>
      <c r="B208" s="1" t="str">
        <f t="shared" si="1"/>
        <v>1BE0FF</v>
      </c>
      <c r="C208" s="1" t="str">
        <f t="shared" si="2"/>
        <v>C15A9F</v>
      </c>
      <c r="D208" s="3" t="b">
        <v>0</v>
      </c>
      <c r="E208" s="1"/>
      <c r="F208" s="1"/>
    </row>
    <row r="209">
      <c r="A209" s="2">
        <v>207.0</v>
      </c>
      <c r="B209" s="1" t="str">
        <f t="shared" si="1"/>
        <v>1BE100</v>
      </c>
      <c r="C209" s="1" t="str">
        <f t="shared" si="2"/>
        <v>C15AA0</v>
      </c>
      <c r="D209" s="3" t="b">
        <v>0</v>
      </c>
      <c r="E209" s="1"/>
      <c r="F209" s="1"/>
    </row>
    <row r="210">
      <c r="A210" s="2">
        <v>208.0</v>
      </c>
      <c r="B210" s="1" t="str">
        <f t="shared" si="1"/>
        <v>1BE101</v>
      </c>
      <c r="C210" s="1" t="str">
        <f t="shared" si="2"/>
        <v>C15AA1</v>
      </c>
      <c r="D210" s="3" t="b">
        <v>0</v>
      </c>
      <c r="E210" s="1"/>
      <c r="F210" s="1"/>
    </row>
    <row r="211">
      <c r="A211" s="2">
        <v>209.0</v>
      </c>
      <c r="B211" s="1" t="str">
        <f t="shared" si="1"/>
        <v>1BE102</v>
      </c>
      <c r="C211" s="1" t="str">
        <f t="shared" si="2"/>
        <v>C15AA2</v>
      </c>
      <c r="D211" s="3" t="b">
        <v>0</v>
      </c>
      <c r="E211" s="1"/>
      <c r="F211" s="1"/>
    </row>
    <row r="212">
      <c r="A212" s="2">
        <v>210.0</v>
      </c>
      <c r="B212" s="1" t="str">
        <f t="shared" si="1"/>
        <v>1BE103</v>
      </c>
      <c r="C212" s="1" t="str">
        <f t="shared" si="2"/>
        <v>C15AA3</v>
      </c>
      <c r="D212" s="3" t="b">
        <v>0</v>
      </c>
      <c r="E212" s="1"/>
      <c r="F212" s="1"/>
    </row>
    <row r="213">
      <c r="A213" s="2">
        <v>211.0</v>
      </c>
      <c r="B213" s="1" t="str">
        <f t="shared" si="1"/>
        <v>1BE104</v>
      </c>
      <c r="C213" s="1" t="str">
        <f t="shared" si="2"/>
        <v>C15AA4</v>
      </c>
      <c r="D213" s="3" t="b">
        <v>0</v>
      </c>
      <c r="E213" s="1"/>
      <c r="F213" s="1"/>
    </row>
    <row r="214">
      <c r="A214" s="2">
        <v>212.0</v>
      </c>
      <c r="B214" s="1" t="str">
        <f t="shared" si="1"/>
        <v>1BE105</v>
      </c>
      <c r="C214" s="1" t="str">
        <f t="shared" si="2"/>
        <v>C15AA5</v>
      </c>
      <c r="D214" s="3" t="b">
        <v>0</v>
      </c>
      <c r="E214" s="1"/>
      <c r="F214" s="1"/>
    </row>
    <row r="215">
      <c r="A215" s="2">
        <v>213.0</v>
      </c>
      <c r="B215" s="1" t="str">
        <f t="shared" si="1"/>
        <v>1BE106</v>
      </c>
      <c r="C215" s="1" t="str">
        <f t="shared" si="2"/>
        <v>C15AA6</v>
      </c>
      <c r="D215" s="3" t="b">
        <v>0</v>
      </c>
      <c r="E215" s="1"/>
      <c r="F215" s="1"/>
    </row>
    <row r="216">
      <c r="A216" s="2">
        <v>214.0</v>
      </c>
      <c r="B216" s="1" t="str">
        <f t="shared" si="1"/>
        <v>1BE107</v>
      </c>
      <c r="C216" s="1" t="str">
        <f t="shared" si="2"/>
        <v>C15AA7</v>
      </c>
      <c r="D216" s="3" t="b">
        <v>0</v>
      </c>
      <c r="E216" s="1"/>
      <c r="F216" s="1"/>
    </row>
    <row r="217">
      <c r="A217" s="2">
        <v>215.0</v>
      </c>
      <c r="B217" s="1" t="str">
        <f t="shared" si="1"/>
        <v>1BE108</v>
      </c>
      <c r="C217" s="1" t="str">
        <f t="shared" si="2"/>
        <v>C15AA8</v>
      </c>
      <c r="D217" s="3" t="b">
        <v>0</v>
      </c>
      <c r="E217" s="1"/>
      <c r="F217" s="1"/>
    </row>
    <row r="218">
      <c r="A218" s="2">
        <v>216.0</v>
      </c>
      <c r="B218" s="1" t="str">
        <f t="shared" si="1"/>
        <v>1BE109</v>
      </c>
      <c r="C218" s="1" t="str">
        <f t="shared" si="2"/>
        <v>C15AA9</v>
      </c>
      <c r="D218" s="3" t="b">
        <v>0</v>
      </c>
      <c r="E218" s="1"/>
      <c r="F218" s="1"/>
    </row>
    <row r="219">
      <c r="A219" s="2">
        <v>217.0</v>
      </c>
      <c r="B219" s="1" t="str">
        <f t="shared" si="1"/>
        <v>1BE10A</v>
      </c>
      <c r="C219" s="1" t="str">
        <f t="shared" si="2"/>
        <v>C15AAA</v>
      </c>
      <c r="D219" s="3" t="b">
        <v>0</v>
      </c>
      <c r="E219" s="1"/>
      <c r="F219" s="1"/>
    </row>
    <row r="220">
      <c r="A220" s="2">
        <v>218.0</v>
      </c>
      <c r="B220" s="1" t="str">
        <f t="shared" si="1"/>
        <v>1BE10B</v>
      </c>
      <c r="C220" s="1" t="str">
        <f t="shared" si="2"/>
        <v>C15AAB</v>
      </c>
      <c r="D220" s="3" t="b">
        <v>0</v>
      </c>
      <c r="E220" s="1"/>
      <c r="F220" s="1"/>
    </row>
    <row r="221">
      <c r="A221" s="2">
        <v>219.0</v>
      </c>
      <c r="B221" s="1" t="str">
        <f t="shared" si="1"/>
        <v>1BE10C</v>
      </c>
      <c r="C221" s="1" t="str">
        <f t="shared" si="2"/>
        <v>C15AAC</v>
      </c>
      <c r="D221" s="3" t="b">
        <v>0</v>
      </c>
      <c r="E221" s="1"/>
      <c r="F221" s="1"/>
    </row>
    <row r="222">
      <c r="A222" s="2">
        <v>220.0</v>
      </c>
      <c r="B222" s="1" t="str">
        <f t="shared" si="1"/>
        <v>1BE10D</v>
      </c>
      <c r="C222" s="1" t="str">
        <f t="shared" si="2"/>
        <v>C15AAD</v>
      </c>
      <c r="D222" s="3" t="b">
        <v>0</v>
      </c>
      <c r="E222" s="1"/>
      <c r="F222" s="1"/>
    </row>
    <row r="223">
      <c r="A223" s="2">
        <v>221.0</v>
      </c>
      <c r="B223" s="1" t="str">
        <f t="shared" si="1"/>
        <v>1BE10E</v>
      </c>
      <c r="C223" s="1" t="str">
        <f t="shared" si="2"/>
        <v>C15AAE</v>
      </c>
      <c r="D223" s="3" t="b">
        <v>0</v>
      </c>
      <c r="E223" s="1"/>
      <c r="F223" s="1"/>
    </row>
    <row r="224">
      <c r="A224" s="2">
        <v>222.0</v>
      </c>
      <c r="B224" s="1" t="str">
        <f t="shared" si="1"/>
        <v>1BE10F</v>
      </c>
      <c r="C224" s="1" t="str">
        <f t="shared" si="2"/>
        <v>C15AAF</v>
      </c>
      <c r="D224" s="3" t="b">
        <v>0</v>
      </c>
      <c r="E224" s="1"/>
      <c r="F224" s="1"/>
    </row>
    <row r="225">
      <c r="A225" s="2">
        <v>223.0</v>
      </c>
      <c r="B225" s="1" t="str">
        <f t="shared" si="1"/>
        <v>1BE110</v>
      </c>
      <c r="C225" s="1" t="str">
        <f t="shared" si="2"/>
        <v>C15AB0</v>
      </c>
      <c r="D225" s="3" t="b">
        <v>0</v>
      </c>
      <c r="E225" s="1"/>
      <c r="F225" s="1"/>
    </row>
    <row r="226">
      <c r="A226" s="2">
        <v>224.0</v>
      </c>
      <c r="B226" s="1" t="str">
        <f t="shared" si="1"/>
        <v>1BE111</v>
      </c>
      <c r="C226" s="1" t="str">
        <f t="shared" si="2"/>
        <v>C15AB1</v>
      </c>
      <c r="D226" s="3" t="b">
        <v>0</v>
      </c>
      <c r="E226" s="1"/>
      <c r="F226" s="1"/>
    </row>
    <row r="227">
      <c r="A227" s="2">
        <v>225.0</v>
      </c>
      <c r="B227" s="1" t="str">
        <f t="shared" si="1"/>
        <v>1BE112</v>
      </c>
      <c r="C227" s="1" t="str">
        <f t="shared" si="2"/>
        <v>C15AB2</v>
      </c>
      <c r="D227" s="3" t="b">
        <v>0</v>
      </c>
      <c r="E227" s="1"/>
      <c r="F227" s="1"/>
    </row>
    <row r="228">
      <c r="A228" s="2">
        <v>226.0</v>
      </c>
      <c r="B228" s="1" t="str">
        <f t="shared" si="1"/>
        <v>1BE113</v>
      </c>
      <c r="C228" s="1" t="str">
        <f t="shared" si="2"/>
        <v>C15AB3</v>
      </c>
      <c r="D228" s="3" t="b">
        <v>0</v>
      </c>
      <c r="E228" s="1"/>
      <c r="F228" s="1"/>
    </row>
    <row r="229">
      <c r="A229" s="2">
        <v>227.0</v>
      </c>
      <c r="B229" s="1" t="str">
        <f t="shared" si="1"/>
        <v>1BE114</v>
      </c>
      <c r="C229" s="1" t="str">
        <f t="shared" si="2"/>
        <v>C15AB4</v>
      </c>
      <c r="D229" s="3" t="b">
        <v>0</v>
      </c>
      <c r="E229" s="1"/>
      <c r="F229" s="1"/>
    </row>
    <row r="230">
      <c r="A230" s="2">
        <v>228.0</v>
      </c>
      <c r="B230" s="1" t="str">
        <f t="shared" si="1"/>
        <v>1BE115</v>
      </c>
      <c r="C230" s="1" t="str">
        <f t="shared" si="2"/>
        <v>C15AB5</v>
      </c>
      <c r="D230" s="3" t="b">
        <v>0</v>
      </c>
      <c r="E230" s="1"/>
      <c r="F230" s="1"/>
    </row>
    <row r="231">
      <c r="A231" s="2">
        <v>229.0</v>
      </c>
      <c r="B231" s="1" t="str">
        <f t="shared" si="1"/>
        <v>1BE116</v>
      </c>
      <c r="C231" s="1" t="str">
        <f t="shared" si="2"/>
        <v>C15AB6</v>
      </c>
      <c r="D231" s="3" t="b">
        <v>0</v>
      </c>
      <c r="E231" s="1"/>
      <c r="F231" s="1"/>
    </row>
    <row r="232">
      <c r="A232" s="2">
        <v>230.0</v>
      </c>
      <c r="B232" s="1" t="str">
        <f t="shared" si="1"/>
        <v>1BE117</v>
      </c>
      <c r="C232" s="1" t="str">
        <f t="shared" si="2"/>
        <v>C15AB7</v>
      </c>
      <c r="D232" s="3" t="b">
        <v>0</v>
      </c>
      <c r="E232" s="1"/>
      <c r="F232" s="1"/>
    </row>
    <row r="233">
      <c r="A233" s="2">
        <v>231.0</v>
      </c>
      <c r="B233" s="1" t="str">
        <f t="shared" si="1"/>
        <v>1BE118</v>
      </c>
      <c r="C233" s="1" t="str">
        <f t="shared" si="2"/>
        <v>C15AB8</v>
      </c>
      <c r="D233" s="3" t="b">
        <v>0</v>
      </c>
      <c r="E233" s="1"/>
      <c r="F233" s="1"/>
    </row>
    <row r="234">
      <c r="A234" s="2">
        <v>232.0</v>
      </c>
      <c r="B234" s="1" t="str">
        <f t="shared" si="1"/>
        <v>1BE119</v>
      </c>
      <c r="C234" s="1" t="str">
        <f t="shared" si="2"/>
        <v>C15AB9</v>
      </c>
      <c r="D234" s="3" t="b">
        <v>0</v>
      </c>
      <c r="E234" s="1"/>
      <c r="F234" s="1"/>
    </row>
    <row r="235">
      <c r="A235" s="2">
        <v>233.0</v>
      </c>
      <c r="B235" s="1" t="str">
        <f t="shared" si="1"/>
        <v>1BE11A</v>
      </c>
      <c r="C235" s="1" t="str">
        <f t="shared" si="2"/>
        <v>C15ABA</v>
      </c>
      <c r="D235" s="3" t="b">
        <v>0</v>
      </c>
      <c r="E235" s="1"/>
      <c r="F235" s="1"/>
    </row>
    <row r="236">
      <c r="A236" s="2">
        <v>234.0</v>
      </c>
      <c r="B236" s="1" t="str">
        <f t="shared" si="1"/>
        <v>1BE11B</v>
      </c>
      <c r="C236" s="1" t="str">
        <f t="shared" si="2"/>
        <v>C15ABB</v>
      </c>
      <c r="D236" s="3" t="b">
        <v>0</v>
      </c>
      <c r="E236" s="1"/>
      <c r="F236" s="1"/>
    </row>
    <row r="237">
      <c r="A237" s="2">
        <v>235.0</v>
      </c>
      <c r="B237" s="1" t="str">
        <f t="shared" si="1"/>
        <v>1BE11C</v>
      </c>
      <c r="C237" s="1" t="str">
        <f t="shared" si="2"/>
        <v>C15ABC</v>
      </c>
      <c r="D237" s="3" t="b">
        <v>0</v>
      </c>
      <c r="E237" s="1"/>
      <c r="F237" s="1"/>
    </row>
    <row r="238">
      <c r="A238" s="2">
        <v>236.0</v>
      </c>
      <c r="B238" s="1" t="str">
        <f t="shared" si="1"/>
        <v>1BE11D</v>
      </c>
      <c r="C238" s="1" t="str">
        <f t="shared" si="2"/>
        <v>C15ABD</v>
      </c>
      <c r="D238" s="3" t="b">
        <v>0</v>
      </c>
      <c r="E238" s="1"/>
      <c r="F238" s="1"/>
    </row>
    <row r="239">
      <c r="A239" s="2">
        <v>237.0</v>
      </c>
      <c r="B239" s="1" t="str">
        <f t="shared" si="1"/>
        <v>1BE11E</v>
      </c>
      <c r="C239" s="1" t="str">
        <f t="shared" si="2"/>
        <v>C15ABE</v>
      </c>
      <c r="D239" s="3" t="b">
        <v>0</v>
      </c>
      <c r="E239" s="1"/>
      <c r="F239" s="1"/>
    </row>
    <row r="240">
      <c r="A240" s="2">
        <v>238.0</v>
      </c>
      <c r="B240" s="1" t="str">
        <f t="shared" si="1"/>
        <v>1BE11F</v>
      </c>
      <c r="C240" s="1" t="str">
        <f t="shared" si="2"/>
        <v>C15ABF</v>
      </c>
      <c r="D240" s="3" t="b">
        <v>0</v>
      </c>
      <c r="E240" s="1"/>
      <c r="F240" s="1"/>
    </row>
    <row r="241">
      <c r="A241" s="2">
        <v>239.0</v>
      </c>
      <c r="B241" s="1" t="str">
        <f t="shared" si="1"/>
        <v>1BE120</v>
      </c>
      <c r="C241" s="1" t="str">
        <f t="shared" si="2"/>
        <v>C15AC0</v>
      </c>
      <c r="D241" s="3" t="b">
        <v>0</v>
      </c>
      <c r="E241" s="1"/>
      <c r="F241" s="1"/>
    </row>
    <row r="242">
      <c r="A242" s="2">
        <v>240.0</v>
      </c>
      <c r="B242" s="1" t="str">
        <f t="shared" si="1"/>
        <v>1BE121</v>
      </c>
      <c r="C242" s="1" t="str">
        <f t="shared" si="2"/>
        <v>C15AC1</v>
      </c>
      <c r="D242" s="3" t="b">
        <v>0</v>
      </c>
      <c r="E242" s="1"/>
      <c r="F242" s="1"/>
    </row>
    <row r="243">
      <c r="A243" s="2">
        <v>241.0</v>
      </c>
      <c r="B243" s="1" t="str">
        <f t="shared" si="1"/>
        <v>1BE122</v>
      </c>
      <c r="C243" s="1" t="str">
        <f t="shared" si="2"/>
        <v>C15AC2</v>
      </c>
      <c r="D243" s="3" t="b">
        <v>0</v>
      </c>
      <c r="E243" s="1"/>
      <c r="F243" s="1"/>
    </row>
    <row r="244">
      <c r="A244" s="2">
        <v>242.0</v>
      </c>
      <c r="B244" s="1" t="str">
        <f t="shared" si="1"/>
        <v>1BE123</v>
      </c>
      <c r="C244" s="1" t="str">
        <f t="shared" si="2"/>
        <v>C15AC3</v>
      </c>
      <c r="D244" s="3" t="b">
        <v>0</v>
      </c>
      <c r="E244" s="1"/>
      <c r="F244" s="1"/>
    </row>
    <row r="245">
      <c r="A245" s="2">
        <v>243.0</v>
      </c>
      <c r="B245" s="1" t="str">
        <f t="shared" si="1"/>
        <v>1BE124</v>
      </c>
      <c r="C245" s="1" t="str">
        <f t="shared" si="2"/>
        <v>C15AC4</v>
      </c>
      <c r="D245" s="3" t="b">
        <v>0</v>
      </c>
      <c r="E245" s="1"/>
      <c r="F245" s="1"/>
    </row>
    <row r="246">
      <c r="A246" s="2">
        <v>244.0</v>
      </c>
      <c r="B246" s="1" t="str">
        <f t="shared" si="1"/>
        <v>1BE125</v>
      </c>
      <c r="C246" s="1" t="str">
        <f t="shared" si="2"/>
        <v>C15AC5</v>
      </c>
      <c r="D246" s="3" t="b">
        <v>0</v>
      </c>
      <c r="E246" s="1"/>
      <c r="F246" s="1"/>
    </row>
    <row r="247">
      <c r="A247" s="2">
        <v>245.0</v>
      </c>
      <c r="B247" s="1" t="str">
        <f t="shared" si="1"/>
        <v>1BE126</v>
      </c>
      <c r="C247" s="1" t="str">
        <f t="shared" si="2"/>
        <v>C15AC6</v>
      </c>
      <c r="D247" s="3" t="b">
        <v>0</v>
      </c>
      <c r="E247" s="4" t="s">
        <v>61</v>
      </c>
      <c r="F247" s="4" t="s">
        <v>62</v>
      </c>
    </row>
    <row r="248">
      <c r="A248" s="2">
        <v>246.0</v>
      </c>
      <c r="B248" s="1" t="str">
        <f t="shared" si="1"/>
        <v>1BE127</v>
      </c>
      <c r="C248" s="1" t="str">
        <f t="shared" si="2"/>
        <v>C15AC7</v>
      </c>
      <c r="D248" s="3" t="b">
        <v>0</v>
      </c>
      <c r="E248" s="1"/>
      <c r="F248" s="1"/>
    </row>
    <row r="249">
      <c r="A249" s="2">
        <v>247.0</v>
      </c>
      <c r="B249" s="1" t="str">
        <f t="shared" si="1"/>
        <v>1BE128</v>
      </c>
      <c r="C249" s="1" t="str">
        <f t="shared" si="2"/>
        <v>C15AC8</v>
      </c>
      <c r="D249" s="3" t="b">
        <v>0</v>
      </c>
      <c r="E249" s="1"/>
      <c r="F249" s="1"/>
    </row>
    <row r="250">
      <c r="A250" s="2">
        <v>248.0</v>
      </c>
      <c r="B250" s="1" t="str">
        <f t="shared" si="1"/>
        <v>1BE129</v>
      </c>
      <c r="C250" s="1" t="str">
        <f t="shared" si="2"/>
        <v>C15AC9</v>
      </c>
      <c r="D250" s="3" t="b">
        <v>0</v>
      </c>
      <c r="E250" s="1"/>
      <c r="F250" s="1"/>
    </row>
    <row r="251">
      <c r="A251" s="2">
        <v>249.0</v>
      </c>
      <c r="B251" s="1" t="str">
        <f t="shared" si="1"/>
        <v>1BE12A</v>
      </c>
      <c r="C251" s="1" t="str">
        <f t="shared" si="2"/>
        <v>C15ACA</v>
      </c>
      <c r="D251" s="3" t="b">
        <v>0</v>
      </c>
      <c r="E251" s="4" t="s">
        <v>63</v>
      </c>
      <c r="F251" s="1"/>
    </row>
    <row r="252">
      <c r="A252" s="2">
        <v>250.0</v>
      </c>
      <c r="B252" s="1" t="str">
        <f t="shared" si="1"/>
        <v>1BE12B</v>
      </c>
      <c r="C252" s="1" t="str">
        <f t="shared" si="2"/>
        <v>C15ACB</v>
      </c>
      <c r="D252" s="3" t="b">
        <v>0</v>
      </c>
      <c r="E252" s="4" t="s">
        <v>64</v>
      </c>
      <c r="F252" s="1"/>
    </row>
    <row r="253">
      <c r="A253" s="2">
        <v>251.0</v>
      </c>
      <c r="B253" s="1" t="str">
        <f t="shared" si="1"/>
        <v>1BE12C</v>
      </c>
      <c r="C253" s="1" t="str">
        <f t="shared" si="2"/>
        <v>C15ACC</v>
      </c>
      <c r="D253" s="3" t="b">
        <v>0</v>
      </c>
      <c r="E253" s="4" t="s">
        <v>65</v>
      </c>
      <c r="F253" s="1"/>
    </row>
    <row r="254">
      <c r="A254" s="2">
        <v>252.0</v>
      </c>
      <c r="B254" s="1" t="str">
        <f t="shared" si="1"/>
        <v>1BE12D</v>
      </c>
      <c r="C254" s="1" t="str">
        <f t="shared" si="2"/>
        <v>C15ACD</v>
      </c>
      <c r="D254" s="3" t="b">
        <v>0</v>
      </c>
      <c r="E254" s="5" t="s">
        <v>66</v>
      </c>
      <c r="F254" s="1"/>
    </row>
    <row r="255">
      <c r="A255" s="2">
        <v>253.0</v>
      </c>
      <c r="B255" s="1" t="str">
        <f t="shared" si="1"/>
        <v>1BE12E</v>
      </c>
      <c r="C255" s="1" t="str">
        <f t="shared" si="2"/>
        <v>C15ACE</v>
      </c>
      <c r="D255" s="3" t="b">
        <v>0</v>
      </c>
      <c r="E255" s="5" t="s">
        <v>67</v>
      </c>
      <c r="F255" s="1"/>
    </row>
    <row r="256">
      <c r="A256" s="2">
        <v>254.0</v>
      </c>
      <c r="B256" s="1" t="str">
        <f t="shared" si="1"/>
        <v>1BE12F</v>
      </c>
      <c r="C256" s="1" t="str">
        <f t="shared" si="2"/>
        <v>C15ACF</v>
      </c>
      <c r="D256" s="3" t="b">
        <v>0</v>
      </c>
      <c r="E256" s="4" t="s">
        <v>68</v>
      </c>
      <c r="F256" s="4" t="s">
        <v>69</v>
      </c>
    </row>
    <row r="257">
      <c r="A257" s="2">
        <v>255.0</v>
      </c>
      <c r="B257" s="1" t="str">
        <f t="shared" si="1"/>
        <v>1BE130</v>
      </c>
      <c r="C257" s="1" t="str">
        <f t="shared" si="2"/>
        <v>C15AD0</v>
      </c>
      <c r="D257" s="3" t="b">
        <v>0</v>
      </c>
      <c r="E257" s="1"/>
      <c r="F257" s="4" t="s">
        <v>70</v>
      </c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3" max="3" width="12.5"/>
    <col customWidth="1" min="4" max="4" width="4.13"/>
    <col customWidth="1" min="5" max="5" width="6.63"/>
    <col customWidth="1" min="7" max="7" width="43.25"/>
    <col customWidth="1" min="8" max="8" width="43.0"/>
  </cols>
  <sheetData>
    <row r="1">
      <c r="A1" s="6" t="s">
        <v>0</v>
      </c>
      <c r="B1" s="7" t="s">
        <v>71</v>
      </c>
      <c r="C1" s="8" t="s">
        <v>2</v>
      </c>
      <c r="D1" s="6" t="s">
        <v>72</v>
      </c>
      <c r="E1" s="9" t="s">
        <v>73</v>
      </c>
      <c r="F1" s="8" t="s">
        <v>74</v>
      </c>
      <c r="G1" s="8" t="s">
        <v>4</v>
      </c>
      <c r="H1" s="8" t="s">
        <v>5</v>
      </c>
      <c r="I1" s="10"/>
    </row>
    <row r="2">
      <c r="A2" s="6">
        <v>0.0</v>
      </c>
      <c r="B2" s="7" t="str">
        <f t="shared" ref="B2:B801" si="1">DEC2HEX(1826765+INT(A2/8))</f>
        <v>1BDFCD</v>
      </c>
      <c r="C2" s="11" t="str">
        <f t="shared" ref="C2:C801" si="2">DEC2HEX(10844576+HEX2DEC(B2),6)</f>
        <v>C1596D</v>
      </c>
      <c r="D2" s="12">
        <f t="shared" ref="D2:D801" si="3">MOD(A2,8)</f>
        <v>0</v>
      </c>
      <c r="E2" s="6">
        <f t="shared" ref="E2:E801" si="4">2^D2</f>
        <v>1</v>
      </c>
      <c r="F2" s="8">
        <f t="shared" ref="F2:F753" si="5">161+INT(A2/8)</f>
        <v>161</v>
      </c>
      <c r="G2" s="8" t="s">
        <v>75</v>
      </c>
      <c r="H2" s="8" t="s">
        <v>76</v>
      </c>
      <c r="I2" s="10"/>
    </row>
    <row r="3">
      <c r="A3" s="6">
        <v>1.0</v>
      </c>
      <c r="B3" s="7" t="str">
        <f t="shared" si="1"/>
        <v>1BDFCD</v>
      </c>
      <c r="C3" s="11" t="str">
        <f t="shared" si="2"/>
        <v>C1596D</v>
      </c>
      <c r="D3" s="12">
        <f t="shared" si="3"/>
        <v>1</v>
      </c>
      <c r="E3" s="6">
        <f t="shared" si="4"/>
        <v>2</v>
      </c>
      <c r="F3" s="8">
        <f t="shared" si="5"/>
        <v>161</v>
      </c>
      <c r="G3" s="8" t="s">
        <v>77</v>
      </c>
      <c r="H3" s="8" t="s">
        <v>78</v>
      </c>
      <c r="I3" s="10"/>
    </row>
    <row r="4">
      <c r="A4" s="6">
        <v>2.0</v>
      </c>
      <c r="B4" s="7" t="str">
        <f t="shared" si="1"/>
        <v>1BDFCD</v>
      </c>
      <c r="C4" s="11" t="str">
        <f t="shared" si="2"/>
        <v>C1596D</v>
      </c>
      <c r="D4" s="12">
        <f t="shared" si="3"/>
        <v>2</v>
      </c>
      <c r="E4" s="6">
        <f t="shared" si="4"/>
        <v>4</v>
      </c>
      <c r="F4" s="8">
        <f t="shared" si="5"/>
        <v>161</v>
      </c>
      <c r="G4" s="8" t="s">
        <v>79</v>
      </c>
      <c r="H4" s="13"/>
      <c r="I4" s="13"/>
    </row>
    <row r="5">
      <c r="A5" s="6">
        <v>3.0</v>
      </c>
      <c r="B5" s="7" t="str">
        <f t="shared" si="1"/>
        <v>1BDFCD</v>
      </c>
      <c r="C5" s="11" t="str">
        <f t="shared" si="2"/>
        <v>C1596D</v>
      </c>
      <c r="D5" s="12">
        <f t="shared" si="3"/>
        <v>3</v>
      </c>
      <c r="E5" s="6">
        <f t="shared" si="4"/>
        <v>8</v>
      </c>
      <c r="F5" s="8">
        <f t="shared" si="5"/>
        <v>161</v>
      </c>
      <c r="G5" s="8" t="s">
        <v>80</v>
      </c>
      <c r="H5" s="13"/>
      <c r="I5" s="13"/>
    </row>
    <row r="6">
      <c r="A6" s="6">
        <v>4.0</v>
      </c>
      <c r="B6" s="7" t="str">
        <f t="shared" si="1"/>
        <v>1BDFCD</v>
      </c>
      <c r="C6" s="11" t="str">
        <f t="shared" si="2"/>
        <v>C1596D</v>
      </c>
      <c r="D6" s="12">
        <f t="shared" si="3"/>
        <v>4</v>
      </c>
      <c r="E6" s="6">
        <f t="shared" si="4"/>
        <v>16</v>
      </c>
      <c r="F6" s="8">
        <f t="shared" si="5"/>
        <v>161</v>
      </c>
      <c r="G6" s="8" t="s">
        <v>81</v>
      </c>
      <c r="H6" s="8" t="s">
        <v>82</v>
      </c>
      <c r="I6" s="10"/>
    </row>
    <row r="7">
      <c r="A7" s="6">
        <v>5.0</v>
      </c>
      <c r="B7" s="7" t="str">
        <f t="shared" si="1"/>
        <v>1BDFCD</v>
      </c>
      <c r="C7" s="11" t="str">
        <f t="shared" si="2"/>
        <v>C1596D</v>
      </c>
      <c r="D7" s="12">
        <f t="shared" si="3"/>
        <v>5</v>
      </c>
      <c r="E7" s="6">
        <f t="shared" si="4"/>
        <v>32</v>
      </c>
      <c r="F7" s="8">
        <f t="shared" si="5"/>
        <v>161</v>
      </c>
      <c r="G7" s="8" t="s">
        <v>83</v>
      </c>
      <c r="H7" s="8" t="s">
        <v>84</v>
      </c>
      <c r="I7" s="10"/>
    </row>
    <row r="8">
      <c r="A8" s="6">
        <v>6.0</v>
      </c>
      <c r="B8" s="7" t="str">
        <f t="shared" si="1"/>
        <v>1BDFCD</v>
      </c>
      <c r="C8" s="11" t="str">
        <f t="shared" si="2"/>
        <v>C1596D</v>
      </c>
      <c r="D8" s="12">
        <f t="shared" si="3"/>
        <v>6</v>
      </c>
      <c r="E8" s="6">
        <f t="shared" si="4"/>
        <v>64</v>
      </c>
      <c r="F8" s="8">
        <f t="shared" si="5"/>
        <v>161</v>
      </c>
      <c r="G8" s="8" t="s">
        <v>85</v>
      </c>
      <c r="H8" s="8" t="s">
        <v>84</v>
      </c>
      <c r="I8" s="10"/>
    </row>
    <row r="9">
      <c r="A9" s="6">
        <v>7.0</v>
      </c>
      <c r="B9" s="7" t="str">
        <f t="shared" si="1"/>
        <v>1BDFCD</v>
      </c>
      <c r="C9" s="11" t="str">
        <f t="shared" si="2"/>
        <v>C1596D</v>
      </c>
      <c r="D9" s="12">
        <f t="shared" si="3"/>
        <v>7</v>
      </c>
      <c r="E9" s="6">
        <f t="shared" si="4"/>
        <v>128</v>
      </c>
      <c r="F9" s="8">
        <f t="shared" si="5"/>
        <v>161</v>
      </c>
      <c r="G9" s="8" t="s">
        <v>86</v>
      </c>
      <c r="H9" s="8" t="s">
        <v>84</v>
      </c>
      <c r="I9" s="10"/>
    </row>
    <row r="10">
      <c r="A10" s="6">
        <v>8.0</v>
      </c>
      <c r="B10" s="7" t="str">
        <f t="shared" si="1"/>
        <v>1BDFCE</v>
      </c>
      <c r="C10" s="11" t="str">
        <f t="shared" si="2"/>
        <v>C1596E</v>
      </c>
      <c r="D10" s="12">
        <f t="shared" si="3"/>
        <v>0</v>
      </c>
      <c r="E10" s="6">
        <f t="shared" si="4"/>
        <v>1</v>
      </c>
      <c r="F10" s="8">
        <f t="shared" si="5"/>
        <v>162</v>
      </c>
      <c r="G10" s="8" t="s">
        <v>87</v>
      </c>
      <c r="H10" s="8" t="s">
        <v>88</v>
      </c>
      <c r="I10" s="10"/>
    </row>
    <row r="11">
      <c r="A11" s="6">
        <v>9.0</v>
      </c>
      <c r="B11" s="7" t="str">
        <f t="shared" si="1"/>
        <v>1BDFCE</v>
      </c>
      <c r="C11" s="11" t="str">
        <f t="shared" si="2"/>
        <v>C1596E</v>
      </c>
      <c r="D11" s="12">
        <f t="shared" si="3"/>
        <v>1</v>
      </c>
      <c r="E11" s="6">
        <f t="shared" si="4"/>
        <v>2</v>
      </c>
      <c r="F11" s="8">
        <f t="shared" si="5"/>
        <v>162</v>
      </c>
      <c r="G11" s="8" t="s">
        <v>89</v>
      </c>
      <c r="H11" s="8" t="s">
        <v>88</v>
      </c>
      <c r="I11" s="10"/>
    </row>
    <row r="12">
      <c r="A12" s="6">
        <v>10.0</v>
      </c>
      <c r="B12" s="7" t="str">
        <f t="shared" si="1"/>
        <v>1BDFCE</v>
      </c>
      <c r="C12" s="11" t="str">
        <f t="shared" si="2"/>
        <v>C1596E</v>
      </c>
      <c r="D12" s="12">
        <f t="shared" si="3"/>
        <v>2</v>
      </c>
      <c r="E12" s="6">
        <f t="shared" si="4"/>
        <v>4</v>
      </c>
      <c r="F12" s="8">
        <f t="shared" si="5"/>
        <v>162</v>
      </c>
      <c r="G12" s="8" t="s">
        <v>90</v>
      </c>
      <c r="H12" s="8" t="s">
        <v>88</v>
      </c>
      <c r="I12" s="10"/>
    </row>
    <row r="13">
      <c r="A13" s="6">
        <v>11.0</v>
      </c>
      <c r="B13" s="7" t="str">
        <f t="shared" si="1"/>
        <v>1BDFCE</v>
      </c>
      <c r="C13" s="11" t="str">
        <f t="shared" si="2"/>
        <v>C1596E</v>
      </c>
      <c r="D13" s="12">
        <f t="shared" si="3"/>
        <v>3</v>
      </c>
      <c r="E13" s="6">
        <f t="shared" si="4"/>
        <v>8</v>
      </c>
      <c r="F13" s="8">
        <f t="shared" si="5"/>
        <v>162</v>
      </c>
      <c r="G13" s="8" t="s">
        <v>91</v>
      </c>
      <c r="H13" s="8" t="s">
        <v>92</v>
      </c>
      <c r="I13" s="10"/>
    </row>
    <row r="14">
      <c r="A14" s="6">
        <v>12.0</v>
      </c>
      <c r="B14" s="7" t="str">
        <f t="shared" si="1"/>
        <v>1BDFCE</v>
      </c>
      <c r="C14" s="11" t="str">
        <f t="shared" si="2"/>
        <v>C1596E</v>
      </c>
      <c r="D14" s="12">
        <f t="shared" si="3"/>
        <v>4</v>
      </c>
      <c r="E14" s="6">
        <f t="shared" si="4"/>
        <v>16</v>
      </c>
      <c r="F14" s="8">
        <f t="shared" si="5"/>
        <v>162</v>
      </c>
      <c r="G14" s="8" t="s">
        <v>93</v>
      </c>
      <c r="H14" s="8" t="s">
        <v>92</v>
      </c>
      <c r="I14" s="10"/>
    </row>
    <row r="15">
      <c r="A15" s="6">
        <v>13.0</v>
      </c>
      <c r="B15" s="7" t="str">
        <f t="shared" si="1"/>
        <v>1BDFCE</v>
      </c>
      <c r="C15" s="11" t="str">
        <f t="shared" si="2"/>
        <v>C1596E</v>
      </c>
      <c r="D15" s="12">
        <f t="shared" si="3"/>
        <v>5</v>
      </c>
      <c r="E15" s="6">
        <f t="shared" si="4"/>
        <v>32</v>
      </c>
      <c r="F15" s="8">
        <f t="shared" si="5"/>
        <v>162</v>
      </c>
      <c r="G15" s="8" t="s">
        <v>94</v>
      </c>
      <c r="H15" s="8" t="s">
        <v>92</v>
      </c>
      <c r="I15" s="10"/>
    </row>
    <row r="16">
      <c r="A16" s="6">
        <v>14.0</v>
      </c>
      <c r="B16" s="7" t="str">
        <f t="shared" si="1"/>
        <v>1BDFCE</v>
      </c>
      <c r="C16" s="11" t="str">
        <f t="shared" si="2"/>
        <v>C1596E</v>
      </c>
      <c r="D16" s="12">
        <f t="shared" si="3"/>
        <v>6</v>
      </c>
      <c r="E16" s="6">
        <f t="shared" si="4"/>
        <v>64</v>
      </c>
      <c r="F16" s="8">
        <f t="shared" si="5"/>
        <v>162</v>
      </c>
      <c r="G16" s="8" t="s">
        <v>95</v>
      </c>
      <c r="H16" s="8"/>
      <c r="I16" s="10"/>
    </row>
    <row r="17">
      <c r="A17" s="6">
        <v>15.0</v>
      </c>
      <c r="B17" s="7" t="str">
        <f t="shared" si="1"/>
        <v>1BDFCE</v>
      </c>
      <c r="C17" s="11" t="str">
        <f t="shared" si="2"/>
        <v>C1596E</v>
      </c>
      <c r="D17" s="12">
        <f t="shared" si="3"/>
        <v>7</v>
      </c>
      <c r="E17" s="6">
        <f t="shared" si="4"/>
        <v>128</v>
      </c>
      <c r="F17" s="8">
        <f t="shared" si="5"/>
        <v>162</v>
      </c>
      <c r="G17" s="8" t="s">
        <v>96</v>
      </c>
      <c r="H17" s="13"/>
      <c r="I17" s="13"/>
    </row>
    <row r="18">
      <c r="A18" s="6">
        <v>16.0</v>
      </c>
      <c r="B18" s="7" t="str">
        <f t="shared" si="1"/>
        <v>1BDFCF</v>
      </c>
      <c r="C18" s="11" t="str">
        <f t="shared" si="2"/>
        <v>C1596F</v>
      </c>
      <c r="D18" s="12">
        <f t="shared" si="3"/>
        <v>0</v>
      </c>
      <c r="E18" s="6">
        <f t="shared" si="4"/>
        <v>1</v>
      </c>
      <c r="F18" s="8">
        <f t="shared" si="5"/>
        <v>163</v>
      </c>
      <c r="G18" s="8" t="s">
        <v>97</v>
      </c>
      <c r="H18" s="13"/>
      <c r="I18" s="13"/>
    </row>
    <row r="19">
      <c r="A19" s="6">
        <v>17.0</v>
      </c>
      <c r="B19" s="7" t="str">
        <f t="shared" si="1"/>
        <v>1BDFCF</v>
      </c>
      <c r="C19" s="11" t="str">
        <f t="shared" si="2"/>
        <v>C1596F</v>
      </c>
      <c r="D19" s="12">
        <f t="shared" si="3"/>
        <v>1</v>
      </c>
      <c r="E19" s="6">
        <f t="shared" si="4"/>
        <v>2</v>
      </c>
      <c r="F19" s="8">
        <f t="shared" si="5"/>
        <v>163</v>
      </c>
      <c r="G19" s="8" t="s">
        <v>98</v>
      </c>
      <c r="H19" s="13"/>
      <c r="I19" s="13"/>
    </row>
    <row r="20">
      <c r="A20" s="6">
        <v>18.0</v>
      </c>
      <c r="B20" s="7" t="str">
        <f t="shared" si="1"/>
        <v>1BDFCF</v>
      </c>
      <c r="C20" s="11" t="str">
        <f t="shared" si="2"/>
        <v>C1596F</v>
      </c>
      <c r="D20" s="12">
        <f t="shared" si="3"/>
        <v>2</v>
      </c>
      <c r="E20" s="6">
        <f t="shared" si="4"/>
        <v>4</v>
      </c>
      <c r="F20" s="8">
        <f t="shared" si="5"/>
        <v>163</v>
      </c>
      <c r="G20" s="8" t="s">
        <v>99</v>
      </c>
      <c r="H20" s="13"/>
      <c r="I20" s="13"/>
    </row>
    <row r="21">
      <c r="A21" s="6">
        <v>19.0</v>
      </c>
      <c r="B21" s="7" t="str">
        <f t="shared" si="1"/>
        <v>1BDFCF</v>
      </c>
      <c r="C21" s="11" t="str">
        <f t="shared" si="2"/>
        <v>C1596F</v>
      </c>
      <c r="D21" s="12">
        <f t="shared" si="3"/>
        <v>3</v>
      </c>
      <c r="E21" s="6">
        <f t="shared" si="4"/>
        <v>8</v>
      </c>
      <c r="F21" s="8">
        <f t="shared" si="5"/>
        <v>163</v>
      </c>
      <c r="G21" s="8" t="s">
        <v>100</v>
      </c>
      <c r="H21" s="13"/>
      <c r="I21" s="13"/>
    </row>
    <row r="22">
      <c r="A22" s="6">
        <v>20.0</v>
      </c>
      <c r="B22" s="7" t="str">
        <f t="shared" si="1"/>
        <v>1BDFCF</v>
      </c>
      <c r="C22" s="11" t="str">
        <f t="shared" si="2"/>
        <v>C1596F</v>
      </c>
      <c r="D22" s="12">
        <f t="shared" si="3"/>
        <v>4</v>
      </c>
      <c r="E22" s="6">
        <f t="shared" si="4"/>
        <v>16</v>
      </c>
      <c r="F22" s="8">
        <f t="shared" si="5"/>
        <v>163</v>
      </c>
      <c r="G22" s="8" t="s">
        <v>101</v>
      </c>
      <c r="H22" s="8" t="s">
        <v>102</v>
      </c>
      <c r="I22" s="10"/>
    </row>
    <row r="23">
      <c r="A23" s="6">
        <v>21.0</v>
      </c>
      <c r="B23" s="7" t="str">
        <f t="shared" si="1"/>
        <v>1BDFCF</v>
      </c>
      <c r="C23" s="11" t="str">
        <f t="shared" si="2"/>
        <v>C1596F</v>
      </c>
      <c r="D23" s="12">
        <f t="shared" si="3"/>
        <v>5</v>
      </c>
      <c r="E23" s="6">
        <f t="shared" si="4"/>
        <v>32</v>
      </c>
      <c r="F23" s="8">
        <f t="shared" si="5"/>
        <v>163</v>
      </c>
      <c r="G23" s="8" t="s">
        <v>103</v>
      </c>
      <c r="H23" s="13"/>
      <c r="I23" s="13"/>
    </row>
    <row r="24">
      <c r="A24" s="6">
        <v>22.0</v>
      </c>
      <c r="B24" s="7" t="str">
        <f t="shared" si="1"/>
        <v>1BDFCF</v>
      </c>
      <c r="C24" s="11" t="str">
        <f t="shared" si="2"/>
        <v>C1596F</v>
      </c>
      <c r="D24" s="12">
        <f t="shared" si="3"/>
        <v>6</v>
      </c>
      <c r="E24" s="6">
        <f t="shared" si="4"/>
        <v>64</v>
      </c>
      <c r="F24" s="8">
        <f t="shared" si="5"/>
        <v>163</v>
      </c>
      <c r="G24" s="8" t="s">
        <v>104</v>
      </c>
      <c r="H24" s="13"/>
      <c r="I24" s="13"/>
    </row>
    <row r="25">
      <c r="A25" s="6">
        <v>23.0</v>
      </c>
      <c r="B25" s="7" t="str">
        <f t="shared" si="1"/>
        <v>1BDFCF</v>
      </c>
      <c r="C25" s="11" t="str">
        <f t="shared" si="2"/>
        <v>C1596F</v>
      </c>
      <c r="D25" s="12">
        <f t="shared" si="3"/>
        <v>7</v>
      </c>
      <c r="E25" s="6">
        <f t="shared" si="4"/>
        <v>128</v>
      </c>
      <c r="F25" s="8">
        <f t="shared" si="5"/>
        <v>163</v>
      </c>
      <c r="G25" s="8" t="s">
        <v>105</v>
      </c>
      <c r="H25" s="13"/>
      <c r="I25" s="13"/>
    </row>
    <row r="26">
      <c r="A26" s="6">
        <v>24.0</v>
      </c>
      <c r="B26" s="7" t="str">
        <f t="shared" si="1"/>
        <v>1BDFD0</v>
      </c>
      <c r="C26" s="11" t="str">
        <f t="shared" si="2"/>
        <v>C15970</v>
      </c>
      <c r="D26" s="12">
        <f t="shared" si="3"/>
        <v>0</v>
      </c>
      <c r="E26" s="6">
        <f t="shared" si="4"/>
        <v>1</v>
      </c>
      <c r="F26" s="8">
        <f t="shared" si="5"/>
        <v>164</v>
      </c>
      <c r="G26" s="8" t="s">
        <v>106</v>
      </c>
      <c r="H26" s="13"/>
      <c r="I26" s="13"/>
    </row>
    <row r="27">
      <c r="A27" s="6">
        <v>25.0</v>
      </c>
      <c r="B27" s="7" t="str">
        <f t="shared" si="1"/>
        <v>1BDFD0</v>
      </c>
      <c r="C27" s="11" t="str">
        <f t="shared" si="2"/>
        <v>C15970</v>
      </c>
      <c r="D27" s="12">
        <f t="shared" si="3"/>
        <v>1</v>
      </c>
      <c r="E27" s="6">
        <f t="shared" si="4"/>
        <v>2</v>
      </c>
      <c r="F27" s="8">
        <f t="shared" si="5"/>
        <v>164</v>
      </c>
      <c r="G27" s="8" t="s">
        <v>107</v>
      </c>
      <c r="H27" s="13"/>
      <c r="I27" s="13"/>
    </row>
    <row r="28">
      <c r="A28" s="6">
        <v>26.0</v>
      </c>
      <c r="B28" s="7" t="str">
        <f t="shared" si="1"/>
        <v>1BDFD0</v>
      </c>
      <c r="C28" s="11" t="str">
        <f t="shared" si="2"/>
        <v>C15970</v>
      </c>
      <c r="D28" s="12">
        <f t="shared" si="3"/>
        <v>2</v>
      </c>
      <c r="E28" s="6">
        <f t="shared" si="4"/>
        <v>4</v>
      </c>
      <c r="F28" s="8">
        <f t="shared" si="5"/>
        <v>164</v>
      </c>
      <c r="G28" s="8" t="s">
        <v>108</v>
      </c>
      <c r="H28" s="13"/>
      <c r="I28" s="13"/>
    </row>
    <row r="29">
      <c r="A29" s="6">
        <v>27.0</v>
      </c>
      <c r="B29" s="7" t="str">
        <f t="shared" si="1"/>
        <v>1BDFD0</v>
      </c>
      <c r="C29" s="11" t="str">
        <f t="shared" si="2"/>
        <v>C15970</v>
      </c>
      <c r="D29" s="12">
        <f t="shared" si="3"/>
        <v>3</v>
      </c>
      <c r="E29" s="6">
        <f t="shared" si="4"/>
        <v>8</v>
      </c>
      <c r="F29" s="8">
        <f t="shared" si="5"/>
        <v>164</v>
      </c>
      <c r="G29" s="8" t="s">
        <v>109</v>
      </c>
      <c r="H29" s="13"/>
      <c r="I29" s="13"/>
    </row>
    <row r="30">
      <c r="A30" s="6">
        <v>28.0</v>
      </c>
      <c r="B30" s="7" t="str">
        <f t="shared" si="1"/>
        <v>1BDFD0</v>
      </c>
      <c r="C30" s="11" t="str">
        <f t="shared" si="2"/>
        <v>C15970</v>
      </c>
      <c r="D30" s="12">
        <f t="shared" si="3"/>
        <v>4</v>
      </c>
      <c r="E30" s="6">
        <f t="shared" si="4"/>
        <v>16</v>
      </c>
      <c r="F30" s="8">
        <f t="shared" si="5"/>
        <v>164</v>
      </c>
      <c r="G30" s="8" t="s">
        <v>110</v>
      </c>
      <c r="H30" s="13"/>
      <c r="I30" s="13"/>
    </row>
    <row r="31">
      <c r="A31" s="6">
        <v>29.0</v>
      </c>
      <c r="B31" s="7" t="str">
        <f t="shared" si="1"/>
        <v>1BDFD0</v>
      </c>
      <c r="C31" s="11" t="str">
        <f t="shared" si="2"/>
        <v>C15970</v>
      </c>
      <c r="D31" s="12">
        <f t="shared" si="3"/>
        <v>5</v>
      </c>
      <c r="E31" s="6">
        <f t="shared" si="4"/>
        <v>32</v>
      </c>
      <c r="F31" s="8">
        <f t="shared" si="5"/>
        <v>164</v>
      </c>
      <c r="G31" s="8" t="s">
        <v>111</v>
      </c>
      <c r="H31" s="13"/>
      <c r="I31" s="13"/>
    </row>
    <row r="32">
      <c r="A32" s="6">
        <v>30.0</v>
      </c>
      <c r="B32" s="7" t="str">
        <f t="shared" si="1"/>
        <v>1BDFD0</v>
      </c>
      <c r="C32" s="11" t="str">
        <f t="shared" si="2"/>
        <v>C15970</v>
      </c>
      <c r="D32" s="12">
        <f t="shared" si="3"/>
        <v>6</v>
      </c>
      <c r="E32" s="6">
        <f t="shared" si="4"/>
        <v>64</v>
      </c>
      <c r="F32" s="8">
        <f t="shared" si="5"/>
        <v>164</v>
      </c>
      <c r="G32" s="8" t="s">
        <v>112</v>
      </c>
      <c r="H32" s="13"/>
      <c r="I32" s="13"/>
    </row>
    <row r="33">
      <c r="A33" s="6">
        <v>31.0</v>
      </c>
      <c r="B33" s="7" t="str">
        <f t="shared" si="1"/>
        <v>1BDFD0</v>
      </c>
      <c r="C33" s="11" t="str">
        <f t="shared" si="2"/>
        <v>C15970</v>
      </c>
      <c r="D33" s="12">
        <f t="shared" si="3"/>
        <v>7</v>
      </c>
      <c r="E33" s="6">
        <f t="shared" si="4"/>
        <v>128</v>
      </c>
      <c r="F33" s="8">
        <f t="shared" si="5"/>
        <v>164</v>
      </c>
      <c r="G33" s="8" t="s">
        <v>113</v>
      </c>
      <c r="H33" s="13"/>
      <c r="I33" s="13"/>
    </row>
    <row r="34">
      <c r="A34" s="6">
        <v>32.0</v>
      </c>
      <c r="B34" s="7" t="str">
        <f t="shared" si="1"/>
        <v>1BDFD1</v>
      </c>
      <c r="C34" s="11" t="str">
        <f t="shared" si="2"/>
        <v>C15971</v>
      </c>
      <c r="D34" s="12">
        <f t="shared" si="3"/>
        <v>0</v>
      </c>
      <c r="E34" s="6">
        <f t="shared" si="4"/>
        <v>1</v>
      </c>
      <c r="F34" s="8">
        <f t="shared" si="5"/>
        <v>165</v>
      </c>
      <c r="G34" s="8" t="s">
        <v>114</v>
      </c>
      <c r="H34" s="13"/>
      <c r="I34" s="13"/>
    </row>
    <row r="35">
      <c r="A35" s="6">
        <v>33.0</v>
      </c>
      <c r="B35" s="7" t="str">
        <f t="shared" si="1"/>
        <v>1BDFD1</v>
      </c>
      <c r="C35" s="11" t="str">
        <f t="shared" si="2"/>
        <v>C15971</v>
      </c>
      <c r="D35" s="12">
        <f t="shared" si="3"/>
        <v>1</v>
      </c>
      <c r="E35" s="6">
        <f t="shared" si="4"/>
        <v>2</v>
      </c>
      <c r="F35" s="8">
        <f t="shared" si="5"/>
        <v>165</v>
      </c>
      <c r="G35" s="8" t="s">
        <v>115</v>
      </c>
      <c r="H35" s="13"/>
      <c r="I35" s="13"/>
    </row>
    <row r="36">
      <c r="A36" s="6">
        <v>34.0</v>
      </c>
      <c r="B36" s="7" t="str">
        <f t="shared" si="1"/>
        <v>1BDFD1</v>
      </c>
      <c r="C36" s="11" t="str">
        <f t="shared" si="2"/>
        <v>C15971</v>
      </c>
      <c r="D36" s="12">
        <f t="shared" si="3"/>
        <v>2</v>
      </c>
      <c r="E36" s="6">
        <f t="shared" si="4"/>
        <v>4</v>
      </c>
      <c r="F36" s="8">
        <f t="shared" si="5"/>
        <v>165</v>
      </c>
      <c r="G36" s="8" t="s">
        <v>116</v>
      </c>
      <c r="H36" s="13"/>
      <c r="I36" s="13"/>
    </row>
    <row r="37">
      <c r="A37" s="6">
        <v>35.0</v>
      </c>
      <c r="B37" s="7" t="str">
        <f t="shared" si="1"/>
        <v>1BDFD1</v>
      </c>
      <c r="C37" s="11" t="str">
        <f t="shared" si="2"/>
        <v>C15971</v>
      </c>
      <c r="D37" s="12">
        <f t="shared" si="3"/>
        <v>3</v>
      </c>
      <c r="E37" s="6">
        <f t="shared" si="4"/>
        <v>8</v>
      </c>
      <c r="F37" s="8">
        <f t="shared" si="5"/>
        <v>165</v>
      </c>
      <c r="G37" s="8" t="s">
        <v>117</v>
      </c>
      <c r="H37" s="13"/>
      <c r="I37" s="13"/>
    </row>
    <row r="38">
      <c r="A38" s="6">
        <v>36.0</v>
      </c>
      <c r="B38" s="7" t="str">
        <f t="shared" si="1"/>
        <v>1BDFD1</v>
      </c>
      <c r="C38" s="11" t="str">
        <f t="shared" si="2"/>
        <v>C15971</v>
      </c>
      <c r="D38" s="12">
        <f t="shared" si="3"/>
        <v>4</v>
      </c>
      <c r="E38" s="6">
        <f t="shared" si="4"/>
        <v>16</v>
      </c>
      <c r="F38" s="8">
        <f t="shared" si="5"/>
        <v>165</v>
      </c>
      <c r="G38" s="8" t="s">
        <v>118</v>
      </c>
      <c r="H38" s="13"/>
      <c r="I38" s="13"/>
    </row>
    <row r="39">
      <c r="A39" s="6">
        <v>37.0</v>
      </c>
      <c r="B39" s="7" t="str">
        <f t="shared" si="1"/>
        <v>1BDFD1</v>
      </c>
      <c r="C39" s="11" t="str">
        <f t="shared" si="2"/>
        <v>C15971</v>
      </c>
      <c r="D39" s="12">
        <f t="shared" si="3"/>
        <v>5</v>
      </c>
      <c r="E39" s="6">
        <f t="shared" si="4"/>
        <v>32</v>
      </c>
      <c r="F39" s="8">
        <f t="shared" si="5"/>
        <v>165</v>
      </c>
      <c r="G39" s="8" t="s">
        <v>119</v>
      </c>
      <c r="H39" s="13"/>
      <c r="I39" s="13"/>
    </row>
    <row r="40">
      <c r="A40" s="6">
        <v>38.0</v>
      </c>
      <c r="B40" s="7" t="str">
        <f t="shared" si="1"/>
        <v>1BDFD1</v>
      </c>
      <c r="C40" s="11" t="str">
        <f t="shared" si="2"/>
        <v>C15971</v>
      </c>
      <c r="D40" s="12">
        <f t="shared" si="3"/>
        <v>6</v>
      </c>
      <c r="E40" s="6">
        <f t="shared" si="4"/>
        <v>64</v>
      </c>
      <c r="F40" s="8">
        <f t="shared" si="5"/>
        <v>165</v>
      </c>
      <c r="G40" s="8" t="s">
        <v>95</v>
      </c>
      <c r="H40" s="13"/>
      <c r="I40" s="13"/>
    </row>
    <row r="41">
      <c r="A41" s="6">
        <v>39.0</v>
      </c>
      <c r="B41" s="7" t="str">
        <f t="shared" si="1"/>
        <v>1BDFD1</v>
      </c>
      <c r="C41" s="11" t="str">
        <f t="shared" si="2"/>
        <v>C15971</v>
      </c>
      <c r="D41" s="12">
        <f t="shared" si="3"/>
        <v>7</v>
      </c>
      <c r="E41" s="6">
        <f t="shared" si="4"/>
        <v>128</v>
      </c>
      <c r="F41" s="8">
        <f t="shared" si="5"/>
        <v>165</v>
      </c>
      <c r="G41" s="8" t="s">
        <v>95</v>
      </c>
      <c r="H41" s="13"/>
      <c r="I41" s="13"/>
    </row>
    <row r="42">
      <c r="A42" s="6">
        <v>40.0</v>
      </c>
      <c r="B42" s="7" t="str">
        <f t="shared" si="1"/>
        <v>1BDFD2</v>
      </c>
      <c r="C42" s="11" t="str">
        <f t="shared" si="2"/>
        <v>C15972</v>
      </c>
      <c r="D42" s="12">
        <f t="shared" si="3"/>
        <v>0</v>
      </c>
      <c r="E42" s="6">
        <f t="shared" si="4"/>
        <v>1</v>
      </c>
      <c r="F42" s="8">
        <f t="shared" si="5"/>
        <v>166</v>
      </c>
      <c r="G42" s="8" t="s">
        <v>120</v>
      </c>
      <c r="H42" s="8" t="s">
        <v>121</v>
      </c>
      <c r="I42" s="10"/>
    </row>
    <row r="43">
      <c r="A43" s="6">
        <v>41.0</v>
      </c>
      <c r="B43" s="7" t="str">
        <f t="shared" si="1"/>
        <v>1BDFD2</v>
      </c>
      <c r="C43" s="11" t="str">
        <f t="shared" si="2"/>
        <v>C15972</v>
      </c>
      <c r="D43" s="12">
        <f t="shared" si="3"/>
        <v>1</v>
      </c>
      <c r="E43" s="6">
        <f t="shared" si="4"/>
        <v>2</v>
      </c>
      <c r="F43" s="8">
        <f t="shared" si="5"/>
        <v>166</v>
      </c>
      <c r="G43" s="8" t="s">
        <v>122</v>
      </c>
      <c r="H43" s="8" t="s">
        <v>123</v>
      </c>
      <c r="I43" s="10"/>
    </row>
    <row r="44">
      <c r="A44" s="6">
        <v>42.0</v>
      </c>
      <c r="B44" s="7" t="str">
        <f t="shared" si="1"/>
        <v>1BDFD2</v>
      </c>
      <c r="C44" s="11" t="str">
        <f t="shared" si="2"/>
        <v>C15972</v>
      </c>
      <c r="D44" s="12">
        <f t="shared" si="3"/>
        <v>2</v>
      </c>
      <c r="E44" s="6">
        <f t="shared" si="4"/>
        <v>4</v>
      </c>
      <c r="F44" s="8">
        <f t="shared" si="5"/>
        <v>166</v>
      </c>
      <c r="G44" s="8" t="s">
        <v>95</v>
      </c>
      <c r="H44" s="13"/>
      <c r="I44" s="13"/>
    </row>
    <row r="45">
      <c r="A45" s="6">
        <v>43.0</v>
      </c>
      <c r="B45" s="7" t="str">
        <f t="shared" si="1"/>
        <v>1BDFD2</v>
      </c>
      <c r="C45" s="11" t="str">
        <f t="shared" si="2"/>
        <v>C15972</v>
      </c>
      <c r="D45" s="12">
        <f t="shared" si="3"/>
        <v>3</v>
      </c>
      <c r="E45" s="6">
        <f t="shared" si="4"/>
        <v>8</v>
      </c>
      <c r="F45" s="8">
        <f t="shared" si="5"/>
        <v>166</v>
      </c>
      <c r="G45" s="8" t="s">
        <v>124</v>
      </c>
      <c r="H45" s="8"/>
      <c r="I45" s="10"/>
    </row>
    <row r="46">
      <c r="A46" s="6">
        <v>44.0</v>
      </c>
      <c r="B46" s="7" t="str">
        <f t="shared" si="1"/>
        <v>1BDFD2</v>
      </c>
      <c r="C46" s="11" t="str">
        <f t="shared" si="2"/>
        <v>C15972</v>
      </c>
      <c r="D46" s="12">
        <f t="shared" si="3"/>
        <v>4</v>
      </c>
      <c r="E46" s="6">
        <f t="shared" si="4"/>
        <v>16</v>
      </c>
      <c r="F46" s="8">
        <f t="shared" si="5"/>
        <v>166</v>
      </c>
      <c r="G46" s="8" t="s">
        <v>125</v>
      </c>
      <c r="H46" s="13"/>
      <c r="I46" s="13"/>
    </row>
    <row r="47">
      <c r="A47" s="6">
        <v>45.0</v>
      </c>
      <c r="B47" s="7" t="str">
        <f t="shared" si="1"/>
        <v>1BDFD2</v>
      </c>
      <c r="C47" s="11" t="str">
        <f t="shared" si="2"/>
        <v>C15972</v>
      </c>
      <c r="D47" s="12">
        <f t="shared" si="3"/>
        <v>5</v>
      </c>
      <c r="E47" s="6">
        <f t="shared" si="4"/>
        <v>32</v>
      </c>
      <c r="F47" s="8">
        <f t="shared" si="5"/>
        <v>166</v>
      </c>
      <c r="G47" s="8" t="s">
        <v>126</v>
      </c>
      <c r="H47" s="13"/>
      <c r="I47" s="13"/>
    </row>
    <row r="48">
      <c r="A48" s="6">
        <v>46.0</v>
      </c>
      <c r="B48" s="7" t="str">
        <f t="shared" si="1"/>
        <v>1BDFD2</v>
      </c>
      <c r="C48" s="11" t="str">
        <f t="shared" si="2"/>
        <v>C15972</v>
      </c>
      <c r="D48" s="12">
        <f t="shared" si="3"/>
        <v>6</v>
      </c>
      <c r="E48" s="6">
        <f t="shared" si="4"/>
        <v>64</v>
      </c>
      <c r="F48" s="8">
        <f t="shared" si="5"/>
        <v>166</v>
      </c>
      <c r="G48" s="8" t="s">
        <v>127</v>
      </c>
      <c r="H48" s="13"/>
      <c r="I48" s="13"/>
    </row>
    <row r="49">
      <c r="A49" s="6">
        <v>47.0</v>
      </c>
      <c r="B49" s="7" t="str">
        <f t="shared" si="1"/>
        <v>1BDFD2</v>
      </c>
      <c r="C49" s="11" t="str">
        <f t="shared" si="2"/>
        <v>C15972</v>
      </c>
      <c r="D49" s="12">
        <f t="shared" si="3"/>
        <v>7</v>
      </c>
      <c r="E49" s="6">
        <f t="shared" si="4"/>
        <v>128</v>
      </c>
      <c r="F49" s="8">
        <f t="shared" si="5"/>
        <v>166</v>
      </c>
      <c r="G49" s="8" t="s">
        <v>128</v>
      </c>
      <c r="H49" s="8" t="s">
        <v>129</v>
      </c>
      <c r="I49" s="10"/>
    </row>
    <row r="50">
      <c r="A50" s="6">
        <v>48.0</v>
      </c>
      <c r="B50" s="7" t="str">
        <f t="shared" si="1"/>
        <v>1BDFD3</v>
      </c>
      <c r="C50" s="11" t="str">
        <f t="shared" si="2"/>
        <v>C15973</v>
      </c>
      <c r="D50" s="12">
        <f t="shared" si="3"/>
        <v>0</v>
      </c>
      <c r="E50" s="6">
        <f t="shared" si="4"/>
        <v>1</v>
      </c>
      <c r="F50" s="8">
        <f t="shared" si="5"/>
        <v>167</v>
      </c>
      <c r="G50" s="8" t="s">
        <v>130</v>
      </c>
      <c r="H50" s="8" t="s">
        <v>129</v>
      </c>
      <c r="I50" s="10"/>
    </row>
    <row r="51">
      <c r="A51" s="6">
        <v>49.0</v>
      </c>
      <c r="B51" s="7" t="str">
        <f t="shared" si="1"/>
        <v>1BDFD3</v>
      </c>
      <c r="C51" s="11" t="str">
        <f t="shared" si="2"/>
        <v>C15973</v>
      </c>
      <c r="D51" s="12">
        <f t="shared" si="3"/>
        <v>1</v>
      </c>
      <c r="E51" s="6">
        <f t="shared" si="4"/>
        <v>2</v>
      </c>
      <c r="F51" s="8">
        <f t="shared" si="5"/>
        <v>167</v>
      </c>
      <c r="G51" s="8" t="s">
        <v>131</v>
      </c>
      <c r="H51" s="8" t="s">
        <v>132</v>
      </c>
      <c r="I51" s="10"/>
    </row>
    <row r="52">
      <c r="A52" s="6">
        <v>50.0</v>
      </c>
      <c r="B52" s="7" t="str">
        <f t="shared" si="1"/>
        <v>1BDFD3</v>
      </c>
      <c r="C52" s="11" t="str">
        <f t="shared" si="2"/>
        <v>C15973</v>
      </c>
      <c r="D52" s="12">
        <f t="shared" si="3"/>
        <v>2</v>
      </c>
      <c r="E52" s="6">
        <f t="shared" si="4"/>
        <v>4</v>
      </c>
      <c r="F52" s="8">
        <f t="shared" si="5"/>
        <v>167</v>
      </c>
      <c r="G52" s="8" t="s">
        <v>133</v>
      </c>
      <c r="H52" s="8" t="s">
        <v>134</v>
      </c>
      <c r="I52" s="10"/>
    </row>
    <row r="53">
      <c r="A53" s="6">
        <v>51.0</v>
      </c>
      <c r="B53" s="7" t="str">
        <f t="shared" si="1"/>
        <v>1BDFD3</v>
      </c>
      <c r="C53" s="11" t="str">
        <f t="shared" si="2"/>
        <v>C15973</v>
      </c>
      <c r="D53" s="12">
        <f t="shared" si="3"/>
        <v>3</v>
      </c>
      <c r="E53" s="6">
        <f t="shared" si="4"/>
        <v>8</v>
      </c>
      <c r="F53" s="8">
        <f t="shared" si="5"/>
        <v>167</v>
      </c>
      <c r="G53" s="8" t="s">
        <v>135</v>
      </c>
      <c r="H53" s="13"/>
      <c r="I53" s="13"/>
    </row>
    <row r="54">
      <c r="A54" s="6">
        <v>52.0</v>
      </c>
      <c r="B54" s="7" t="str">
        <f t="shared" si="1"/>
        <v>1BDFD3</v>
      </c>
      <c r="C54" s="11" t="str">
        <f t="shared" si="2"/>
        <v>C15973</v>
      </c>
      <c r="D54" s="12">
        <f t="shared" si="3"/>
        <v>4</v>
      </c>
      <c r="E54" s="6">
        <f t="shared" si="4"/>
        <v>16</v>
      </c>
      <c r="F54" s="8">
        <f t="shared" si="5"/>
        <v>167</v>
      </c>
      <c r="G54" s="8" t="s">
        <v>136</v>
      </c>
      <c r="H54" s="8" t="s">
        <v>137</v>
      </c>
      <c r="I54" s="13"/>
    </row>
    <row r="55">
      <c r="A55" s="6">
        <v>53.0</v>
      </c>
      <c r="B55" s="7" t="str">
        <f t="shared" si="1"/>
        <v>1BDFD3</v>
      </c>
      <c r="C55" s="11" t="str">
        <f t="shared" si="2"/>
        <v>C15973</v>
      </c>
      <c r="D55" s="12">
        <f t="shared" si="3"/>
        <v>5</v>
      </c>
      <c r="E55" s="6">
        <f t="shared" si="4"/>
        <v>32</v>
      </c>
      <c r="F55" s="8">
        <f t="shared" si="5"/>
        <v>167</v>
      </c>
      <c r="G55" s="8" t="s">
        <v>138</v>
      </c>
      <c r="H55" s="13"/>
      <c r="I55" s="13"/>
    </row>
    <row r="56">
      <c r="A56" s="6">
        <v>54.0</v>
      </c>
      <c r="B56" s="7" t="str">
        <f t="shared" si="1"/>
        <v>1BDFD3</v>
      </c>
      <c r="C56" s="11" t="str">
        <f t="shared" si="2"/>
        <v>C15973</v>
      </c>
      <c r="D56" s="12">
        <f t="shared" si="3"/>
        <v>6</v>
      </c>
      <c r="E56" s="6">
        <f t="shared" si="4"/>
        <v>64</v>
      </c>
      <c r="F56" s="8">
        <f t="shared" si="5"/>
        <v>167</v>
      </c>
      <c r="G56" s="8" t="s">
        <v>139</v>
      </c>
      <c r="H56" s="8"/>
      <c r="I56" s="10"/>
    </row>
    <row r="57">
      <c r="A57" s="6">
        <v>55.0</v>
      </c>
      <c r="B57" s="7" t="str">
        <f t="shared" si="1"/>
        <v>1BDFD3</v>
      </c>
      <c r="C57" s="11" t="str">
        <f t="shared" si="2"/>
        <v>C15973</v>
      </c>
      <c r="D57" s="12">
        <f t="shared" si="3"/>
        <v>7</v>
      </c>
      <c r="E57" s="6">
        <f t="shared" si="4"/>
        <v>128</v>
      </c>
      <c r="F57" s="8">
        <f t="shared" si="5"/>
        <v>167</v>
      </c>
      <c r="G57" s="8" t="s">
        <v>140</v>
      </c>
      <c r="H57" s="8"/>
      <c r="I57" s="10"/>
    </row>
    <row r="58">
      <c r="A58" s="6">
        <v>56.0</v>
      </c>
      <c r="B58" s="7" t="str">
        <f t="shared" si="1"/>
        <v>1BDFD4</v>
      </c>
      <c r="C58" s="11" t="str">
        <f t="shared" si="2"/>
        <v>C15974</v>
      </c>
      <c r="D58" s="12">
        <f t="shared" si="3"/>
        <v>0</v>
      </c>
      <c r="E58" s="6">
        <f t="shared" si="4"/>
        <v>1</v>
      </c>
      <c r="F58" s="8">
        <f t="shared" si="5"/>
        <v>168</v>
      </c>
      <c r="G58" s="8" t="s">
        <v>141</v>
      </c>
      <c r="H58" s="13"/>
      <c r="I58" s="13"/>
    </row>
    <row r="59">
      <c r="A59" s="6">
        <v>57.0</v>
      </c>
      <c r="B59" s="7" t="str">
        <f t="shared" si="1"/>
        <v>1BDFD4</v>
      </c>
      <c r="C59" s="11" t="str">
        <f t="shared" si="2"/>
        <v>C15974</v>
      </c>
      <c r="D59" s="12">
        <f t="shared" si="3"/>
        <v>1</v>
      </c>
      <c r="E59" s="6">
        <f t="shared" si="4"/>
        <v>2</v>
      </c>
      <c r="F59" s="8">
        <f t="shared" si="5"/>
        <v>168</v>
      </c>
      <c r="G59" s="8" t="s">
        <v>95</v>
      </c>
      <c r="H59" s="13"/>
      <c r="I59" s="13"/>
    </row>
    <row r="60">
      <c r="A60" s="6">
        <v>58.0</v>
      </c>
      <c r="B60" s="7" t="str">
        <f t="shared" si="1"/>
        <v>1BDFD4</v>
      </c>
      <c r="C60" s="11" t="str">
        <f t="shared" si="2"/>
        <v>C15974</v>
      </c>
      <c r="D60" s="12">
        <f t="shared" si="3"/>
        <v>2</v>
      </c>
      <c r="E60" s="6">
        <f t="shared" si="4"/>
        <v>4</v>
      </c>
      <c r="F60" s="8">
        <f t="shared" si="5"/>
        <v>168</v>
      </c>
      <c r="G60" s="8" t="s">
        <v>142</v>
      </c>
      <c r="H60" s="13"/>
      <c r="I60" s="13"/>
    </row>
    <row r="61">
      <c r="A61" s="6">
        <v>59.0</v>
      </c>
      <c r="B61" s="7" t="str">
        <f t="shared" si="1"/>
        <v>1BDFD4</v>
      </c>
      <c r="C61" s="11" t="str">
        <f t="shared" si="2"/>
        <v>C15974</v>
      </c>
      <c r="D61" s="12">
        <f t="shared" si="3"/>
        <v>3</v>
      </c>
      <c r="E61" s="6">
        <f t="shared" si="4"/>
        <v>8</v>
      </c>
      <c r="F61" s="8">
        <f t="shared" si="5"/>
        <v>168</v>
      </c>
      <c r="G61" s="8" t="s">
        <v>143</v>
      </c>
      <c r="H61" s="13"/>
      <c r="I61" s="13"/>
    </row>
    <row r="62">
      <c r="A62" s="6">
        <v>60.0</v>
      </c>
      <c r="B62" s="7" t="str">
        <f t="shared" si="1"/>
        <v>1BDFD4</v>
      </c>
      <c r="C62" s="11" t="str">
        <f t="shared" si="2"/>
        <v>C15974</v>
      </c>
      <c r="D62" s="12">
        <f t="shared" si="3"/>
        <v>4</v>
      </c>
      <c r="E62" s="6">
        <f t="shared" si="4"/>
        <v>16</v>
      </c>
      <c r="F62" s="8">
        <f t="shared" si="5"/>
        <v>168</v>
      </c>
      <c r="G62" s="8" t="s">
        <v>144</v>
      </c>
      <c r="H62" s="8"/>
      <c r="I62" s="10"/>
    </row>
    <row r="63">
      <c r="A63" s="6">
        <v>61.0</v>
      </c>
      <c r="B63" s="7" t="str">
        <f t="shared" si="1"/>
        <v>1BDFD4</v>
      </c>
      <c r="C63" s="11" t="str">
        <f t="shared" si="2"/>
        <v>C15974</v>
      </c>
      <c r="D63" s="12">
        <f t="shared" si="3"/>
        <v>5</v>
      </c>
      <c r="E63" s="6">
        <f t="shared" si="4"/>
        <v>32</v>
      </c>
      <c r="F63" s="8">
        <f t="shared" si="5"/>
        <v>168</v>
      </c>
      <c r="G63" s="8" t="s">
        <v>145</v>
      </c>
      <c r="H63" s="8"/>
      <c r="I63" s="10"/>
    </row>
    <row r="64">
      <c r="A64" s="6">
        <v>62.0</v>
      </c>
      <c r="B64" s="7" t="str">
        <f t="shared" si="1"/>
        <v>1BDFD4</v>
      </c>
      <c r="C64" s="11" t="str">
        <f t="shared" si="2"/>
        <v>C15974</v>
      </c>
      <c r="D64" s="12">
        <f t="shared" si="3"/>
        <v>6</v>
      </c>
      <c r="E64" s="6">
        <f t="shared" si="4"/>
        <v>64</v>
      </c>
      <c r="F64" s="8">
        <f t="shared" si="5"/>
        <v>168</v>
      </c>
      <c r="G64" s="8" t="s">
        <v>95</v>
      </c>
      <c r="H64" s="13"/>
      <c r="I64" s="13"/>
    </row>
    <row r="65">
      <c r="A65" s="6">
        <v>63.0</v>
      </c>
      <c r="B65" s="7" t="str">
        <f t="shared" si="1"/>
        <v>1BDFD4</v>
      </c>
      <c r="C65" s="11" t="str">
        <f t="shared" si="2"/>
        <v>C15974</v>
      </c>
      <c r="D65" s="12">
        <f t="shared" si="3"/>
        <v>7</v>
      </c>
      <c r="E65" s="6">
        <f t="shared" si="4"/>
        <v>128</v>
      </c>
      <c r="F65" s="8">
        <f t="shared" si="5"/>
        <v>168</v>
      </c>
      <c r="G65" s="8" t="s">
        <v>95</v>
      </c>
      <c r="H65" s="13"/>
      <c r="I65" s="13"/>
    </row>
    <row r="66">
      <c r="A66" s="6">
        <v>64.0</v>
      </c>
      <c r="B66" s="7" t="str">
        <f t="shared" si="1"/>
        <v>1BDFD5</v>
      </c>
      <c r="C66" s="11" t="str">
        <f t="shared" si="2"/>
        <v>C15975</v>
      </c>
      <c r="D66" s="12">
        <f t="shared" si="3"/>
        <v>0</v>
      </c>
      <c r="E66" s="6">
        <f t="shared" si="4"/>
        <v>1</v>
      </c>
      <c r="F66" s="8">
        <f t="shared" si="5"/>
        <v>169</v>
      </c>
      <c r="G66" s="8" t="s">
        <v>146</v>
      </c>
      <c r="H66" s="13"/>
      <c r="I66" s="13"/>
    </row>
    <row r="67">
      <c r="A67" s="6">
        <v>65.0</v>
      </c>
      <c r="B67" s="7" t="str">
        <f t="shared" si="1"/>
        <v>1BDFD5</v>
      </c>
      <c r="C67" s="11" t="str">
        <f t="shared" si="2"/>
        <v>C15975</v>
      </c>
      <c r="D67" s="12">
        <f t="shared" si="3"/>
        <v>1</v>
      </c>
      <c r="E67" s="6">
        <f t="shared" si="4"/>
        <v>2</v>
      </c>
      <c r="F67" s="8">
        <f t="shared" si="5"/>
        <v>169</v>
      </c>
      <c r="G67" s="8" t="s">
        <v>147</v>
      </c>
      <c r="H67" s="13"/>
      <c r="I67" s="13"/>
    </row>
    <row r="68">
      <c r="A68" s="6">
        <v>66.0</v>
      </c>
      <c r="B68" s="7" t="str">
        <f t="shared" si="1"/>
        <v>1BDFD5</v>
      </c>
      <c r="C68" s="11" t="str">
        <f t="shared" si="2"/>
        <v>C15975</v>
      </c>
      <c r="D68" s="12">
        <f t="shared" si="3"/>
        <v>2</v>
      </c>
      <c r="E68" s="6">
        <f t="shared" si="4"/>
        <v>4</v>
      </c>
      <c r="F68" s="8">
        <f t="shared" si="5"/>
        <v>169</v>
      </c>
      <c r="G68" s="8" t="s">
        <v>148</v>
      </c>
      <c r="H68" s="13"/>
      <c r="I68" s="13"/>
    </row>
    <row r="69">
      <c r="A69" s="6">
        <v>67.0</v>
      </c>
      <c r="B69" s="7" t="str">
        <f t="shared" si="1"/>
        <v>1BDFD5</v>
      </c>
      <c r="C69" s="11" t="str">
        <f t="shared" si="2"/>
        <v>C15975</v>
      </c>
      <c r="D69" s="12">
        <f t="shared" si="3"/>
        <v>3</v>
      </c>
      <c r="E69" s="6">
        <f t="shared" si="4"/>
        <v>8</v>
      </c>
      <c r="F69" s="8">
        <f t="shared" si="5"/>
        <v>169</v>
      </c>
      <c r="G69" s="8" t="s">
        <v>149</v>
      </c>
      <c r="H69" s="13"/>
      <c r="I69" s="13"/>
    </row>
    <row r="70">
      <c r="A70" s="6">
        <v>68.0</v>
      </c>
      <c r="B70" s="7" t="str">
        <f t="shared" si="1"/>
        <v>1BDFD5</v>
      </c>
      <c r="C70" s="11" t="str">
        <f t="shared" si="2"/>
        <v>C15975</v>
      </c>
      <c r="D70" s="12">
        <f t="shared" si="3"/>
        <v>4</v>
      </c>
      <c r="E70" s="6">
        <f t="shared" si="4"/>
        <v>16</v>
      </c>
      <c r="F70" s="8">
        <f t="shared" si="5"/>
        <v>169</v>
      </c>
      <c r="G70" s="8" t="s">
        <v>150</v>
      </c>
      <c r="H70" s="13"/>
      <c r="I70" s="13"/>
    </row>
    <row r="71">
      <c r="A71" s="6">
        <v>69.0</v>
      </c>
      <c r="B71" s="7" t="str">
        <f t="shared" si="1"/>
        <v>1BDFD5</v>
      </c>
      <c r="C71" s="11" t="str">
        <f t="shared" si="2"/>
        <v>C15975</v>
      </c>
      <c r="D71" s="12">
        <f t="shared" si="3"/>
        <v>5</v>
      </c>
      <c r="E71" s="6">
        <f t="shared" si="4"/>
        <v>32</v>
      </c>
      <c r="F71" s="8">
        <f t="shared" si="5"/>
        <v>169</v>
      </c>
      <c r="G71" s="8" t="s">
        <v>151</v>
      </c>
      <c r="H71" s="13"/>
      <c r="I71" s="13"/>
    </row>
    <row r="72">
      <c r="A72" s="6">
        <v>70.0</v>
      </c>
      <c r="B72" s="7" t="str">
        <f t="shared" si="1"/>
        <v>1BDFD5</v>
      </c>
      <c r="C72" s="11" t="str">
        <f t="shared" si="2"/>
        <v>C15975</v>
      </c>
      <c r="D72" s="12">
        <f t="shared" si="3"/>
        <v>6</v>
      </c>
      <c r="E72" s="6">
        <f t="shared" si="4"/>
        <v>64</v>
      </c>
      <c r="F72" s="8">
        <f t="shared" si="5"/>
        <v>169</v>
      </c>
      <c r="G72" s="8" t="s">
        <v>152</v>
      </c>
      <c r="H72" s="13"/>
      <c r="I72" s="13"/>
    </row>
    <row r="73">
      <c r="A73" s="6">
        <v>71.0</v>
      </c>
      <c r="B73" s="7" t="str">
        <f t="shared" si="1"/>
        <v>1BDFD5</v>
      </c>
      <c r="C73" s="11" t="str">
        <f t="shared" si="2"/>
        <v>C15975</v>
      </c>
      <c r="D73" s="12">
        <f t="shared" si="3"/>
        <v>7</v>
      </c>
      <c r="E73" s="6">
        <f t="shared" si="4"/>
        <v>128</v>
      </c>
      <c r="F73" s="8">
        <f t="shared" si="5"/>
        <v>169</v>
      </c>
      <c r="G73" s="8" t="s">
        <v>153</v>
      </c>
      <c r="H73" s="8" t="s">
        <v>154</v>
      </c>
      <c r="I73" s="10"/>
    </row>
    <row r="74">
      <c r="A74" s="6">
        <v>72.0</v>
      </c>
      <c r="B74" s="7" t="str">
        <f t="shared" si="1"/>
        <v>1BDFD6</v>
      </c>
      <c r="C74" s="11" t="str">
        <f t="shared" si="2"/>
        <v>C15976</v>
      </c>
      <c r="D74" s="12">
        <f t="shared" si="3"/>
        <v>0</v>
      </c>
      <c r="E74" s="6">
        <f t="shared" si="4"/>
        <v>1</v>
      </c>
      <c r="F74" s="8">
        <f t="shared" si="5"/>
        <v>170</v>
      </c>
      <c r="G74" s="8" t="s">
        <v>155</v>
      </c>
      <c r="H74" s="8" t="s">
        <v>154</v>
      </c>
      <c r="I74" s="10"/>
    </row>
    <row r="75">
      <c r="A75" s="6">
        <v>73.0</v>
      </c>
      <c r="B75" s="7" t="str">
        <f t="shared" si="1"/>
        <v>1BDFD6</v>
      </c>
      <c r="C75" s="11" t="str">
        <f t="shared" si="2"/>
        <v>C15976</v>
      </c>
      <c r="D75" s="12">
        <f t="shared" si="3"/>
        <v>1</v>
      </c>
      <c r="E75" s="6">
        <f t="shared" si="4"/>
        <v>2</v>
      </c>
      <c r="F75" s="8">
        <f t="shared" si="5"/>
        <v>170</v>
      </c>
      <c r="G75" s="8" t="s">
        <v>156</v>
      </c>
      <c r="H75" s="13"/>
      <c r="I75" s="13"/>
    </row>
    <row r="76">
      <c r="A76" s="6">
        <v>74.0</v>
      </c>
      <c r="B76" s="7" t="str">
        <f t="shared" si="1"/>
        <v>1BDFD6</v>
      </c>
      <c r="C76" s="11" t="str">
        <f t="shared" si="2"/>
        <v>C15976</v>
      </c>
      <c r="D76" s="12">
        <f t="shared" si="3"/>
        <v>2</v>
      </c>
      <c r="E76" s="6">
        <f t="shared" si="4"/>
        <v>4</v>
      </c>
      <c r="F76" s="8">
        <f t="shared" si="5"/>
        <v>170</v>
      </c>
      <c r="G76" s="8" t="s">
        <v>157</v>
      </c>
      <c r="H76" s="13"/>
      <c r="I76" s="13"/>
    </row>
    <row r="77">
      <c r="A77" s="6">
        <v>75.0</v>
      </c>
      <c r="B77" s="7" t="str">
        <f t="shared" si="1"/>
        <v>1BDFD6</v>
      </c>
      <c r="C77" s="11" t="str">
        <f t="shared" si="2"/>
        <v>C15976</v>
      </c>
      <c r="D77" s="12">
        <f t="shared" si="3"/>
        <v>3</v>
      </c>
      <c r="E77" s="6">
        <f t="shared" si="4"/>
        <v>8</v>
      </c>
      <c r="F77" s="8">
        <f t="shared" si="5"/>
        <v>170</v>
      </c>
      <c r="G77" s="8" t="s">
        <v>158</v>
      </c>
      <c r="H77" s="8" t="s">
        <v>159</v>
      </c>
      <c r="I77" s="10"/>
    </row>
    <row r="78">
      <c r="A78" s="6">
        <v>76.0</v>
      </c>
      <c r="B78" s="7" t="str">
        <f t="shared" si="1"/>
        <v>1BDFD6</v>
      </c>
      <c r="C78" s="11" t="str">
        <f t="shared" si="2"/>
        <v>C15976</v>
      </c>
      <c r="D78" s="12">
        <f t="shared" si="3"/>
        <v>4</v>
      </c>
      <c r="E78" s="6">
        <f t="shared" si="4"/>
        <v>16</v>
      </c>
      <c r="F78" s="8">
        <f t="shared" si="5"/>
        <v>170</v>
      </c>
      <c r="G78" s="8" t="s">
        <v>160</v>
      </c>
      <c r="H78" s="8" t="s">
        <v>161</v>
      </c>
      <c r="I78" s="10"/>
    </row>
    <row r="79">
      <c r="A79" s="6">
        <v>77.0</v>
      </c>
      <c r="B79" s="7" t="str">
        <f t="shared" si="1"/>
        <v>1BDFD6</v>
      </c>
      <c r="C79" s="11" t="str">
        <f t="shared" si="2"/>
        <v>C15976</v>
      </c>
      <c r="D79" s="12">
        <f t="shared" si="3"/>
        <v>5</v>
      </c>
      <c r="E79" s="6">
        <f t="shared" si="4"/>
        <v>32</v>
      </c>
      <c r="F79" s="8">
        <f t="shared" si="5"/>
        <v>170</v>
      </c>
      <c r="G79" s="8" t="s">
        <v>162</v>
      </c>
      <c r="H79" s="13"/>
      <c r="I79" s="13"/>
    </row>
    <row r="80">
      <c r="A80" s="6">
        <v>78.0</v>
      </c>
      <c r="B80" s="7" t="str">
        <f t="shared" si="1"/>
        <v>1BDFD6</v>
      </c>
      <c r="C80" s="11" t="str">
        <f t="shared" si="2"/>
        <v>C15976</v>
      </c>
      <c r="D80" s="12">
        <f t="shared" si="3"/>
        <v>6</v>
      </c>
      <c r="E80" s="6">
        <f t="shared" si="4"/>
        <v>64</v>
      </c>
      <c r="F80" s="8">
        <f t="shared" si="5"/>
        <v>170</v>
      </c>
      <c r="G80" s="8" t="s">
        <v>163</v>
      </c>
      <c r="H80" s="13"/>
      <c r="I80" s="13"/>
    </row>
    <row r="81">
      <c r="A81" s="6">
        <v>79.0</v>
      </c>
      <c r="B81" s="7" t="str">
        <f t="shared" si="1"/>
        <v>1BDFD6</v>
      </c>
      <c r="C81" s="11" t="str">
        <f t="shared" si="2"/>
        <v>C15976</v>
      </c>
      <c r="D81" s="12">
        <f t="shared" si="3"/>
        <v>7</v>
      </c>
      <c r="E81" s="6">
        <f t="shared" si="4"/>
        <v>128</v>
      </c>
      <c r="F81" s="8">
        <f t="shared" si="5"/>
        <v>170</v>
      </c>
      <c r="G81" s="8" t="s">
        <v>164</v>
      </c>
      <c r="H81" s="13"/>
      <c r="I81" s="13"/>
    </row>
    <row r="82">
      <c r="A82" s="6">
        <v>80.0</v>
      </c>
      <c r="B82" s="7" t="str">
        <f t="shared" si="1"/>
        <v>1BDFD7</v>
      </c>
      <c r="C82" s="11" t="str">
        <f t="shared" si="2"/>
        <v>C15977</v>
      </c>
      <c r="D82" s="12">
        <f t="shared" si="3"/>
        <v>0</v>
      </c>
      <c r="E82" s="6">
        <f t="shared" si="4"/>
        <v>1</v>
      </c>
      <c r="F82" s="8">
        <f t="shared" si="5"/>
        <v>171</v>
      </c>
      <c r="G82" s="8" t="s">
        <v>165</v>
      </c>
      <c r="H82" s="13"/>
      <c r="I82" s="13"/>
    </row>
    <row r="83">
      <c r="A83" s="6">
        <v>81.0</v>
      </c>
      <c r="B83" s="7" t="str">
        <f t="shared" si="1"/>
        <v>1BDFD7</v>
      </c>
      <c r="C83" s="11" t="str">
        <f t="shared" si="2"/>
        <v>C15977</v>
      </c>
      <c r="D83" s="12">
        <f t="shared" si="3"/>
        <v>1</v>
      </c>
      <c r="E83" s="6">
        <f t="shared" si="4"/>
        <v>2</v>
      </c>
      <c r="F83" s="8">
        <f t="shared" si="5"/>
        <v>171</v>
      </c>
      <c r="G83" s="8" t="s">
        <v>166</v>
      </c>
      <c r="H83" s="13"/>
      <c r="I83" s="13"/>
    </row>
    <row r="84">
      <c r="A84" s="6">
        <v>82.0</v>
      </c>
      <c r="B84" s="7" t="str">
        <f t="shared" si="1"/>
        <v>1BDFD7</v>
      </c>
      <c r="C84" s="11" t="str">
        <f t="shared" si="2"/>
        <v>C15977</v>
      </c>
      <c r="D84" s="12">
        <f t="shared" si="3"/>
        <v>2</v>
      </c>
      <c r="E84" s="6">
        <f t="shared" si="4"/>
        <v>4</v>
      </c>
      <c r="F84" s="8">
        <f t="shared" si="5"/>
        <v>171</v>
      </c>
      <c r="G84" s="8" t="s">
        <v>167</v>
      </c>
      <c r="H84" s="13"/>
      <c r="I84" s="13"/>
    </row>
    <row r="85">
      <c r="A85" s="6">
        <v>83.0</v>
      </c>
      <c r="B85" s="7" t="str">
        <f t="shared" si="1"/>
        <v>1BDFD7</v>
      </c>
      <c r="C85" s="11" t="str">
        <f t="shared" si="2"/>
        <v>C15977</v>
      </c>
      <c r="D85" s="12">
        <f t="shared" si="3"/>
        <v>3</v>
      </c>
      <c r="E85" s="6">
        <f t="shared" si="4"/>
        <v>8</v>
      </c>
      <c r="F85" s="8">
        <f t="shared" si="5"/>
        <v>171</v>
      </c>
      <c r="G85" s="8" t="s">
        <v>168</v>
      </c>
      <c r="H85" s="13"/>
      <c r="I85" s="13"/>
    </row>
    <row r="86">
      <c r="A86" s="6">
        <v>84.0</v>
      </c>
      <c r="B86" s="7" t="str">
        <f t="shared" si="1"/>
        <v>1BDFD7</v>
      </c>
      <c r="C86" s="11" t="str">
        <f t="shared" si="2"/>
        <v>C15977</v>
      </c>
      <c r="D86" s="12">
        <f t="shared" si="3"/>
        <v>4</v>
      </c>
      <c r="E86" s="6">
        <f t="shared" si="4"/>
        <v>16</v>
      </c>
      <c r="F86" s="8">
        <f t="shared" si="5"/>
        <v>171</v>
      </c>
      <c r="G86" s="8" t="s">
        <v>169</v>
      </c>
      <c r="H86" s="13"/>
      <c r="I86" s="13"/>
    </row>
    <row r="87">
      <c r="A87" s="6">
        <v>85.0</v>
      </c>
      <c r="B87" s="7" t="str">
        <f t="shared" si="1"/>
        <v>1BDFD7</v>
      </c>
      <c r="C87" s="11" t="str">
        <f t="shared" si="2"/>
        <v>C15977</v>
      </c>
      <c r="D87" s="12">
        <f t="shared" si="3"/>
        <v>5</v>
      </c>
      <c r="E87" s="6">
        <f t="shared" si="4"/>
        <v>32</v>
      </c>
      <c r="F87" s="8">
        <f t="shared" si="5"/>
        <v>171</v>
      </c>
      <c r="G87" s="8" t="s">
        <v>95</v>
      </c>
      <c r="H87" s="13"/>
      <c r="I87" s="13"/>
    </row>
    <row r="88">
      <c r="A88" s="6">
        <v>86.0</v>
      </c>
      <c r="B88" s="7" t="str">
        <f t="shared" si="1"/>
        <v>1BDFD7</v>
      </c>
      <c r="C88" s="11" t="str">
        <f t="shared" si="2"/>
        <v>C15977</v>
      </c>
      <c r="D88" s="12">
        <f t="shared" si="3"/>
        <v>6</v>
      </c>
      <c r="E88" s="6">
        <f t="shared" si="4"/>
        <v>64</v>
      </c>
      <c r="F88" s="8">
        <f t="shared" si="5"/>
        <v>171</v>
      </c>
      <c r="G88" s="8" t="s">
        <v>170</v>
      </c>
      <c r="H88" s="8" t="s">
        <v>171</v>
      </c>
      <c r="I88" s="10"/>
    </row>
    <row r="89">
      <c r="A89" s="6">
        <v>87.0</v>
      </c>
      <c r="B89" s="7" t="str">
        <f t="shared" si="1"/>
        <v>1BDFD7</v>
      </c>
      <c r="C89" s="11" t="str">
        <f t="shared" si="2"/>
        <v>C15977</v>
      </c>
      <c r="D89" s="12">
        <f t="shared" si="3"/>
        <v>7</v>
      </c>
      <c r="E89" s="6">
        <f t="shared" si="4"/>
        <v>128</v>
      </c>
      <c r="F89" s="8">
        <f t="shared" si="5"/>
        <v>171</v>
      </c>
      <c r="G89" s="8" t="s">
        <v>172</v>
      </c>
      <c r="H89" s="8" t="s">
        <v>173</v>
      </c>
      <c r="I89" s="10"/>
    </row>
    <row r="90">
      <c r="A90" s="6">
        <v>88.0</v>
      </c>
      <c r="B90" s="7" t="str">
        <f t="shared" si="1"/>
        <v>1BDFD8</v>
      </c>
      <c r="C90" s="11" t="str">
        <f t="shared" si="2"/>
        <v>C15978</v>
      </c>
      <c r="D90" s="12">
        <f t="shared" si="3"/>
        <v>0</v>
      </c>
      <c r="E90" s="6">
        <f t="shared" si="4"/>
        <v>1</v>
      </c>
      <c r="F90" s="8">
        <f t="shared" si="5"/>
        <v>172</v>
      </c>
      <c r="G90" s="8" t="s">
        <v>174</v>
      </c>
      <c r="H90" s="8"/>
      <c r="I90" s="10"/>
    </row>
    <row r="91">
      <c r="A91" s="6">
        <v>89.0</v>
      </c>
      <c r="B91" s="7" t="str">
        <f t="shared" si="1"/>
        <v>1BDFD8</v>
      </c>
      <c r="C91" s="11" t="str">
        <f t="shared" si="2"/>
        <v>C15978</v>
      </c>
      <c r="D91" s="12">
        <f t="shared" si="3"/>
        <v>1</v>
      </c>
      <c r="E91" s="6">
        <f t="shared" si="4"/>
        <v>2</v>
      </c>
      <c r="F91" s="8">
        <f t="shared" si="5"/>
        <v>172</v>
      </c>
      <c r="G91" s="8" t="s">
        <v>175</v>
      </c>
      <c r="H91" s="13"/>
      <c r="I91" s="13"/>
    </row>
    <row r="92">
      <c r="A92" s="6">
        <v>90.0</v>
      </c>
      <c r="B92" s="7" t="str">
        <f t="shared" si="1"/>
        <v>1BDFD8</v>
      </c>
      <c r="C92" s="11" t="str">
        <f t="shared" si="2"/>
        <v>C15978</v>
      </c>
      <c r="D92" s="12">
        <f t="shared" si="3"/>
        <v>2</v>
      </c>
      <c r="E92" s="6">
        <f t="shared" si="4"/>
        <v>4</v>
      </c>
      <c r="F92" s="8">
        <f t="shared" si="5"/>
        <v>172</v>
      </c>
      <c r="G92" s="8" t="s">
        <v>176</v>
      </c>
      <c r="H92" s="13"/>
      <c r="I92" s="13"/>
    </row>
    <row r="93">
      <c r="A93" s="6">
        <v>91.0</v>
      </c>
      <c r="B93" s="7" t="str">
        <f t="shared" si="1"/>
        <v>1BDFD8</v>
      </c>
      <c r="C93" s="11" t="str">
        <f t="shared" si="2"/>
        <v>C15978</v>
      </c>
      <c r="D93" s="12">
        <f t="shared" si="3"/>
        <v>3</v>
      </c>
      <c r="E93" s="6">
        <f t="shared" si="4"/>
        <v>8</v>
      </c>
      <c r="F93" s="8">
        <f t="shared" si="5"/>
        <v>172</v>
      </c>
      <c r="G93" s="8" t="s">
        <v>177</v>
      </c>
      <c r="H93" s="8" t="s">
        <v>178</v>
      </c>
      <c r="I93" s="10"/>
    </row>
    <row r="94">
      <c r="A94" s="6">
        <v>92.0</v>
      </c>
      <c r="B94" s="7" t="str">
        <f t="shared" si="1"/>
        <v>1BDFD8</v>
      </c>
      <c r="C94" s="11" t="str">
        <f t="shared" si="2"/>
        <v>C15978</v>
      </c>
      <c r="D94" s="12">
        <f t="shared" si="3"/>
        <v>4</v>
      </c>
      <c r="E94" s="6">
        <f t="shared" si="4"/>
        <v>16</v>
      </c>
      <c r="F94" s="8">
        <f t="shared" si="5"/>
        <v>172</v>
      </c>
      <c r="G94" s="8" t="s">
        <v>179</v>
      </c>
      <c r="H94" s="13"/>
      <c r="I94" s="13"/>
    </row>
    <row r="95">
      <c r="A95" s="6">
        <v>93.0</v>
      </c>
      <c r="B95" s="7" t="str">
        <f t="shared" si="1"/>
        <v>1BDFD8</v>
      </c>
      <c r="C95" s="11" t="str">
        <f t="shared" si="2"/>
        <v>C15978</v>
      </c>
      <c r="D95" s="12">
        <f t="shared" si="3"/>
        <v>5</v>
      </c>
      <c r="E95" s="6">
        <f t="shared" si="4"/>
        <v>32</v>
      </c>
      <c r="F95" s="8">
        <f t="shared" si="5"/>
        <v>172</v>
      </c>
      <c r="G95" s="8" t="s">
        <v>180</v>
      </c>
      <c r="H95" s="13"/>
      <c r="I95" s="13"/>
    </row>
    <row r="96">
      <c r="A96" s="6">
        <v>94.0</v>
      </c>
      <c r="B96" s="7" t="str">
        <f t="shared" si="1"/>
        <v>1BDFD8</v>
      </c>
      <c r="C96" s="11" t="str">
        <f t="shared" si="2"/>
        <v>C15978</v>
      </c>
      <c r="D96" s="12">
        <f t="shared" si="3"/>
        <v>6</v>
      </c>
      <c r="E96" s="6">
        <f t="shared" si="4"/>
        <v>64</v>
      </c>
      <c r="F96" s="8">
        <f t="shared" si="5"/>
        <v>172</v>
      </c>
      <c r="G96" s="8" t="s">
        <v>181</v>
      </c>
      <c r="H96" s="13"/>
      <c r="I96" s="13"/>
    </row>
    <row r="97">
      <c r="A97" s="6">
        <v>95.0</v>
      </c>
      <c r="B97" s="7" t="str">
        <f t="shared" si="1"/>
        <v>1BDFD8</v>
      </c>
      <c r="C97" s="11" t="str">
        <f t="shared" si="2"/>
        <v>C15978</v>
      </c>
      <c r="D97" s="12">
        <f t="shared" si="3"/>
        <v>7</v>
      </c>
      <c r="E97" s="6">
        <f t="shared" si="4"/>
        <v>128</v>
      </c>
      <c r="F97" s="8">
        <f t="shared" si="5"/>
        <v>172</v>
      </c>
      <c r="G97" s="8" t="s">
        <v>182</v>
      </c>
      <c r="H97" s="13"/>
      <c r="I97" s="13"/>
    </row>
    <row r="98">
      <c r="A98" s="6">
        <v>96.0</v>
      </c>
      <c r="B98" s="7" t="str">
        <f t="shared" si="1"/>
        <v>1BDFD9</v>
      </c>
      <c r="C98" s="11" t="str">
        <f t="shared" si="2"/>
        <v>C15979</v>
      </c>
      <c r="D98" s="12">
        <f t="shared" si="3"/>
        <v>0</v>
      </c>
      <c r="E98" s="6">
        <f t="shared" si="4"/>
        <v>1</v>
      </c>
      <c r="F98" s="8">
        <f t="shared" si="5"/>
        <v>173</v>
      </c>
      <c r="G98" s="8" t="s">
        <v>183</v>
      </c>
      <c r="H98" s="13"/>
      <c r="I98" s="13"/>
    </row>
    <row r="99">
      <c r="A99" s="6">
        <v>97.0</v>
      </c>
      <c r="B99" s="7" t="str">
        <f t="shared" si="1"/>
        <v>1BDFD9</v>
      </c>
      <c r="C99" s="11" t="str">
        <f t="shared" si="2"/>
        <v>C15979</v>
      </c>
      <c r="D99" s="12">
        <f t="shared" si="3"/>
        <v>1</v>
      </c>
      <c r="E99" s="6">
        <f t="shared" si="4"/>
        <v>2</v>
      </c>
      <c r="F99" s="8">
        <f t="shared" si="5"/>
        <v>173</v>
      </c>
      <c r="G99" s="8" t="s">
        <v>184</v>
      </c>
      <c r="H99" s="8" t="s">
        <v>185</v>
      </c>
      <c r="I99" s="10"/>
    </row>
    <row r="100">
      <c r="A100" s="6">
        <v>98.0</v>
      </c>
      <c r="B100" s="7" t="str">
        <f t="shared" si="1"/>
        <v>1BDFD9</v>
      </c>
      <c r="C100" s="11" t="str">
        <f t="shared" si="2"/>
        <v>C15979</v>
      </c>
      <c r="D100" s="12">
        <f t="shared" si="3"/>
        <v>2</v>
      </c>
      <c r="E100" s="6">
        <f t="shared" si="4"/>
        <v>4</v>
      </c>
      <c r="F100" s="8">
        <f t="shared" si="5"/>
        <v>173</v>
      </c>
      <c r="G100" s="8" t="s">
        <v>186</v>
      </c>
      <c r="H100" s="8" t="s">
        <v>187</v>
      </c>
      <c r="I100" s="10"/>
    </row>
    <row r="101">
      <c r="A101" s="6">
        <v>99.0</v>
      </c>
      <c r="B101" s="7" t="str">
        <f t="shared" si="1"/>
        <v>1BDFD9</v>
      </c>
      <c r="C101" s="11" t="str">
        <f t="shared" si="2"/>
        <v>C15979</v>
      </c>
      <c r="D101" s="12">
        <f t="shared" si="3"/>
        <v>3</v>
      </c>
      <c r="E101" s="6">
        <f t="shared" si="4"/>
        <v>8</v>
      </c>
      <c r="F101" s="8">
        <f t="shared" si="5"/>
        <v>173</v>
      </c>
      <c r="G101" s="8" t="s">
        <v>95</v>
      </c>
      <c r="H101" s="13"/>
      <c r="I101" s="13"/>
    </row>
    <row r="102">
      <c r="A102" s="6">
        <v>100.0</v>
      </c>
      <c r="B102" s="7" t="str">
        <f t="shared" si="1"/>
        <v>1BDFD9</v>
      </c>
      <c r="C102" s="11" t="str">
        <f t="shared" si="2"/>
        <v>C15979</v>
      </c>
      <c r="D102" s="12">
        <f t="shared" si="3"/>
        <v>4</v>
      </c>
      <c r="E102" s="6">
        <f t="shared" si="4"/>
        <v>16</v>
      </c>
      <c r="F102" s="8">
        <f t="shared" si="5"/>
        <v>173</v>
      </c>
      <c r="G102" s="8" t="s">
        <v>188</v>
      </c>
      <c r="H102" s="13"/>
      <c r="I102" s="13"/>
    </row>
    <row r="103">
      <c r="A103" s="6">
        <v>101.0</v>
      </c>
      <c r="B103" s="7" t="str">
        <f t="shared" si="1"/>
        <v>1BDFD9</v>
      </c>
      <c r="C103" s="11" t="str">
        <f t="shared" si="2"/>
        <v>C15979</v>
      </c>
      <c r="D103" s="12">
        <f t="shared" si="3"/>
        <v>5</v>
      </c>
      <c r="E103" s="6">
        <f t="shared" si="4"/>
        <v>32</v>
      </c>
      <c r="F103" s="8">
        <f t="shared" si="5"/>
        <v>173</v>
      </c>
      <c r="G103" s="8" t="s">
        <v>189</v>
      </c>
      <c r="H103" s="8" t="s">
        <v>190</v>
      </c>
      <c r="I103" s="13"/>
    </row>
    <row r="104">
      <c r="A104" s="6">
        <v>102.0</v>
      </c>
      <c r="B104" s="7" t="str">
        <f t="shared" si="1"/>
        <v>1BDFD9</v>
      </c>
      <c r="C104" s="11" t="str">
        <f t="shared" si="2"/>
        <v>C15979</v>
      </c>
      <c r="D104" s="12">
        <f t="shared" si="3"/>
        <v>6</v>
      </c>
      <c r="E104" s="6">
        <f t="shared" si="4"/>
        <v>64</v>
      </c>
      <c r="F104" s="8">
        <f t="shared" si="5"/>
        <v>173</v>
      </c>
      <c r="G104" s="8" t="s">
        <v>95</v>
      </c>
      <c r="H104" s="13"/>
      <c r="I104" s="13"/>
    </row>
    <row r="105">
      <c r="A105" s="6">
        <v>103.0</v>
      </c>
      <c r="B105" s="7" t="str">
        <f t="shared" si="1"/>
        <v>1BDFD9</v>
      </c>
      <c r="C105" s="11" t="str">
        <f t="shared" si="2"/>
        <v>C15979</v>
      </c>
      <c r="D105" s="12">
        <f t="shared" si="3"/>
        <v>7</v>
      </c>
      <c r="E105" s="6">
        <f t="shared" si="4"/>
        <v>128</v>
      </c>
      <c r="F105" s="8">
        <f t="shared" si="5"/>
        <v>173</v>
      </c>
      <c r="G105" s="8" t="s">
        <v>191</v>
      </c>
      <c r="H105" s="8" t="s">
        <v>192</v>
      </c>
      <c r="I105" s="10"/>
    </row>
    <row r="106">
      <c r="A106" s="6">
        <v>104.0</v>
      </c>
      <c r="B106" s="7" t="str">
        <f t="shared" si="1"/>
        <v>1BDFDA</v>
      </c>
      <c r="C106" s="11" t="str">
        <f t="shared" si="2"/>
        <v>C1597A</v>
      </c>
      <c r="D106" s="12">
        <f t="shared" si="3"/>
        <v>0</v>
      </c>
      <c r="E106" s="6">
        <f t="shared" si="4"/>
        <v>1</v>
      </c>
      <c r="F106" s="8">
        <f t="shared" si="5"/>
        <v>174</v>
      </c>
      <c r="G106" s="8" t="s">
        <v>193</v>
      </c>
      <c r="H106" s="13"/>
      <c r="I106" s="13"/>
    </row>
    <row r="107" ht="16.5" customHeight="1">
      <c r="A107" s="6">
        <v>105.0</v>
      </c>
      <c r="B107" s="7" t="str">
        <f t="shared" si="1"/>
        <v>1BDFDA</v>
      </c>
      <c r="C107" s="11" t="str">
        <f t="shared" si="2"/>
        <v>C1597A</v>
      </c>
      <c r="D107" s="12">
        <f t="shared" si="3"/>
        <v>1</v>
      </c>
      <c r="E107" s="6">
        <f t="shared" si="4"/>
        <v>2</v>
      </c>
      <c r="F107" s="8">
        <f t="shared" si="5"/>
        <v>174</v>
      </c>
      <c r="G107" s="14" t="s">
        <v>194</v>
      </c>
      <c r="H107" s="13"/>
      <c r="I107" s="13"/>
    </row>
    <row r="108">
      <c r="A108" s="6">
        <v>106.0</v>
      </c>
      <c r="B108" s="7" t="str">
        <f t="shared" si="1"/>
        <v>1BDFDA</v>
      </c>
      <c r="C108" s="11" t="str">
        <f t="shared" si="2"/>
        <v>C1597A</v>
      </c>
      <c r="D108" s="12">
        <f t="shared" si="3"/>
        <v>2</v>
      </c>
      <c r="E108" s="6">
        <f t="shared" si="4"/>
        <v>4</v>
      </c>
      <c r="F108" s="8">
        <f t="shared" si="5"/>
        <v>174</v>
      </c>
      <c r="G108" s="8" t="s">
        <v>195</v>
      </c>
      <c r="H108" s="13"/>
      <c r="I108" s="13"/>
    </row>
    <row r="109">
      <c r="A109" s="6">
        <v>107.0</v>
      </c>
      <c r="B109" s="7" t="str">
        <f t="shared" si="1"/>
        <v>1BDFDA</v>
      </c>
      <c r="C109" s="11" t="str">
        <f t="shared" si="2"/>
        <v>C1597A</v>
      </c>
      <c r="D109" s="12">
        <f t="shared" si="3"/>
        <v>3</v>
      </c>
      <c r="E109" s="6">
        <f t="shared" si="4"/>
        <v>8</v>
      </c>
      <c r="F109" s="8">
        <f t="shared" si="5"/>
        <v>174</v>
      </c>
      <c r="G109" s="8" t="s">
        <v>196</v>
      </c>
      <c r="H109" s="8" t="s">
        <v>197</v>
      </c>
      <c r="I109" s="10"/>
    </row>
    <row r="110">
      <c r="A110" s="6">
        <v>108.0</v>
      </c>
      <c r="B110" s="7" t="str">
        <f t="shared" si="1"/>
        <v>1BDFDA</v>
      </c>
      <c r="C110" s="11" t="str">
        <f t="shared" si="2"/>
        <v>C1597A</v>
      </c>
      <c r="D110" s="12">
        <f t="shared" si="3"/>
        <v>4</v>
      </c>
      <c r="E110" s="6">
        <f t="shared" si="4"/>
        <v>16</v>
      </c>
      <c r="F110" s="8">
        <f t="shared" si="5"/>
        <v>174</v>
      </c>
      <c r="G110" s="8" t="s">
        <v>198</v>
      </c>
      <c r="H110" s="8" t="s">
        <v>199</v>
      </c>
      <c r="I110" s="10"/>
    </row>
    <row r="111">
      <c r="A111" s="6">
        <v>109.0</v>
      </c>
      <c r="B111" s="7" t="str">
        <f t="shared" si="1"/>
        <v>1BDFDA</v>
      </c>
      <c r="C111" s="11" t="str">
        <f t="shared" si="2"/>
        <v>C1597A</v>
      </c>
      <c r="D111" s="12">
        <f t="shared" si="3"/>
        <v>5</v>
      </c>
      <c r="E111" s="6">
        <f t="shared" si="4"/>
        <v>32</v>
      </c>
      <c r="F111" s="8">
        <f t="shared" si="5"/>
        <v>174</v>
      </c>
      <c r="G111" s="8" t="s">
        <v>200</v>
      </c>
      <c r="H111" s="8" t="s">
        <v>201</v>
      </c>
      <c r="I111" s="10"/>
    </row>
    <row r="112">
      <c r="A112" s="6">
        <v>110.0</v>
      </c>
      <c r="B112" s="7" t="str">
        <f t="shared" si="1"/>
        <v>1BDFDA</v>
      </c>
      <c r="C112" s="11" t="str">
        <f t="shared" si="2"/>
        <v>C1597A</v>
      </c>
      <c r="D112" s="12">
        <f t="shared" si="3"/>
        <v>6</v>
      </c>
      <c r="E112" s="6">
        <f t="shared" si="4"/>
        <v>64</v>
      </c>
      <c r="F112" s="8">
        <f t="shared" si="5"/>
        <v>174</v>
      </c>
      <c r="G112" s="8" t="s">
        <v>202</v>
      </c>
      <c r="H112" s="13"/>
      <c r="I112" s="13"/>
    </row>
    <row r="113">
      <c r="A113" s="6">
        <v>111.0</v>
      </c>
      <c r="B113" s="7" t="str">
        <f t="shared" si="1"/>
        <v>1BDFDA</v>
      </c>
      <c r="C113" s="11" t="str">
        <f t="shared" si="2"/>
        <v>C1597A</v>
      </c>
      <c r="D113" s="12">
        <f t="shared" si="3"/>
        <v>7</v>
      </c>
      <c r="E113" s="6">
        <f t="shared" si="4"/>
        <v>128</v>
      </c>
      <c r="F113" s="8">
        <f t="shared" si="5"/>
        <v>174</v>
      </c>
      <c r="G113" s="8" t="s">
        <v>203</v>
      </c>
      <c r="H113" s="8" t="s">
        <v>204</v>
      </c>
      <c r="I113" s="10"/>
    </row>
    <row r="114">
      <c r="A114" s="6">
        <v>112.0</v>
      </c>
      <c r="B114" s="7" t="str">
        <f t="shared" si="1"/>
        <v>1BDFDB</v>
      </c>
      <c r="C114" s="11" t="str">
        <f t="shared" si="2"/>
        <v>C1597B</v>
      </c>
      <c r="D114" s="12">
        <f t="shared" si="3"/>
        <v>0</v>
      </c>
      <c r="E114" s="6">
        <f t="shared" si="4"/>
        <v>1</v>
      </c>
      <c r="F114" s="8">
        <f t="shared" si="5"/>
        <v>175</v>
      </c>
      <c r="G114" s="8" t="s">
        <v>205</v>
      </c>
      <c r="H114" s="13"/>
      <c r="I114" s="13"/>
    </row>
    <row r="115">
      <c r="A115" s="6">
        <v>113.0</v>
      </c>
      <c r="B115" s="7" t="str">
        <f t="shared" si="1"/>
        <v>1BDFDB</v>
      </c>
      <c r="C115" s="11" t="str">
        <f t="shared" si="2"/>
        <v>C1597B</v>
      </c>
      <c r="D115" s="12">
        <f t="shared" si="3"/>
        <v>1</v>
      </c>
      <c r="E115" s="6">
        <f t="shared" si="4"/>
        <v>2</v>
      </c>
      <c r="F115" s="8">
        <f t="shared" si="5"/>
        <v>175</v>
      </c>
      <c r="G115" s="8" t="s">
        <v>203</v>
      </c>
      <c r="H115" s="8" t="s">
        <v>206</v>
      </c>
      <c r="I115" s="10"/>
    </row>
    <row r="116">
      <c r="A116" s="6">
        <v>114.0</v>
      </c>
      <c r="B116" s="7" t="str">
        <f t="shared" si="1"/>
        <v>1BDFDB</v>
      </c>
      <c r="C116" s="11" t="str">
        <f t="shared" si="2"/>
        <v>C1597B</v>
      </c>
      <c r="D116" s="12">
        <f t="shared" si="3"/>
        <v>2</v>
      </c>
      <c r="E116" s="6">
        <f t="shared" si="4"/>
        <v>4</v>
      </c>
      <c r="F116" s="8">
        <f t="shared" si="5"/>
        <v>175</v>
      </c>
      <c r="G116" s="8" t="s">
        <v>207</v>
      </c>
      <c r="H116" s="8" t="s">
        <v>208</v>
      </c>
      <c r="I116" s="13"/>
    </row>
    <row r="117">
      <c r="A117" s="6">
        <v>115.0</v>
      </c>
      <c r="B117" s="7" t="str">
        <f t="shared" si="1"/>
        <v>1BDFDB</v>
      </c>
      <c r="C117" s="11" t="str">
        <f t="shared" si="2"/>
        <v>C1597B</v>
      </c>
      <c r="D117" s="12">
        <f t="shared" si="3"/>
        <v>3</v>
      </c>
      <c r="E117" s="6">
        <f t="shared" si="4"/>
        <v>8</v>
      </c>
      <c r="F117" s="8">
        <f t="shared" si="5"/>
        <v>175</v>
      </c>
      <c r="G117" s="8" t="s">
        <v>209</v>
      </c>
      <c r="H117" s="13"/>
      <c r="I117" s="13"/>
    </row>
    <row r="118">
      <c r="A118" s="6">
        <v>116.0</v>
      </c>
      <c r="B118" s="7" t="str">
        <f t="shared" si="1"/>
        <v>1BDFDB</v>
      </c>
      <c r="C118" s="11" t="str">
        <f t="shared" si="2"/>
        <v>C1597B</v>
      </c>
      <c r="D118" s="12">
        <f t="shared" si="3"/>
        <v>4</v>
      </c>
      <c r="E118" s="6">
        <f t="shared" si="4"/>
        <v>16</v>
      </c>
      <c r="F118" s="8">
        <f t="shared" si="5"/>
        <v>175</v>
      </c>
      <c r="G118" s="8" t="s">
        <v>210</v>
      </c>
      <c r="H118" s="13"/>
      <c r="I118" s="13"/>
    </row>
    <row r="119">
      <c r="A119" s="6">
        <v>117.0</v>
      </c>
      <c r="B119" s="7" t="str">
        <f t="shared" si="1"/>
        <v>1BDFDB</v>
      </c>
      <c r="C119" s="11" t="str">
        <f t="shared" si="2"/>
        <v>C1597B</v>
      </c>
      <c r="D119" s="12">
        <f t="shared" si="3"/>
        <v>5</v>
      </c>
      <c r="E119" s="6">
        <f t="shared" si="4"/>
        <v>32</v>
      </c>
      <c r="F119" s="8">
        <f t="shared" si="5"/>
        <v>175</v>
      </c>
      <c r="G119" s="8" t="s">
        <v>211</v>
      </c>
      <c r="H119" s="13"/>
      <c r="I119" s="13"/>
    </row>
    <row r="120">
      <c r="A120" s="6">
        <v>118.0</v>
      </c>
      <c r="B120" s="7" t="str">
        <f t="shared" si="1"/>
        <v>1BDFDB</v>
      </c>
      <c r="C120" s="11" t="str">
        <f t="shared" si="2"/>
        <v>C1597B</v>
      </c>
      <c r="D120" s="12">
        <f t="shared" si="3"/>
        <v>6</v>
      </c>
      <c r="E120" s="6">
        <f t="shared" si="4"/>
        <v>64</v>
      </c>
      <c r="F120" s="8">
        <f t="shared" si="5"/>
        <v>175</v>
      </c>
      <c r="G120" s="8" t="s">
        <v>212</v>
      </c>
      <c r="H120" s="13"/>
      <c r="I120" s="13"/>
    </row>
    <row r="121">
      <c r="A121" s="6">
        <v>119.0</v>
      </c>
      <c r="B121" s="7" t="str">
        <f t="shared" si="1"/>
        <v>1BDFDB</v>
      </c>
      <c r="C121" s="11" t="str">
        <f t="shared" si="2"/>
        <v>C1597B</v>
      </c>
      <c r="D121" s="12">
        <f t="shared" si="3"/>
        <v>7</v>
      </c>
      <c r="E121" s="6">
        <f t="shared" si="4"/>
        <v>128</v>
      </c>
      <c r="F121" s="8">
        <f t="shared" si="5"/>
        <v>175</v>
      </c>
      <c r="G121" s="8" t="s">
        <v>95</v>
      </c>
      <c r="H121" s="13"/>
      <c r="I121" s="13"/>
    </row>
    <row r="122">
      <c r="A122" s="6">
        <v>120.0</v>
      </c>
      <c r="B122" s="7" t="str">
        <f t="shared" si="1"/>
        <v>1BDFDC</v>
      </c>
      <c r="C122" s="11" t="str">
        <f t="shared" si="2"/>
        <v>C1597C</v>
      </c>
      <c r="D122" s="12">
        <f t="shared" si="3"/>
        <v>0</v>
      </c>
      <c r="E122" s="6">
        <f t="shared" si="4"/>
        <v>1</v>
      </c>
      <c r="F122" s="8">
        <f t="shared" si="5"/>
        <v>176</v>
      </c>
      <c r="G122" s="8" t="s">
        <v>213</v>
      </c>
      <c r="H122" s="8" t="s">
        <v>214</v>
      </c>
      <c r="I122" s="10"/>
    </row>
    <row r="123">
      <c r="A123" s="6">
        <v>121.0</v>
      </c>
      <c r="B123" s="7" t="str">
        <f t="shared" si="1"/>
        <v>1BDFDC</v>
      </c>
      <c r="C123" s="11" t="str">
        <f t="shared" si="2"/>
        <v>C1597C</v>
      </c>
      <c r="D123" s="12">
        <f t="shared" si="3"/>
        <v>1</v>
      </c>
      <c r="E123" s="6">
        <f t="shared" si="4"/>
        <v>2</v>
      </c>
      <c r="F123" s="8">
        <f t="shared" si="5"/>
        <v>176</v>
      </c>
      <c r="G123" s="8" t="s">
        <v>215</v>
      </c>
      <c r="H123" s="8" t="s">
        <v>216</v>
      </c>
      <c r="I123" s="10"/>
    </row>
    <row r="124">
      <c r="A124" s="6">
        <v>122.0</v>
      </c>
      <c r="B124" s="7" t="str">
        <f t="shared" si="1"/>
        <v>1BDFDC</v>
      </c>
      <c r="C124" s="11" t="str">
        <f t="shared" si="2"/>
        <v>C1597C</v>
      </c>
      <c r="D124" s="12">
        <f t="shared" si="3"/>
        <v>2</v>
      </c>
      <c r="E124" s="6">
        <f t="shared" si="4"/>
        <v>4</v>
      </c>
      <c r="F124" s="8">
        <f t="shared" si="5"/>
        <v>176</v>
      </c>
      <c r="G124" s="8" t="s">
        <v>217</v>
      </c>
      <c r="H124" s="8" t="s">
        <v>218</v>
      </c>
      <c r="I124" s="10"/>
    </row>
    <row r="125">
      <c r="A125" s="6">
        <v>123.0</v>
      </c>
      <c r="B125" s="7" t="str">
        <f t="shared" si="1"/>
        <v>1BDFDC</v>
      </c>
      <c r="C125" s="11" t="str">
        <f t="shared" si="2"/>
        <v>C1597C</v>
      </c>
      <c r="D125" s="12">
        <f t="shared" si="3"/>
        <v>3</v>
      </c>
      <c r="E125" s="6">
        <f t="shared" si="4"/>
        <v>8</v>
      </c>
      <c r="F125" s="8">
        <f t="shared" si="5"/>
        <v>176</v>
      </c>
      <c r="G125" s="8" t="s">
        <v>219</v>
      </c>
      <c r="H125" s="13"/>
      <c r="I125" s="13"/>
    </row>
    <row r="126">
      <c r="A126" s="6">
        <v>124.0</v>
      </c>
      <c r="B126" s="7" t="str">
        <f t="shared" si="1"/>
        <v>1BDFDC</v>
      </c>
      <c r="C126" s="11" t="str">
        <f t="shared" si="2"/>
        <v>C1597C</v>
      </c>
      <c r="D126" s="12">
        <f t="shared" si="3"/>
        <v>4</v>
      </c>
      <c r="E126" s="6">
        <f t="shared" si="4"/>
        <v>16</v>
      </c>
      <c r="F126" s="8">
        <f t="shared" si="5"/>
        <v>176</v>
      </c>
      <c r="G126" s="8" t="s">
        <v>220</v>
      </c>
      <c r="H126" s="13"/>
      <c r="I126" s="13"/>
    </row>
    <row r="127">
      <c r="A127" s="6">
        <v>125.0</v>
      </c>
      <c r="B127" s="7" t="str">
        <f t="shared" si="1"/>
        <v>1BDFDC</v>
      </c>
      <c r="C127" s="11" t="str">
        <f t="shared" si="2"/>
        <v>C1597C</v>
      </c>
      <c r="D127" s="12">
        <f t="shared" si="3"/>
        <v>5</v>
      </c>
      <c r="E127" s="6">
        <f t="shared" si="4"/>
        <v>32</v>
      </c>
      <c r="F127" s="8">
        <f t="shared" si="5"/>
        <v>176</v>
      </c>
      <c r="G127" s="8" t="s">
        <v>221</v>
      </c>
      <c r="H127" s="13"/>
      <c r="I127" s="13"/>
    </row>
    <row r="128">
      <c r="A128" s="6">
        <v>126.0</v>
      </c>
      <c r="B128" s="7" t="str">
        <f t="shared" si="1"/>
        <v>1BDFDC</v>
      </c>
      <c r="C128" s="11" t="str">
        <f t="shared" si="2"/>
        <v>C1597C</v>
      </c>
      <c r="D128" s="12">
        <f t="shared" si="3"/>
        <v>6</v>
      </c>
      <c r="E128" s="6">
        <f t="shared" si="4"/>
        <v>64</v>
      </c>
      <c r="F128" s="8">
        <f t="shared" si="5"/>
        <v>176</v>
      </c>
      <c r="G128" s="8" t="s">
        <v>222</v>
      </c>
      <c r="H128" s="8"/>
      <c r="I128" s="10"/>
    </row>
    <row r="129">
      <c r="A129" s="6">
        <v>127.0</v>
      </c>
      <c r="B129" s="7" t="str">
        <f t="shared" si="1"/>
        <v>1BDFDC</v>
      </c>
      <c r="C129" s="11" t="str">
        <f t="shared" si="2"/>
        <v>C1597C</v>
      </c>
      <c r="D129" s="12">
        <f t="shared" si="3"/>
        <v>7</v>
      </c>
      <c r="E129" s="6">
        <f t="shared" si="4"/>
        <v>128</v>
      </c>
      <c r="F129" s="8">
        <f t="shared" si="5"/>
        <v>176</v>
      </c>
      <c r="G129" s="8" t="s">
        <v>223</v>
      </c>
      <c r="H129" s="13"/>
      <c r="I129" s="13"/>
    </row>
    <row r="130">
      <c r="A130" s="6">
        <v>128.0</v>
      </c>
      <c r="B130" s="7" t="str">
        <f t="shared" si="1"/>
        <v>1BDFDD</v>
      </c>
      <c r="C130" s="11" t="str">
        <f t="shared" si="2"/>
        <v>C1597D</v>
      </c>
      <c r="D130" s="12">
        <f t="shared" si="3"/>
        <v>0</v>
      </c>
      <c r="E130" s="6">
        <f t="shared" si="4"/>
        <v>1</v>
      </c>
      <c r="F130" s="8">
        <f t="shared" si="5"/>
        <v>177</v>
      </c>
      <c r="G130" s="8" t="s">
        <v>224</v>
      </c>
      <c r="H130" s="13"/>
      <c r="I130" s="13"/>
    </row>
    <row r="131">
      <c r="A131" s="6">
        <v>129.0</v>
      </c>
      <c r="B131" s="7" t="str">
        <f t="shared" si="1"/>
        <v>1BDFDD</v>
      </c>
      <c r="C131" s="11" t="str">
        <f t="shared" si="2"/>
        <v>C1597D</v>
      </c>
      <c r="D131" s="12">
        <f t="shared" si="3"/>
        <v>1</v>
      </c>
      <c r="E131" s="6">
        <f t="shared" si="4"/>
        <v>2</v>
      </c>
      <c r="F131" s="8">
        <f t="shared" si="5"/>
        <v>177</v>
      </c>
      <c r="G131" s="8" t="s">
        <v>225</v>
      </c>
      <c r="H131" s="13"/>
      <c r="I131" s="13"/>
    </row>
    <row r="132">
      <c r="A132" s="6">
        <v>130.0</v>
      </c>
      <c r="B132" s="7" t="str">
        <f t="shared" si="1"/>
        <v>1BDFDD</v>
      </c>
      <c r="C132" s="11" t="str">
        <f t="shared" si="2"/>
        <v>C1597D</v>
      </c>
      <c r="D132" s="12">
        <f t="shared" si="3"/>
        <v>2</v>
      </c>
      <c r="E132" s="6">
        <f t="shared" si="4"/>
        <v>4</v>
      </c>
      <c r="F132" s="8">
        <f t="shared" si="5"/>
        <v>177</v>
      </c>
      <c r="G132" s="8" t="s">
        <v>226</v>
      </c>
      <c r="H132" s="13"/>
      <c r="I132" s="13"/>
    </row>
    <row r="133">
      <c r="A133" s="6">
        <v>131.0</v>
      </c>
      <c r="B133" s="7" t="str">
        <f t="shared" si="1"/>
        <v>1BDFDD</v>
      </c>
      <c r="C133" s="11" t="str">
        <f t="shared" si="2"/>
        <v>C1597D</v>
      </c>
      <c r="D133" s="12">
        <f t="shared" si="3"/>
        <v>3</v>
      </c>
      <c r="E133" s="6">
        <f t="shared" si="4"/>
        <v>8</v>
      </c>
      <c r="F133" s="8">
        <f t="shared" si="5"/>
        <v>177</v>
      </c>
      <c r="G133" s="8" t="s">
        <v>227</v>
      </c>
      <c r="H133" s="13"/>
      <c r="I133" s="13"/>
    </row>
    <row r="134">
      <c r="A134" s="6">
        <v>132.0</v>
      </c>
      <c r="B134" s="7" t="str">
        <f t="shared" si="1"/>
        <v>1BDFDD</v>
      </c>
      <c r="C134" s="11" t="str">
        <f t="shared" si="2"/>
        <v>C1597D</v>
      </c>
      <c r="D134" s="12">
        <f t="shared" si="3"/>
        <v>4</v>
      </c>
      <c r="E134" s="6">
        <f t="shared" si="4"/>
        <v>16</v>
      </c>
      <c r="F134" s="8">
        <f t="shared" si="5"/>
        <v>177</v>
      </c>
      <c r="G134" s="8" t="s">
        <v>228</v>
      </c>
      <c r="H134" s="13"/>
      <c r="I134" s="13"/>
    </row>
    <row r="135">
      <c r="A135" s="6">
        <v>133.0</v>
      </c>
      <c r="B135" s="7" t="str">
        <f t="shared" si="1"/>
        <v>1BDFDD</v>
      </c>
      <c r="C135" s="11" t="str">
        <f t="shared" si="2"/>
        <v>C1597D</v>
      </c>
      <c r="D135" s="12">
        <f t="shared" si="3"/>
        <v>5</v>
      </c>
      <c r="E135" s="6">
        <f t="shared" si="4"/>
        <v>32</v>
      </c>
      <c r="F135" s="8">
        <f t="shared" si="5"/>
        <v>177</v>
      </c>
      <c r="G135" s="8" t="s">
        <v>229</v>
      </c>
      <c r="H135" s="13"/>
      <c r="I135" s="13"/>
    </row>
    <row r="136">
      <c r="A136" s="6">
        <v>134.0</v>
      </c>
      <c r="B136" s="7" t="str">
        <f t="shared" si="1"/>
        <v>1BDFDD</v>
      </c>
      <c r="C136" s="11" t="str">
        <f t="shared" si="2"/>
        <v>C1597D</v>
      </c>
      <c r="D136" s="12">
        <f t="shared" si="3"/>
        <v>6</v>
      </c>
      <c r="E136" s="6">
        <f t="shared" si="4"/>
        <v>64</v>
      </c>
      <c r="F136" s="8">
        <f t="shared" si="5"/>
        <v>177</v>
      </c>
      <c r="G136" s="8" t="s">
        <v>230</v>
      </c>
      <c r="H136" s="13"/>
      <c r="I136" s="13"/>
    </row>
    <row r="137">
      <c r="A137" s="6">
        <v>135.0</v>
      </c>
      <c r="B137" s="7" t="str">
        <f t="shared" si="1"/>
        <v>1BDFDD</v>
      </c>
      <c r="C137" s="11" t="str">
        <f t="shared" si="2"/>
        <v>C1597D</v>
      </c>
      <c r="D137" s="12">
        <f t="shared" si="3"/>
        <v>7</v>
      </c>
      <c r="E137" s="6">
        <f t="shared" si="4"/>
        <v>128</v>
      </c>
      <c r="F137" s="8">
        <f t="shared" si="5"/>
        <v>177</v>
      </c>
      <c r="G137" s="8" t="s">
        <v>231</v>
      </c>
      <c r="H137" s="13"/>
      <c r="I137" s="13"/>
    </row>
    <row r="138">
      <c r="A138" s="6">
        <v>136.0</v>
      </c>
      <c r="B138" s="7" t="str">
        <f t="shared" si="1"/>
        <v>1BDFDE</v>
      </c>
      <c r="C138" s="11" t="str">
        <f t="shared" si="2"/>
        <v>C1597E</v>
      </c>
      <c r="D138" s="12">
        <f t="shared" si="3"/>
        <v>0</v>
      </c>
      <c r="E138" s="6">
        <f t="shared" si="4"/>
        <v>1</v>
      </c>
      <c r="F138" s="8">
        <f t="shared" si="5"/>
        <v>178</v>
      </c>
      <c r="G138" s="8" t="s">
        <v>232</v>
      </c>
      <c r="H138" s="13"/>
      <c r="I138" s="13"/>
    </row>
    <row r="139">
      <c r="A139" s="6">
        <v>137.0</v>
      </c>
      <c r="B139" s="7" t="str">
        <f t="shared" si="1"/>
        <v>1BDFDE</v>
      </c>
      <c r="C139" s="11" t="str">
        <f t="shared" si="2"/>
        <v>C1597E</v>
      </c>
      <c r="D139" s="12">
        <f t="shared" si="3"/>
        <v>1</v>
      </c>
      <c r="E139" s="6">
        <f t="shared" si="4"/>
        <v>2</v>
      </c>
      <c r="F139" s="8">
        <f t="shared" si="5"/>
        <v>178</v>
      </c>
      <c r="G139" s="8" t="s">
        <v>233</v>
      </c>
      <c r="H139" s="13"/>
      <c r="I139" s="13"/>
    </row>
    <row r="140">
      <c r="A140" s="6">
        <v>138.0</v>
      </c>
      <c r="B140" s="7" t="str">
        <f t="shared" si="1"/>
        <v>1BDFDE</v>
      </c>
      <c r="C140" s="11" t="str">
        <f t="shared" si="2"/>
        <v>C1597E</v>
      </c>
      <c r="D140" s="12">
        <f t="shared" si="3"/>
        <v>2</v>
      </c>
      <c r="E140" s="6">
        <f t="shared" si="4"/>
        <v>4</v>
      </c>
      <c r="F140" s="8">
        <f t="shared" si="5"/>
        <v>178</v>
      </c>
      <c r="G140" s="8" t="s">
        <v>95</v>
      </c>
      <c r="H140" s="13"/>
      <c r="I140" s="13"/>
    </row>
    <row r="141">
      <c r="A141" s="6">
        <v>139.0</v>
      </c>
      <c r="B141" s="7" t="str">
        <f t="shared" si="1"/>
        <v>1BDFDE</v>
      </c>
      <c r="C141" s="11" t="str">
        <f t="shared" si="2"/>
        <v>C1597E</v>
      </c>
      <c r="D141" s="12">
        <f t="shared" si="3"/>
        <v>3</v>
      </c>
      <c r="E141" s="6">
        <f t="shared" si="4"/>
        <v>8</v>
      </c>
      <c r="F141" s="8">
        <f t="shared" si="5"/>
        <v>178</v>
      </c>
      <c r="G141" s="8" t="s">
        <v>234</v>
      </c>
      <c r="H141" s="13"/>
      <c r="I141" s="13"/>
    </row>
    <row r="142">
      <c r="A142" s="6">
        <v>140.0</v>
      </c>
      <c r="B142" s="7" t="str">
        <f t="shared" si="1"/>
        <v>1BDFDE</v>
      </c>
      <c r="C142" s="11" t="str">
        <f t="shared" si="2"/>
        <v>C1597E</v>
      </c>
      <c r="D142" s="12">
        <f t="shared" si="3"/>
        <v>4</v>
      </c>
      <c r="E142" s="6">
        <f t="shared" si="4"/>
        <v>16</v>
      </c>
      <c r="F142" s="8">
        <f t="shared" si="5"/>
        <v>178</v>
      </c>
      <c r="G142" s="8" t="s">
        <v>235</v>
      </c>
      <c r="H142" s="13"/>
      <c r="I142" s="13"/>
    </row>
    <row r="143">
      <c r="A143" s="6">
        <v>141.0</v>
      </c>
      <c r="B143" s="7" t="str">
        <f t="shared" si="1"/>
        <v>1BDFDE</v>
      </c>
      <c r="C143" s="11" t="str">
        <f t="shared" si="2"/>
        <v>C1597E</v>
      </c>
      <c r="D143" s="12">
        <f t="shared" si="3"/>
        <v>5</v>
      </c>
      <c r="E143" s="6">
        <f t="shared" si="4"/>
        <v>32</v>
      </c>
      <c r="F143" s="8">
        <f t="shared" si="5"/>
        <v>178</v>
      </c>
      <c r="G143" s="8" t="s">
        <v>236</v>
      </c>
      <c r="H143" s="8" t="s">
        <v>237</v>
      </c>
      <c r="I143" s="10"/>
    </row>
    <row r="144">
      <c r="A144" s="6">
        <v>142.0</v>
      </c>
      <c r="B144" s="7" t="str">
        <f t="shared" si="1"/>
        <v>1BDFDE</v>
      </c>
      <c r="C144" s="11" t="str">
        <f t="shared" si="2"/>
        <v>C1597E</v>
      </c>
      <c r="D144" s="12">
        <f t="shared" si="3"/>
        <v>6</v>
      </c>
      <c r="E144" s="6">
        <f t="shared" si="4"/>
        <v>64</v>
      </c>
      <c r="F144" s="8">
        <f t="shared" si="5"/>
        <v>178</v>
      </c>
      <c r="G144" s="8" t="s">
        <v>238</v>
      </c>
      <c r="H144" s="13"/>
      <c r="I144" s="13"/>
    </row>
    <row r="145">
      <c r="A145" s="6">
        <v>143.0</v>
      </c>
      <c r="B145" s="7" t="str">
        <f t="shared" si="1"/>
        <v>1BDFDE</v>
      </c>
      <c r="C145" s="11" t="str">
        <f t="shared" si="2"/>
        <v>C1597E</v>
      </c>
      <c r="D145" s="12">
        <f t="shared" si="3"/>
        <v>7</v>
      </c>
      <c r="E145" s="6">
        <f t="shared" si="4"/>
        <v>128</v>
      </c>
      <c r="F145" s="8">
        <f t="shared" si="5"/>
        <v>178</v>
      </c>
      <c r="G145" s="8" t="s">
        <v>239</v>
      </c>
      <c r="H145" s="8" t="s">
        <v>240</v>
      </c>
      <c r="I145" s="10"/>
    </row>
    <row r="146">
      <c r="A146" s="6">
        <v>144.0</v>
      </c>
      <c r="B146" s="7" t="str">
        <f t="shared" si="1"/>
        <v>1BDFDF</v>
      </c>
      <c r="C146" s="11" t="str">
        <f t="shared" si="2"/>
        <v>C1597F</v>
      </c>
      <c r="D146" s="12">
        <f t="shared" si="3"/>
        <v>0</v>
      </c>
      <c r="E146" s="6">
        <f t="shared" si="4"/>
        <v>1</v>
      </c>
      <c r="F146" s="8">
        <f t="shared" si="5"/>
        <v>179</v>
      </c>
      <c r="G146" s="8" t="s">
        <v>241</v>
      </c>
      <c r="H146" s="13"/>
      <c r="I146" s="13"/>
    </row>
    <row r="147">
      <c r="A147" s="6">
        <v>145.0</v>
      </c>
      <c r="B147" s="7" t="str">
        <f t="shared" si="1"/>
        <v>1BDFDF</v>
      </c>
      <c r="C147" s="11" t="str">
        <f t="shared" si="2"/>
        <v>C1597F</v>
      </c>
      <c r="D147" s="12">
        <f t="shared" si="3"/>
        <v>1</v>
      </c>
      <c r="E147" s="6">
        <f t="shared" si="4"/>
        <v>2</v>
      </c>
      <c r="F147" s="8">
        <f t="shared" si="5"/>
        <v>179</v>
      </c>
      <c r="G147" s="8" t="s">
        <v>95</v>
      </c>
      <c r="H147" s="13"/>
      <c r="I147" s="13"/>
    </row>
    <row r="148">
      <c r="A148" s="6">
        <v>146.0</v>
      </c>
      <c r="B148" s="7" t="str">
        <f t="shared" si="1"/>
        <v>1BDFDF</v>
      </c>
      <c r="C148" s="11" t="str">
        <f t="shared" si="2"/>
        <v>C1597F</v>
      </c>
      <c r="D148" s="12">
        <f t="shared" si="3"/>
        <v>2</v>
      </c>
      <c r="E148" s="6">
        <f t="shared" si="4"/>
        <v>4</v>
      </c>
      <c r="F148" s="8">
        <f t="shared" si="5"/>
        <v>179</v>
      </c>
      <c r="G148" s="8" t="s">
        <v>95</v>
      </c>
      <c r="H148" s="13"/>
      <c r="I148" s="13"/>
    </row>
    <row r="149">
      <c r="A149" s="6">
        <v>147.0</v>
      </c>
      <c r="B149" s="7" t="str">
        <f t="shared" si="1"/>
        <v>1BDFDF</v>
      </c>
      <c r="C149" s="11" t="str">
        <f t="shared" si="2"/>
        <v>C1597F</v>
      </c>
      <c r="D149" s="12">
        <f t="shared" si="3"/>
        <v>3</v>
      </c>
      <c r="E149" s="6">
        <f t="shared" si="4"/>
        <v>8</v>
      </c>
      <c r="F149" s="8">
        <f t="shared" si="5"/>
        <v>179</v>
      </c>
      <c r="G149" s="8" t="s">
        <v>242</v>
      </c>
      <c r="H149" s="8" t="s">
        <v>243</v>
      </c>
      <c r="I149" s="10"/>
    </row>
    <row r="150">
      <c r="A150" s="6">
        <v>148.0</v>
      </c>
      <c r="B150" s="7" t="str">
        <f t="shared" si="1"/>
        <v>1BDFDF</v>
      </c>
      <c r="C150" s="11" t="str">
        <f t="shared" si="2"/>
        <v>C1597F</v>
      </c>
      <c r="D150" s="12">
        <f t="shared" si="3"/>
        <v>4</v>
      </c>
      <c r="E150" s="6">
        <f t="shared" si="4"/>
        <v>16</v>
      </c>
      <c r="F150" s="8">
        <f t="shared" si="5"/>
        <v>179</v>
      </c>
      <c r="G150" s="8" t="s">
        <v>244</v>
      </c>
      <c r="H150" s="13"/>
      <c r="I150" s="13"/>
    </row>
    <row r="151">
      <c r="A151" s="6">
        <v>149.0</v>
      </c>
      <c r="B151" s="7" t="str">
        <f t="shared" si="1"/>
        <v>1BDFDF</v>
      </c>
      <c r="C151" s="11" t="str">
        <f t="shared" si="2"/>
        <v>C1597F</v>
      </c>
      <c r="D151" s="12">
        <f t="shared" si="3"/>
        <v>5</v>
      </c>
      <c r="E151" s="6">
        <f t="shared" si="4"/>
        <v>32</v>
      </c>
      <c r="F151" s="8">
        <f t="shared" si="5"/>
        <v>179</v>
      </c>
      <c r="G151" s="8" t="s">
        <v>245</v>
      </c>
      <c r="H151" s="13"/>
      <c r="I151" s="13"/>
    </row>
    <row r="152">
      <c r="A152" s="6">
        <v>150.0</v>
      </c>
      <c r="B152" s="7" t="str">
        <f t="shared" si="1"/>
        <v>1BDFDF</v>
      </c>
      <c r="C152" s="11" t="str">
        <f t="shared" si="2"/>
        <v>C1597F</v>
      </c>
      <c r="D152" s="12">
        <f t="shared" si="3"/>
        <v>6</v>
      </c>
      <c r="E152" s="6">
        <f t="shared" si="4"/>
        <v>64</v>
      </c>
      <c r="F152" s="8">
        <f t="shared" si="5"/>
        <v>179</v>
      </c>
      <c r="G152" s="8" t="s">
        <v>246</v>
      </c>
      <c r="H152" s="8" t="s">
        <v>247</v>
      </c>
      <c r="I152" s="10"/>
    </row>
    <row r="153">
      <c r="A153" s="6">
        <v>151.0</v>
      </c>
      <c r="B153" s="7" t="str">
        <f t="shared" si="1"/>
        <v>1BDFDF</v>
      </c>
      <c r="C153" s="11" t="str">
        <f t="shared" si="2"/>
        <v>C1597F</v>
      </c>
      <c r="D153" s="12">
        <f t="shared" si="3"/>
        <v>7</v>
      </c>
      <c r="E153" s="6">
        <f t="shared" si="4"/>
        <v>128</v>
      </c>
      <c r="F153" s="8">
        <f t="shared" si="5"/>
        <v>179</v>
      </c>
      <c r="G153" s="8" t="s">
        <v>248</v>
      </c>
      <c r="H153" s="8" t="s">
        <v>249</v>
      </c>
      <c r="I153" s="10"/>
    </row>
    <row r="154">
      <c r="A154" s="6">
        <v>152.0</v>
      </c>
      <c r="B154" s="7" t="str">
        <f t="shared" si="1"/>
        <v>1BDFE0</v>
      </c>
      <c r="C154" s="11" t="str">
        <f t="shared" si="2"/>
        <v>C15980</v>
      </c>
      <c r="D154" s="12">
        <f t="shared" si="3"/>
        <v>0</v>
      </c>
      <c r="E154" s="6">
        <f t="shared" si="4"/>
        <v>1</v>
      </c>
      <c r="F154" s="8">
        <f t="shared" si="5"/>
        <v>180</v>
      </c>
      <c r="G154" s="8" t="s">
        <v>250</v>
      </c>
      <c r="H154" s="13"/>
      <c r="I154" s="13"/>
    </row>
    <row r="155">
      <c r="A155" s="6">
        <v>153.0</v>
      </c>
      <c r="B155" s="7" t="str">
        <f t="shared" si="1"/>
        <v>1BDFE0</v>
      </c>
      <c r="C155" s="11" t="str">
        <f t="shared" si="2"/>
        <v>C15980</v>
      </c>
      <c r="D155" s="12">
        <f t="shared" si="3"/>
        <v>1</v>
      </c>
      <c r="E155" s="6">
        <f t="shared" si="4"/>
        <v>2</v>
      </c>
      <c r="F155" s="8">
        <f t="shared" si="5"/>
        <v>180</v>
      </c>
      <c r="G155" s="8" t="s">
        <v>251</v>
      </c>
      <c r="H155" s="13"/>
      <c r="I155" s="13"/>
    </row>
    <row r="156">
      <c r="A156" s="6">
        <v>154.0</v>
      </c>
      <c r="B156" s="7" t="str">
        <f t="shared" si="1"/>
        <v>1BDFE0</v>
      </c>
      <c r="C156" s="11" t="str">
        <f t="shared" si="2"/>
        <v>C15980</v>
      </c>
      <c r="D156" s="12">
        <f t="shared" si="3"/>
        <v>2</v>
      </c>
      <c r="E156" s="6">
        <f t="shared" si="4"/>
        <v>4</v>
      </c>
      <c r="F156" s="8">
        <f t="shared" si="5"/>
        <v>180</v>
      </c>
      <c r="G156" s="8" t="s">
        <v>252</v>
      </c>
      <c r="H156" s="13"/>
      <c r="I156" s="13"/>
    </row>
    <row r="157">
      <c r="A157" s="6">
        <v>155.0</v>
      </c>
      <c r="B157" s="7" t="str">
        <f t="shared" si="1"/>
        <v>1BDFE0</v>
      </c>
      <c r="C157" s="11" t="str">
        <f t="shared" si="2"/>
        <v>C15980</v>
      </c>
      <c r="D157" s="12">
        <f t="shared" si="3"/>
        <v>3</v>
      </c>
      <c r="E157" s="6">
        <f t="shared" si="4"/>
        <v>8</v>
      </c>
      <c r="F157" s="8">
        <f t="shared" si="5"/>
        <v>180</v>
      </c>
      <c r="G157" s="8" t="s">
        <v>253</v>
      </c>
      <c r="H157" s="8" t="s">
        <v>254</v>
      </c>
      <c r="I157" s="10"/>
    </row>
    <row r="158">
      <c r="A158" s="6">
        <v>156.0</v>
      </c>
      <c r="B158" s="7" t="str">
        <f t="shared" si="1"/>
        <v>1BDFE0</v>
      </c>
      <c r="C158" s="11" t="str">
        <f t="shared" si="2"/>
        <v>C15980</v>
      </c>
      <c r="D158" s="12">
        <f t="shared" si="3"/>
        <v>4</v>
      </c>
      <c r="E158" s="6">
        <f t="shared" si="4"/>
        <v>16</v>
      </c>
      <c r="F158" s="8">
        <f t="shared" si="5"/>
        <v>180</v>
      </c>
      <c r="G158" s="8" t="s">
        <v>95</v>
      </c>
      <c r="H158" s="13"/>
      <c r="I158" s="13"/>
    </row>
    <row r="159">
      <c r="A159" s="6">
        <v>157.0</v>
      </c>
      <c r="B159" s="7" t="str">
        <f t="shared" si="1"/>
        <v>1BDFE0</v>
      </c>
      <c r="C159" s="11" t="str">
        <f t="shared" si="2"/>
        <v>C15980</v>
      </c>
      <c r="D159" s="12">
        <f t="shared" si="3"/>
        <v>5</v>
      </c>
      <c r="E159" s="6">
        <f t="shared" si="4"/>
        <v>32</v>
      </c>
      <c r="F159" s="8">
        <f t="shared" si="5"/>
        <v>180</v>
      </c>
      <c r="G159" s="8" t="s">
        <v>95</v>
      </c>
      <c r="H159" s="13"/>
      <c r="I159" s="13"/>
    </row>
    <row r="160">
      <c r="A160" s="6">
        <v>158.0</v>
      </c>
      <c r="B160" s="7" t="str">
        <f t="shared" si="1"/>
        <v>1BDFE0</v>
      </c>
      <c r="C160" s="11" t="str">
        <f t="shared" si="2"/>
        <v>C15980</v>
      </c>
      <c r="D160" s="12">
        <f t="shared" si="3"/>
        <v>6</v>
      </c>
      <c r="E160" s="6">
        <f t="shared" si="4"/>
        <v>64</v>
      </c>
      <c r="F160" s="8">
        <f t="shared" si="5"/>
        <v>180</v>
      </c>
      <c r="G160" s="8" t="s">
        <v>255</v>
      </c>
      <c r="H160" s="8" t="s">
        <v>256</v>
      </c>
      <c r="I160" s="10"/>
    </row>
    <row r="161">
      <c r="A161" s="6">
        <v>159.0</v>
      </c>
      <c r="B161" s="7" t="str">
        <f t="shared" si="1"/>
        <v>1BDFE0</v>
      </c>
      <c r="C161" s="11" t="str">
        <f t="shared" si="2"/>
        <v>C15980</v>
      </c>
      <c r="D161" s="12">
        <f t="shared" si="3"/>
        <v>7</v>
      </c>
      <c r="E161" s="6">
        <f t="shared" si="4"/>
        <v>128</v>
      </c>
      <c r="F161" s="8">
        <f t="shared" si="5"/>
        <v>180</v>
      </c>
      <c r="G161" s="8" t="s">
        <v>255</v>
      </c>
      <c r="H161" s="8" t="s">
        <v>256</v>
      </c>
      <c r="I161" s="10"/>
    </row>
    <row r="162">
      <c r="A162" s="6">
        <v>160.0</v>
      </c>
      <c r="B162" s="7" t="str">
        <f t="shared" si="1"/>
        <v>1BDFE1</v>
      </c>
      <c r="C162" s="11" t="str">
        <f t="shared" si="2"/>
        <v>C15981</v>
      </c>
      <c r="D162" s="12">
        <f t="shared" si="3"/>
        <v>0</v>
      </c>
      <c r="E162" s="6">
        <f t="shared" si="4"/>
        <v>1</v>
      </c>
      <c r="F162" s="8">
        <f t="shared" si="5"/>
        <v>181</v>
      </c>
      <c r="G162" s="8" t="s">
        <v>255</v>
      </c>
      <c r="H162" s="8" t="s">
        <v>256</v>
      </c>
      <c r="I162" s="10"/>
    </row>
    <row r="163">
      <c r="A163" s="6">
        <v>161.0</v>
      </c>
      <c r="B163" s="7" t="str">
        <f t="shared" si="1"/>
        <v>1BDFE1</v>
      </c>
      <c r="C163" s="11" t="str">
        <f t="shared" si="2"/>
        <v>C15981</v>
      </c>
      <c r="D163" s="12">
        <f t="shared" si="3"/>
        <v>1</v>
      </c>
      <c r="E163" s="6">
        <f t="shared" si="4"/>
        <v>2</v>
      </c>
      <c r="F163" s="8">
        <f t="shared" si="5"/>
        <v>181</v>
      </c>
      <c r="G163" s="8" t="s">
        <v>255</v>
      </c>
      <c r="H163" s="8" t="s">
        <v>256</v>
      </c>
      <c r="I163" s="10"/>
    </row>
    <row r="164">
      <c r="A164" s="6">
        <v>162.0</v>
      </c>
      <c r="B164" s="7" t="str">
        <f t="shared" si="1"/>
        <v>1BDFE1</v>
      </c>
      <c r="C164" s="11" t="str">
        <f t="shared" si="2"/>
        <v>C15981</v>
      </c>
      <c r="D164" s="12">
        <f t="shared" si="3"/>
        <v>2</v>
      </c>
      <c r="E164" s="6">
        <f t="shared" si="4"/>
        <v>4</v>
      </c>
      <c r="F164" s="8">
        <f t="shared" si="5"/>
        <v>181</v>
      </c>
      <c r="G164" s="8" t="s">
        <v>255</v>
      </c>
      <c r="H164" s="8" t="s">
        <v>256</v>
      </c>
      <c r="I164" s="10"/>
    </row>
    <row r="165">
      <c r="A165" s="6">
        <v>163.0</v>
      </c>
      <c r="B165" s="7" t="str">
        <f t="shared" si="1"/>
        <v>1BDFE1</v>
      </c>
      <c r="C165" s="11" t="str">
        <f t="shared" si="2"/>
        <v>C15981</v>
      </c>
      <c r="D165" s="12">
        <f t="shared" si="3"/>
        <v>3</v>
      </c>
      <c r="E165" s="6">
        <f t="shared" si="4"/>
        <v>8</v>
      </c>
      <c r="F165" s="8">
        <f t="shared" si="5"/>
        <v>181</v>
      </c>
      <c r="G165" s="8" t="s">
        <v>255</v>
      </c>
      <c r="H165" s="8" t="s">
        <v>256</v>
      </c>
      <c r="I165" s="10"/>
    </row>
    <row r="166">
      <c r="A166" s="6">
        <v>164.0</v>
      </c>
      <c r="B166" s="7" t="str">
        <f t="shared" si="1"/>
        <v>1BDFE1</v>
      </c>
      <c r="C166" s="11" t="str">
        <f t="shared" si="2"/>
        <v>C15981</v>
      </c>
      <c r="D166" s="12">
        <f t="shared" si="3"/>
        <v>4</v>
      </c>
      <c r="E166" s="6">
        <f t="shared" si="4"/>
        <v>16</v>
      </c>
      <c r="F166" s="8">
        <f t="shared" si="5"/>
        <v>181</v>
      </c>
      <c r="G166" s="8" t="s">
        <v>255</v>
      </c>
      <c r="H166" s="8" t="s">
        <v>256</v>
      </c>
      <c r="I166" s="10"/>
    </row>
    <row r="167">
      <c r="A167" s="6">
        <v>165.0</v>
      </c>
      <c r="B167" s="7" t="str">
        <f t="shared" si="1"/>
        <v>1BDFE1</v>
      </c>
      <c r="C167" s="11" t="str">
        <f t="shared" si="2"/>
        <v>C15981</v>
      </c>
      <c r="D167" s="12">
        <f t="shared" si="3"/>
        <v>5</v>
      </c>
      <c r="E167" s="6">
        <f t="shared" si="4"/>
        <v>32</v>
      </c>
      <c r="F167" s="8">
        <f t="shared" si="5"/>
        <v>181</v>
      </c>
      <c r="G167" s="8" t="s">
        <v>255</v>
      </c>
      <c r="H167" s="8" t="s">
        <v>256</v>
      </c>
      <c r="I167" s="10"/>
    </row>
    <row r="168">
      <c r="A168" s="6">
        <v>166.0</v>
      </c>
      <c r="B168" s="7" t="str">
        <f t="shared" si="1"/>
        <v>1BDFE1</v>
      </c>
      <c r="C168" s="11" t="str">
        <f t="shared" si="2"/>
        <v>C15981</v>
      </c>
      <c r="D168" s="12">
        <f t="shared" si="3"/>
        <v>6</v>
      </c>
      <c r="E168" s="6">
        <f t="shared" si="4"/>
        <v>64</v>
      </c>
      <c r="F168" s="8">
        <f t="shared" si="5"/>
        <v>181</v>
      </c>
      <c r="G168" s="8" t="s">
        <v>255</v>
      </c>
      <c r="H168" s="8" t="s">
        <v>256</v>
      </c>
      <c r="I168" s="10"/>
    </row>
    <row r="169">
      <c r="A169" s="6">
        <v>167.0</v>
      </c>
      <c r="B169" s="7" t="str">
        <f t="shared" si="1"/>
        <v>1BDFE1</v>
      </c>
      <c r="C169" s="11" t="str">
        <f t="shared" si="2"/>
        <v>C15981</v>
      </c>
      <c r="D169" s="12">
        <f t="shared" si="3"/>
        <v>7</v>
      </c>
      <c r="E169" s="6">
        <f t="shared" si="4"/>
        <v>128</v>
      </c>
      <c r="F169" s="8">
        <f t="shared" si="5"/>
        <v>181</v>
      </c>
      <c r="G169" s="8" t="s">
        <v>255</v>
      </c>
      <c r="H169" s="8" t="s">
        <v>256</v>
      </c>
      <c r="I169" s="10"/>
    </row>
    <row r="170">
      <c r="A170" s="6">
        <v>168.0</v>
      </c>
      <c r="B170" s="7" t="str">
        <f t="shared" si="1"/>
        <v>1BDFE2</v>
      </c>
      <c r="C170" s="11" t="str">
        <f t="shared" si="2"/>
        <v>C15982</v>
      </c>
      <c r="D170" s="12">
        <f t="shared" si="3"/>
        <v>0</v>
      </c>
      <c r="E170" s="6">
        <f t="shared" si="4"/>
        <v>1</v>
      </c>
      <c r="F170" s="8">
        <f t="shared" si="5"/>
        <v>182</v>
      </c>
      <c r="G170" s="8" t="s">
        <v>255</v>
      </c>
      <c r="H170" s="8" t="s">
        <v>256</v>
      </c>
      <c r="I170" s="10"/>
    </row>
    <row r="171">
      <c r="A171" s="6">
        <v>169.0</v>
      </c>
      <c r="B171" s="7" t="str">
        <f t="shared" si="1"/>
        <v>1BDFE2</v>
      </c>
      <c r="C171" s="11" t="str">
        <f t="shared" si="2"/>
        <v>C15982</v>
      </c>
      <c r="D171" s="12">
        <f t="shared" si="3"/>
        <v>1</v>
      </c>
      <c r="E171" s="6">
        <f t="shared" si="4"/>
        <v>2</v>
      </c>
      <c r="F171" s="8">
        <f t="shared" si="5"/>
        <v>182</v>
      </c>
      <c r="G171" s="8" t="s">
        <v>255</v>
      </c>
      <c r="H171" s="8" t="s">
        <v>256</v>
      </c>
      <c r="I171" s="10"/>
    </row>
    <row r="172">
      <c r="A172" s="6">
        <v>170.0</v>
      </c>
      <c r="B172" s="7" t="str">
        <f t="shared" si="1"/>
        <v>1BDFE2</v>
      </c>
      <c r="C172" s="11" t="str">
        <f t="shared" si="2"/>
        <v>C15982</v>
      </c>
      <c r="D172" s="12">
        <f t="shared" si="3"/>
        <v>2</v>
      </c>
      <c r="E172" s="6">
        <f t="shared" si="4"/>
        <v>4</v>
      </c>
      <c r="F172" s="8">
        <f t="shared" si="5"/>
        <v>182</v>
      </c>
      <c r="G172" s="8" t="s">
        <v>255</v>
      </c>
      <c r="H172" s="8" t="s">
        <v>256</v>
      </c>
      <c r="I172" s="10"/>
    </row>
    <row r="173">
      <c r="A173" s="6">
        <v>171.0</v>
      </c>
      <c r="B173" s="7" t="str">
        <f t="shared" si="1"/>
        <v>1BDFE2</v>
      </c>
      <c r="C173" s="11" t="str">
        <f t="shared" si="2"/>
        <v>C15982</v>
      </c>
      <c r="D173" s="12">
        <f t="shared" si="3"/>
        <v>3</v>
      </c>
      <c r="E173" s="6">
        <f t="shared" si="4"/>
        <v>8</v>
      </c>
      <c r="F173" s="8">
        <f t="shared" si="5"/>
        <v>182</v>
      </c>
      <c r="G173" s="8" t="s">
        <v>255</v>
      </c>
      <c r="H173" s="8" t="s">
        <v>256</v>
      </c>
      <c r="I173" s="10"/>
    </row>
    <row r="174">
      <c r="A174" s="6">
        <v>172.0</v>
      </c>
      <c r="B174" s="7" t="str">
        <f t="shared" si="1"/>
        <v>1BDFE2</v>
      </c>
      <c r="C174" s="11" t="str">
        <f t="shared" si="2"/>
        <v>C15982</v>
      </c>
      <c r="D174" s="12">
        <f t="shared" si="3"/>
        <v>4</v>
      </c>
      <c r="E174" s="6">
        <f t="shared" si="4"/>
        <v>16</v>
      </c>
      <c r="F174" s="8">
        <f t="shared" si="5"/>
        <v>182</v>
      </c>
      <c r="G174" s="8" t="s">
        <v>255</v>
      </c>
      <c r="H174" s="8" t="s">
        <v>256</v>
      </c>
      <c r="I174" s="10"/>
    </row>
    <row r="175">
      <c r="A175" s="6">
        <v>173.0</v>
      </c>
      <c r="B175" s="7" t="str">
        <f t="shared" si="1"/>
        <v>1BDFE2</v>
      </c>
      <c r="C175" s="11" t="str">
        <f t="shared" si="2"/>
        <v>C15982</v>
      </c>
      <c r="D175" s="12">
        <f t="shared" si="3"/>
        <v>5</v>
      </c>
      <c r="E175" s="6">
        <f t="shared" si="4"/>
        <v>32</v>
      </c>
      <c r="F175" s="8">
        <f t="shared" si="5"/>
        <v>182</v>
      </c>
      <c r="G175" s="8" t="s">
        <v>255</v>
      </c>
      <c r="H175" s="8" t="s">
        <v>256</v>
      </c>
      <c r="I175" s="10"/>
    </row>
    <row r="176">
      <c r="A176" s="6">
        <v>174.0</v>
      </c>
      <c r="B176" s="7" t="str">
        <f t="shared" si="1"/>
        <v>1BDFE2</v>
      </c>
      <c r="C176" s="11" t="str">
        <f t="shared" si="2"/>
        <v>C15982</v>
      </c>
      <c r="D176" s="12">
        <f t="shared" si="3"/>
        <v>6</v>
      </c>
      <c r="E176" s="6">
        <f t="shared" si="4"/>
        <v>64</v>
      </c>
      <c r="F176" s="8">
        <f t="shared" si="5"/>
        <v>182</v>
      </c>
      <c r="G176" s="8" t="s">
        <v>257</v>
      </c>
      <c r="H176" s="8" t="s">
        <v>258</v>
      </c>
      <c r="I176" s="10"/>
    </row>
    <row r="177">
      <c r="A177" s="6">
        <v>175.0</v>
      </c>
      <c r="B177" s="7" t="str">
        <f t="shared" si="1"/>
        <v>1BDFE2</v>
      </c>
      <c r="C177" s="11" t="str">
        <f t="shared" si="2"/>
        <v>C15982</v>
      </c>
      <c r="D177" s="12">
        <f t="shared" si="3"/>
        <v>7</v>
      </c>
      <c r="E177" s="6">
        <f t="shared" si="4"/>
        <v>128</v>
      </c>
      <c r="F177" s="8">
        <f t="shared" si="5"/>
        <v>182</v>
      </c>
      <c r="G177" s="8" t="s">
        <v>259</v>
      </c>
      <c r="H177" s="13"/>
      <c r="I177" s="13"/>
    </row>
    <row r="178">
      <c r="A178" s="6">
        <v>176.0</v>
      </c>
      <c r="B178" s="7" t="str">
        <f t="shared" si="1"/>
        <v>1BDFE3</v>
      </c>
      <c r="C178" s="11" t="str">
        <f t="shared" si="2"/>
        <v>C15983</v>
      </c>
      <c r="D178" s="12">
        <f t="shared" si="3"/>
        <v>0</v>
      </c>
      <c r="E178" s="6">
        <f t="shared" si="4"/>
        <v>1</v>
      </c>
      <c r="F178" s="8">
        <f t="shared" si="5"/>
        <v>183</v>
      </c>
      <c r="G178" s="8" t="s">
        <v>260</v>
      </c>
      <c r="H178" s="8" t="s">
        <v>261</v>
      </c>
      <c r="I178" s="13"/>
    </row>
    <row r="179">
      <c r="A179" s="6">
        <v>177.0</v>
      </c>
      <c r="B179" s="7" t="str">
        <f t="shared" si="1"/>
        <v>1BDFE3</v>
      </c>
      <c r="C179" s="11" t="str">
        <f t="shared" si="2"/>
        <v>C15983</v>
      </c>
      <c r="D179" s="12">
        <f t="shared" si="3"/>
        <v>1</v>
      </c>
      <c r="E179" s="6">
        <f t="shared" si="4"/>
        <v>2</v>
      </c>
      <c r="F179" s="8">
        <f t="shared" si="5"/>
        <v>183</v>
      </c>
      <c r="G179" s="8" t="s">
        <v>95</v>
      </c>
      <c r="H179" s="13"/>
      <c r="I179" s="13"/>
    </row>
    <row r="180">
      <c r="A180" s="6">
        <v>178.0</v>
      </c>
      <c r="B180" s="7" t="str">
        <f t="shared" si="1"/>
        <v>1BDFE3</v>
      </c>
      <c r="C180" s="11" t="str">
        <f t="shared" si="2"/>
        <v>C15983</v>
      </c>
      <c r="D180" s="12">
        <f t="shared" si="3"/>
        <v>2</v>
      </c>
      <c r="E180" s="6">
        <f t="shared" si="4"/>
        <v>4</v>
      </c>
      <c r="F180" s="8">
        <f t="shared" si="5"/>
        <v>183</v>
      </c>
      <c r="G180" s="8" t="s">
        <v>262</v>
      </c>
      <c r="H180" s="13"/>
      <c r="I180" s="13"/>
    </row>
    <row r="181">
      <c r="A181" s="6">
        <v>179.0</v>
      </c>
      <c r="B181" s="7" t="str">
        <f t="shared" si="1"/>
        <v>1BDFE3</v>
      </c>
      <c r="C181" s="11" t="str">
        <f t="shared" si="2"/>
        <v>C15983</v>
      </c>
      <c r="D181" s="12">
        <f t="shared" si="3"/>
        <v>3</v>
      </c>
      <c r="E181" s="6">
        <f t="shared" si="4"/>
        <v>8</v>
      </c>
      <c r="F181" s="8">
        <f t="shared" si="5"/>
        <v>183</v>
      </c>
      <c r="G181" s="8" t="s">
        <v>263</v>
      </c>
      <c r="H181" s="13"/>
      <c r="I181" s="13"/>
    </row>
    <row r="182">
      <c r="A182" s="6">
        <v>180.0</v>
      </c>
      <c r="B182" s="7" t="str">
        <f t="shared" si="1"/>
        <v>1BDFE3</v>
      </c>
      <c r="C182" s="11" t="str">
        <f t="shared" si="2"/>
        <v>C15983</v>
      </c>
      <c r="D182" s="12">
        <f t="shared" si="3"/>
        <v>4</v>
      </c>
      <c r="E182" s="6">
        <f t="shared" si="4"/>
        <v>16</v>
      </c>
      <c r="F182" s="8">
        <f t="shared" si="5"/>
        <v>183</v>
      </c>
      <c r="G182" s="8" t="s">
        <v>264</v>
      </c>
      <c r="H182" s="8" t="s">
        <v>265</v>
      </c>
      <c r="I182" s="10"/>
    </row>
    <row r="183">
      <c r="A183" s="6">
        <v>181.0</v>
      </c>
      <c r="B183" s="7" t="str">
        <f t="shared" si="1"/>
        <v>1BDFE3</v>
      </c>
      <c r="C183" s="11" t="str">
        <f t="shared" si="2"/>
        <v>C15983</v>
      </c>
      <c r="D183" s="12">
        <f t="shared" si="3"/>
        <v>5</v>
      </c>
      <c r="E183" s="6">
        <f t="shared" si="4"/>
        <v>32</v>
      </c>
      <c r="F183" s="8">
        <f t="shared" si="5"/>
        <v>183</v>
      </c>
      <c r="G183" s="8" t="s">
        <v>266</v>
      </c>
      <c r="H183" s="8" t="s">
        <v>265</v>
      </c>
      <c r="I183" s="10"/>
    </row>
    <row r="184">
      <c r="A184" s="6">
        <v>182.0</v>
      </c>
      <c r="B184" s="7" t="str">
        <f t="shared" si="1"/>
        <v>1BDFE3</v>
      </c>
      <c r="C184" s="11" t="str">
        <f t="shared" si="2"/>
        <v>C15983</v>
      </c>
      <c r="D184" s="12">
        <f t="shared" si="3"/>
        <v>6</v>
      </c>
      <c r="E184" s="6">
        <f t="shared" si="4"/>
        <v>64</v>
      </c>
      <c r="F184" s="8">
        <f t="shared" si="5"/>
        <v>183</v>
      </c>
      <c r="G184" s="8" t="s">
        <v>267</v>
      </c>
      <c r="H184" s="13"/>
      <c r="I184" s="13"/>
    </row>
    <row r="185">
      <c r="A185" s="6">
        <v>183.0</v>
      </c>
      <c r="B185" s="7" t="str">
        <f t="shared" si="1"/>
        <v>1BDFE3</v>
      </c>
      <c r="C185" s="11" t="str">
        <f t="shared" si="2"/>
        <v>C15983</v>
      </c>
      <c r="D185" s="12">
        <f t="shared" si="3"/>
        <v>7</v>
      </c>
      <c r="E185" s="6">
        <f t="shared" si="4"/>
        <v>128</v>
      </c>
      <c r="F185" s="8">
        <f t="shared" si="5"/>
        <v>183</v>
      </c>
      <c r="G185" s="8" t="s">
        <v>95</v>
      </c>
      <c r="H185" s="13"/>
      <c r="I185" s="13"/>
    </row>
    <row r="186">
      <c r="A186" s="6">
        <v>184.0</v>
      </c>
      <c r="B186" s="7" t="str">
        <f t="shared" si="1"/>
        <v>1BDFE4</v>
      </c>
      <c r="C186" s="11" t="str">
        <f t="shared" si="2"/>
        <v>C15984</v>
      </c>
      <c r="D186" s="12">
        <f t="shared" si="3"/>
        <v>0</v>
      </c>
      <c r="E186" s="6">
        <f t="shared" si="4"/>
        <v>1</v>
      </c>
      <c r="F186" s="8">
        <f t="shared" si="5"/>
        <v>184</v>
      </c>
      <c r="G186" s="8" t="s">
        <v>95</v>
      </c>
      <c r="H186" s="13"/>
      <c r="I186" s="13"/>
    </row>
    <row r="187">
      <c r="A187" s="6">
        <v>185.0</v>
      </c>
      <c r="B187" s="7" t="str">
        <f t="shared" si="1"/>
        <v>1BDFE4</v>
      </c>
      <c r="C187" s="11" t="str">
        <f t="shared" si="2"/>
        <v>C15984</v>
      </c>
      <c r="D187" s="12">
        <f t="shared" si="3"/>
        <v>1</v>
      </c>
      <c r="E187" s="6">
        <f t="shared" si="4"/>
        <v>2</v>
      </c>
      <c r="F187" s="8">
        <f t="shared" si="5"/>
        <v>184</v>
      </c>
      <c r="G187" s="8" t="s">
        <v>268</v>
      </c>
      <c r="H187" s="8" t="s">
        <v>269</v>
      </c>
      <c r="I187" s="10"/>
    </row>
    <row r="188">
      <c r="A188" s="6">
        <v>186.0</v>
      </c>
      <c r="B188" s="7" t="str">
        <f t="shared" si="1"/>
        <v>1BDFE4</v>
      </c>
      <c r="C188" s="11" t="str">
        <f t="shared" si="2"/>
        <v>C15984</v>
      </c>
      <c r="D188" s="12">
        <f t="shared" si="3"/>
        <v>2</v>
      </c>
      <c r="E188" s="6">
        <f t="shared" si="4"/>
        <v>4</v>
      </c>
      <c r="F188" s="8">
        <f t="shared" si="5"/>
        <v>184</v>
      </c>
      <c r="G188" s="8" t="s">
        <v>270</v>
      </c>
      <c r="H188" s="8" t="s">
        <v>271</v>
      </c>
      <c r="I188" s="13"/>
    </row>
    <row r="189">
      <c r="A189" s="6">
        <v>187.0</v>
      </c>
      <c r="B189" s="7" t="str">
        <f t="shared" si="1"/>
        <v>1BDFE4</v>
      </c>
      <c r="C189" s="11" t="str">
        <f t="shared" si="2"/>
        <v>C15984</v>
      </c>
      <c r="D189" s="12">
        <f t="shared" si="3"/>
        <v>3</v>
      </c>
      <c r="E189" s="6">
        <f t="shared" si="4"/>
        <v>8</v>
      </c>
      <c r="F189" s="8">
        <f t="shared" si="5"/>
        <v>184</v>
      </c>
      <c r="G189" s="8" t="s">
        <v>272</v>
      </c>
      <c r="H189" s="13"/>
      <c r="I189" s="13"/>
    </row>
    <row r="190">
      <c r="A190" s="6">
        <v>188.0</v>
      </c>
      <c r="B190" s="7" t="str">
        <f t="shared" si="1"/>
        <v>1BDFE4</v>
      </c>
      <c r="C190" s="11" t="str">
        <f t="shared" si="2"/>
        <v>C15984</v>
      </c>
      <c r="D190" s="12">
        <f t="shared" si="3"/>
        <v>4</v>
      </c>
      <c r="E190" s="6">
        <f t="shared" si="4"/>
        <v>16</v>
      </c>
      <c r="F190" s="8">
        <f t="shared" si="5"/>
        <v>184</v>
      </c>
      <c r="G190" s="8" t="s">
        <v>273</v>
      </c>
      <c r="H190" s="8" t="s">
        <v>274</v>
      </c>
      <c r="I190" s="10"/>
    </row>
    <row r="191">
      <c r="A191" s="6">
        <v>189.0</v>
      </c>
      <c r="B191" s="7" t="str">
        <f t="shared" si="1"/>
        <v>1BDFE4</v>
      </c>
      <c r="C191" s="11" t="str">
        <f t="shared" si="2"/>
        <v>C15984</v>
      </c>
      <c r="D191" s="12">
        <f t="shared" si="3"/>
        <v>5</v>
      </c>
      <c r="E191" s="6">
        <f t="shared" si="4"/>
        <v>32</v>
      </c>
      <c r="F191" s="8">
        <f t="shared" si="5"/>
        <v>184</v>
      </c>
      <c r="G191" s="8" t="s">
        <v>275</v>
      </c>
      <c r="H191" s="13"/>
      <c r="I191" s="13"/>
    </row>
    <row r="192">
      <c r="A192" s="6">
        <v>190.0</v>
      </c>
      <c r="B192" s="7" t="str">
        <f t="shared" si="1"/>
        <v>1BDFE4</v>
      </c>
      <c r="C192" s="11" t="str">
        <f t="shared" si="2"/>
        <v>C15984</v>
      </c>
      <c r="D192" s="12">
        <f t="shared" si="3"/>
        <v>6</v>
      </c>
      <c r="E192" s="6">
        <f t="shared" si="4"/>
        <v>64</v>
      </c>
      <c r="F192" s="8">
        <f t="shared" si="5"/>
        <v>184</v>
      </c>
      <c r="G192" s="8" t="s">
        <v>276</v>
      </c>
      <c r="H192" s="8" t="s">
        <v>277</v>
      </c>
      <c r="I192" s="10"/>
    </row>
    <row r="193">
      <c r="A193" s="6">
        <v>191.0</v>
      </c>
      <c r="B193" s="7" t="str">
        <f t="shared" si="1"/>
        <v>1BDFE4</v>
      </c>
      <c r="C193" s="11" t="str">
        <f t="shared" si="2"/>
        <v>C15984</v>
      </c>
      <c r="D193" s="12">
        <f t="shared" si="3"/>
        <v>7</v>
      </c>
      <c r="E193" s="6">
        <f t="shared" si="4"/>
        <v>128</v>
      </c>
      <c r="F193" s="8">
        <f t="shared" si="5"/>
        <v>184</v>
      </c>
      <c r="G193" s="8" t="s">
        <v>278</v>
      </c>
      <c r="I193" s="10"/>
    </row>
    <row r="194">
      <c r="A194" s="6">
        <v>192.0</v>
      </c>
      <c r="B194" s="7" t="str">
        <f t="shared" si="1"/>
        <v>1BDFE5</v>
      </c>
      <c r="C194" s="11" t="str">
        <f t="shared" si="2"/>
        <v>C15985</v>
      </c>
      <c r="D194" s="12">
        <f t="shared" si="3"/>
        <v>0</v>
      </c>
      <c r="E194" s="6">
        <f t="shared" si="4"/>
        <v>1</v>
      </c>
      <c r="F194" s="8">
        <f t="shared" si="5"/>
        <v>185</v>
      </c>
      <c r="G194" s="8" t="s">
        <v>278</v>
      </c>
      <c r="I194" s="10"/>
    </row>
    <row r="195">
      <c r="A195" s="6">
        <v>193.0</v>
      </c>
      <c r="B195" s="7" t="str">
        <f t="shared" si="1"/>
        <v>1BDFE5</v>
      </c>
      <c r="C195" s="11" t="str">
        <f t="shared" si="2"/>
        <v>C15985</v>
      </c>
      <c r="D195" s="12">
        <f t="shared" si="3"/>
        <v>1</v>
      </c>
      <c r="E195" s="6">
        <f t="shared" si="4"/>
        <v>2</v>
      </c>
      <c r="F195" s="8">
        <f t="shared" si="5"/>
        <v>185</v>
      </c>
      <c r="G195" s="8" t="s">
        <v>278</v>
      </c>
      <c r="I195" s="10"/>
    </row>
    <row r="196">
      <c r="A196" s="6">
        <v>194.0</v>
      </c>
      <c r="B196" s="7" t="str">
        <f t="shared" si="1"/>
        <v>1BDFE5</v>
      </c>
      <c r="C196" s="11" t="str">
        <f t="shared" si="2"/>
        <v>C15985</v>
      </c>
      <c r="D196" s="12">
        <f t="shared" si="3"/>
        <v>2</v>
      </c>
      <c r="E196" s="6">
        <f t="shared" si="4"/>
        <v>4</v>
      </c>
      <c r="F196" s="8">
        <f t="shared" si="5"/>
        <v>185</v>
      </c>
      <c r="G196" s="8" t="s">
        <v>278</v>
      </c>
      <c r="I196" s="10"/>
    </row>
    <row r="197">
      <c r="A197" s="6">
        <v>195.0</v>
      </c>
      <c r="B197" s="7" t="str">
        <f t="shared" si="1"/>
        <v>1BDFE5</v>
      </c>
      <c r="C197" s="11" t="str">
        <f t="shared" si="2"/>
        <v>C15985</v>
      </c>
      <c r="D197" s="12">
        <f t="shared" si="3"/>
        <v>3</v>
      </c>
      <c r="E197" s="6">
        <f t="shared" si="4"/>
        <v>8</v>
      </c>
      <c r="F197" s="8">
        <f t="shared" si="5"/>
        <v>185</v>
      </c>
      <c r="G197" s="8" t="s">
        <v>279</v>
      </c>
      <c r="H197" s="13"/>
      <c r="I197" s="13"/>
    </row>
    <row r="198">
      <c r="A198" s="6">
        <v>196.0</v>
      </c>
      <c r="B198" s="7" t="str">
        <f t="shared" si="1"/>
        <v>1BDFE5</v>
      </c>
      <c r="C198" s="11" t="str">
        <f t="shared" si="2"/>
        <v>C15985</v>
      </c>
      <c r="D198" s="12">
        <f t="shared" si="3"/>
        <v>4</v>
      </c>
      <c r="E198" s="6">
        <f t="shared" si="4"/>
        <v>16</v>
      </c>
      <c r="F198" s="8">
        <f t="shared" si="5"/>
        <v>185</v>
      </c>
      <c r="G198" s="8" t="s">
        <v>280</v>
      </c>
      <c r="H198" s="13"/>
      <c r="I198" s="13"/>
    </row>
    <row r="199">
      <c r="A199" s="6">
        <v>197.0</v>
      </c>
      <c r="B199" s="7" t="str">
        <f t="shared" si="1"/>
        <v>1BDFE5</v>
      </c>
      <c r="C199" s="11" t="str">
        <f t="shared" si="2"/>
        <v>C15985</v>
      </c>
      <c r="D199" s="12">
        <f t="shared" si="3"/>
        <v>5</v>
      </c>
      <c r="E199" s="6">
        <f t="shared" si="4"/>
        <v>32</v>
      </c>
      <c r="F199" s="8">
        <f t="shared" si="5"/>
        <v>185</v>
      </c>
      <c r="G199" s="8" t="s">
        <v>281</v>
      </c>
      <c r="H199" s="13"/>
      <c r="I199" s="13"/>
    </row>
    <row r="200">
      <c r="A200" s="6">
        <v>198.0</v>
      </c>
      <c r="B200" s="7" t="str">
        <f t="shared" si="1"/>
        <v>1BDFE5</v>
      </c>
      <c r="C200" s="11" t="str">
        <f t="shared" si="2"/>
        <v>C15985</v>
      </c>
      <c r="D200" s="12">
        <f t="shared" si="3"/>
        <v>6</v>
      </c>
      <c r="E200" s="6">
        <f t="shared" si="4"/>
        <v>64</v>
      </c>
      <c r="F200" s="8">
        <f t="shared" si="5"/>
        <v>185</v>
      </c>
      <c r="G200" s="8" t="s">
        <v>282</v>
      </c>
      <c r="H200" s="13"/>
      <c r="I200" s="13"/>
    </row>
    <row r="201">
      <c r="A201" s="6">
        <v>199.0</v>
      </c>
      <c r="B201" s="7" t="str">
        <f t="shared" si="1"/>
        <v>1BDFE5</v>
      </c>
      <c r="C201" s="11" t="str">
        <f t="shared" si="2"/>
        <v>C15985</v>
      </c>
      <c r="D201" s="12">
        <f t="shared" si="3"/>
        <v>7</v>
      </c>
      <c r="E201" s="6">
        <f t="shared" si="4"/>
        <v>128</v>
      </c>
      <c r="F201" s="8">
        <f t="shared" si="5"/>
        <v>185</v>
      </c>
      <c r="G201" s="8" t="s">
        <v>283</v>
      </c>
      <c r="H201" s="13"/>
      <c r="I201" s="13"/>
    </row>
    <row r="202">
      <c r="A202" s="6">
        <v>200.0</v>
      </c>
      <c r="B202" s="7" t="str">
        <f t="shared" si="1"/>
        <v>1BDFE6</v>
      </c>
      <c r="C202" s="11" t="str">
        <f t="shared" si="2"/>
        <v>C15986</v>
      </c>
      <c r="D202" s="12">
        <f t="shared" si="3"/>
        <v>0</v>
      </c>
      <c r="E202" s="6">
        <f t="shared" si="4"/>
        <v>1</v>
      </c>
      <c r="F202" s="8">
        <f t="shared" si="5"/>
        <v>186</v>
      </c>
      <c r="G202" s="8" t="s">
        <v>284</v>
      </c>
      <c r="H202" s="13"/>
      <c r="I202" s="13"/>
    </row>
    <row r="203">
      <c r="A203" s="6">
        <v>201.0</v>
      </c>
      <c r="B203" s="7" t="str">
        <f t="shared" si="1"/>
        <v>1BDFE6</v>
      </c>
      <c r="C203" s="11" t="str">
        <f t="shared" si="2"/>
        <v>C15986</v>
      </c>
      <c r="D203" s="12">
        <f t="shared" si="3"/>
        <v>1</v>
      </c>
      <c r="E203" s="6">
        <f t="shared" si="4"/>
        <v>2</v>
      </c>
      <c r="F203" s="8">
        <f t="shared" si="5"/>
        <v>186</v>
      </c>
      <c r="G203" s="8" t="s">
        <v>285</v>
      </c>
      <c r="H203" s="13"/>
      <c r="I203" s="13"/>
    </row>
    <row r="204">
      <c r="A204" s="6">
        <v>202.0</v>
      </c>
      <c r="B204" s="7" t="str">
        <f t="shared" si="1"/>
        <v>1BDFE6</v>
      </c>
      <c r="C204" s="11" t="str">
        <f t="shared" si="2"/>
        <v>C15986</v>
      </c>
      <c r="D204" s="12">
        <f t="shared" si="3"/>
        <v>2</v>
      </c>
      <c r="E204" s="6">
        <f t="shared" si="4"/>
        <v>4</v>
      </c>
      <c r="F204" s="8">
        <f t="shared" si="5"/>
        <v>186</v>
      </c>
      <c r="G204" s="8" t="s">
        <v>286</v>
      </c>
      <c r="H204" s="13"/>
      <c r="I204" s="13"/>
    </row>
    <row r="205">
      <c r="A205" s="6">
        <v>203.0</v>
      </c>
      <c r="B205" s="7" t="str">
        <f t="shared" si="1"/>
        <v>1BDFE6</v>
      </c>
      <c r="C205" s="11" t="str">
        <f t="shared" si="2"/>
        <v>C15986</v>
      </c>
      <c r="D205" s="12">
        <f t="shared" si="3"/>
        <v>3</v>
      </c>
      <c r="E205" s="6">
        <f t="shared" si="4"/>
        <v>8</v>
      </c>
      <c r="F205" s="8">
        <f t="shared" si="5"/>
        <v>186</v>
      </c>
      <c r="G205" s="8" t="s">
        <v>287</v>
      </c>
      <c r="H205" s="13"/>
      <c r="I205" s="13"/>
    </row>
    <row r="206">
      <c r="A206" s="6">
        <v>204.0</v>
      </c>
      <c r="B206" s="7" t="str">
        <f t="shared" si="1"/>
        <v>1BDFE6</v>
      </c>
      <c r="C206" s="11" t="str">
        <f t="shared" si="2"/>
        <v>C15986</v>
      </c>
      <c r="D206" s="12">
        <f t="shared" si="3"/>
        <v>4</v>
      </c>
      <c r="E206" s="6">
        <f t="shared" si="4"/>
        <v>16</v>
      </c>
      <c r="F206" s="8">
        <f t="shared" si="5"/>
        <v>186</v>
      </c>
      <c r="G206" s="8" t="s">
        <v>288</v>
      </c>
      <c r="H206" s="13"/>
      <c r="I206" s="13"/>
    </row>
    <row r="207">
      <c r="A207" s="6">
        <v>205.0</v>
      </c>
      <c r="B207" s="7" t="str">
        <f t="shared" si="1"/>
        <v>1BDFE6</v>
      </c>
      <c r="C207" s="11" t="str">
        <f t="shared" si="2"/>
        <v>C15986</v>
      </c>
      <c r="D207" s="12">
        <f t="shared" si="3"/>
        <v>5</v>
      </c>
      <c r="E207" s="6">
        <f t="shared" si="4"/>
        <v>32</v>
      </c>
      <c r="F207" s="8">
        <f t="shared" si="5"/>
        <v>186</v>
      </c>
      <c r="G207" s="8" t="s">
        <v>289</v>
      </c>
      <c r="H207" s="13"/>
      <c r="I207" s="13"/>
    </row>
    <row r="208">
      <c r="A208" s="6">
        <v>206.0</v>
      </c>
      <c r="B208" s="7" t="str">
        <f t="shared" si="1"/>
        <v>1BDFE6</v>
      </c>
      <c r="C208" s="11" t="str">
        <f t="shared" si="2"/>
        <v>C15986</v>
      </c>
      <c r="D208" s="12">
        <f t="shared" si="3"/>
        <v>6</v>
      </c>
      <c r="E208" s="6">
        <f t="shared" si="4"/>
        <v>64</v>
      </c>
      <c r="F208" s="8">
        <f t="shared" si="5"/>
        <v>186</v>
      </c>
      <c r="G208" s="8" t="s">
        <v>290</v>
      </c>
      <c r="H208" s="13"/>
      <c r="I208" s="13"/>
    </row>
    <row r="209">
      <c r="A209" s="6">
        <v>207.0</v>
      </c>
      <c r="B209" s="7" t="str">
        <f t="shared" si="1"/>
        <v>1BDFE6</v>
      </c>
      <c r="C209" s="11" t="str">
        <f t="shared" si="2"/>
        <v>C15986</v>
      </c>
      <c r="D209" s="12">
        <f t="shared" si="3"/>
        <v>7</v>
      </c>
      <c r="E209" s="6">
        <f t="shared" si="4"/>
        <v>128</v>
      </c>
      <c r="F209" s="8">
        <f t="shared" si="5"/>
        <v>186</v>
      </c>
      <c r="G209" s="8" t="s">
        <v>291</v>
      </c>
      <c r="H209" s="13"/>
      <c r="I209" s="13"/>
    </row>
    <row r="210">
      <c r="A210" s="6">
        <v>208.0</v>
      </c>
      <c r="B210" s="7" t="str">
        <f t="shared" si="1"/>
        <v>1BDFE7</v>
      </c>
      <c r="C210" s="11" t="str">
        <f t="shared" si="2"/>
        <v>C15987</v>
      </c>
      <c r="D210" s="12">
        <f t="shared" si="3"/>
        <v>0</v>
      </c>
      <c r="E210" s="6">
        <f t="shared" si="4"/>
        <v>1</v>
      </c>
      <c r="F210" s="8">
        <f t="shared" si="5"/>
        <v>187</v>
      </c>
      <c r="G210" s="8" t="s">
        <v>292</v>
      </c>
      <c r="H210" s="13"/>
      <c r="I210" s="13"/>
    </row>
    <row r="211">
      <c r="A211" s="6">
        <v>209.0</v>
      </c>
      <c r="B211" s="7" t="str">
        <f t="shared" si="1"/>
        <v>1BDFE7</v>
      </c>
      <c r="C211" s="11" t="str">
        <f t="shared" si="2"/>
        <v>C15987</v>
      </c>
      <c r="D211" s="12">
        <f t="shared" si="3"/>
        <v>1</v>
      </c>
      <c r="E211" s="6">
        <f t="shared" si="4"/>
        <v>2</v>
      </c>
      <c r="F211" s="8">
        <f t="shared" si="5"/>
        <v>187</v>
      </c>
      <c r="G211" s="8" t="s">
        <v>293</v>
      </c>
      <c r="H211" s="13"/>
      <c r="I211" s="13"/>
    </row>
    <row r="212">
      <c r="A212" s="6">
        <v>210.0</v>
      </c>
      <c r="B212" s="7" t="str">
        <f t="shared" si="1"/>
        <v>1BDFE7</v>
      </c>
      <c r="C212" s="11" t="str">
        <f t="shared" si="2"/>
        <v>C15987</v>
      </c>
      <c r="D212" s="12">
        <f t="shared" si="3"/>
        <v>2</v>
      </c>
      <c r="E212" s="6">
        <f t="shared" si="4"/>
        <v>4</v>
      </c>
      <c r="F212" s="8">
        <f t="shared" si="5"/>
        <v>187</v>
      </c>
      <c r="G212" s="8" t="s">
        <v>294</v>
      </c>
      <c r="H212" s="8" t="s">
        <v>295</v>
      </c>
      <c r="I212" s="10"/>
    </row>
    <row r="213">
      <c r="A213" s="6">
        <v>211.0</v>
      </c>
      <c r="B213" s="7" t="str">
        <f t="shared" si="1"/>
        <v>1BDFE7</v>
      </c>
      <c r="C213" s="11" t="str">
        <f t="shared" si="2"/>
        <v>C15987</v>
      </c>
      <c r="D213" s="12">
        <f t="shared" si="3"/>
        <v>3</v>
      </c>
      <c r="E213" s="6">
        <f t="shared" si="4"/>
        <v>8</v>
      </c>
      <c r="F213" s="8">
        <f t="shared" si="5"/>
        <v>187</v>
      </c>
      <c r="G213" s="8" t="s">
        <v>296</v>
      </c>
      <c r="H213" s="13"/>
      <c r="I213" s="13"/>
    </row>
    <row r="214">
      <c r="A214" s="6">
        <v>212.0</v>
      </c>
      <c r="B214" s="7" t="str">
        <f t="shared" si="1"/>
        <v>1BDFE7</v>
      </c>
      <c r="C214" s="11" t="str">
        <f t="shared" si="2"/>
        <v>C15987</v>
      </c>
      <c r="D214" s="12">
        <f t="shared" si="3"/>
        <v>4</v>
      </c>
      <c r="E214" s="6">
        <f t="shared" si="4"/>
        <v>16</v>
      </c>
      <c r="F214" s="8">
        <f t="shared" si="5"/>
        <v>187</v>
      </c>
      <c r="G214" s="8" t="s">
        <v>297</v>
      </c>
      <c r="H214" s="13"/>
      <c r="I214" s="13"/>
    </row>
    <row r="215">
      <c r="A215" s="6">
        <v>213.0</v>
      </c>
      <c r="B215" s="7" t="str">
        <f t="shared" si="1"/>
        <v>1BDFE7</v>
      </c>
      <c r="C215" s="11" t="str">
        <f t="shared" si="2"/>
        <v>C15987</v>
      </c>
      <c r="D215" s="12">
        <f t="shared" si="3"/>
        <v>5</v>
      </c>
      <c r="E215" s="6">
        <f t="shared" si="4"/>
        <v>32</v>
      </c>
      <c r="F215" s="8">
        <f t="shared" si="5"/>
        <v>187</v>
      </c>
      <c r="G215" s="8" t="s">
        <v>298</v>
      </c>
      <c r="H215" s="13"/>
      <c r="I215" s="13"/>
    </row>
    <row r="216">
      <c r="A216" s="6">
        <v>214.0</v>
      </c>
      <c r="B216" s="7" t="str">
        <f t="shared" si="1"/>
        <v>1BDFE7</v>
      </c>
      <c r="C216" s="11" t="str">
        <f t="shared" si="2"/>
        <v>C15987</v>
      </c>
      <c r="D216" s="12">
        <f t="shared" si="3"/>
        <v>6</v>
      </c>
      <c r="E216" s="6">
        <f t="shared" si="4"/>
        <v>64</v>
      </c>
      <c r="F216" s="8">
        <f t="shared" si="5"/>
        <v>187</v>
      </c>
      <c r="G216" s="8" t="s">
        <v>299</v>
      </c>
      <c r="H216" s="13"/>
      <c r="I216" s="13"/>
    </row>
    <row r="217">
      <c r="A217" s="6">
        <v>215.0</v>
      </c>
      <c r="B217" s="7" t="str">
        <f t="shared" si="1"/>
        <v>1BDFE7</v>
      </c>
      <c r="C217" s="11" t="str">
        <f t="shared" si="2"/>
        <v>C15987</v>
      </c>
      <c r="D217" s="12">
        <f t="shared" si="3"/>
        <v>7</v>
      </c>
      <c r="E217" s="6">
        <f t="shared" si="4"/>
        <v>128</v>
      </c>
      <c r="F217" s="8">
        <f t="shared" si="5"/>
        <v>187</v>
      </c>
      <c r="G217" s="8" t="s">
        <v>300</v>
      </c>
      <c r="H217" s="13"/>
      <c r="I217" s="13"/>
    </row>
    <row r="218">
      <c r="A218" s="6">
        <v>216.0</v>
      </c>
      <c r="B218" s="7" t="str">
        <f t="shared" si="1"/>
        <v>1BDFE8</v>
      </c>
      <c r="C218" s="11" t="str">
        <f t="shared" si="2"/>
        <v>C15988</v>
      </c>
      <c r="D218" s="12">
        <f t="shared" si="3"/>
        <v>0</v>
      </c>
      <c r="E218" s="6">
        <f t="shared" si="4"/>
        <v>1</v>
      </c>
      <c r="F218" s="8">
        <f t="shared" si="5"/>
        <v>188</v>
      </c>
      <c r="G218" s="8" t="s">
        <v>301</v>
      </c>
      <c r="H218" s="13"/>
      <c r="I218" s="13"/>
    </row>
    <row r="219">
      <c r="A219" s="6">
        <v>217.0</v>
      </c>
      <c r="B219" s="7" t="str">
        <f t="shared" si="1"/>
        <v>1BDFE8</v>
      </c>
      <c r="C219" s="11" t="str">
        <f t="shared" si="2"/>
        <v>C15988</v>
      </c>
      <c r="D219" s="12">
        <f t="shared" si="3"/>
        <v>1</v>
      </c>
      <c r="E219" s="6">
        <f t="shared" si="4"/>
        <v>2</v>
      </c>
      <c r="F219" s="8">
        <f t="shared" si="5"/>
        <v>188</v>
      </c>
      <c r="G219" s="8" t="s">
        <v>302</v>
      </c>
      <c r="H219" s="13"/>
      <c r="I219" s="13"/>
    </row>
    <row r="220">
      <c r="A220" s="6">
        <v>218.0</v>
      </c>
      <c r="B220" s="7" t="str">
        <f t="shared" si="1"/>
        <v>1BDFE8</v>
      </c>
      <c r="C220" s="11" t="str">
        <f t="shared" si="2"/>
        <v>C15988</v>
      </c>
      <c r="D220" s="12">
        <f t="shared" si="3"/>
        <v>2</v>
      </c>
      <c r="E220" s="6">
        <f t="shared" si="4"/>
        <v>4</v>
      </c>
      <c r="F220" s="8">
        <f t="shared" si="5"/>
        <v>188</v>
      </c>
      <c r="G220" s="8" t="s">
        <v>303</v>
      </c>
      <c r="H220" s="13"/>
      <c r="I220" s="13"/>
    </row>
    <row r="221">
      <c r="A221" s="6">
        <v>219.0</v>
      </c>
      <c r="B221" s="7" t="str">
        <f t="shared" si="1"/>
        <v>1BDFE8</v>
      </c>
      <c r="C221" s="11" t="str">
        <f t="shared" si="2"/>
        <v>C15988</v>
      </c>
      <c r="D221" s="12">
        <f t="shared" si="3"/>
        <v>3</v>
      </c>
      <c r="E221" s="6">
        <f t="shared" si="4"/>
        <v>8</v>
      </c>
      <c r="F221" s="8">
        <f t="shared" si="5"/>
        <v>188</v>
      </c>
      <c r="G221" s="8" t="s">
        <v>304</v>
      </c>
      <c r="H221" s="13"/>
      <c r="I221" s="13"/>
    </row>
    <row r="222">
      <c r="A222" s="6">
        <v>220.0</v>
      </c>
      <c r="B222" s="7" t="str">
        <f t="shared" si="1"/>
        <v>1BDFE8</v>
      </c>
      <c r="C222" s="11" t="str">
        <f t="shared" si="2"/>
        <v>C15988</v>
      </c>
      <c r="D222" s="12">
        <f t="shared" si="3"/>
        <v>4</v>
      </c>
      <c r="E222" s="6">
        <f t="shared" si="4"/>
        <v>16</v>
      </c>
      <c r="F222" s="8">
        <f t="shared" si="5"/>
        <v>188</v>
      </c>
      <c r="G222" s="8" t="s">
        <v>305</v>
      </c>
      <c r="H222" s="13"/>
      <c r="I222" s="13"/>
    </row>
    <row r="223">
      <c r="A223" s="6">
        <v>221.0</v>
      </c>
      <c r="B223" s="7" t="str">
        <f t="shared" si="1"/>
        <v>1BDFE8</v>
      </c>
      <c r="C223" s="11" t="str">
        <f t="shared" si="2"/>
        <v>C15988</v>
      </c>
      <c r="D223" s="12">
        <f t="shared" si="3"/>
        <v>5</v>
      </c>
      <c r="E223" s="6">
        <f t="shared" si="4"/>
        <v>32</v>
      </c>
      <c r="F223" s="8">
        <f t="shared" si="5"/>
        <v>188</v>
      </c>
      <c r="G223" s="8" t="s">
        <v>306</v>
      </c>
      <c r="H223" s="8" t="s">
        <v>307</v>
      </c>
      <c r="I223" s="10"/>
    </row>
    <row r="224">
      <c r="A224" s="6">
        <v>222.0</v>
      </c>
      <c r="B224" s="7" t="str">
        <f t="shared" si="1"/>
        <v>1BDFE8</v>
      </c>
      <c r="C224" s="11" t="str">
        <f t="shared" si="2"/>
        <v>C15988</v>
      </c>
      <c r="D224" s="12">
        <f t="shared" si="3"/>
        <v>6</v>
      </c>
      <c r="E224" s="6">
        <f t="shared" si="4"/>
        <v>64</v>
      </c>
      <c r="F224" s="8">
        <f t="shared" si="5"/>
        <v>188</v>
      </c>
      <c r="G224" s="8" t="s">
        <v>308</v>
      </c>
      <c r="H224" s="13"/>
      <c r="I224" s="13"/>
    </row>
    <row r="225">
      <c r="A225" s="6">
        <v>223.0</v>
      </c>
      <c r="B225" s="7" t="str">
        <f t="shared" si="1"/>
        <v>1BDFE8</v>
      </c>
      <c r="C225" s="11" t="str">
        <f t="shared" si="2"/>
        <v>C15988</v>
      </c>
      <c r="D225" s="12">
        <f t="shared" si="3"/>
        <v>7</v>
      </c>
      <c r="E225" s="6">
        <f t="shared" si="4"/>
        <v>128</v>
      </c>
      <c r="F225" s="8">
        <f t="shared" si="5"/>
        <v>188</v>
      </c>
      <c r="G225" s="8" t="s">
        <v>309</v>
      </c>
      <c r="H225" s="13"/>
      <c r="I225" s="13"/>
    </row>
    <row r="226">
      <c r="A226" s="6">
        <v>224.0</v>
      </c>
      <c r="B226" s="7" t="str">
        <f t="shared" si="1"/>
        <v>1BDFE9</v>
      </c>
      <c r="C226" s="11" t="str">
        <f t="shared" si="2"/>
        <v>C15989</v>
      </c>
      <c r="D226" s="12">
        <f t="shared" si="3"/>
        <v>0</v>
      </c>
      <c r="E226" s="6">
        <f t="shared" si="4"/>
        <v>1</v>
      </c>
      <c r="F226" s="8">
        <f t="shared" si="5"/>
        <v>189</v>
      </c>
      <c r="G226" s="8" t="s">
        <v>310</v>
      </c>
      <c r="H226" s="13"/>
      <c r="I226" s="13"/>
    </row>
    <row r="227">
      <c r="A227" s="6">
        <v>225.0</v>
      </c>
      <c r="B227" s="7" t="str">
        <f t="shared" si="1"/>
        <v>1BDFE9</v>
      </c>
      <c r="C227" s="11" t="str">
        <f t="shared" si="2"/>
        <v>C15989</v>
      </c>
      <c r="D227" s="12">
        <f t="shared" si="3"/>
        <v>1</v>
      </c>
      <c r="E227" s="6">
        <f t="shared" si="4"/>
        <v>2</v>
      </c>
      <c r="F227" s="8">
        <f t="shared" si="5"/>
        <v>189</v>
      </c>
      <c r="G227" s="8" t="s">
        <v>311</v>
      </c>
      <c r="H227" s="13"/>
      <c r="I227" s="13"/>
    </row>
    <row r="228">
      <c r="A228" s="6">
        <v>226.0</v>
      </c>
      <c r="B228" s="7" t="str">
        <f t="shared" si="1"/>
        <v>1BDFE9</v>
      </c>
      <c r="C228" s="11" t="str">
        <f t="shared" si="2"/>
        <v>C15989</v>
      </c>
      <c r="D228" s="12">
        <f t="shared" si="3"/>
        <v>2</v>
      </c>
      <c r="E228" s="6">
        <f t="shared" si="4"/>
        <v>4</v>
      </c>
      <c r="F228" s="8">
        <f t="shared" si="5"/>
        <v>189</v>
      </c>
      <c r="G228" s="8" t="s">
        <v>312</v>
      </c>
      <c r="H228" s="13"/>
      <c r="I228" s="13"/>
    </row>
    <row r="229">
      <c r="A229" s="6">
        <v>227.0</v>
      </c>
      <c r="B229" s="7" t="str">
        <f t="shared" si="1"/>
        <v>1BDFE9</v>
      </c>
      <c r="C229" s="11" t="str">
        <f t="shared" si="2"/>
        <v>C15989</v>
      </c>
      <c r="D229" s="12">
        <f t="shared" si="3"/>
        <v>3</v>
      </c>
      <c r="E229" s="6">
        <f t="shared" si="4"/>
        <v>8</v>
      </c>
      <c r="F229" s="8">
        <f t="shared" si="5"/>
        <v>189</v>
      </c>
      <c r="G229" s="8" t="s">
        <v>313</v>
      </c>
      <c r="H229" s="13"/>
      <c r="I229" s="13"/>
    </row>
    <row r="230">
      <c r="A230" s="6">
        <v>228.0</v>
      </c>
      <c r="B230" s="7" t="str">
        <f t="shared" si="1"/>
        <v>1BDFE9</v>
      </c>
      <c r="C230" s="11" t="str">
        <f t="shared" si="2"/>
        <v>C15989</v>
      </c>
      <c r="D230" s="12">
        <f t="shared" si="3"/>
        <v>4</v>
      </c>
      <c r="E230" s="6">
        <f t="shared" si="4"/>
        <v>16</v>
      </c>
      <c r="F230" s="8">
        <f t="shared" si="5"/>
        <v>189</v>
      </c>
      <c r="G230" s="8" t="s">
        <v>314</v>
      </c>
      <c r="H230" s="13"/>
      <c r="I230" s="15"/>
    </row>
    <row r="231">
      <c r="A231" s="6">
        <v>229.0</v>
      </c>
      <c r="B231" s="7" t="str">
        <f t="shared" si="1"/>
        <v>1BDFE9</v>
      </c>
      <c r="C231" s="11" t="str">
        <f t="shared" si="2"/>
        <v>C15989</v>
      </c>
      <c r="D231" s="12">
        <f t="shared" si="3"/>
        <v>5</v>
      </c>
      <c r="E231" s="6">
        <f t="shared" si="4"/>
        <v>32</v>
      </c>
      <c r="F231" s="8">
        <f t="shared" si="5"/>
        <v>189</v>
      </c>
      <c r="G231" s="8" t="s">
        <v>315</v>
      </c>
      <c r="H231" s="13"/>
      <c r="I231" s="15"/>
    </row>
    <row r="232">
      <c r="A232" s="6">
        <v>230.0</v>
      </c>
      <c r="B232" s="7" t="str">
        <f t="shared" si="1"/>
        <v>1BDFE9</v>
      </c>
      <c r="C232" s="11" t="str">
        <f t="shared" si="2"/>
        <v>C15989</v>
      </c>
      <c r="D232" s="12">
        <f t="shared" si="3"/>
        <v>6</v>
      </c>
      <c r="E232" s="6">
        <f t="shared" si="4"/>
        <v>64</v>
      </c>
      <c r="F232" s="8">
        <f t="shared" si="5"/>
        <v>189</v>
      </c>
      <c r="G232" s="8" t="s">
        <v>316</v>
      </c>
      <c r="H232" s="13"/>
      <c r="I232" s="16"/>
    </row>
    <row r="233">
      <c r="A233" s="6">
        <v>231.0</v>
      </c>
      <c r="B233" s="7" t="str">
        <f t="shared" si="1"/>
        <v>1BDFE9</v>
      </c>
      <c r="C233" s="11" t="str">
        <f t="shared" si="2"/>
        <v>C15989</v>
      </c>
      <c r="D233" s="12">
        <f t="shared" si="3"/>
        <v>7</v>
      </c>
      <c r="E233" s="6">
        <f t="shared" si="4"/>
        <v>128</v>
      </c>
      <c r="F233" s="8">
        <f t="shared" si="5"/>
        <v>189</v>
      </c>
      <c r="G233" s="8" t="s">
        <v>317</v>
      </c>
      <c r="H233" s="13"/>
      <c r="I233" s="16"/>
    </row>
    <row r="234">
      <c r="A234" s="6">
        <v>232.0</v>
      </c>
      <c r="B234" s="7" t="str">
        <f t="shared" si="1"/>
        <v>1BDFEA</v>
      </c>
      <c r="C234" s="11" t="str">
        <f t="shared" si="2"/>
        <v>C1598A</v>
      </c>
      <c r="D234" s="12">
        <f t="shared" si="3"/>
        <v>0</v>
      </c>
      <c r="E234" s="6">
        <f t="shared" si="4"/>
        <v>1</v>
      </c>
      <c r="F234" s="8">
        <f t="shared" si="5"/>
        <v>190</v>
      </c>
      <c r="G234" s="8" t="s">
        <v>318</v>
      </c>
      <c r="H234" s="13"/>
      <c r="I234" s="16"/>
    </row>
    <row r="235">
      <c r="A235" s="6">
        <v>233.0</v>
      </c>
      <c r="B235" s="7" t="str">
        <f t="shared" si="1"/>
        <v>1BDFEA</v>
      </c>
      <c r="C235" s="11" t="str">
        <f t="shared" si="2"/>
        <v>C1598A</v>
      </c>
      <c r="D235" s="12">
        <f t="shared" si="3"/>
        <v>1</v>
      </c>
      <c r="E235" s="6">
        <f t="shared" si="4"/>
        <v>2</v>
      </c>
      <c r="F235" s="8">
        <f t="shared" si="5"/>
        <v>190</v>
      </c>
      <c r="G235" s="8" t="s">
        <v>319</v>
      </c>
      <c r="H235" s="13"/>
      <c r="I235" s="16"/>
    </row>
    <row r="236">
      <c r="A236" s="6">
        <v>234.0</v>
      </c>
      <c r="B236" s="7" t="str">
        <f t="shared" si="1"/>
        <v>1BDFEA</v>
      </c>
      <c r="C236" s="11" t="str">
        <f t="shared" si="2"/>
        <v>C1598A</v>
      </c>
      <c r="D236" s="12">
        <f t="shared" si="3"/>
        <v>2</v>
      </c>
      <c r="E236" s="6">
        <f t="shared" si="4"/>
        <v>4</v>
      </c>
      <c r="F236" s="8">
        <f t="shared" si="5"/>
        <v>190</v>
      </c>
      <c r="G236" s="8" t="s">
        <v>320</v>
      </c>
      <c r="H236" s="13"/>
      <c r="I236" s="16"/>
    </row>
    <row r="237">
      <c r="A237" s="6">
        <v>235.0</v>
      </c>
      <c r="B237" s="7" t="str">
        <f t="shared" si="1"/>
        <v>1BDFEA</v>
      </c>
      <c r="C237" s="11" t="str">
        <f t="shared" si="2"/>
        <v>C1598A</v>
      </c>
      <c r="D237" s="12">
        <f t="shared" si="3"/>
        <v>3</v>
      </c>
      <c r="E237" s="6">
        <f t="shared" si="4"/>
        <v>8</v>
      </c>
      <c r="F237" s="8">
        <f t="shared" si="5"/>
        <v>190</v>
      </c>
      <c r="G237" s="8" t="s">
        <v>321</v>
      </c>
      <c r="H237" s="13"/>
      <c r="I237" s="16"/>
    </row>
    <row r="238">
      <c r="A238" s="6">
        <v>236.0</v>
      </c>
      <c r="B238" s="7" t="str">
        <f t="shared" si="1"/>
        <v>1BDFEA</v>
      </c>
      <c r="C238" s="11" t="str">
        <f t="shared" si="2"/>
        <v>C1598A</v>
      </c>
      <c r="D238" s="12">
        <f t="shared" si="3"/>
        <v>4</v>
      </c>
      <c r="E238" s="6">
        <f t="shared" si="4"/>
        <v>16</v>
      </c>
      <c r="F238" s="8">
        <f t="shared" si="5"/>
        <v>190</v>
      </c>
      <c r="G238" s="8" t="s">
        <v>322</v>
      </c>
      <c r="H238" s="13"/>
      <c r="I238" s="16"/>
    </row>
    <row r="239">
      <c r="A239" s="6">
        <v>237.0</v>
      </c>
      <c r="B239" s="7" t="str">
        <f t="shared" si="1"/>
        <v>1BDFEA</v>
      </c>
      <c r="C239" s="11" t="str">
        <f t="shared" si="2"/>
        <v>C1598A</v>
      </c>
      <c r="D239" s="12">
        <f t="shared" si="3"/>
        <v>5</v>
      </c>
      <c r="E239" s="6">
        <f t="shared" si="4"/>
        <v>32</v>
      </c>
      <c r="F239" s="8">
        <f t="shared" si="5"/>
        <v>190</v>
      </c>
      <c r="G239" s="8" t="s">
        <v>323</v>
      </c>
      <c r="H239" s="13"/>
      <c r="I239" s="16"/>
    </row>
    <row r="240">
      <c r="A240" s="6">
        <v>238.0</v>
      </c>
      <c r="B240" s="7" t="str">
        <f t="shared" si="1"/>
        <v>1BDFEA</v>
      </c>
      <c r="C240" s="11" t="str">
        <f t="shared" si="2"/>
        <v>C1598A</v>
      </c>
      <c r="D240" s="12">
        <f t="shared" si="3"/>
        <v>6</v>
      </c>
      <c r="E240" s="6">
        <f t="shared" si="4"/>
        <v>64</v>
      </c>
      <c r="F240" s="8">
        <f t="shared" si="5"/>
        <v>190</v>
      </c>
      <c r="G240" s="8" t="s">
        <v>324</v>
      </c>
      <c r="H240" s="13"/>
      <c r="I240" s="16"/>
    </row>
    <row r="241">
      <c r="A241" s="6">
        <v>239.0</v>
      </c>
      <c r="B241" s="7" t="str">
        <f t="shared" si="1"/>
        <v>1BDFEA</v>
      </c>
      <c r="C241" s="11" t="str">
        <f t="shared" si="2"/>
        <v>C1598A</v>
      </c>
      <c r="D241" s="12">
        <f t="shared" si="3"/>
        <v>7</v>
      </c>
      <c r="E241" s="6">
        <f t="shared" si="4"/>
        <v>128</v>
      </c>
      <c r="F241" s="8">
        <f t="shared" si="5"/>
        <v>190</v>
      </c>
      <c r="G241" s="8" t="s">
        <v>325</v>
      </c>
      <c r="H241" s="13"/>
      <c r="I241" s="16"/>
    </row>
    <row r="242">
      <c r="A242" s="6">
        <v>240.0</v>
      </c>
      <c r="B242" s="7" t="str">
        <f t="shared" si="1"/>
        <v>1BDFEB</v>
      </c>
      <c r="C242" s="11" t="str">
        <f t="shared" si="2"/>
        <v>C1598B</v>
      </c>
      <c r="D242" s="12">
        <f t="shared" si="3"/>
        <v>0</v>
      </c>
      <c r="E242" s="6">
        <f t="shared" si="4"/>
        <v>1</v>
      </c>
      <c r="F242" s="8">
        <f t="shared" si="5"/>
        <v>191</v>
      </c>
      <c r="G242" s="8" t="s">
        <v>326</v>
      </c>
      <c r="H242" s="13"/>
      <c r="I242" s="16"/>
    </row>
    <row r="243">
      <c r="A243" s="6">
        <v>241.0</v>
      </c>
      <c r="B243" s="7" t="str">
        <f t="shared" si="1"/>
        <v>1BDFEB</v>
      </c>
      <c r="C243" s="11" t="str">
        <f t="shared" si="2"/>
        <v>C1598B</v>
      </c>
      <c r="D243" s="12">
        <f t="shared" si="3"/>
        <v>1</v>
      </c>
      <c r="E243" s="6">
        <f t="shared" si="4"/>
        <v>2</v>
      </c>
      <c r="F243" s="8">
        <f t="shared" si="5"/>
        <v>191</v>
      </c>
      <c r="G243" s="8" t="s">
        <v>327</v>
      </c>
      <c r="H243" s="13"/>
      <c r="I243" s="16"/>
    </row>
    <row r="244">
      <c r="A244" s="6">
        <v>242.0</v>
      </c>
      <c r="B244" s="7" t="str">
        <f t="shared" si="1"/>
        <v>1BDFEB</v>
      </c>
      <c r="C244" s="11" t="str">
        <f t="shared" si="2"/>
        <v>C1598B</v>
      </c>
      <c r="D244" s="12">
        <f t="shared" si="3"/>
        <v>2</v>
      </c>
      <c r="E244" s="6">
        <f t="shared" si="4"/>
        <v>4</v>
      </c>
      <c r="F244" s="8">
        <f t="shared" si="5"/>
        <v>191</v>
      </c>
      <c r="G244" s="8" t="s">
        <v>328</v>
      </c>
      <c r="H244" s="13"/>
      <c r="I244" s="16"/>
    </row>
    <row r="245">
      <c r="A245" s="6">
        <v>243.0</v>
      </c>
      <c r="B245" s="7" t="str">
        <f t="shared" si="1"/>
        <v>1BDFEB</v>
      </c>
      <c r="C245" s="11" t="str">
        <f t="shared" si="2"/>
        <v>C1598B</v>
      </c>
      <c r="D245" s="12">
        <f t="shared" si="3"/>
        <v>3</v>
      </c>
      <c r="E245" s="6">
        <f t="shared" si="4"/>
        <v>8</v>
      </c>
      <c r="F245" s="8">
        <f t="shared" si="5"/>
        <v>191</v>
      </c>
      <c r="G245" s="8" t="s">
        <v>329</v>
      </c>
      <c r="H245" s="13"/>
      <c r="I245" s="16"/>
    </row>
    <row r="246">
      <c r="A246" s="6">
        <v>244.0</v>
      </c>
      <c r="B246" s="7" t="str">
        <f t="shared" si="1"/>
        <v>1BDFEB</v>
      </c>
      <c r="C246" s="11" t="str">
        <f t="shared" si="2"/>
        <v>C1598B</v>
      </c>
      <c r="D246" s="12">
        <f t="shared" si="3"/>
        <v>4</v>
      </c>
      <c r="E246" s="6">
        <f t="shared" si="4"/>
        <v>16</v>
      </c>
      <c r="F246" s="8">
        <f t="shared" si="5"/>
        <v>191</v>
      </c>
      <c r="G246" s="8" t="s">
        <v>95</v>
      </c>
      <c r="H246" s="13"/>
      <c r="I246" s="16"/>
    </row>
    <row r="247">
      <c r="A247" s="6">
        <v>245.0</v>
      </c>
      <c r="B247" s="7" t="str">
        <f t="shared" si="1"/>
        <v>1BDFEB</v>
      </c>
      <c r="C247" s="11" t="str">
        <f t="shared" si="2"/>
        <v>C1598B</v>
      </c>
      <c r="D247" s="12">
        <f t="shared" si="3"/>
        <v>5</v>
      </c>
      <c r="E247" s="6">
        <f t="shared" si="4"/>
        <v>32</v>
      </c>
      <c r="F247" s="8">
        <f t="shared" si="5"/>
        <v>191</v>
      </c>
      <c r="G247" s="8" t="s">
        <v>330</v>
      </c>
      <c r="H247" s="13"/>
      <c r="I247" s="16"/>
    </row>
    <row r="248">
      <c r="A248" s="6">
        <v>246.0</v>
      </c>
      <c r="B248" s="7" t="str">
        <f t="shared" si="1"/>
        <v>1BDFEB</v>
      </c>
      <c r="C248" s="11" t="str">
        <f t="shared" si="2"/>
        <v>C1598B</v>
      </c>
      <c r="D248" s="12">
        <f t="shared" si="3"/>
        <v>6</v>
      </c>
      <c r="E248" s="6">
        <f t="shared" si="4"/>
        <v>64</v>
      </c>
      <c r="F248" s="8">
        <f t="shared" si="5"/>
        <v>191</v>
      </c>
      <c r="G248" s="8" t="s">
        <v>331</v>
      </c>
      <c r="H248" s="13"/>
      <c r="I248" s="16"/>
    </row>
    <row r="249">
      <c r="A249" s="6">
        <v>247.0</v>
      </c>
      <c r="B249" s="7" t="str">
        <f t="shared" si="1"/>
        <v>1BDFEB</v>
      </c>
      <c r="C249" s="11" t="str">
        <f t="shared" si="2"/>
        <v>C1598B</v>
      </c>
      <c r="D249" s="12">
        <f t="shared" si="3"/>
        <v>7</v>
      </c>
      <c r="E249" s="6">
        <f t="shared" si="4"/>
        <v>128</v>
      </c>
      <c r="F249" s="8">
        <f t="shared" si="5"/>
        <v>191</v>
      </c>
      <c r="G249" s="8" t="s">
        <v>332</v>
      </c>
      <c r="H249" s="13"/>
      <c r="I249" s="16"/>
    </row>
    <row r="250">
      <c r="A250" s="6">
        <v>248.0</v>
      </c>
      <c r="B250" s="7" t="str">
        <f t="shared" si="1"/>
        <v>1BDFEC</v>
      </c>
      <c r="C250" s="11" t="str">
        <f t="shared" si="2"/>
        <v>C1598C</v>
      </c>
      <c r="D250" s="12">
        <f t="shared" si="3"/>
        <v>0</v>
      </c>
      <c r="E250" s="6">
        <f t="shared" si="4"/>
        <v>1</v>
      </c>
      <c r="F250" s="8">
        <f t="shared" si="5"/>
        <v>192</v>
      </c>
      <c r="G250" s="8" t="s">
        <v>333</v>
      </c>
      <c r="H250" s="13"/>
      <c r="I250" s="16"/>
    </row>
    <row r="251">
      <c r="A251" s="6">
        <v>249.0</v>
      </c>
      <c r="B251" s="7" t="str">
        <f t="shared" si="1"/>
        <v>1BDFEC</v>
      </c>
      <c r="C251" s="11" t="str">
        <f t="shared" si="2"/>
        <v>C1598C</v>
      </c>
      <c r="D251" s="12">
        <f t="shared" si="3"/>
        <v>1</v>
      </c>
      <c r="E251" s="6">
        <f t="shared" si="4"/>
        <v>2</v>
      </c>
      <c r="F251" s="8">
        <f t="shared" si="5"/>
        <v>192</v>
      </c>
      <c r="G251" s="8" t="s">
        <v>334</v>
      </c>
      <c r="H251" s="13"/>
      <c r="I251" s="16"/>
    </row>
    <row r="252">
      <c r="A252" s="6">
        <v>250.0</v>
      </c>
      <c r="B252" s="7" t="str">
        <f t="shared" si="1"/>
        <v>1BDFEC</v>
      </c>
      <c r="C252" s="11" t="str">
        <f t="shared" si="2"/>
        <v>C1598C</v>
      </c>
      <c r="D252" s="12">
        <f t="shared" si="3"/>
        <v>2</v>
      </c>
      <c r="E252" s="6">
        <f t="shared" si="4"/>
        <v>4</v>
      </c>
      <c r="F252" s="8">
        <f t="shared" si="5"/>
        <v>192</v>
      </c>
      <c r="G252" s="8" t="s">
        <v>335</v>
      </c>
      <c r="H252" s="13"/>
      <c r="I252" s="16"/>
    </row>
    <row r="253">
      <c r="A253" s="6">
        <v>251.0</v>
      </c>
      <c r="B253" s="7" t="str">
        <f t="shared" si="1"/>
        <v>1BDFEC</v>
      </c>
      <c r="C253" s="11" t="str">
        <f t="shared" si="2"/>
        <v>C1598C</v>
      </c>
      <c r="D253" s="12">
        <f t="shared" si="3"/>
        <v>3</v>
      </c>
      <c r="E253" s="6">
        <f t="shared" si="4"/>
        <v>8</v>
      </c>
      <c r="F253" s="8">
        <f t="shared" si="5"/>
        <v>192</v>
      </c>
      <c r="G253" s="8" t="s">
        <v>336</v>
      </c>
      <c r="H253" s="13"/>
      <c r="I253" s="16"/>
    </row>
    <row r="254">
      <c r="A254" s="6">
        <v>252.0</v>
      </c>
      <c r="B254" s="7" t="str">
        <f t="shared" si="1"/>
        <v>1BDFEC</v>
      </c>
      <c r="C254" s="11" t="str">
        <f t="shared" si="2"/>
        <v>C1598C</v>
      </c>
      <c r="D254" s="12">
        <f t="shared" si="3"/>
        <v>4</v>
      </c>
      <c r="E254" s="6">
        <f t="shared" si="4"/>
        <v>16</v>
      </c>
      <c r="F254" s="8">
        <f t="shared" si="5"/>
        <v>192</v>
      </c>
      <c r="G254" s="8" t="s">
        <v>337</v>
      </c>
      <c r="H254" s="13"/>
      <c r="I254" s="16"/>
    </row>
    <row r="255">
      <c r="A255" s="6">
        <v>253.0</v>
      </c>
      <c r="B255" s="7" t="str">
        <f t="shared" si="1"/>
        <v>1BDFEC</v>
      </c>
      <c r="C255" s="11" t="str">
        <f t="shared" si="2"/>
        <v>C1598C</v>
      </c>
      <c r="D255" s="12">
        <f t="shared" si="3"/>
        <v>5</v>
      </c>
      <c r="E255" s="6">
        <f t="shared" si="4"/>
        <v>32</v>
      </c>
      <c r="F255" s="8">
        <f t="shared" si="5"/>
        <v>192</v>
      </c>
      <c r="G255" s="8" t="s">
        <v>338</v>
      </c>
      <c r="H255" s="13"/>
      <c r="I255" s="16"/>
    </row>
    <row r="256">
      <c r="A256" s="6">
        <v>254.0</v>
      </c>
      <c r="B256" s="7" t="str">
        <f t="shared" si="1"/>
        <v>1BDFEC</v>
      </c>
      <c r="C256" s="11" t="str">
        <f t="shared" si="2"/>
        <v>C1598C</v>
      </c>
      <c r="D256" s="12">
        <f t="shared" si="3"/>
        <v>6</v>
      </c>
      <c r="E256" s="6">
        <f t="shared" si="4"/>
        <v>64</v>
      </c>
      <c r="F256" s="8">
        <f t="shared" si="5"/>
        <v>192</v>
      </c>
      <c r="G256" s="8" t="s">
        <v>339</v>
      </c>
      <c r="H256" s="13"/>
      <c r="I256" s="16"/>
    </row>
    <row r="257">
      <c r="A257" s="6">
        <v>255.0</v>
      </c>
      <c r="B257" s="7" t="str">
        <f t="shared" si="1"/>
        <v>1BDFEC</v>
      </c>
      <c r="C257" s="11" t="str">
        <f t="shared" si="2"/>
        <v>C1598C</v>
      </c>
      <c r="D257" s="12">
        <f t="shared" si="3"/>
        <v>7</v>
      </c>
      <c r="E257" s="6">
        <f t="shared" si="4"/>
        <v>128</v>
      </c>
      <c r="F257" s="8">
        <f t="shared" si="5"/>
        <v>192</v>
      </c>
      <c r="G257" s="8" t="s">
        <v>340</v>
      </c>
      <c r="H257" s="13"/>
      <c r="I257" s="16"/>
    </row>
    <row r="258">
      <c r="A258" s="6">
        <v>256.0</v>
      </c>
      <c r="B258" s="7" t="str">
        <f t="shared" si="1"/>
        <v>1BDFED</v>
      </c>
      <c r="C258" s="11" t="str">
        <f t="shared" si="2"/>
        <v>C1598D</v>
      </c>
      <c r="D258" s="12">
        <f t="shared" si="3"/>
        <v>0</v>
      </c>
      <c r="E258" s="6">
        <f t="shared" si="4"/>
        <v>1</v>
      </c>
      <c r="F258" s="8">
        <f t="shared" si="5"/>
        <v>193</v>
      </c>
      <c r="G258" s="8" t="s">
        <v>341</v>
      </c>
      <c r="H258" s="13"/>
      <c r="I258" s="16"/>
    </row>
    <row r="259">
      <c r="A259" s="6">
        <v>257.0</v>
      </c>
      <c r="B259" s="7" t="str">
        <f t="shared" si="1"/>
        <v>1BDFED</v>
      </c>
      <c r="C259" s="11" t="str">
        <f t="shared" si="2"/>
        <v>C1598D</v>
      </c>
      <c r="D259" s="12">
        <f t="shared" si="3"/>
        <v>1</v>
      </c>
      <c r="E259" s="6">
        <f t="shared" si="4"/>
        <v>2</v>
      </c>
      <c r="F259" s="8">
        <f t="shared" si="5"/>
        <v>193</v>
      </c>
      <c r="G259" s="8" t="s">
        <v>342</v>
      </c>
      <c r="H259" s="13"/>
      <c r="I259" s="16"/>
    </row>
    <row r="260">
      <c r="A260" s="6">
        <v>258.0</v>
      </c>
      <c r="B260" s="7" t="str">
        <f t="shared" si="1"/>
        <v>1BDFED</v>
      </c>
      <c r="C260" s="11" t="str">
        <f t="shared" si="2"/>
        <v>C1598D</v>
      </c>
      <c r="D260" s="12">
        <f t="shared" si="3"/>
        <v>2</v>
      </c>
      <c r="E260" s="6">
        <f t="shared" si="4"/>
        <v>4</v>
      </c>
      <c r="F260" s="8">
        <f t="shared" si="5"/>
        <v>193</v>
      </c>
      <c r="G260" s="8" t="s">
        <v>343</v>
      </c>
      <c r="H260" s="13"/>
      <c r="I260" s="16"/>
    </row>
    <row r="261">
      <c r="A261" s="6">
        <v>259.0</v>
      </c>
      <c r="B261" s="7" t="str">
        <f t="shared" si="1"/>
        <v>1BDFED</v>
      </c>
      <c r="C261" s="11" t="str">
        <f t="shared" si="2"/>
        <v>C1598D</v>
      </c>
      <c r="D261" s="12">
        <f t="shared" si="3"/>
        <v>3</v>
      </c>
      <c r="E261" s="6">
        <f t="shared" si="4"/>
        <v>8</v>
      </c>
      <c r="F261" s="8">
        <f t="shared" si="5"/>
        <v>193</v>
      </c>
      <c r="G261" s="8" t="s">
        <v>344</v>
      </c>
      <c r="H261" s="8" t="s">
        <v>345</v>
      </c>
      <c r="I261" s="16"/>
    </row>
    <row r="262">
      <c r="A262" s="6">
        <v>260.0</v>
      </c>
      <c r="B262" s="7" t="str">
        <f t="shared" si="1"/>
        <v>1BDFED</v>
      </c>
      <c r="C262" s="11" t="str">
        <f t="shared" si="2"/>
        <v>C1598D</v>
      </c>
      <c r="D262" s="12">
        <f t="shared" si="3"/>
        <v>4</v>
      </c>
      <c r="E262" s="6">
        <f t="shared" si="4"/>
        <v>16</v>
      </c>
      <c r="F262" s="8">
        <f t="shared" si="5"/>
        <v>193</v>
      </c>
      <c r="G262" s="8" t="s">
        <v>346</v>
      </c>
      <c r="H262" s="8" t="s">
        <v>345</v>
      </c>
      <c r="I262" s="16"/>
    </row>
    <row r="263">
      <c r="A263" s="6">
        <v>261.0</v>
      </c>
      <c r="B263" s="7" t="str">
        <f t="shared" si="1"/>
        <v>1BDFED</v>
      </c>
      <c r="C263" s="11" t="str">
        <f t="shared" si="2"/>
        <v>C1598D</v>
      </c>
      <c r="D263" s="12">
        <f t="shared" si="3"/>
        <v>5</v>
      </c>
      <c r="E263" s="6">
        <f t="shared" si="4"/>
        <v>32</v>
      </c>
      <c r="F263" s="8">
        <f t="shared" si="5"/>
        <v>193</v>
      </c>
      <c r="G263" s="8" t="s">
        <v>347</v>
      </c>
      <c r="H263" s="8" t="s">
        <v>345</v>
      </c>
      <c r="I263" s="16"/>
    </row>
    <row r="264">
      <c r="A264" s="6">
        <v>262.0</v>
      </c>
      <c r="B264" s="7" t="str">
        <f t="shared" si="1"/>
        <v>1BDFED</v>
      </c>
      <c r="C264" s="11" t="str">
        <f t="shared" si="2"/>
        <v>C1598D</v>
      </c>
      <c r="D264" s="12">
        <f t="shared" si="3"/>
        <v>6</v>
      </c>
      <c r="E264" s="6">
        <f t="shared" si="4"/>
        <v>64</v>
      </c>
      <c r="F264" s="8">
        <f t="shared" si="5"/>
        <v>193</v>
      </c>
      <c r="G264" s="8" t="s">
        <v>95</v>
      </c>
      <c r="H264" s="13"/>
      <c r="I264" s="16"/>
    </row>
    <row r="265">
      <c r="A265" s="6">
        <v>263.0</v>
      </c>
      <c r="B265" s="7" t="str">
        <f t="shared" si="1"/>
        <v>1BDFED</v>
      </c>
      <c r="C265" s="11" t="str">
        <f t="shared" si="2"/>
        <v>C1598D</v>
      </c>
      <c r="D265" s="12">
        <f t="shared" si="3"/>
        <v>7</v>
      </c>
      <c r="E265" s="6">
        <f t="shared" si="4"/>
        <v>128</v>
      </c>
      <c r="F265" s="8">
        <f t="shared" si="5"/>
        <v>193</v>
      </c>
      <c r="G265" s="8" t="s">
        <v>95</v>
      </c>
      <c r="H265" s="13"/>
      <c r="I265" s="16"/>
    </row>
    <row r="266">
      <c r="A266" s="6">
        <v>264.0</v>
      </c>
      <c r="B266" s="7" t="str">
        <f t="shared" si="1"/>
        <v>1BDFEE</v>
      </c>
      <c r="C266" s="11" t="str">
        <f t="shared" si="2"/>
        <v>C1598E</v>
      </c>
      <c r="D266" s="12">
        <f t="shared" si="3"/>
        <v>0</v>
      </c>
      <c r="E266" s="6">
        <f t="shared" si="4"/>
        <v>1</v>
      </c>
      <c r="F266" s="8">
        <f t="shared" si="5"/>
        <v>194</v>
      </c>
      <c r="G266" s="8" t="s">
        <v>95</v>
      </c>
      <c r="H266" s="13"/>
      <c r="I266" s="16"/>
    </row>
    <row r="267">
      <c r="A267" s="6">
        <v>265.0</v>
      </c>
      <c r="B267" s="7" t="str">
        <f t="shared" si="1"/>
        <v>1BDFEE</v>
      </c>
      <c r="C267" s="11" t="str">
        <f t="shared" si="2"/>
        <v>C1598E</v>
      </c>
      <c r="D267" s="12">
        <f t="shared" si="3"/>
        <v>1</v>
      </c>
      <c r="E267" s="6">
        <f t="shared" si="4"/>
        <v>2</v>
      </c>
      <c r="F267" s="8">
        <f t="shared" si="5"/>
        <v>194</v>
      </c>
      <c r="G267" s="8" t="s">
        <v>95</v>
      </c>
      <c r="H267" s="13"/>
      <c r="I267" s="16"/>
    </row>
    <row r="268">
      <c r="A268" s="6">
        <v>266.0</v>
      </c>
      <c r="B268" s="7" t="str">
        <f t="shared" si="1"/>
        <v>1BDFEE</v>
      </c>
      <c r="C268" s="11" t="str">
        <f t="shared" si="2"/>
        <v>C1598E</v>
      </c>
      <c r="D268" s="12">
        <f t="shared" si="3"/>
        <v>2</v>
      </c>
      <c r="E268" s="6">
        <f t="shared" si="4"/>
        <v>4</v>
      </c>
      <c r="F268" s="8">
        <f t="shared" si="5"/>
        <v>194</v>
      </c>
      <c r="G268" s="8" t="s">
        <v>348</v>
      </c>
      <c r="H268" s="8" t="s">
        <v>349</v>
      </c>
      <c r="I268" s="17"/>
    </row>
    <row r="269">
      <c r="A269" s="6">
        <v>267.0</v>
      </c>
      <c r="B269" s="7" t="str">
        <f t="shared" si="1"/>
        <v>1BDFEE</v>
      </c>
      <c r="C269" s="11" t="str">
        <f t="shared" si="2"/>
        <v>C1598E</v>
      </c>
      <c r="D269" s="12">
        <f t="shared" si="3"/>
        <v>3</v>
      </c>
      <c r="E269" s="6">
        <f t="shared" si="4"/>
        <v>8</v>
      </c>
      <c r="F269" s="8">
        <f t="shared" si="5"/>
        <v>194</v>
      </c>
      <c r="G269" s="8" t="s">
        <v>350</v>
      </c>
      <c r="H269" s="13"/>
      <c r="I269" s="16"/>
    </row>
    <row r="270">
      <c r="A270" s="6">
        <v>268.0</v>
      </c>
      <c r="B270" s="7" t="str">
        <f t="shared" si="1"/>
        <v>1BDFEE</v>
      </c>
      <c r="C270" s="11" t="str">
        <f t="shared" si="2"/>
        <v>C1598E</v>
      </c>
      <c r="D270" s="12">
        <f t="shared" si="3"/>
        <v>4</v>
      </c>
      <c r="E270" s="6">
        <f t="shared" si="4"/>
        <v>16</v>
      </c>
      <c r="F270" s="8">
        <f t="shared" si="5"/>
        <v>194</v>
      </c>
      <c r="G270" s="8" t="s">
        <v>351</v>
      </c>
      <c r="H270" s="13"/>
      <c r="I270" s="16"/>
    </row>
    <row r="271">
      <c r="A271" s="6">
        <v>269.0</v>
      </c>
      <c r="B271" s="7" t="str">
        <f t="shared" si="1"/>
        <v>1BDFEE</v>
      </c>
      <c r="C271" s="11" t="str">
        <f t="shared" si="2"/>
        <v>C1598E</v>
      </c>
      <c r="D271" s="12">
        <f t="shared" si="3"/>
        <v>5</v>
      </c>
      <c r="E271" s="6">
        <f t="shared" si="4"/>
        <v>32</v>
      </c>
      <c r="F271" s="8">
        <f t="shared" si="5"/>
        <v>194</v>
      </c>
      <c r="G271" s="8" t="s">
        <v>352</v>
      </c>
      <c r="H271" s="13"/>
      <c r="I271" s="16"/>
    </row>
    <row r="272">
      <c r="A272" s="6">
        <v>270.0</v>
      </c>
      <c r="B272" s="7" t="str">
        <f t="shared" si="1"/>
        <v>1BDFEE</v>
      </c>
      <c r="C272" s="11" t="str">
        <f t="shared" si="2"/>
        <v>C1598E</v>
      </c>
      <c r="D272" s="12">
        <f t="shared" si="3"/>
        <v>6</v>
      </c>
      <c r="E272" s="6">
        <f t="shared" si="4"/>
        <v>64</v>
      </c>
      <c r="F272" s="8">
        <f t="shared" si="5"/>
        <v>194</v>
      </c>
      <c r="G272" s="8" t="s">
        <v>353</v>
      </c>
      <c r="H272" s="8" t="s">
        <v>354</v>
      </c>
      <c r="I272" s="17"/>
    </row>
    <row r="273">
      <c r="A273" s="6">
        <v>271.0</v>
      </c>
      <c r="B273" s="7" t="str">
        <f t="shared" si="1"/>
        <v>1BDFEE</v>
      </c>
      <c r="C273" s="11" t="str">
        <f t="shared" si="2"/>
        <v>C1598E</v>
      </c>
      <c r="D273" s="12">
        <f t="shared" si="3"/>
        <v>7</v>
      </c>
      <c r="E273" s="6">
        <f t="shared" si="4"/>
        <v>128</v>
      </c>
      <c r="F273" s="8">
        <f t="shared" si="5"/>
        <v>194</v>
      </c>
      <c r="G273" s="18" t="s">
        <v>355</v>
      </c>
      <c r="H273" s="13"/>
      <c r="I273" s="16"/>
    </row>
    <row r="274">
      <c r="A274" s="6">
        <v>272.0</v>
      </c>
      <c r="B274" s="7" t="str">
        <f t="shared" si="1"/>
        <v>1BDFEF</v>
      </c>
      <c r="C274" s="11" t="str">
        <f t="shared" si="2"/>
        <v>C1598F</v>
      </c>
      <c r="D274" s="12">
        <f t="shared" si="3"/>
        <v>0</v>
      </c>
      <c r="E274" s="6">
        <f t="shared" si="4"/>
        <v>1</v>
      </c>
      <c r="F274" s="8">
        <f t="shared" si="5"/>
        <v>195</v>
      </c>
      <c r="G274" s="18" t="s">
        <v>356</v>
      </c>
      <c r="H274" s="13"/>
      <c r="I274" s="16"/>
    </row>
    <row r="275">
      <c r="A275" s="6">
        <v>273.0</v>
      </c>
      <c r="B275" s="7" t="str">
        <f t="shared" si="1"/>
        <v>1BDFEF</v>
      </c>
      <c r="C275" s="11" t="str">
        <f t="shared" si="2"/>
        <v>C1598F</v>
      </c>
      <c r="D275" s="12">
        <f t="shared" si="3"/>
        <v>1</v>
      </c>
      <c r="E275" s="6">
        <f t="shared" si="4"/>
        <v>2</v>
      </c>
      <c r="F275" s="8">
        <f t="shared" si="5"/>
        <v>195</v>
      </c>
      <c r="G275" s="18" t="s">
        <v>357</v>
      </c>
      <c r="H275" s="13"/>
      <c r="I275" s="16"/>
    </row>
    <row r="276">
      <c r="A276" s="6">
        <v>274.0</v>
      </c>
      <c r="B276" s="7" t="str">
        <f t="shared" si="1"/>
        <v>1BDFEF</v>
      </c>
      <c r="C276" s="11" t="str">
        <f t="shared" si="2"/>
        <v>C1598F</v>
      </c>
      <c r="D276" s="12">
        <f t="shared" si="3"/>
        <v>2</v>
      </c>
      <c r="E276" s="6">
        <f t="shared" si="4"/>
        <v>4</v>
      </c>
      <c r="F276" s="8">
        <f t="shared" si="5"/>
        <v>195</v>
      </c>
      <c r="G276" s="18" t="s">
        <v>358</v>
      </c>
      <c r="H276" s="13"/>
      <c r="I276" s="16"/>
    </row>
    <row r="277">
      <c r="A277" s="6">
        <v>275.0</v>
      </c>
      <c r="B277" s="7" t="str">
        <f t="shared" si="1"/>
        <v>1BDFEF</v>
      </c>
      <c r="C277" s="11" t="str">
        <f t="shared" si="2"/>
        <v>C1598F</v>
      </c>
      <c r="D277" s="12">
        <f t="shared" si="3"/>
        <v>3</v>
      </c>
      <c r="E277" s="6">
        <f t="shared" si="4"/>
        <v>8</v>
      </c>
      <c r="F277" s="8">
        <f t="shared" si="5"/>
        <v>195</v>
      </c>
      <c r="G277" s="18" t="s">
        <v>359</v>
      </c>
      <c r="H277" s="13"/>
      <c r="I277" s="16"/>
    </row>
    <row r="278">
      <c r="A278" s="6">
        <v>276.0</v>
      </c>
      <c r="B278" s="7" t="str">
        <f t="shared" si="1"/>
        <v>1BDFEF</v>
      </c>
      <c r="C278" s="11" t="str">
        <f t="shared" si="2"/>
        <v>C1598F</v>
      </c>
      <c r="D278" s="12">
        <f t="shared" si="3"/>
        <v>4</v>
      </c>
      <c r="E278" s="6">
        <f t="shared" si="4"/>
        <v>16</v>
      </c>
      <c r="F278" s="8">
        <f t="shared" si="5"/>
        <v>195</v>
      </c>
      <c r="G278" s="18" t="s">
        <v>360</v>
      </c>
      <c r="H278" s="13"/>
      <c r="I278" s="16"/>
    </row>
    <row r="279">
      <c r="A279" s="6">
        <v>277.0</v>
      </c>
      <c r="B279" s="7" t="str">
        <f t="shared" si="1"/>
        <v>1BDFEF</v>
      </c>
      <c r="C279" s="11" t="str">
        <f t="shared" si="2"/>
        <v>C1598F</v>
      </c>
      <c r="D279" s="12">
        <f t="shared" si="3"/>
        <v>5</v>
      </c>
      <c r="E279" s="6">
        <f t="shared" si="4"/>
        <v>32</v>
      </c>
      <c r="F279" s="8">
        <f t="shared" si="5"/>
        <v>195</v>
      </c>
      <c r="G279" s="18" t="s">
        <v>361</v>
      </c>
      <c r="H279" s="13"/>
      <c r="I279" s="16"/>
    </row>
    <row r="280">
      <c r="A280" s="6">
        <v>278.0</v>
      </c>
      <c r="B280" s="7" t="str">
        <f t="shared" si="1"/>
        <v>1BDFEF</v>
      </c>
      <c r="C280" s="11" t="str">
        <f t="shared" si="2"/>
        <v>C1598F</v>
      </c>
      <c r="D280" s="12">
        <f t="shared" si="3"/>
        <v>6</v>
      </c>
      <c r="E280" s="6">
        <f t="shared" si="4"/>
        <v>64</v>
      </c>
      <c r="F280" s="8">
        <f t="shared" si="5"/>
        <v>195</v>
      </c>
      <c r="G280" s="18" t="s">
        <v>362</v>
      </c>
      <c r="H280" s="13"/>
      <c r="I280" s="15"/>
    </row>
    <row r="281">
      <c r="A281" s="6">
        <v>279.0</v>
      </c>
      <c r="B281" s="7" t="str">
        <f t="shared" si="1"/>
        <v>1BDFEF</v>
      </c>
      <c r="C281" s="11" t="str">
        <f t="shared" si="2"/>
        <v>C1598F</v>
      </c>
      <c r="D281" s="12">
        <f t="shared" si="3"/>
        <v>7</v>
      </c>
      <c r="E281" s="6">
        <f t="shared" si="4"/>
        <v>128</v>
      </c>
      <c r="F281" s="8">
        <f t="shared" si="5"/>
        <v>195</v>
      </c>
      <c r="G281" s="18" t="s">
        <v>363</v>
      </c>
      <c r="H281" s="13"/>
      <c r="I281" s="15"/>
    </row>
    <row r="282">
      <c r="A282" s="6">
        <v>280.0</v>
      </c>
      <c r="B282" s="7" t="str">
        <f t="shared" si="1"/>
        <v>1BDFF0</v>
      </c>
      <c r="C282" s="11" t="str">
        <f t="shared" si="2"/>
        <v>C15990</v>
      </c>
      <c r="D282" s="12">
        <f t="shared" si="3"/>
        <v>0</v>
      </c>
      <c r="E282" s="6">
        <f t="shared" si="4"/>
        <v>1</v>
      </c>
      <c r="F282" s="8">
        <f t="shared" si="5"/>
        <v>196</v>
      </c>
      <c r="G282" s="18" t="s">
        <v>364</v>
      </c>
      <c r="H282" s="13"/>
      <c r="I282" s="13"/>
    </row>
    <row r="283">
      <c r="A283" s="6">
        <v>281.0</v>
      </c>
      <c r="B283" s="7" t="str">
        <f t="shared" si="1"/>
        <v>1BDFF0</v>
      </c>
      <c r="C283" s="11" t="str">
        <f t="shared" si="2"/>
        <v>C15990</v>
      </c>
      <c r="D283" s="12">
        <f t="shared" si="3"/>
        <v>1</v>
      </c>
      <c r="E283" s="6">
        <f t="shared" si="4"/>
        <v>2</v>
      </c>
      <c r="F283" s="8">
        <f t="shared" si="5"/>
        <v>196</v>
      </c>
      <c r="G283" s="18" t="s">
        <v>365</v>
      </c>
      <c r="H283" s="13"/>
      <c r="I283" s="13"/>
    </row>
    <row r="284">
      <c r="A284" s="6">
        <v>282.0</v>
      </c>
      <c r="B284" s="7" t="str">
        <f t="shared" si="1"/>
        <v>1BDFF0</v>
      </c>
      <c r="C284" s="11" t="str">
        <f t="shared" si="2"/>
        <v>C15990</v>
      </c>
      <c r="D284" s="12">
        <f t="shared" si="3"/>
        <v>2</v>
      </c>
      <c r="E284" s="6">
        <f t="shared" si="4"/>
        <v>4</v>
      </c>
      <c r="F284" s="8">
        <f t="shared" si="5"/>
        <v>196</v>
      </c>
      <c r="G284" s="18" t="s">
        <v>366</v>
      </c>
      <c r="H284" s="13"/>
      <c r="I284" s="13"/>
    </row>
    <row r="285">
      <c r="A285" s="6">
        <v>283.0</v>
      </c>
      <c r="B285" s="7" t="str">
        <f t="shared" si="1"/>
        <v>1BDFF0</v>
      </c>
      <c r="C285" s="11" t="str">
        <f t="shared" si="2"/>
        <v>C15990</v>
      </c>
      <c r="D285" s="12">
        <f t="shared" si="3"/>
        <v>3</v>
      </c>
      <c r="E285" s="6">
        <f t="shared" si="4"/>
        <v>8</v>
      </c>
      <c r="F285" s="8">
        <f t="shared" si="5"/>
        <v>196</v>
      </c>
      <c r="G285" s="18" t="s">
        <v>367</v>
      </c>
      <c r="H285" s="13"/>
      <c r="I285" s="13"/>
    </row>
    <row r="286">
      <c r="A286" s="6">
        <v>284.0</v>
      </c>
      <c r="B286" s="7" t="str">
        <f t="shared" si="1"/>
        <v>1BDFF0</v>
      </c>
      <c r="C286" s="11" t="str">
        <f t="shared" si="2"/>
        <v>C15990</v>
      </c>
      <c r="D286" s="12">
        <f t="shared" si="3"/>
        <v>4</v>
      </c>
      <c r="E286" s="6">
        <f t="shared" si="4"/>
        <v>16</v>
      </c>
      <c r="F286" s="8">
        <f t="shared" si="5"/>
        <v>196</v>
      </c>
      <c r="G286" s="18" t="s">
        <v>368</v>
      </c>
      <c r="H286" s="13"/>
      <c r="I286" s="13"/>
    </row>
    <row r="287">
      <c r="A287" s="6">
        <v>285.0</v>
      </c>
      <c r="B287" s="7" t="str">
        <f t="shared" si="1"/>
        <v>1BDFF0</v>
      </c>
      <c r="C287" s="11" t="str">
        <f t="shared" si="2"/>
        <v>C15990</v>
      </c>
      <c r="D287" s="12">
        <f t="shared" si="3"/>
        <v>5</v>
      </c>
      <c r="E287" s="6">
        <f t="shared" si="4"/>
        <v>32</v>
      </c>
      <c r="F287" s="8">
        <f t="shared" si="5"/>
        <v>196</v>
      </c>
      <c r="G287" s="18" t="s">
        <v>369</v>
      </c>
      <c r="H287" s="13"/>
      <c r="I287" s="13"/>
    </row>
    <row r="288">
      <c r="A288" s="6">
        <v>286.0</v>
      </c>
      <c r="B288" s="7" t="str">
        <f t="shared" si="1"/>
        <v>1BDFF0</v>
      </c>
      <c r="C288" s="11" t="str">
        <f t="shared" si="2"/>
        <v>C15990</v>
      </c>
      <c r="D288" s="12">
        <f t="shared" si="3"/>
        <v>6</v>
      </c>
      <c r="E288" s="6">
        <f t="shared" si="4"/>
        <v>64</v>
      </c>
      <c r="F288" s="8">
        <f t="shared" si="5"/>
        <v>196</v>
      </c>
      <c r="G288" s="18" t="s">
        <v>370</v>
      </c>
      <c r="H288" s="13"/>
      <c r="I288" s="13"/>
    </row>
    <row r="289">
      <c r="A289" s="6">
        <v>287.0</v>
      </c>
      <c r="B289" s="7" t="str">
        <f t="shared" si="1"/>
        <v>1BDFF0</v>
      </c>
      <c r="C289" s="11" t="str">
        <f t="shared" si="2"/>
        <v>C15990</v>
      </c>
      <c r="D289" s="12">
        <f t="shared" si="3"/>
        <v>7</v>
      </c>
      <c r="E289" s="6">
        <f t="shared" si="4"/>
        <v>128</v>
      </c>
      <c r="F289" s="8">
        <f t="shared" si="5"/>
        <v>196</v>
      </c>
      <c r="G289" s="18" t="s">
        <v>371</v>
      </c>
      <c r="H289" s="13"/>
      <c r="I289" s="13"/>
    </row>
    <row r="290">
      <c r="A290" s="6">
        <v>288.0</v>
      </c>
      <c r="B290" s="7" t="str">
        <f t="shared" si="1"/>
        <v>1BDFF1</v>
      </c>
      <c r="C290" s="11" t="str">
        <f t="shared" si="2"/>
        <v>C15991</v>
      </c>
      <c r="D290" s="12">
        <f t="shared" si="3"/>
        <v>0</v>
      </c>
      <c r="E290" s="6">
        <f t="shared" si="4"/>
        <v>1</v>
      </c>
      <c r="F290" s="8">
        <f t="shared" si="5"/>
        <v>197</v>
      </c>
      <c r="G290" s="18" t="s">
        <v>372</v>
      </c>
      <c r="H290" s="13"/>
      <c r="I290" s="13"/>
    </row>
    <row r="291">
      <c r="A291" s="6">
        <v>289.0</v>
      </c>
      <c r="B291" s="7" t="str">
        <f t="shared" si="1"/>
        <v>1BDFF1</v>
      </c>
      <c r="C291" s="11" t="str">
        <f t="shared" si="2"/>
        <v>C15991</v>
      </c>
      <c r="D291" s="12">
        <f t="shared" si="3"/>
        <v>1</v>
      </c>
      <c r="E291" s="6">
        <f t="shared" si="4"/>
        <v>2</v>
      </c>
      <c r="F291" s="8">
        <f t="shared" si="5"/>
        <v>197</v>
      </c>
      <c r="G291" s="18" t="s">
        <v>373</v>
      </c>
      <c r="H291" s="13"/>
      <c r="I291" s="13"/>
    </row>
    <row r="292">
      <c r="A292" s="6">
        <v>290.0</v>
      </c>
      <c r="B292" s="7" t="str">
        <f t="shared" si="1"/>
        <v>1BDFF1</v>
      </c>
      <c r="C292" s="11" t="str">
        <f t="shared" si="2"/>
        <v>C15991</v>
      </c>
      <c r="D292" s="12">
        <f t="shared" si="3"/>
        <v>2</v>
      </c>
      <c r="E292" s="6">
        <f t="shared" si="4"/>
        <v>4</v>
      </c>
      <c r="F292" s="8">
        <f t="shared" si="5"/>
        <v>197</v>
      </c>
      <c r="G292" s="18" t="s">
        <v>374</v>
      </c>
      <c r="H292" s="13"/>
      <c r="I292" s="13"/>
    </row>
    <row r="293">
      <c r="A293" s="6">
        <v>291.0</v>
      </c>
      <c r="B293" s="7" t="str">
        <f t="shared" si="1"/>
        <v>1BDFF1</v>
      </c>
      <c r="C293" s="11" t="str">
        <f t="shared" si="2"/>
        <v>C15991</v>
      </c>
      <c r="D293" s="12">
        <f t="shared" si="3"/>
        <v>3</v>
      </c>
      <c r="E293" s="6">
        <f t="shared" si="4"/>
        <v>8</v>
      </c>
      <c r="F293" s="8">
        <f t="shared" si="5"/>
        <v>197</v>
      </c>
      <c r="G293" s="18" t="s">
        <v>375</v>
      </c>
      <c r="H293" s="13"/>
      <c r="I293" s="13"/>
    </row>
    <row r="294">
      <c r="A294" s="6">
        <v>292.0</v>
      </c>
      <c r="B294" s="7" t="str">
        <f t="shared" si="1"/>
        <v>1BDFF1</v>
      </c>
      <c r="C294" s="11" t="str">
        <f t="shared" si="2"/>
        <v>C15991</v>
      </c>
      <c r="D294" s="12">
        <f t="shared" si="3"/>
        <v>4</v>
      </c>
      <c r="E294" s="6">
        <f t="shared" si="4"/>
        <v>16</v>
      </c>
      <c r="F294" s="8">
        <f t="shared" si="5"/>
        <v>197</v>
      </c>
      <c r="G294" s="18" t="s">
        <v>376</v>
      </c>
      <c r="H294" s="13"/>
      <c r="I294" s="13"/>
    </row>
    <row r="295">
      <c r="A295" s="6">
        <v>293.0</v>
      </c>
      <c r="B295" s="7" t="str">
        <f t="shared" si="1"/>
        <v>1BDFF1</v>
      </c>
      <c r="C295" s="11" t="str">
        <f t="shared" si="2"/>
        <v>C15991</v>
      </c>
      <c r="D295" s="12">
        <f t="shared" si="3"/>
        <v>5</v>
      </c>
      <c r="E295" s="6">
        <f t="shared" si="4"/>
        <v>32</v>
      </c>
      <c r="F295" s="8">
        <f t="shared" si="5"/>
        <v>197</v>
      </c>
      <c r="G295" s="18" t="s">
        <v>377</v>
      </c>
      <c r="H295" s="13"/>
      <c r="I295" s="13"/>
    </row>
    <row r="296">
      <c r="A296" s="6">
        <v>294.0</v>
      </c>
      <c r="B296" s="7" t="str">
        <f t="shared" si="1"/>
        <v>1BDFF1</v>
      </c>
      <c r="C296" s="11" t="str">
        <f t="shared" si="2"/>
        <v>C15991</v>
      </c>
      <c r="D296" s="12">
        <f t="shared" si="3"/>
        <v>6</v>
      </c>
      <c r="E296" s="6">
        <f t="shared" si="4"/>
        <v>64</v>
      </c>
      <c r="F296" s="8">
        <f t="shared" si="5"/>
        <v>197</v>
      </c>
      <c r="G296" s="18" t="s">
        <v>378</v>
      </c>
      <c r="H296" s="13"/>
      <c r="I296" s="13"/>
    </row>
    <row r="297">
      <c r="A297" s="6">
        <v>295.0</v>
      </c>
      <c r="B297" s="7" t="str">
        <f t="shared" si="1"/>
        <v>1BDFF1</v>
      </c>
      <c r="C297" s="11" t="str">
        <f t="shared" si="2"/>
        <v>C15991</v>
      </c>
      <c r="D297" s="12">
        <f t="shared" si="3"/>
        <v>7</v>
      </c>
      <c r="E297" s="6">
        <f t="shared" si="4"/>
        <v>128</v>
      </c>
      <c r="F297" s="8">
        <f t="shared" si="5"/>
        <v>197</v>
      </c>
      <c r="G297" s="18" t="s">
        <v>379</v>
      </c>
      <c r="H297" s="13"/>
      <c r="I297" s="13"/>
    </row>
    <row r="298">
      <c r="A298" s="6">
        <v>296.0</v>
      </c>
      <c r="B298" s="7" t="str">
        <f t="shared" si="1"/>
        <v>1BDFF2</v>
      </c>
      <c r="C298" s="11" t="str">
        <f t="shared" si="2"/>
        <v>C15992</v>
      </c>
      <c r="D298" s="12">
        <f t="shared" si="3"/>
        <v>0</v>
      </c>
      <c r="E298" s="6">
        <f t="shared" si="4"/>
        <v>1</v>
      </c>
      <c r="F298" s="8">
        <f t="shared" si="5"/>
        <v>198</v>
      </c>
      <c r="G298" s="18" t="s">
        <v>380</v>
      </c>
      <c r="H298" s="13"/>
      <c r="I298" s="13"/>
    </row>
    <row r="299">
      <c r="A299" s="6">
        <v>297.0</v>
      </c>
      <c r="B299" s="7" t="str">
        <f t="shared" si="1"/>
        <v>1BDFF2</v>
      </c>
      <c r="C299" s="11" t="str">
        <f t="shared" si="2"/>
        <v>C15992</v>
      </c>
      <c r="D299" s="12">
        <f t="shared" si="3"/>
        <v>1</v>
      </c>
      <c r="E299" s="6">
        <f t="shared" si="4"/>
        <v>2</v>
      </c>
      <c r="F299" s="8">
        <f t="shared" si="5"/>
        <v>198</v>
      </c>
      <c r="G299" s="18" t="s">
        <v>381</v>
      </c>
      <c r="H299" s="13"/>
      <c r="I299" s="13"/>
    </row>
    <row r="300">
      <c r="A300" s="6">
        <v>298.0</v>
      </c>
      <c r="B300" s="7" t="str">
        <f t="shared" si="1"/>
        <v>1BDFF2</v>
      </c>
      <c r="C300" s="11" t="str">
        <f t="shared" si="2"/>
        <v>C15992</v>
      </c>
      <c r="D300" s="12">
        <f t="shared" si="3"/>
        <v>2</v>
      </c>
      <c r="E300" s="6">
        <f t="shared" si="4"/>
        <v>4</v>
      </c>
      <c r="F300" s="8">
        <f t="shared" si="5"/>
        <v>198</v>
      </c>
      <c r="G300" s="18" t="s">
        <v>382</v>
      </c>
      <c r="H300" s="13"/>
      <c r="I300" s="13"/>
    </row>
    <row r="301">
      <c r="A301" s="6">
        <v>299.0</v>
      </c>
      <c r="B301" s="7" t="str">
        <f t="shared" si="1"/>
        <v>1BDFF2</v>
      </c>
      <c r="C301" s="11" t="str">
        <f t="shared" si="2"/>
        <v>C15992</v>
      </c>
      <c r="D301" s="12">
        <f t="shared" si="3"/>
        <v>3</v>
      </c>
      <c r="E301" s="6">
        <f t="shared" si="4"/>
        <v>8</v>
      </c>
      <c r="F301" s="8">
        <f t="shared" si="5"/>
        <v>198</v>
      </c>
      <c r="G301" s="18" t="s">
        <v>383</v>
      </c>
      <c r="H301" s="13"/>
      <c r="I301" s="13"/>
    </row>
    <row r="302">
      <c r="A302" s="6">
        <v>300.0</v>
      </c>
      <c r="B302" s="7" t="str">
        <f t="shared" si="1"/>
        <v>1BDFF2</v>
      </c>
      <c r="C302" s="11" t="str">
        <f t="shared" si="2"/>
        <v>C15992</v>
      </c>
      <c r="D302" s="12">
        <f t="shared" si="3"/>
        <v>4</v>
      </c>
      <c r="E302" s="6">
        <f t="shared" si="4"/>
        <v>16</v>
      </c>
      <c r="F302" s="8">
        <f t="shared" si="5"/>
        <v>198</v>
      </c>
      <c r="G302" s="18" t="s">
        <v>384</v>
      </c>
      <c r="H302" s="13"/>
      <c r="I302" s="13"/>
    </row>
    <row r="303">
      <c r="A303" s="6">
        <v>301.0</v>
      </c>
      <c r="B303" s="7" t="str">
        <f t="shared" si="1"/>
        <v>1BDFF2</v>
      </c>
      <c r="C303" s="11" t="str">
        <f t="shared" si="2"/>
        <v>C15992</v>
      </c>
      <c r="D303" s="12">
        <f t="shared" si="3"/>
        <v>5</v>
      </c>
      <c r="E303" s="6">
        <f t="shared" si="4"/>
        <v>32</v>
      </c>
      <c r="F303" s="8">
        <f t="shared" si="5"/>
        <v>198</v>
      </c>
      <c r="G303" s="18" t="s">
        <v>385</v>
      </c>
      <c r="H303" s="13"/>
      <c r="I303" s="13"/>
    </row>
    <row r="304">
      <c r="A304" s="6">
        <v>302.0</v>
      </c>
      <c r="B304" s="7" t="str">
        <f t="shared" si="1"/>
        <v>1BDFF2</v>
      </c>
      <c r="C304" s="11" t="str">
        <f t="shared" si="2"/>
        <v>C15992</v>
      </c>
      <c r="D304" s="12">
        <f t="shared" si="3"/>
        <v>6</v>
      </c>
      <c r="E304" s="6">
        <f t="shared" si="4"/>
        <v>64</v>
      </c>
      <c r="F304" s="8">
        <f t="shared" si="5"/>
        <v>198</v>
      </c>
      <c r="G304" s="18" t="s">
        <v>386</v>
      </c>
      <c r="H304" s="13"/>
      <c r="I304" s="13"/>
    </row>
    <row r="305">
      <c r="A305" s="6">
        <v>303.0</v>
      </c>
      <c r="B305" s="7" t="str">
        <f t="shared" si="1"/>
        <v>1BDFF2</v>
      </c>
      <c r="C305" s="11" t="str">
        <f t="shared" si="2"/>
        <v>C15992</v>
      </c>
      <c r="D305" s="12">
        <f t="shared" si="3"/>
        <v>7</v>
      </c>
      <c r="E305" s="6">
        <f t="shared" si="4"/>
        <v>128</v>
      </c>
      <c r="F305" s="8">
        <f t="shared" si="5"/>
        <v>198</v>
      </c>
      <c r="G305" s="18" t="s">
        <v>387</v>
      </c>
      <c r="H305" s="13"/>
      <c r="I305" s="13"/>
    </row>
    <row r="306">
      <c r="A306" s="6">
        <v>304.0</v>
      </c>
      <c r="B306" s="7" t="str">
        <f t="shared" si="1"/>
        <v>1BDFF3</v>
      </c>
      <c r="C306" s="11" t="str">
        <f t="shared" si="2"/>
        <v>C15993</v>
      </c>
      <c r="D306" s="12">
        <f t="shared" si="3"/>
        <v>0</v>
      </c>
      <c r="E306" s="6">
        <f t="shared" si="4"/>
        <v>1</v>
      </c>
      <c r="F306" s="8">
        <f t="shared" si="5"/>
        <v>199</v>
      </c>
      <c r="G306" s="18" t="s">
        <v>388</v>
      </c>
      <c r="H306" s="13"/>
      <c r="I306" s="13"/>
    </row>
    <row r="307">
      <c r="A307" s="6">
        <v>305.0</v>
      </c>
      <c r="B307" s="7" t="str">
        <f t="shared" si="1"/>
        <v>1BDFF3</v>
      </c>
      <c r="C307" s="11" t="str">
        <f t="shared" si="2"/>
        <v>C15993</v>
      </c>
      <c r="D307" s="12">
        <f t="shared" si="3"/>
        <v>1</v>
      </c>
      <c r="E307" s="6">
        <f t="shared" si="4"/>
        <v>2</v>
      </c>
      <c r="F307" s="8">
        <f t="shared" si="5"/>
        <v>199</v>
      </c>
      <c r="G307" s="18" t="s">
        <v>389</v>
      </c>
      <c r="H307" s="13"/>
      <c r="I307" s="13"/>
    </row>
    <row r="308">
      <c r="A308" s="6">
        <v>306.0</v>
      </c>
      <c r="B308" s="7" t="str">
        <f t="shared" si="1"/>
        <v>1BDFF3</v>
      </c>
      <c r="C308" s="11" t="str">
        <f t="shared" si="2"/>
        <v>C15993</v>
      </c>
      <c r="D308" s="12">
        <f t="shared" si="3"/>
        <v>2</v>
      </c>
      <c r="E308" s="6">
        <f t="shared" si="4"/>
        <v>4</v>
      </c>
      <c r="F308" s="8">
        <f t="shared" si="5"/>
        <v>199</v>
      </c>
      <c r="G308" s="18" t="s">
        <v>390</v>
      </c>
      <c r="H308" s="13"/>
      <c r="I308" s="13"/>
    </row>
    <row r="309">
      <c r="A309" s="6">
        <v>307.0</v>
      </c>
      <c r="B309" s="7" t="str">
        <f t="shared" si="1"/>
        <v>1BDFF3</v>
      </c>
      <c r="C309" s="11" t="str">
        <f t="shared" si="2"/>
        <v>C15993</v>
      </c>
      <c r="D309" s="12">
        <f t="shared" si="3"/>
        <v>3</v>
      </c>
      <c r="E309" s="6">
        <f t="shared" si="4"/>
        <v>8</v>
      </c>
      <c r="F309" s="8">
        <f t="shared" si="5"/>
        <v>199</v>
      </c>
      <c r="G309" s="18" t="s">
        <v>391</v>
      </c>
      <c r="H309" s="13"/>
      <c r="I309" s="13"/>
    </row>
    <row r="310">
      <c r="A310" s="6">
        <v>308.0</v>
      </c>
      <c r="B310" s="7" t="str">
        <f t="shared" si="1"/>
        <v>1BDFF3</v>
      </c>
      <c r="C310" s="11" t="str">
        <f t="shared" si="2"/>
        <v>C15993</v>
      </c>
      <c r="D310" s="12">
        <f t="shared" si="3"/>
        <v>4</v>
      </c>
      <c r="E310" s="6">
        <f t="shared" si="4"/>
        <v>16</v>
      </c>
      <c r="F310" s="8">
        <f t="shared" si="5"/>
        <v>199</v>
      </c>
      <c r="G310" s="18" t="s">
        <v>392</v>
      </c>
      <c r="H310" s="13"/>
      <c r="I310" s="13"/>
    </row>
    <row r="311">
      <c r="A311" s="6">
        <v>309.0</v>
      </c>
      <c r="B311" s="7" t="str">
        <f t="shared" si="1"/>
        <v>1BDFF3</v>
      </c>
      <c r="C311" s="11" t="str">
        <f t="shared" si="2"/>
        <v>C15993</v>
      </c>
      <c r="D311" s="12">
        <f t="shared" si="3"/>
        <v>5</v>
      </c>
      <c r="E311" s="6">
        <f t="shared" si="4"/>
        <v>32</v>
      </c>
      <c r="F311" s="8">
        <f t="shared" si="5"/>
        <v>199</v>
      </c>
      <c r="G311" s="18" t="s">
        <v>393</v>
      </c>
      <c r="H311" s="13"/>
      <c r="I311" s="13"/>
    </row>
    <row r="312">
      <c r="A312" s="6">
        <v>310.0</v>
      </c>
      <c r="B312" s="7" t="str">
        <f t="shared" si="1"/>
        <v>1BDFF3</v>
      </c>
      <c r="C312" s="11" t="str">
        <f t="shared" si="2"/>
        <v>C15993</v>
      </c>
      <c r="D312" s="12">
        <f t="shared" si="3"/>
        <v>6</v>
      </c>
      <c r="E312" s="6">
        <f t="shared" si="4"/>
        <v>64</v>
      </c>
      <c r="F312" s="8">
        <f t="shared" si="5"/>
        <v>199</v>
      </c>
      <c r="G312" s="18" t="s">
        <v>394</v>
      </c>
      <c r="H312" s="8" t="s">
        <v>345</v>
      </c>
      <c r="I312" s="13"/>
    </row>
    <row r="313">
      <c r="A313" s="6">
        <v>311.0</v>
      </c>
      <c r="B313" s="7" t="str">
        <f t="shared" si="1"/>
        <v>1BDFF3</v>
      </c>
      <c r="C313" s="11" t="str">
        <f t="shared" si="2"/>
        <v>C15993</v>
      </c>
      <c r="D313" s="12">
        <f t="shared" si="3"/>
        <v>7</v>
      </c>
      <c r="E313" s="6">
        <f t="shared" si="4"/>
        <v>128</v>
      </c>
      <c r="F313" s="8">
        <f t="shared" si="5"/>
        <v>199</v>
      </c>
      <c r="G313" s="18" t="s">
        <v>395</v>
      </c>
      <c r="H313" s="13"/>
      <c r="I313" s="13"/>
    </row>
    <row r="314">
      <c r="A314" s="6">
        <v>312.0</v>
      </c>
      <c r="B314" s="7" t="str">
        <f t="shared" si="1"/>
        <v>1BDFF4</v>
      </c>
      <c r="C314" s="11" t="str">
        <f t="shared" si="2"/>
        <v>C15994</v>
      </c>
      <c r="D314" s="12">
        <f t="shared" si="3"/>
        <v>0</v>
      </c>
      <c r="E314" s="6">
        <f t="shared" si="4"/>
        <v>1</v>
      </c>
      <c r="F314" s="8">
        <f t="shared" si="5"/>
        <v>200</v>
      </c>
      <c r="G314" s="18" t="s">
        <v>396</v>
      </c>
      <c r="H314" s="8" t="s">
        <v>345</v>
      </c>
      <c r="I314" s="13"/>
    </row>
    <row r="315">
      <c r="A315" s="6">
        <v>313.0</v>
      </c>
      <c r="B315" s="7" t="str">
        <f t="shared" si="1"/>
        <v>1BDFF4</v>
      </c>
      <c r="C315" s="11" t="str">
        <f t="shared" si="2"/>
        <v>C15994</v>
      </c>
      <c r="D315" s="12">
        <f t="shared" si="3"/>
        <v>1</v>
      </c>
      <c r="E315" s="6">
        <f t="shared" si="4"/>
        <v>2</v>
      </c>
      <c r="F315" s="8">
        <f t="shared" si="5"/>
        <v>200</v>
      </c>
      <c r="G315" s="18" t="s">
        <v>397</v>
      </c>
      <c r="H315" s="13"/>
      <c r="I315" s="13"/>
    </row>
    <row r="316">
      <c r="A316" s="6">
        <v>314.0</v>
      </c>
      <c r="B316" s="7" t="str">
        <f t="shared" si="1"/>
        <v>1BDFF4</v>
      </c>
      <c r="C316" s="11" t="str">
        <f t="shared" si="2"/>
        <v>C15994</v>
      </c>
      <c r="D316" s="12">
        <f t="shared" si="3"/>
        <v>2</v>
      </c>
      <c r="E316" s="6">
        <f t="shared" si="4"/>
        <v>4</v>
      </c>
      <c r="F316" s="8">
        <f t="shared" si="5"/>
        <v>200</v>
      </c>
      <c r="G316" s="8" t="s">
        <v>95</v>
      </c>
      <c r="H316" s="13"/>
      <c r="I316" s="13"/>
    </row>
    <row r="317">
      <c r="A317" s="6">
        <v>315.0</v>
      </c>
      <c r="B317" s="7" t="str">
        <f t="shared" si="1"/>
        <v>1BDFF4</v>
      </c>
      <c r="C317" s="11" t="str">
        <f t="shared" si="2"/>
        <v>C15994</v>
      </c>
      <c r="D317" s="12">
        <f t="shared" si="3"/>
        <v>3</v>
      </c>
      <c r="E317" s="6">
        <f t="shared" si="4"/>
        <v>8</v>
      </c>
      <c r="F317" s="8">
        <f t="shared" si="5"/>
        <v>200</v>
      </c>
      <c r="G317" s="8" t="s">
        <v>95</v>
      </c>
      <c r="H317" s="8"/>
      <c r="I317" s="10"/>
    </row>
    <row r="318">
      <c r="A318" s="6">
        <v>316.0</v>
      </c>
      <c r="B318" s="7" t="str">
        <f t="shared" si="1"/>
        <v>1BDFF4</v>
      </c>
      <c r="C318" s="11" t="str">
        <f t="shared" si="2"/>
        <v>C15994</v>
      </c>
      <c r="D318" s="12">
        <f t="shared" si="3"/>
        <v>4</v>
      </c>
      <c r="E318" s="6">
        <f t="shared" si="4"/>
        <v>16</v>
      </c>
      <c r="F318" s="8">
        <f t="shared" si="5"/>
        <v>200</v>
      </c>
      <c r="G318" s="8" t="s">
        <v>95</v>
      </c>
      <c r="H318" s="8"/>
      <c r="I318" s="10"/>
    </row>
    <row r="319">
      <c r="A319" s="6">
        <v>317.0</v>
      </c>
      <c r="B319" s="7" t="str">
        <f t="shared" si="1"/>
        <v>1BDFF4</v>
      </c>
      <c r="C319" s="11" t="str">
        <f t="shared" si="2"/>
        <v>C15994</v>
      </c>
      <c r="D319" s="12">
        <f t="shared" si="3"/>
        <v>5</v>
      </c>
      <c r="E319" s="6">
        <f t="shared" si="4"/>
        <v>32</v>
      </c>
      <c r="F319" s="8">
        <f t="shared" si="5"/>
        <v>200</v>
      </c>
      <c r="G319" s="8" t="s">
        <v>95</v>
      </c>
      <c r="H319" s="8"/>
      <c r="I319" s="10"/>
    </row>
    <row r="320">
      <c r="A320" s="6">
        <v>318.0</v>
      </c>
      <c r="B320" s="7" t="str">
        <f t="shared" si="1"/>
        <v>1BDFF4</v>
      </c>
      <c r="C320" s="11" t="str">
        <f t="shared" si="2"/>
        <v>C15994</v>
      </c>
      <c r="D320" s="12">
        <f t="shared" si="3"/>
        <v>6</v>
      </c>
      <c r="E320" s="6">
        <f t="shared" si="4"/>
        <v>64</v>
      </c>
      <c r="F320" s="8">
        <f t="shared" si="5"/>
        <v>200</v>
      </c>
      <c r="G320" s="8" t="s">
        <v>95</v>
      </c>
      <c r="H320" s="8"/>
      <c r="I320" s="10"/>
    </row>
    <row r="321">
      <c r="A321" s="6">
        <v>319.0</v>
      </c>
      <c r="B321" s="7" t="str">
        <f t="shared" si="1"/>
        <v>1BDFF4</v>
      </c>
      <c r="C321" s="11" t="str">
        <f t="shared" si="2"/>
        <v>C15994</v>
      </c>
      <c r="D321" s="12">
        <f t="shared" si="3"/>
        <v>7</v>
      </c>
      <c r="E321" s="6">
        <f t="shared" si="4"/>
        <v>128</v>
      </c>
      <c r="F321" s="8">
        <f t="shared" si="5"/>
        <v>200</v>
      </c>
      <c r="G321" s="8" t="s">
        <v>398</v>
      </c>
      <c r="H321" s="13"/>
      <c r="I321" s="13"/>
    </row>
    <row r="322">
      <c r="A322" s="6">
        <v>320.0</v>
      </c>
      <c r="B322" s="7" t="str">
        <f t="shared" si="1"/>
        <v>1BDFF5</v>
      </c>
      <c r="C322" s="11" t="str">
        <f t="shared" si="2"/>
        <v>C15995</v>
      </c>
      <c r="D322" s="12">
        <f t="shared" si="3"/>
        <v>0</v>
      </c>
      <c r="E322" s="6">
        <f t="shared" si="4"/>
        <v>1</v>
      </c>
      <c r="F322" s="8">
        <f t="shared" si="5"/>
        <v>201</v>
      </c>
      <c r="G322" s="8" t="s">
        <v>399</v>
      </c>
      <c r="H322" s="13"/>
      <c r="I322" s="13"/>
    </row>
    <row r="323">
      <c r="A323" s="6">
        <v>321.0</v>
      </c>
      <c r="B323" s="7" t="str">
        <f t="shared" si="1"/>
        <v>1BDFF5</v>
      </c>
      <c r="C323" s="11" t="str">
        <f t="shared" si="2"/>
        <v>C15995</v>
      </c>
      <c r="D323" s="12">
        <f t="shared" si="3"/>
        <v>1</v>
      </c>
      <c r="E323" s="6">
        <f t="shared" si="4"/>
        <v>2</v>
      </c>
      <c r="F323" s="8">
        <f t="shared" si="5"/>
        <v>201</v>
      </c>
      <c r="G323" s="8" t="s">
        <v>400</v>
      </c>
      <c r="H323" s="13"/>
      <c r="I323" s="13"/>
    </row>
    <row r="324">
      <c r="A324" s="6">
        <v>322.0</v>
      </c>
      <c r="B324" s="7" t="str">
        <f t="shared" si="1"/>
        <v>1BDFF5</v>
      </c>
      <c r="C324" s="11" t="str">
        <f t="shared" si="2"/>
        <v>C15995</v>
      </c>
      <c r="D324" s="12">
        <f t="shared" si="3"/>
        <v>2</v>
      </c>
      <c r="E324" s="6">
        <f t="shared" si="4"/>
        <v>4</v>
      </c>
      <c r="F324" s="8">
        <f t="shared" si="5"/>
        <v>201</v>
      </c>
      <c r="G324" s="8" t="s">
        <v>401</v>
      </c>
      <c r="H324" s="13"/>
      <c r="I324" s="13"/>
    </row>
    <row r="325">
      <c r="A325" s="6">
        <v>323.0</v>
      </c>
      <c r="B325" s="7" t="str">
        <f t="shared" si="1"/>
        <v>1BDFF5</v>
      </c>
      <c r="C325" s="11" t="str">
        <f t="shared" si="2"/>
        <v>C15995</v>
      </c>
      <c r="D325" s="12">
        <f t="shared" si="3"/>
        <v>3</v>
      </c>
      <c r="E325" s="6">
        <f t="shared" si="4"/>
        <v>8</v>
      </c>
      <c r="F325" s="8">
        <f t="shared" si="5"/>
        <v>201</v>
      </c>
      <c r="G325" s="8" t="s">
        <v>402</v>
      </c>
      <c r="H325" s="13"/>
      <c r="I325" s="13"/>
    </row>
    <row r="326">
      <c r="A326" s="6">
        <v>324.0</v>
      </c>
      <c r="B326" s="7" t="str">
        <f t="shared" si="1"/>
        <v>1BDFF5</v>
      </c>
      <c r="C326" s="11" t="str">
        <f t="shared" si="2"/>
        <v>C15995</v>
      </c>
      <c r="D326" s="12">
        <f t="shared" si="3"/>
        <v>4</v>
      </c>
      <c r="E326" s="6">
        <f t="shared" si="4"/>
        <v>16</v>
      </c>
      <c r="F326" s="8">
        <f t="shared" si="5"/>
        <v>201</v>
      </c>
      <c r="G326" s="8" t="s">
        <v>403</v>
      </c>
      <c r="H326" s="13"/>
      <c r="I326" s="13"/>
    </row>
    <row r="327">
      <c r="A327" s="6">
        <v>325.0</v>
      </c>
      <c r="B327" s="7" t="str">
        <f t="shared" si="1"/>
        <v>1BDFF5</v>
      </c>
      <c r="C327" s="11" t="str">
        <f t="shared" si="2"/>
        <v>C15995</v>
      </c>
      <c r="D327" s="12">
        <f t="shared" si="3"/>
        <v>5</v>
      </c>
      <c r="E327" s="6">
        <f t="shared" si="4"/>
        <v>32</v>
      </c>
      <c r="F327" s="8">
        <f t="shared" si="5"/>
        <v>201</v>
      </c>
      <c r="G327" s="8" t="s">
        <v>404</v>
      </c>
      <c r="H327" s="8" t="s">
        <v>405</v>
      </c>
      <c r="I327" s="13"/>
    </row>
    <row r="328">
      <c r="A328" s="6">
        <v>326.0</v>
      </c>
      <c r="B328" s="7" t="str">
        <f t="shared" si="1"/>
        <v>1BDFF5</v>
      </c>
      <c r="C328" s="11" t="str">
        <f t="shared" si="2"/>
        <v>C15995</v>
      </c>
      <c r="D328" s="12">
        <f t="shared" si="3"/>
        <v>6</v>
      </c>
      <c r="E328" s="6">
        <f t="shared" si="4"/>
        <v>64</v>
      </c>
      <c r="F328" s="8">
        <f t="shared" si="5"/>
        <v>201</v>
      </c>
      <c r="G328" s="8" t="s">
        <v>406</v>
      </c>
      <c r="H328" s="13"/>
      <c r="I328" s="13"/>
    </row>
    <row r="329">
      <c r="A329" s="6">
        <v>327.0</v>
      </c>
      <c r="B329" s="7" t="str">
        <f t="shared" si="1"/>
        <v>1BDFF5</v>
      </c>
      <c r="C329" s="11" t="str">
        <f t="shared" si="2"/>
        <v>C15995</v>
      </c>
      <c r="D329" s="12">
        <f t="shared" si="3"/>
        <v>7</v>
      </c>
      <c r="E329" s="6">
        <f t="shared" si="4"/>
        <v>128</v>
      </c>
      <c r="F329" s="8">
        <f t="shared" si="5"/>
        <v>201</v>
      </c>
      <c r="G329" s="8" t="s">
        <v>95</v>
      </c>
      <c r="H329" s="13"/>
      <c r="I329" s="13"/>
    </row>
    <row r="330">
      <c r="A330" s="6">
        <v>328.0</v>
      </c>
      <c r="B330" s="7" t="str">
        <f t="shared" si="1"/>
        <v>1BDFF6</v>
      </c>
      <c r="C330" s="11" t="str">
        <f t="shared" si="2"/>
        <v>C15996</v>
      </c>
      <c r="D330" s="12">
        <f t="shared" si="3"/>
        <v>0</v>
      </c>
      <c r="E330" s="6">
        <f t="shared" si="4"/>
        <v>1</v>
      </c>
      <c r="F330" s="8">
        <f t="shared" si="5"/>
        <v>202</v>
      </c>
      <c r="G330" s="8" t="s">
        <v>407</v>
      </c>
      <c r="H330" s="13"/>
      <c r="I330" s="13"/>
    </row>
    <row r="331">
      <c r="A331" s="6">
        <v>329.0</v>
      </c>
      <c r="B331" s="7" t="str">
        <f t="shared" si="1"/>
        <v>1BDFF6</v>
      </c>
      <c r="C331" s="11" t="str">
        <f t="shared" si="2"/>
        <v>C15996</v>
      </c>
      <c r="D331" s="12">
        <f t="shared" si="3"/>
        <v>1</v>
      </c>
      <c r="E331" s="6">
        <f t="shared" si="4"/>
        <v>2</v>
      </c>
      <c r="F331" s="8">
        <f t="shared" si="5"/>
        <v>202</v>
      </c>
      <c r="G331" s="8" t="s">
        <v>408</v>
      </c>
      <c r="H331" s="13"/>
      <c r="I331" s="13"/>
    </row>
    <row r="332">
      <c r="A332" s="6">
        <v>330.0</v>
      </c>
      <c r="B332" s="7" t="str">
        <f t="shared" si="1"/>
        <v>1BDFF6</v>
      </c>
      <c r="C332" s="11" t="str">
        <f t="shared" si="2"/>
        <v>C15996</v>
      </c>
      <c r="D332" s="12">
        <f t="shared" si="3"/>
        <v>2</v>
      </c>
      <c r="E332" s="6">
        <f t="shared" si="4"/>
        <v>4</v>
      </c>
      <c r="F332" s="8">
        <f t="shared" si="5"/>
        <v>202</v>
      </c>
      <c r="G332" s="8" t="s">
        <v>409</v>
      </c>
      <c r="H332" s="13"/>
      <c r="I332" s="13"/>
    </row>
    <row r="333">
      <c r="A333" s="6">
        <v>331.0</v>
      </c>
      <c r="B333" s="7" t="str">
        <f t="shared" si="1"/>
        <v>1BDFF6</v>
      </c>
      <c r="C333" s="11" t="str">
        <f t="shared" si="2"/>
        <v>C15996</v>
      </c>
      <c r="D333" s="12">
        <f t="shared" si="3"/>
        <v>3</v>
      </c>
      <c r="E333" s="6">
        <f t="shared" si="4"/>
        <v>8</v>
      </c>
      <c r="F333" s="8">
        <f t="shared" si="5"/>
        <v>202</v>
      </c>
      <c r="G333" s="8" t="s">
        <v>410</v>
      </c>
      <c r="H333" s="13"/>
      <c r="I333" s="13"/>
    </row>
    <row r="334">
      <c r="A334" s="6">
        <v>332.0</v>
      </c>
      <c r="B334" s="7" t="str">
        <f t="shared" si="1"/>
        <v>1BDFF6</v>
      </c>
      <c r="C334" s="11" t="str">
        <f t="shared" si="2"/>
        <v>C15996</v>
      </c>
      <c r="D334" s="12">
        <f t="shared" si="3"/>
        <v>4</v>
      </c>
      <c r="E334" s="6">
        <f t="shared" si="4"/>
        <v>16</v>
      </c>
      <c r="F334" s="8">
        <f t="shared" si="5"/>
        <v>202</v>
      </c>
      <c r="G334" s="8" t="s">
        <v>411</v>
      </c>
      <c r="H334" s="13"/>
      <c r="I334" s="13"/>
    </row>
    <row r="335">
      <c r="A335" s="6">
        <v>333.0</v>
      </c>
      <c r="B335" s="7" t="str">
        <f t="shared" si="1"/>
        <v>1BDFF6</v>
      </c>
      <c r="C335" s="11" t="str">
        <f t="shared" si="2"/>
        <v>C15996</v>
      </c>
      <c r="D335" s="12">
        <f t="shared" si="3"/>
        <v>5</v>
      </c>
      <c r="E335" s="6">
        <f t="shared" si="4"/>
        <v>32</v>
      </c>
      <c r="F335" s="8">
        <f t="shared" si="5"/>
        <v>202</v>
      </c>
      <c r="G335" s="8" t="s">
        <v>412</v>
      </c>
      <c r="H335" s="13"/>
      <c r="I335" s="13"/>
    </row>
    <row r="336">
      <c r="A336" s="6">
        <v>334.0</v>
      </c>
      <c r="B336" s="7" t="str">
        <f t="shared" si="1"/>
        <v>1BDFF6</v>
      </c>
      <c r="C336" s="11" t="str">
        <f t="shared" si="2"/>
        <v>C15996</v>
      </c>
      <c r="D336" s="12">
        <f t="shared" si="3"/>
        <v>6</v>
      </c>
      <c r="E336" s="6">
        <f t="shared" si="4"/>
        <v>64</v>
      </c>
      <c r="F336" s="8">
        <f t="shared" si="5"/>
        <v>202</v>
      </c>
      <c r="G336" s="8" t="s">
        <v>413</v>
      </c>
      <c r="H336" s="13"/>
      <c r="I336" s="13"/>
    </row>
    <row r="337">
      <c r="A337" s="6">
        <v>335.0</v>
      </c>
      <c r="B337" s="7" t="str">
        <f t="shared" si="1"/>
        <v>1BDFF6</v>
      </c>
      <c r="C337" s="11" t="str">
        <f t="shared" si="2"/>
        <v>C15996</v>
      </c>
      <c r="D337" s="12">
        <f t="shared" si="3"/>
        <v>7</v>
      </c>
      <c r="E337" s="6">
        <f t="shared" si="4"/>
        <v>128</v>
      </c>
      <c r="F337" s="8">
        <f t="shared" si="5"/>
        <v>202</v>
      </c>
      <c r="G337" s="14" t="s">
        <v>414</v>
      </c>
      <c r="H337" s="13"/>
      <c r="I337" s="13"/>
    </row>
    <row r="338">
      <c r="A338" s="6">
        <v>336.0</v>
      </c>
      <c r="B338" s="7" t="str">
        <f t="shared" si="1"/>
        <v>1BDFF7</v>
      </c>
      <c r="C338" s="11" t="str">
        <f t="shared" si="2"/>
        <v>C15997</v>
      </c>
      <c r="D338" s="12">
        <f t="shared" si="3"/>
        <v>0</v>
      </c>
      <c r="E338" s="6">
        <f t="shared" si="4"/>
        <v>1</v>
      </c>
      <c r="F338" s="8">
        <f t="shared" si="5"/>
        <v>203</v>
      </c>
      <c r="G338" s="8" t="s">
        <v>415</v>
      </c>
      <c r="H338" s="13"/>
      <c r="I338" s="13"/>
    </row>
    <row r="339">
      <c r="A339" s="6">
        <v>337.0</v>
      </c>
      <c r="B339" s="7" t="str">
        <f t="shared" si="1"/>
        <v>1BDFF7</v>
      </c>
      <c r="C339" s="11" t="str">
        <f t="shared" si="2"/>
        <v>C15997</v>
      </c>
      <c r="D339" s="12">
        <f t="shared" si="3"/>
        <v>1</v>
      </c>
      <c r="E339" s="6">
        <f t="shared" si="4"/>
        <v>2</v>
      </c>
      <c r="F339" s="8">
        <f t="shared" si="5"/>
        <v>203</v>
      </c>
      <c r="G339" s="8" t="s">
        <v>416</v>
      </c>
      <c r="H339" s="13"/>
      <c r="I339" s="13"/>
    </row>
    <row r="340">
      <c r="A340" s="6">
        <v>338.0</v>
      </c>
      <c r="B340" s="7" t="str">
        <f t="shared" si="1"/>
        <v>1BDFF7</v>
      </c>
      <c r="C340" s="11" t="str">
        <f t="shared" si="2"/>
        <v>C15997</v>
      </c>
      <c r="D340" s="12">
        <f t="shared" si="3"/>
        <v>2</v>
      </c>
      <c r="E340" s="6">
        <f t="shared" si="4"/>
        <v>4</v>
      </c>
      <c r="F340" s="8">
        <f t="shared" si="5"/>
        <v>203</v>
      </c>
      <c r="G340" s="8" t="s">
        <v>417</v>
      </c>
      <c r="H340" s="13"/>
      <c r="I340" s="13"/>
    </row>
    <row r="341">
      <c r="A341" s="6">
        <v>339.0</v>
      </c>
      <c r="B341" s="7" t="str">
        <f t="shared" si="1"/>
        <v>1BDFF7</v>
      </c>
      <c r="C341" s="11" t="str">
        <f t="shared" si="2"/>
        <v>C15997</v>
      </c>
      <c r="D341" s="12">
        <f t="shared" si="3"/>
        <v>3</v>
      </c>
      <c r="E341" s="6">
        <f t="shared" si="4"/>
        <v>8</v>
      </c>
      <c r="F341" s="8">
        <f t="shared" si="5"/>
        <v>203</v>
      </c>
      <c r="G341" s="8" t="s">
        <v>418</v>
      </c>
      <c r="H341" s="13"/>
      <c r="I341" s="13"/>
    </row>
    <row r="342">
      <c r="A342" s="6">
        <v>340.0</v>
      </c>
      <c r="B342" s="7" t="str">
        <f t="shared" si="1"/>
        <v>1BDFF7</v>
      </c>
      <c r="C342" s="11" t="str">
        <f t="shared" si="2"/>
        <v>C15997</v>
      </c>
      <c r="D342" s="12">
        <f t="shared" si="3"/>
        <v>4</v>
      </c>
      <c r="E342" s="6">
        <f t="shared" si="4"/>
        <v>16</v>
      </c>
      <c r="F342" s="8">
        <f t="shared" si="5"/>
        <v>203</v>
      </c>
      <c r="G342" s="8" t="s">
        <v>419</v>
      </c>
      <c r="H342" s="13"/>
      <c r="I342" s="13"/>
    </row>
    <row r="343">
      <c r="A343" s="6">
        <v>341.0</v>
      </c>
      <c r="B343" s="7" t="str">
        <f t="shared" si="1"/>
        <v>1BDFF7</v>
      </c>
      <c r="C343" s="11" t="str">
        <f t="shared" si="2"/>
        <v>C15997</v>
      </c>
      <c r="D343" s="12">
        <f t="shared" si="3"/>
        <v>5</v>
      </c>
      <c r="E343" s="6">
        <f t="shared" si="4"/>
        <v>32</v>
      </c>
      <c r="F343" s="8">
        <f t="shared" si="5"/>
        <v>203</v>
      </c>
      <c r="G343" s="8" t="s">
        <v>420</v>
      </c>
      <c r="H343" s="13"/>
      <c r="I343" s="13"/>
    </row>
    <row r="344">
      <c r="A344" s="6">
        <v>342.0</v>
      </c>
      <c r="B344" s="7" t="str">
        <f t="shared" si="1"/>
        <v>1BDFF7</v>
      </c>
      <c r="C344" s="11" t="str">
        <f t="shared" si="2"/>
        <v>C15997</v>
      </c>
      <c r="D344" s="12">
        <f t="shared" si="3"/>
        <v>6</v>
      </c>
      <c r="E344" s="6">
        <f t="shared" si="4"/>
        <v>64</v>
      </c>
      <c r="F344" s="8">
        <f t="shared" si="5"/>
        <v>203</v>
      </c>
      <c r="G344" s="8" t="s">
        <v>421</v>
      </c>
      <c r="H344" s="13"/>
      <c r="I344" s="13"/>
    </row>
    <row r="345">
      <c r="A345" s="6">
        <v>343.0</v>
      </c>
      <c r="B345" s="7" t="str">
        <f t="shared" si="1"/>
        <v>1BDFF7</v>
      </c>
      <c r="C345" s="11" t="str">
        <f t="shared" si="2"/>
        <v>C15997</v>
      </c>
      <c r="D345" s="12">
        <f t="shared" si="3"/>
        <v>7</v>
      </c>
      <c r="E345" s="6">
        <f t="shared" si="4"/>
        <v>128</v>
      </c>
      <c r="F345" s="8">
        <f t="shared" si="5"/>
        <v>203</v>
      </c>
      <c r="G345" s="8" t="s">
        <v>422</v>
      </c>
      <c r="H345" s="8" t="s">
        <v>423</v>
      </c>
      <c r="I345" s="13"/>
    </row>
    <row r="346">
      <c r="A346" s="6">
        <v>344.0</v>
      </c>
      <c r="B346" s="7" t="str">
        <f t="shared" si="1"/>
        <v>1BDFF8</v>
      </c>
      <c r="C346" s="11" t="str">
        <f t="shared" si="2"/>
        <v>C15998</v>
      </c>
      <c r="D346" s="12">
        <f t="shared" si="3"/>
        <v>0</v>
      </c>
      <c r="E346" s="6">
        <f t="shared" si="4"/>
        <v>1</v>
      </c>
      <c r="F346" s="8">
        <f t="shared" si="5"/>
        <v>204</v>
      </c>
      <c r="G346" s="8" t="s">
        <v>424</v>
      </c>
      <c r="H346" s="13"/>
      <c r="I346" s="13"/>
    </row>
    <row r="347">
      <c r="A347" s="6">
        <v>345.0</v>
      </c>
      <c r="B347" s="7" t="str">
        <f t="shared" si="1"/>
        <v>1BDFF8</v>
      </c>
      <c r="C347" s="11" t="str">
        <f t="shared" si="2"/>
        <v>C15998</v>
      </c>
      <c r="D347" s="12">
        <f t="shared" si="3"/>
        <v>1</v>
      </c>
      <c r="E347" s="6">
        <f t="shared" si="4"/>
        <v>2</v>
      </c>
      <c r="F347" s="8">
        <f t="shared" si="5"/>
        <v>204</v>
      </c>
      <c r="G347" s="8" t="s">
        <v>425</v>
      </c>
      <c r="H347" s="13"/>
      <c r="I347" s="13"/>
    </row>
    <row r="348">
      <c r="A348" s="6">
        <v>346.0</v>
      </c>
      <c r="B348" s="7" t="str">
        <f t="shared" si="1"/>
        <v>1BDFF8</v>
      </c>
      <c r="C348" s="11" t="str">
        <f t="shared" si="2"/>
        <v>C15998</v>
      </c>
      <c r="D348" s="12">
        <f t="shared" si="3"/>
        <v>2</v>
      </c>
      <c r="E348" s="6">
        <f t="shared" si="4"/>
        <v>4</v>
      </c>
      <c r="F348" s="8">
        <f t="shared" si="5"/>
        <v>204</v>
      </c>
      <c r="G348" s="8" t="s">
        <v>426</v>
      </c>
      <c r="H348" s="8" t="s">
        <v>427</v>
      </c>
      <c r="I348" s="10"/>
    </row>
    <row r="349">
      <c r="A349" s="6">
        <v>347.0</v>
      </c>
      <c r="B349" s="7" t="str">
        <f t="shared" si="1"/>
        <v>1BDFF8</v>
      </c>
      <c r="C349" s="11" t="str">
        <f t="shared" si="2"/>
        <v>C15998</v>
      </c>
      <c r="D349" s="12">
        <f t="shared" si="3"/>
        <v>3</v>
      </c>
      <c r="E349" s="6">
        <f t="shared" si="4"/>
        <v>8</v>
      </c>
      <c r="F349" s="8">
        <f t="shared" si="5"/>
        <v>204</v>
      </c>
      <c r="G349" s="8" t="s">
        <v>428</v>
      </c>
      <c r="H349" s="8" t="s">
        <v>423</v>
      </c>
      <c r="I349" s="13"/>
    </row>
    <row r="350">
      <c r="A350" s="6">
        <v>348.0</v>
      </c>
      <c r="B350" s="7" t="str">
        <f t="shared" si="1"/>
        <v>1BDFF8</v>
      </c>
      <c r="C350" s="11" t="str">
        <f t="shared" si="2"/>
        <v>C15998</v>
      </c>
      <c r="D350" s="12">
        <f t="shared" si="3"/>
        <v>4</v>
      </c>
      <c r="E350" s="6">
        <f t="shared" si="4"/>
        <v>16</v>
      </c>
      <c r="F350" s="8">
        <f t="shared" si="5"/>
        <v>204</v>
      </c>
      <c r="G350" s="8" t="s">
        <v>429</v>
      </c>
      <c r="H350" s="13"/>
      <c r="I350" s="13"/>
    </row>
    <row r="351">
      <c r="A351" s="6">
        <v>349.0</v>
      </c>
      <c r="B351" s="7" t="str">
        <f t="shared" si="1"/>
        <v>1BDFF8</v>
      </c>
      <c r="C351" s="11" t="str">
        <f t="shared" si="2"/>
        <v>C15998</v>
      </c>
      <c r="D351" s="12">
        <f t="shared" si="3"/>
        <v>5</v>
      </c>
      <c r="E351" s="6">
        <f t="shared" si="4"/>
        <v>32</v>
      </c>
      <c r="F351" s="8">
        <f t="shared" si="5"/>
        <v>204</v>
      </c>
      <c r="G351" s="8" t="s">
        <v>430</v>
      </c>
      <c r="H351" s="13"/>
      <c r="I351" s="13"/>
    </row>
    <row r="352">
      <c r="A352" s="6">
        <v>350.0</v>
      </c>
      <c r="B352" s="7" t="str">
        <f t="shared" si="1"/>
        <v>1BDFF8</v>
      </c>
      <c r="C352" s="11" t="str">
        <f t="shared" si="2"/>
        <v>C15998</v>
      </c>
      <c r="D352" s="12">
        <f t="shared" si="3"/>
        <v>6</v>
      </c>
      <c r="E352" s="6">
        <f t="shared" si="4"/>
        <v>64</v>
      </c>
      <c r="F352" s="8">
        <f t="shared" si="5"/>
        <v>204</v>
      </c>
      <c r="G352" s="8" t="s">
        <v>431</v>
      </c>
      <c r="H352" s="13"/>
      <c r="I352" s="13"/>
    </row>
    <row r="353">
      <c r="A353" s="6">
        <v>351.0</v>
      </c>
      <c r="B353" s="7" t="str">
        <f t="shared" si="1"/>
        <v>1BDFF8</v>
      </c>
      <c r="C353" s="11" t="str">
        <f t="shared" si="2"/>
        <v>C15998</v>
      </c>
      <c r="D353" s="12">
        <f t="shared" si="3"/>
        <v>7</v>
      </c>
      <c r="E353" s="6">
        <f t="shared" si="4"/>
        <v>128</v>
      </c>
      <c r="F353" s="8">
        <f t="shared" si="5"/>
        <v>204</v>
      </c>
      <c r="G353" s="8" t="s">
        <v>432</v>
      </c>
      <c r="H353" s="8" t="s">
        <v>433</v>
      </c>
      <c r="I353" s="10"/>
    </row>
    <row r="354">
      <c r="A354" s="6">
        <v>352.0</v>
      </c>
      <c r="B354" s="7" t="str">
        <f t="shared" si="1"/>
        <v>1BDFF9</v>
      </c>
      <c r="C354" s="11" t="str">
        <f t="shared" si="2"/>
        <v>C15999</v>
      </c>
      <c r="D354" s="12">
        <f t="shared" si="3"/>
        <v>0</v>
      </c>
      <c r="E354" s="6">
        <f t="shared" si="4"/>
        <v>1</v>
      </c>
      <c r="F354" s="8">
        <f t="shared" si="5"/>
        <v>205</v>
      </c>
      <c r="G354" s="8" t="s">
        <v>434</v>
      </c>
      <c r="H354" s="13"/>
      <c r="I354" s="13"/>
    </row>
    <row r="355">
      <c r="A355" s="6">
        <v>353.0</v>
      </c>
      <c r="B355" s="7" t="str">
        <f t="shared" si="1"/>
        <v>1BDFF9</v>
      </c>
      <c r="C355" s="11" t="str">
        <f t="shared" si="2"/>
        <v>C15999</v>
      </c>
      <c r="D355" s="12">
        <f t="shared" si="3"/>
        <v>1</v>
      </c>
      <c r="E355" s="6">
        <f t="shared" si="4"/>
        <v>2</v>
      </c>
      <c r="F355" s="8">
        <f t="shared" si="5"/>
        <v>205</v>
      </c>
      <c r="G355" s="8" t="s">
        <v>435</v>
      </c>
      <c r="H355" s="13"/>
      <c r="I355" s="13"/>
    </row>
    <row r="356">
      <c r="A356" s="6">
        <v>354.0</v>
      </c>
      <c r="B356" s="7" t="str">
        <f t="shared" si="1"/>
        <v>1BDFF9</v>
      </c>
      <c r="C356" s="11" t="str">
        <f t="shared" si="2"/>
        <v>C15999</v>
      </c>
      <c r="D356" s="12">
        <f t="shared" si="3"/>
        <v>2</v>
      </c>
      <c r="E356" s="6">
        <f t="shared" si="4"/>
        <v>4</v>
      </c>
      <c r="F356" s="8">
        <f t="shared" si="5"/>
        <v>205</v>
      </c>
      <c r="G356" s="8" t="s">
        <v>436</v>
      </c>
      <c r="H356" s="13"/>
      <c r="I356" s="13"/>
    </row>
    <row r="357">
      <c r="A357" s="6">
        <v>355.0</v>
      </c>
      <c r="B357" s="7" t="str">
        <f t="shared" si="1"/>
        <v>1BDFF9</v>
      </c>
      <c r="C357" s="11" t="str">
        <f t="shared" si="2"/>
        <v>C15999</v>
      </c>
      <c r="D357" s="12">
        <f t="shared" si="3"/>
        <v>3</v>
      </c>
      <c r="E357" s="6">
        <f t="shared" si="4"/>
        <v>8</v>
      </c>
      <c r="F357" s="8">
        <f t="shared" si="5"/>
        <v>205</v>
      </c>
      <c r="G357" s="8" t="s">
        <v>437</v>
      </c>
      <c r="H357" s="13"/>
      <c r="I357" s="13"/>
    </row>
    <row r="358">
      <c r="A358" s="6">
        <v>356.0</v>
      </c>
      <c r="B358" s="7" t="str">
        <f t="shared" si="1"/>
        <v>1BDFF9</v>
      </c>
      <c r="C358" s="11" t="str">
        <f t="shared" si="2"/>
        <v>C15999</v>
      </c>
      <c r="D358" s="12">
        <f t="shared" si="3"/>
        <v>4</v>
      </c>
      <c r="E358" s="6">
        <f t="shared" si="4"/>
        <v>16</v>
      </c>
      <c r="F358" s="8">
        <f t="shared" si="5"/>
        <v>205</v>
      </c>
      <c r="G358" s="8" t="s">
        <v>438</v>
      </c>
      <c r="H358" s="13"/>
      <c r="I358" s="13"/>
    </row>
    <row r="359">
      <c r="A359" s="6">
        <v>357.0</v>
      </c>
      <c r="B359" s="7" t="str">
        <f t="shared" si="1"/>
        <v>1BDFF9</v>
      </c>
      <c r="C359" s="11" t="str">
        <f t="shared" si="2"/>
        <v>C15999</v>
      </c>
      <c r="D359" s="12">
        <f t="shared" si="3"/>
        <v>5</v>
      </c>
      <c r="E359" s="6">
        <f t="shared" si="4"/>
        <v>32</v>
      </c>
      <c r="F359" s="8">
        <f t="shared" si="5"/>
        <v>205</v>
      </c>
      <c r="G359" s="8" t="s">
        <v>439</v>
      </c>
      <c r="H359" s="13"/>
      <c r="I359" s="13"/>
    </row>
    <row r="360">
      <c r="A360" s="6">
        <v>358.0</v>
      </c>
      <c r="B360" s="7" t="str">
        <f t="shared" si="1"/>
        <v>1BDFF9</v>
      </c>
      <c r="C360" s="11" t="str">
        <f t="shared" si="2"/>
        <v>C15999</v>
      </c>
      <c r="D360" s="12">
        <f t="shared" si="3"/>
        <v>6</v>
      </c>
      <c r="E360" s="6">
        <f t="shared" si="4"/>
        <v>64</v>
      </c>
      <c r="F360" s="8">
        <f t="shared" si="5"/>
        <v>205</v>
      </c>
      <c r="G360" s="8" t="s">
        <v>440</v>
      </c>
      <c r="H360" s="13"/>
      <c r="I360" s="13"/>
    </row>
    <row r="361">
      <c r="A361" s="6">
        <v>359.0</v>
      </c>
      <c r="B361" s="7" t="str">
        <f t="shared" si="1"/>
        <v>1BDFF9</v>
      </c>
      <c r="C361" s="11" t="str">
        <f t="shared" si="2"/>
        <v>C15999</v>
      </c>
      <c r="D361" s="12">
        <f t="shared" si="3"/>
        <v>7</v>
      </c>
      <c r="E361" s="6">
        <f t="shared" si="4"/>
        <v>128</v>
      </c>
      <c r="F361" s="8">
        <f t="shared" si="5"/>
        <v>205</v>
      </c>
      <c r="G361" s="8" t="s">
        <v>441</v>
      </c>
      <c r="H361" s="13"/>
      <c r="I361" s="13"/>
    </row>
    <row r="362">
      <c r="A362" s="6">
        <v>360.0</v>
      </c>
      <c r="B362" s="7" t="str">
        <f t="shared" si="1"/>
        <v>1BDFFA</v>
      </c>
      <c r="C362" s="11" t="str">
        <f t="shared" si="2"/>
        <v>C1599A</v>
      </c>
      <c r="D362" s="12">
        <f t="shared" si="3"/>
        <v>0</v>
      </c>
      <c r="E362" s="6">
        <f t="shared" si="4"/>
        <v>1</v>
      </c>
      <c r="F362" s="8">
        <f t="shared" si="5"/>
        <v>206</v>
      </c>
      <c r="G362" s="8" t="s">
        <v>442</v>
      </c>
      <c r="H362" s="13"/>
      <c r="I362" s="13"/>
    </row>
    <row r="363">
      <c r="A363" s="6">
        <v>361.0</v>
      </c>
      <c r="B363" s="7" t="str">
        <f t="shared" si="1"/>
        <v>1BDFFA</v>
      </c>
      <c r="C363" s="11" t="str">
        <f t="shared" si="2"/>
        <v>C1599A</v>
      </c>
      <c r="D363" s="12">
        <f t="shared" si="3"/>
        <v>1</v>
      </c>
      <c r="E363" s="6">
        <f t="shared" si="4"/>
        <v>2</v>
      </c>
      <c r="F363" s="8">
        <f t="shared" si="5"/>
        <v>206</v>
      </c>
      <c r="G363" s="8" t="s">
        <v>95</v>
      </c>
      <c r="H363" s="13"/>
      <c r="I363" s="13"/>
    </row>
    <row r="364">
      <c r="A364" s="6">
        <v>362.0</v>
      </c>
      <c r="B364" s="7" t="str">
        <f t="shared" si="1"/>
        <v>1BDFFA</v>
      </c>
      <c r="C364" s="11" t="str">
        <f t="shared" si="2"/>
        <v>C1599A</v>
      </c>
      <c r="D364" s="12">
        <f t="shared" si="3"/>
        <v>2</v>
      </c>
      <c r="E364" s="6">
        <f t="shared" si="4"/>
        <v>4</v>
      </c>
      <c r="F364" s="8">
        <f t="shared" si="5"/>
        <v>206</v>
      </c>
      <c r="G364" s="8" t="s">
        <v>443</v>
      </c>
      <c r="H364" s="13"/>
      <c r="I364" s="13"/>
    </row>
    <row r="365">
      <c r="A365" s="6">
        <v>363.0</v>
      </c>
      <c r="B365" s="7" t="str">
        <f t="shared" si="1"/>
        <v>1BDFFA</v>
      </c>
      <c r="C365" s="11" t="str">
        <f t="shared" si="2"/>
        <v>C1599A</v>
      </c>
      <c r="D365" s="12">
        <f t="shared" si="3"/>
        <v>3</v>
      </c>
      <c r="E365" s="6">
        <f t="shared" si="4"/>
        <v>8</v>
      </c>
      <c r="F365" s="8">
        <f t="shared" si="5"/>
        <v>206</v>
      </c>
      <c r="G365" s="8" t="s">
        <v>444</v>
      </c>
      <c r="H365" s="13"/>
      <c r="I365" s="13"/>
    </row>
    <row r="366">
      <c r="A366" s="6">
        <v>364.0</v>
      </c>
      <c r="B366" s="7" t="str">
        <f t="shared" si="1"/>
        <v>1BDFFA</v>
      </c>
      <c r="C366" s="11" t="str">
        <f t="shared" si="2"/>
        <v>C1599A</v>
      </c>
      <c r="D366" s="12">
        <f t="shared" si="3"/>
        <v>4</v>
      </c>
      <c r="E366" s="6">
        <f t="shared" si="4"/>
        <v>16</v>
      </c>
      <c r="F366" s="8">
        <f t="shared" si="5"/>
        <v>206</v>
      </c>
      <c r="G366" s="8" t="s">
        <v>445</v>
      </c>
      <c r="H366" s="13"/>
      <c r="I366" s="13"/>
    </row>
    <row r="367">
      <c r="A367" s="6">
        <v>365.0</v>
      </c>
      <c r="B367" s="7" t="str">
        <f t="shared" si="1"/>
        <v>1BDFFA</v>
      </c>
      <c r="C367" s="11" t="str">
        <f t="shared" si="2"/>
        <v>C1599A</v>
      </c>
      <c r="D367" s="12">
        <f t="shared" si="3"/>
        <v>5</v>
      </c>
      <c r="E367" s="6">
        <f t="shared" si="4"/>
        <v>32</v>
      </c>
      <c r="F367" s="8">
        <f t="shared" si="5"/>
        <v>206</v>
      </c>
      <c r="G367" s="8" t="s">
        <v>446</v>
      </c>
      <c r="H367" s="13"/>
      <c r="I367" s="13"/>
    </row>
    <row r="368">
      <c r="A368" s="6">
        <v>366.0</v>
      </c>
      <c r="B368" s="7" t="str">
        <f t="shared" si="1"/>
        <v>1BDFFA</v>
      </c>
      <c r="C368" s="11" t="str">
        <f t="shared" si="2"/>
        <v>C1599A</v>
      </c>
      <c r="D368" s="12">
        <f t="shared" si="3"/>
        <v>6</v>
      </c>
      <c r="E368" s="6">
        <f t="shared" si="4"/>
        <v>64</v>
      </c>
      <c r="F368" s="8">
        <f t="shared" si="5"/>
        <v>206</v>
      </c>
      <c r="G368" s="8" t="s">
        <v>447</v>
      </c>
      <c r="H368" s="13"/>
      <c r="I368" s="13"/>
    </row>
    <row r="369">
      <c r="A369" s="6">
        <v>367.0</v>
      </c>
      <c r="B369" s="7" t="str">
        <f t="shared" si="1"/>
        <v>1BDFFA</v>
      </c>
      <c r="C369" s="11" t="str">
        <f t="shared" si="2"/>
        <v>C1599A</v>
      </c>
      <c r="D369" s="12">
        <f t="shared" si="3"/>
        <v>7</v>
      </c>
      <c r="E369" s="6">
        <f t="shared" si="4"/>
        <v>128</v>
      </c>
      <c r="F369" s="8">
        <f t="shared" si="5"/>
        <v>206</v>
      </c>
      <c r="G369" s="8" t="s">
        <v>448</v>
      </c>
      <c r="H369" s="13"/>
      <c r="I369" s="13"/>
    </row>
    <row r="370">
      <c r="A370" s="6">
        <v>368.0</v>
      </c>
      <c r="B370" s="7" t="str">
        <f t="shared" si="1"/>
        <v>1BDFFB</v>
      </c>
      <c r="C370" s="11" t="str">
        <f t="shared" si="2"/>
        <v>C1599B</v>
      </c>
      <c r="D370" s="12">
        <f t="shared" si="3"/>
        <v>0</v>
      </c>
      <c r="E370" s="6">
        <f t="shared" si="4"/>
        <v>1</v>
      </c>
      <c r="F370" s="8">
        <f t="shared" si="5"/>
        <v>207</v>
      </c>
      <c r="G370" s="8" t="s">
        <v>449</v>
      </c>
      <c r="H370" s="13"/>
      <c r="I370" s="13"/>
    </row>
    <row r="371">
      <c r="A371" s="6">
        <v>369.0</v>
      </c>
      <c r="B371" s="7" t="str">
        <f t="shared" si="1"/>
        <v>1BDFFB</v>
      </c>
      <c r="C371" s="11" t="str">
        <f t="shared" si="2"/>
        <v>C1599B</v>
      </c>
      <c r="D371" s="12">
        <f t="shared" si="3"/>
        <v>1</v>
      </c>
      <c r="E371" s="6">
        <f t="shared" si="4"/>
        <v>2</v>
      </c>
      <c r="F371" s="8">
        <f t="shared" si="5"/>
        <v>207</v>
      </c>
      <c r="G371" s="8" t="s">
        <v>450</v>
      </c>
      <c r="H371" s="13"/>
      <c r="I371" s="13"/>
    </row>
    <row r="372">
      <c r="A372" s="6">
        <v>370.0</v>
      </c>
      <c r="B372" s="7" t="str">
        <f t="shared" si="1"/>
        <v>1BDFFB</v>
      </c>
      <c r="C372" s="11" t="str">
        <f t="shared" si="2"/>
        <v>C1599B</v>
      </c>
      <c r="D372" s="12">
        <f t="shared" si="3"/>
        <v>2</v>
      </c>
      <c r="E372" s="6">
        <f t="shared" si="4"/>
        <v>4</v>
      </c>
      <c r="F372" s="8">
        <f t="shared" si="5"/>
        <v>207</v>
      </c>
      <c r="G372" s="8" t="s">
        <v>451</v>
      </c>
      <c r="H372" s="13"/>
      <c r="I372" s="13"/>
    </row>
    <row r="373">
      <c r="A373" s="6">
        <v>371.0</v>
      </c>
      <c r="B373" s="7" t="str">
        <f t="shared" si="1"/>
        <v>1BDFFB</v>
      </c>
      <c r="C373" s="11" t="str">
        <f t="shared" si="2"/>
        <v>C1599B</v>
      </c>
      <c r="D373" s="12">
        <f t="shared" si="3"/>
        <v>3</v>
      </c>
      <c r="E373" s="6">
        <f t="shared" si="4"/>
        <v>8</v>
      </c>
      <c r="F373" s="8">
        <f t="shared" si="5"/>
        <v>207</v>
      </c>
      <c r="G373" s="8" t="s">
        <v>452</v>
      </c>
      <c r="H373" s="13"/>
      <c r="I373" s="13"/>
    </row>
    <row r="374">
      <c r="A374" s="6">
        <v>372.0</v>
      </c>
      <c r="B374" s="7" t="str">
        <f t="shared" si="1"/>
        <v>1BDFFB</v>
      </c>
      <c r="C374" s="11" t="str">
        <f t="shared" si="2"/>
        <v>C1599B</v>
      </c>
      <c r="D374" s="12">
        <f t="shared" si="3"/>
        <v>4</v>
      </c>
      <c r="E374" s="6">
        <f t="shared" si="4"/>
        <v>16</v>
      </c>
      <c r="F374" s="8">
        <f t="shared" si="5"/>
        <v>207</v>
      </c>
      <c r="G374" s="8" t="s">
        <v>453</v>
      </c>
      <c r="H374" s="13"/>
      <c r="I374" s="13"/>
    </row>
    <row r="375">
      <c r="A375" s="6">
        <v>373.0</v>
      </c>
      <c r="B375" s="7" t="str">
        <f t="shared" si="1"/>
        <v>1BDFFB</v>
      </c>
      <c r="C375" s="11" t="str">
        <f t="shared" si="2"/>
        <v>C1599B</v>
      </c>
      <c r="D375" s="12">
        <f t="shared" si="3"/>
        <v>5</v>
      </c>
      <c r="E375" s="6">
        <f t="shared" si="4"/>
        <v>32</v>
      </c>
      <c r="F375" s="8">
        <f t="shared" si="5"/>
        <v>207</v>
      </c>
      <c r="G375" s="8" t="s">
        <v>454</v>
      </c>
      <c r="H375" s="13"/>
      <c r="I375" s="13"/>
    </row>
    <row r="376">
      <c r="A376" s="6">
        <v>374.0</v>
      </c>
      <c r="B376" s="7" t="str">
        <f t="shared" si="1"/>
        <v>1BDFFB</v>
      </c>
      <c r="C376" s="11" t="str">
        <f t="shared" si="2"/>
        <v>C1599B</v>
      </c>
      <c r="D376" s="12">
        <f t="shared" si="3"/>
        <v>6</v>
      </c>
      <c r="E376" s="6">
        <f t="shared" si="4"/>
        <v>64</v>
      </c>
      <c r="F376" s="8">
        <f t="shared" si="5"/>
        <v>207</v>
      </c>
      <c r="G376" s="8" t="s">
        <v>455</v>
      </c>
      <c r="H376" s="13"/>
      <c r="I376" s="13"/>
    </row>
    <row r="377">
      <c r="A377" s="6">
        <v>375.0</v>
      </c>
      <c r="B377" s="7" t="str">
        <f t="shared" si="1"/>
        <v>1BDFFB</v>
      </c>
      <c r="C377" s="11" t="str">
        <f t="shared" si="2"/>
        <v>C1599B</v>
      </c>
      <c r="D377" s="12">
        <f t="shared" si="3"/>
        <v>7</v>
      </c>
      <c r="E377" s="6">
        <f t="shared" si="4"/>
        <v>128</v>
      </c>
      <c r="F377" s="8">
        <f t="shared" si="5"/>
        <v>207</v>
      </c>
      <c r="G377" s="8" t="s">
        <v>456</v>
      </c>
      <c r="H377" s="13"/>
      <c r="I377" s="13"/>
    </row>
    <row r="378">
      <c r="A378" s="6">
        <v>376.0</v>
      </c>
      <c r="B378" s="7" t="str">
        <f t="shared" si="1"/>
        <v>1BDFFC</v>
      </c>
      <c r="C378" s="11" t="str">
        <f t="shared" si="2"/>
        <v>C1599C</v>
      </c>
      <c r="D378" s="12">
        <f t="shared" si="3"/>
        <v>0</v>
      </c>
      <c r="E378" s="6">
        <f t="shared" si="4"/>
        <v>1</v>
      </c>
      <c r="F378" s="8">
        <f t="shared" si="5"/>
        <v>208</v>
      </c>
      <c r="G378" s="8" t="s">
        <v>457</v>
      </c>
      <c r="H378" s="13"/>
      <c r="I378" s="13"/>
    </row>
    <row r="379">
      <c r="A379" s="6">
        <v>377.0</v>
      </c>
      <c r="B379" s="7" t="str">
        <f t="shared" si="1"/>
        <v>1BDFFC</v>
      </c>
      <c r="C379" s="11" t="str">
        <f t="shared" si="2"/>
        <v>C1599C</v>
      </c>
      <c r="D379" s="12">
        <f t="shared" si="3"/>
        <v>1</v>
      </c>
      <c r="E379" s="6">
        <f t="shared" si="4"/>
        <v>2</v>
      </c>
      <c r="F379" s="8">
        <f t="shared" si="5"/>
        <v>208</v>
      </c>
      <c r="G379" s="8" t="s">
        <v>458</v>
      </c>
      <c r="H379" s="13"/>
      <c r="I379" s="13"/>
    </row>
    <row r="380">
      <c r="A380" s="6">
        <v>378.0</v>
      </c>
      <c r="B380" s="7" t="str">
        <f t="shared" si="1"/>
        <v>1BDFFC</v>
      </c>
      <c r="C380" s="11" t="str">
        <f t="shared" si="2"/>
        <v>C1599C</v>
      </c>
      <c r="D380" s="12">
        <f t="shared" si="3"/>
        <v>2</v>
      </c>
      <c r="E380" s="6">
        <f t="shared" si="4"/>
        <v>4</v>
      </c>
      <c r="F380" s="8">
        <f t="shared" si="5"/>
        <v>208</v>
      </c>
      <c r="G380" s="8" t="s">
        <v>459</v>
      </c>
      <c r="H380" s="13"/>
      <c r="I380" s="13"/>
    </row>
    <row r="381">
      <c r="A381" s="6">
        <v>379.0</v>
      </c>
      <c r="B381" s="7" t="str">
        <f t="shared" si="1"/>
        <v>1BDFFC</v>
      </c>
      <c r="C381" s="11" t="str">
        <f t="shared" si="2"/>
        <v>C1599C</v>
      </c>
      <c r="D381" s="12">
        <f t="shared" si="3"/>
        <v>3</v>
      </c>
      <c r="E381" s="6">
        <f t="shared" si="4"/>
        <v>8</v>
      </c>
      <c r="F381" s="8">
        <f t="shared" si="5"/>
        <v>208</v>
      </c>
      <c r="G381" s="8" t="s">
        <v>95</v>
      </c>
      <c r="H381" s="13"/>
      <c r="I381" s="13"/>
    </row>
    <row r="382">
      <c r="A382" s="6">
        <v>380.0</v>
      </c>
      <c r="B382" s="7" t="str">
        <f t="shared" si="1"/>
        <v>1BDFFC</v>
      </c>
      <c r="C382" s="11" t="str">
        <f t="shared" si="2"/>
        <v>C1599C</v>
      </c>
      <c r="D382" s="12">
        <f t="shared" si="3"/>
        <v>4</v>
      </c>
      <c r="E382" s="6">
        <f t="shared" si="4"/>
        <v>16</v>
      </c>
      <c r="F382" s="8">
        <f t="shared" si="5"/>
        <v>208</v>
      </c>
      <c r="G382" s="8" t="s">
        <v>95</v>
      </c>
      <c r="H382" s="13"/>
      <c r="I382" s="13"/>
    </row>
    <row r="383">
      <c r="A383" s="6">
        <v>381.0</v>
      </c>
      <c r="B383" s="7" t="str">
        <f t="shared" si="1"/>
        <v>1BDFFC</v>
      </c>
      <c r="C383" s="11" t="str">
        <f t="shared" si="2"/>
        <v>C1599C</v>
      </c>
      <c r="D383" s="12">
        <f t="shared" si="3"/>
        <v>5</v>
      </c>
      <c r="E383" s="6">
        <f t="shared" si="4"/>
        <v>32</v>
      </c>
      <c r="F383" s="8">
        <f t="shared" si="5"/>
        <v>208</v>
      </c>
      <c r="G383" s="8" t="s">
        <v>95</v>
      </c>
      <c r="H383" s="13"/>
      <c r="I383" s="13"/>
    </row>
    <row r="384">
      <c r="A384" s="6">
        <v>382.0</v>
      </c>
      <c r="B384" s="7" t="str">
        <f t="shared" si="1"/>
        <v>1BDFFC</v>
      </c>
      <c r="C384" s="11" t="str">
        <f t="shared" si="2"/>
        <v>C1599C</v>
      </c>
      <c r="D384" s="12">
        <f t="shared" si="3"/>
        <v>6</v>
      </c>
      <c r="E384" s="6">
        <f t="shared" si="4"/>
        <v>64</v>
      </c>
      <c r="F384" s="8">
        <f t="shared" si="5"/>
        <v>208</v>
      </c>
      <c r="G384" s="8" t="s">
        <v>95</v>
      </c>
      <c r="H384" s="13"/>
      <c r="I384" s="13"/>
    </row>
    <row r="385">
      <c r="A385" s="6">
        <v>383.0</v>
      </c>
      <c r="B385" s="7" t="str">
        <f t="shared" si="1"/>
        <v>1BDFFC</v>
      </c>
      <c r="C385" s="11" t="str">
        <f t="shared" si="2"/>
        <v>C1599C</v>
      </c>
      <c r="D385" s="12">
        <f t="shared" si="3"/>
        <v>7</v>
      </c>
      <c r="E385" s="6">
        <f t="shared" si="4"/>
        <v>128</v>
      </c>
      <c r="F385" s="8">
        <f t="shared" si="5"/>
        <v>208</v>
      </c>
      <c r="G385" s="8" t="s">
        <v>95</v>
      </c>
      <c r="H385" s="13"/>
      <c r="I385" s="13"/>
    </row>
    <row r="386">
      <c r="A386" s="6">
        <v>384.0</v>
      </c>
      <c r="B386" s="7" t="str">
        <f t="shared" si="1"/>
        <v>1BDFFD</v>
      </c>
      <c r="C386" s="11" t="str">
        <f t="shared" si="2"/>
        <v>C1599D</v>
      </c>
      <c r="D386" s="12">
        <f t="shared" si="3"/>
        <v>0</v>
      </c>
      <c r="E386" s="6">
        <f t="shared" si="4"/>
        <v>1</v>
      </c>
      <c r="F386" s="8">
        <f t="shared" si="5"/>
        <v>209</v>
      </c>
      <c r="G386" s="8" t="s">
        <v>460</v>
      </c>
      <c r="H386" s="13"/>
      <c r="I386" s="13"/>
    </row>
    <row r="387">
      <c r="A387" s="6">
        <v>385.0</v>
      </c>
      <c r="B387" s="7" t="str">
        <f t="shared" si="1"/>
        <v>1BDFFD</v>
      </c>
      <c r="C387" s="11" t="str">
        <f t="shared" si="2"/>
        <v>C1599D</v>
      </c>
      <c r="D387" s="12">
        <f t="shared" si="3"/>
        <v>1</v>
      </c>
      <c r="E387" s="6">
        <f t="shared" si="4"/>
        <v>2</v>
      </c>
      <c r="F387" s="8">
        <f t="shared" si="5"/>
        <v>209</v>
      </c>
      <c r="G387" s="8" t="s">
        <v>461</v>
      </c>
      <c r="H387" s="13"/>
      <c r="I387" s="13"/>
    </row>
    <row r="388">
      <c r="A388" s="6">
        <v>386.0</v>
      </c>
      <c r="B388" s="7" t="str">
        <f t="shared" si="1"/>
        <v>1BDFFD</v>
      </c>
      <c r="C388" s="11" t="str">
        <f t="shared" si="2"/>
        <v>C1599D</v>
      </c>
      <c r="D388" s="12">
        <f t="shared" si="3"/>
        <v>2</v>
      </c>
      <c r="E388" s="6">
        <f t="shared" si="4"/>
        <v>4</v>
      </c>
      <c r="F388" s="8">
        <f t="shared" si="5"/>
        <v>209</v>
      </c>
      <c r="G388" s="8" t="s">
        <v>462</v>
      </c>
      <c r="H388" s="13"/>
      <c r="I388" s="13"/>
    </row>
    <row r="389">
      <c r="A389" s="6">
        <v>387.0</v>
      </c>
      <c r="B389" s="7" t="str">
        <f t="shared" si="1"/>
        <v>1BDFFD</v>
      </c>
      <c r="C389" s="11" t="str">
        <f t="shared" si="2"/>
        <v>C1599D</v>
      </c>
      <c r="D389" s="12">
        <f t="shared" si="3"/>
        <v>3</v>
      </c>
      <c r="E389" s="6">
        <f t="shared" si="4"/>
        <v>8</v>
      </c>
      <c r="F389" s="8">
        <f t="shared" si="5"/>
        <v>209</v>
      </c>
      <c r="G389" s="8" t="s">
        <v>463</v>
      </c>
      <c r="H389" s="13"/>
      <c r="I389" s="13"/>
    </row>
    <row r="390">
      <c r="A390" s="6">
        <v>388.0</v>
      </c>
      <c r="B390" s="7" t="str">
        <f t="shared" si="1"/>
        <v>1BDFFD</v>
      </c>
      <c r="C390" s="11" t="str">
        <f t="shared" si="2"/>
        <v>C1599D</v>
      </c>
      <c r="D390" s="12">
        <f t="shared" si="3"/>
        <v>4</v>
      </c>
      <c r="E390" s="6">
        <f t="shared" si="4"/>
        <v>16</v>
      </c>
      <c r="F390" s="8">
        <f t="shared" si="5"/>
        <v>209</v>
      </c>
      <c r="G390" s="8" t="s">
        <v>464</v>
      </c>
      <c r="H390" s="13"/>
      <c r="I390" s="13"/>
    </row>
    <row r="391">
      <c r="A391" s="6">
        <v>389.0</v>
      </c>
      <c r="B391" s="7" t="str">
        <f t="shared" si="1"/>
        <v>1BDFFD</v>
      </c>
      <c r="C391" s="11" t="str">
        <f t="shared" si="2"/>
        <v>C1599D</v>
      </c>
      <c r="D391" s="12">
        <f t="shared" si="3"/>
        <v>5</v>
      </c>
      <c r="E391" s="6">
        <f t="shared" si="4"/>
        <v>32</v>
      </c>
      <c r="F391" s="8">
        <f t="shared" si="5"/>
        <v>209</v>
      </c>
      <c r="G391" s="8" t="s">
        <v>465</v>
      </c>
      <c r="H391" s="13"/>
      <c r="I391" s="13"/>
    </row>
    <row r="392">
      <c r="A392" s="6">
        <v>390.0</v>
      </c>
      <c r="B392" s="7" t="str">
        <f t="shared" si="1"/>
        <v>1BDFFD</v>
      </c>
      <c r="C392" s="11" t="str">
        <f t="shared" si="2"/>
        <v>C1599D</v>
      </c>
      <c r="D392" s="12">
        <f t="shared" si="3"/>
        <v>6</v>
      </c>
      <c r="E392" s="6">
        <f t="shared" si="4"/>
        <v>64</v>
      </c>
      <c r="F392" s="8">
        <f t="shared" si="5"/>
        <v>209</v>
      </c>
      <c r="G392" s="8" t="s">
        <v>466</v>
      </c>
      <c r="H392" s="13"/>
      <c r="I392" s="13"/>
    </row>
    <row r="393">
      <c r="A393" s="6">
        <v>391.0</v>
      </c>
      <c r="B393" s="7" t="str">
        <f t="shared" si="1"/>
        <v>1BDFFD</v>
      </c>
      <c r="C393" s="11" t="str">
        <f t="shared" si="2"/>
        <v>C1599D</v>
      </c>
      <c r="D393" s="12">
        <f t="shared" si="3"/>
        <v>7</v>
      </c>
      <c r="E393" s="6">
        <f t="shared" si="4"/>
        <v>128</v>
      </c>
      <c r="F393" s="8">
        <f t="shared" si="5"/>
        <v>209</v>
      </c>
      <c r="G393" s="8" t="s">
        <v>467</v>
      </c>
      <c r="H393" s="13"/>
      <c r="I393" s="13"/>
    </row>
    <row r="394">
      <c r="A394" s="6">
        <v>392.0</v>
      </c>
      <c r="B394" s="7" t="str">
        <f t="shared" si="1"/>
        <v>1BDFFE</v>
      </c>
      <c r="C394" s="11" t="str">
        <f t="shared" si="2"/>
        <v>C1599E</v>
      </c>
      <c r="D394" s="12">
        <f t="shared" si="3"/>
        <v>0</v>
      </c>
      <c r="E394" s="6">
        <f t="shared" si="4"/>
        <v>1</v>
      </c>
      <c r="F394" s="8">
        <f t="shared" si="5"/>
        <v>210</v>
      </c>
      <c r="G394" s="8" t="s">
        <v>468</v>
      </c>
      <c r="H394" s="13"/>
      <c r="I394" s="13"/>
    </row>
    <row r="395">
      <c r="A395" s="6">
        <v>393.0</v>
      </c>
      <c r="B395" s="7" t="str">
        <f t="shared" si="1"/>
        <v>1BDFFE</v>
      </c>
      <c r="C395" s="11" t="str">
        <f t="shared" si="2"/>
        <v>C1599E</v>
      </c>
      <c r="D395" s="12">
        <f t="shared" si="3"/>
        <v>1</v>
      </c>
      <c r="E395" s="6">
        <f t="shared" si="4"/>
        <v>2</v>
      </c>
      <c r="F395" s="8">
        <f t="shared" si="5"/>
        <v>210</v>
      </c>
      <c r="G395" s="8" t="s">
        <v>469</v>
      </c>
      <c r="H395" s="13"/>
      <c r="I395" s="13"/>
    </row>
    <row r="396">
      <c r="A396" s="6">
        <v>394.0</v>
      </c>
      <c r="B396" s="7" t="str">
        <f t="shared" si="1"/>
        <v>1BDFFE</v>
      </c>
      <c r="C396" s="11" t="str">
        <f t="shared" si="2"/>
        <v>C1599E</v>
      </c>
      <c r="D396" s="12">
        <f t="shared" si="3"/>
        <v>2</v>
      </c>
      <c r="E396" s="6">
        <f t="shared" si="4"/>
        <v>4</v>
      </c>
      <c r="F396" s="8">
        <f t="shared" si="5"/>
        <v>210</v>
      </c>
      <c r="G396" s="8" t="s">
        <v>470</v>
      </c>
      <c r="H396" s="13"/>
      <c r="I396" s="13"/>
    </row>
    <row r="397">
      <c r="A397" s="6">
        <v>395.0</v>
      </c>
      <c r="B397" s="7" t="str">
        <f t="shared" si="1"/>
        <v>1BDFFE</v>
      </c>
      <c r="C397" s="11" t="str">
        <f t="shared" si="2"/>
        <v>C1599E</v>
      </c>
      <c r="D397" s="12">
        <f t="shared" si="3"/>
        <v>3</v>
      </c>
      <c r="E397" s="6">
        <f t="shared" si="4"/>
        <v>8</v>
      </c>
      <c r="F397" s="8">
        <f t="shared" si="5"/>
        <v>210</v>
      </c>
      <c r="G397" s="8" t="s">
        <v>471</v>
      </c>
      <c r="H397" s="13"/>
      <c r="I397" s="13"/>
    </row>
    <row r="398">
      <c r="A398" s="6">
        <v>396.0</v>
      </c>
      <c r="B398" s="7" t="str">
        <f t="shared" si="1"/>
        <v>1BDFFE</v>
      </c>
      <c r="C398" s="11" t="str">
        <f t="shared" si="2"/>
        <v>C1599E</v>
      </c>
      <c r="D398" s="12">
        <f t="shared" si="3"/>
        <v>4</v>
      </c>
      <c r="E398" s="6">
        <f t="shared" si="4"/>
        <v>16</v>
      </c>
      <c r="F398" s="8">
        <f t="shared" si="5"/>
        <v>210</v>
      </c>
      <c r="G398" s="8" t="s">
        <v>472</v>
      </c>
      <c r="H398" s="13"/>
      <c r="I398" s="13"/>
    </row>
    <row r="399">
      <c r="A399" s="6">
        <v>397.0</v>
      </c>
      <c r="B399" s="7" t="str">
        <f t="shared" si="1"/>
        <v>1BDFFE</v>
      </c>
      <c r="C399" s="11" t="str">
        <f t="shared" si="2"/>
        <v>C1599E</v>
      </c>
      <c r="D399" s="12">
        <f t="shared" si="3"/>
        <v>5</v>
      </c>
      <c r="E399" s="6">
        <f t="shared" si="4"/>
        <v>32</v>
      </c>
      <c r="F399" s="8">
        <f t="shared" si="5"/>
        <v>210</v>
      </c>
      <c r="G399" s="8" t="s">
        <v>473</v>
      </c>
      <c r="H399" s="13"/>
      <c r="I399" s="13"/>
    </row>
    <row r="400">
      <c r="A400" s="6">
        <v>398.0</v>
      </c>
      <c r="B400" s="7" t="str">
        <f t="shared" si="1"/>
        <v>1BDFFE</v>
      </c>
      <c r="C400" s="11" t="str">
        <f t="shared" si="2"/>
        <v>C1599E</v>
      </c>
      <c r="D400" s="12">
        <f t="shared" si="3"/>
        <v>6</v>
      </c>
      <c r="E400" s="6">
        <f t="shared" si="4"/>
        <v>64</v>
      </c>
      <c r="F400" s="8">
        <f t="shared" si="5"/>
        <v>210</v>
      </c>
      <c r="G400" s="8" t="s">
        <v>474</v>
      </c>
      <c r="H400" s="13"/>
      <c r="I400" s="13"/>
    </row>
    <row r="401">
      <c r="A401" s="6">
        <v>399.0</v>
      </c>
      <c r="B401" s="7" t="str">
        <f t="shared" si="1"/>
        <v>1BDFFE</v>
      </c>
      <c r="C401" s="11" t="str">
        <f t="shared" si="2"/>
        <v>C1599E</v>
      </c>
      <c r="D401" s="12">
        <f t="shared" si="3"/>
        <v>7</v>
      </c>
      <c r="E401" s="6">
        <f t="shared" si="4"/>
        <v>128</v>
      </c>
      <c r="F401" s="8">
        <f t="shared" si="5"/>
        <v>210</v>
      </c>
      <c r="G401" s="8" t="s">
        <v>475</v>
      </c>
      <c r="H401" s="13"/>
      <c r="I401" s="13"/>
    </row>
    <row r="402">
      <c r="A402" s="6">
        <v>400.0</v>
      </c>
      <c r="B402" s="7" t="str">
        <f t="shared" si="1"/>
        <v>1BDFFF</v>
      </c>
      <c r="C402" s="11" t="str">
        <f t="shared" si="2"/>
        <v>C1599F</v>
      </c>
      <c r="D402" s="12">
        <f t="shared" si="3"/>
        <v>0</v>
      </c>
      <c r="E402" s="6">
        <f t="shared" si="4"/>
        <v>1</v>
      </c>
      <c r="F402" s="8">
        <f t="shared" si="5"/>
        <v>211</v>
      </c>
      <c r="G402" s="8" t="s">
        <v>476</v>
      </c>
      <c r="H402" s="13"/>
      <c r="I402" s="13"/>
    </row>
    <row r="403">
      <c r="A403" s="6">
        <v>401.0</v>
      </c>
      <c r="B403" s="7" t="str">
        <f t="shared" si="1"/>
        <v>1BDFFF</v>
      </c>
      <c r="C403" s="11" t="str">
        <f t="shared" si="2"/>
        <v>C1599F</v>
      </c>
      <c r="D403" s="12">
        <f t="shared" si="3"/>
        <v>1</v>
      </c>
      <c r="E403" s="6">
        <f t="shared" si="4"/>
        <v>2</v>
      </c>
      <c r="F403" s="8">
        <f t="shared" si="5"/>
        <v>211</v>
      </c>
      <c r="G403" s="8" t="s">
        <v>477</v>
      </c>
      <c r="H403" s="13"/>
      <c r="I403" s="13"/>
    </row>
    <row r="404">
      <c r="A404" s="6">
        <v>402.0</v>
      </c>
      <c r="B404" s="7" t="str">
        <f t="shared" si="1"/>
        <v>1BDFFF</v>
      </c>
      <c r="C404" s="11" t="str">
        <f t="shared" si="2"/>
        <v>C1599F</v>
      </c>
      <c r="D404" s="12">
        <f t="shared" si="3"/>
        <v>2</v>
      </c>
      <c r="E404" s="6">
        <f t="shared" si="4"/>
        <v>4</v>
      </c>
      <c r="F404" s="8">
        <f t="shared" si="5"/>
        <v>211</v>
      </c>
      <c r="G404" s="8" t="s">
        <v>478</v>
      </c>
      <c r="H404" s="13"/>
      <c r="I404" s="13"/>
    </row>
    <row r="405">
      <c r="A405" s="6">
        <v>403.0</v>
      </c>
      <c r="B405" s="7" t="str">
        <f t="shared" si="1"/>
        <v>1BDFFF</v>
      </c>
      <c r="C405" s="11" t="str">
        <f t="shared" si="2"/>
        <v>C1599F</v>
      </c>
      <c r="D405" s="12">
        <f t="shared" si="3"/>
        <v>3</v>
      </c>
      <c r="E405" s="6">
        <f t="shared" si="4"/>
        <v>8</v>
      </c>
      <c r="F405" s="8">
        <f t="shared" si="5"/>
        <v>211</v>
      </c>
      <c r="G405" s="8" t="s">
        <v>479</v>
      </c>
      <c r="H405" s="13"/>
      <c r="I405" s="13"/>
    </row>
    <row r="406">
      <c r="A406" s="6">
        <v>404.0</v>
      </c>
      <c r="B406" s="7" t="str">
        <f t="shared" si="1"/>
        <v>1BDFFF</v>
      </c>
      <c r="C406" s="11" t="str">
        <f t="shared" si="2"/>
        <v>C1599F</v>
      </c>
      <c r="D406" s="12">
        <f t="shared" si="3"/>
        <v>4</v>
      </c>
      <c r="E406" s="6">
        <f t="shared" si="4"/>
        <v>16</v>
      </c>
      <c r="F406" s="8">
        <f t="shared" si="5"/>
        <v>211</v>
      </c>
      <c r="G406" s="8" t="s">
        <v>480</v>
      </c>
      <c r="H406" s="13"/>
      <c r="I406" s="13"/>
    </row>
    <row r="407">
      <c r="A407" s="6">
        <v>405.0</v>
      </c>
      <c r="B407" s="7" t="str">
        <f t="shared" si="1"/>
        <v>1BDFFF</v>
      </c>
      <c r="C407" s="11" t="str">
        <f t="shared" si="2"/>
        <v>C1599F</v>
      </c>
      <c r="D407" s="12">
        <f t="shared" si="3"/>
        <v>5</v>
      </c>
      <c r="E407" s="6">
        <f t="shared" si="4"/>
        <v>32</v>
      </c>
      <c r="F407" s="8">
        <f t="shared" si="5"/>
        <v>211</v>
      </c>
      <c r="G407" s="8" t="s">
        <v>481</v>
      </c>
      <c r="H407" s="13"/>
      <c r="I407" s="13"/>
    </row>
    <row r="408">
      <c r="A408" s="6">
        <v>406.0</v>
      </c>
      <c r="B408" s="7" t="str">
        <f t="shared" si="1"/>
        <v>1BDFFF</v>
      </c>
      <c r="C408" s="11" t="str">
        <f t="shared" si="2"/>
        <v>C1599F</v>
      </c>
      <c r="D408" s="12">
        <f t="shared" si="3"/>
        <v>6</v>
      </c>
      <c r="E408" s="6">
        <f t="shared" si="4"/>
        <v>64</v>
      </c>
      <c r="F408" s="8">
        <f t="shared" si="5"/>
        <v>211</v>
      </c>
      <c r="G408" s="8" t="s">
        <v>482</v>
      </c>
      <c r="H408" s="13"/>
      <c r="I408" s="13"/>
    </row>
    <row r="409">
      <c r="A409" s="6">
        <v>407.0</v>
      </c>
      <c r="B409" s="7" t="str">
        <f t="shared" si="1"/>
        <v>1BDFFF</v>
      </c>
      <c r="C409" s="11" t="str">
        <f t="shared" si="2"/>
        <v>C1599F</v>
      </c>
      <c r="D409" s="12">
        <f t="shared" si="3"/>
        <v>7</v>
      </c>
      <c r="E409" s="6">
        <f t="shared" si="4"/>
        <v>128</v>
      </c>
      <c r="F409" s="8">
        <f t="shared" si="5"/>
        <v>211</v>
      </c>
      <c r="G409" s="8" t="s">
        <v>483</v>
      </c>
      <c r="H409" s="13"/>
      <c r="I409" s="13"/>
    </row>
    <row r="410">
      <c r="A410" s="6">
        <v>408.0</v>
      </c>
      <c r="B410" s="7" t="str">
        <f t="shared" si="1"/>
        <v>1BE000</v>
      </c>
      <c r="C410" s="11" t="str">
        <f t="shared" si="2"/>
        <v>C159A0</v>
      </c>
      <c r="D410" s="12">
        <f t="shared" si="3"/>
        <v>0</v>
      </c>
      <c r="E410" s="6">
        <f t="shared" si="4"/>
        <v>1</v>
      </c>
      <c r="F410" s="8">
        <f t="shared" si="5"/>
        <v>212</v>
      </c>
      <c r="G410" s="8" t="s">
        <v>484</v>
      </c>
      <c r="H410" s="13"/>
      <c r="I410" s="13"/>
    </row>
    <row r="411">
      <c r="A411" s="6">
        <v>409.0</v>
      </c>
      <c r="B411" s="7" t="str">
        <f t="shared" si="1"/>
        <v>1BE000</v>
      </c>
      <c r="C411" s="11" t="str">
        <f t="shared" si="2"/>
        <v>C159A0</v>
      </c>
      <c r="D411" s="12">
        <f t="shared" si="3"/>
        <v>1</v>
      </c>
      <c r="E411" s="6">
        <f t="shared" si="4"/>
        <v>2</v>
      </c>
      <c r="F411" s="8">
        <f t="shared" si="5"/>
        <v>212</v>
      </c>
      <c r="G411" s="8" t="s">
        <v>485</v>
      </c>
      <c r="H411" s="13"/>
      <c r="I411" s="13"/>
    </row>
    <row r="412">
      <c r="A412" s="6">
        <v>410.0</v>
      </c>
      <c r="B412" s="7" t="str">
        <f t="shared" si="1"/>
        <v>1BE000</v>
      </c>
      <c r="C412" s="11" t="str">
        <f t="shared" si="2"/>
        <v>C159A0</v>
      </c>
      <c r="D412" s="12">
        <f t="shared" si="3"/>
        <v>2</v>
      </c>
      <c r="E412" s="6">
        <f t="shared" si="4"/>
        <v>4</v>
      </c>
      <c r="F412" s="8">
        <f t="shared" si="5"/>
        <v>212</v>
      </c>
      <c r="G412" s="8" t="s">
        <v>486</v>
      </c>
      <c r="H412" s="13"/>
      <c r="I412" s="13"/>
    </row>
    <row r="413">
      <c r="A413" s="6">
        <v>411.0</v>
      </c>
      <c r="B413" s="7" t="str">
        <f t="shared" si="1"/>
        <v>1BE000</v>
      </c>
      <c r="C413" s="11" t="str">
        <f t="shared" si="2"/>
        <v>C159A0</v>
      </c>
      <c r="D413" s="12">
        <f t="shared" si="3"/>
        <v>3</v>
      </c>
      <c r="E413" s="6">
        <f t="shared" si="4"/>
        <v>8</v>
      </c>
      <c r="F413" s="8">
        <f t="shared" si="5"/>
        <v>212</v>
      </c>
      <c r="G413" s="8" t="s">
        <v>487</v>
      </c>
      <c r="H413" s="13"/>
      <c r="I413" s="13"/>
    </row>
    <row r="414">
      <c r="A414" s="6">
        <v>412.0</v>
      </c>
      <c r="B414" s="7" t="str">
        <f t="shared" si="1"/>
        <v>1BE000</v>
      </c>
      <c r="C414" s="11" t="str">
        <f t="shared" si="2"/>
        <v>C159A0</v>
      </c>
      <c r="D414" s="12">
        <f t="shared" si="3"/>
        <v>4</v>
      </c>
      <c r="E414" s="6">
        <f t="shared" si="4"/>
        <v>16</v>
      </c>
      <c r="F414" s="8">
        <f t="shared" si="5"/>
        <v>212</v>
      </c>
      <c r="G414" s="8" t="s">
        <v>488</v>
      </c>
      <c r="H414" s="13"/>
      <c r="I414" s="13"/>
    </row>
    <row r="415">
      <c r="A415" s="6">
        <v>413.0</v>
      </c>
      <c r="B415" s="7" t="str">
        <f t="shared" si="1"/>
        <v>1BE000</v>
      </c>
      <c r="C415" s="11" t="str">
        <f t="shared" si="2"/>
        <v>C159A0</v>
      </c>
      <c r="D415" s="12">
        <f t="shared" si="3"/>
        <v>5</v>
      </c>
      <c r="E415" s="6">
        <f t="shared" si="4"/>
        <v>32</v>
      </c>
      <c r="F415" s="8">
        <f t="shared" si="5"/>
        <v>212</v>
      </c>
      <c r="G415" s="8" t="s">
        <v>489</v>
      </c>
      <c r="H415" s="13"/>
      <c r="I415" s="13"/>
    </row>
    <row r="416">
      <c r="A416" s="6">
        <v>414.0</v>
      </c>
      <c r="B416" s="7" t="str">
        <f t="shared" si="1"/>
        <v>1BE000</v>
      </c>
      <c r="C416" s="11" t="str">
        <f t="shared" si="2"/>
        <v>C159A0</v>
      </c>
      <c r="D416" s="12">
        <f t="shared" si="3"/>
        <v>6</v>
      </c>
      <c r="E416" s="6">
        <f t="shared" si="4"/>
        <v>64</v>
      </c>
      <c r="F416" s="8">
        <f t="shared" si="5"/>
        <v>212</v>
      </c>
      <c r="G416" s="8" t="s">
        <v>490</v>
      </c>
      <c r="H416" s="13"/>
      <c r="I416" s="13"/>
    </row>
    <row r="417">
      <c r="A417" s="6">
        <v>415.0</v>
      </c>
      <c r="B417" s="7" t="str">
        <f t="shared" si="1"/>
        <v>1BE000</v>
      </c>
      <c r="C417" s="11" t="str">
        <f t="shared" si="2"/>
        <v>C159A0</v>
      </c>
      <c r="D417" s="12">
        <f t="shared" si="3"/>
        <v>7</v>
      </c>
      <c r="E417" s="6">
        <f t="shared" si="4"/>
        <v>128</v>
      </c>
      <c r="F417" s="8">
        <f t="shared" si="5"/>
        <v>212</v>
      </c>
      <c r="G417" s="8" t="s">
        <v>491</v>
      </c>
      <c r="H417" s="13"/>
      <c r="I417" s="13"/>
    </row>
    <row r="418">
      <c r="A418" s="6">
        <v>416.0</v>
      </c>
      <c r="B418" s="7" t="str">
        <f t="shared" si="1"/>
        <v>1BE001</v>
      </c>
      <c r="C418" s="11" t="str">
        <f t="shared" si="2"/>
        <v>C159A1</v>
      </c>
      <c r="D418" s="12">
        <f t="shared" si="3"/>
        <v>0</v>
      </c>
      <c r="E418" s="6">
        <f t="shared" si="4"/>
        <v>1</v>
      </c>
      <c r="F418" s="8">
        <f t="shared" si="5"/>
        <v>213</v>
      </c>
      <c r="G418" s="8" t="s">
        <v>492</v>
      </c>
      <c r="H418" s="13"/>
      <c r="I418" s="13"/>
    </row>
    <row r="419">
      <c r="A419" s="6">
        <v>417.0</v>
      </c>
      <c r="B419" s="7" t="str">
        <f t="shared" si="1"/>
        <v>1BE001</v>
      </c>
      <c r="C419" s="11" t="str">
        <f t="shared" si="2"/>
        <v>C159A1</v>
      </c>
      <c r="D419" s="12">
        <f t="shared" si="3"/>
        <v>1</v>
      </c>
      <c r="E419" s="6">
        <f t="shared" si="4"/>
        <v>2</v>
      </c>
      <c r="F419" s="8">
        <f t="shared" si="5"/>
        <v>213</v>
      </c>
      <c r="G419" s="8" t="s">
        <v>493</v>
      </c>
      <c r="H419" s="13"/>
      <c r="I419" s="13"/>
    </row>
    <row r="420">
      <c r="A420" s="6">
        <v>418.0</v>
      </c>
      <c r="B420" s="7" t="str">
        <f t="shared" si="1"/>
        <v>1BE001</v>
      </c>
      <c r="C420" s="11" t="str">
        <f t="shared" si="2"/>
        <v>C159A1</v>
      </c>
      <c r="D420" s="12">
        <f t="shared" si="3"/>
        <v>2</v>
      </c>
      <c r="E420" s="6">
        <f t="shared" si="4"/>
        <v>4</v>
      </c>
      <c r="F420" s="8">
        <f t="shared" si="5"/>
        <v>213</v>
      </c>
      <c r="G420" s="8" t="s">
        <v>494</v>
      </c>
      <c r="H420" s="13"/>
      <c r="I420" s="13"/>
    </row>
    <row r="421">
      <c r="A421" s="6">
        <v>419.0</v>
      </c>
      <c r="B421" s="7" t="str">
        <f t="shared" si="1"/>
        <v>1BE001</v>
      </c>
      <c r="C421" s="11" t="str">
        <f t="shared" si="2"/>
        <v>C159A1</v>
      </c>
      <c r="D421" s="12">
        <f t="shared" si="3"/>
        <v>3</v>
      </c>
      <c r="E421" s="6">
        <f t="shared" si="4"/>
        <v>8</v>
      </c>
      <c r="F421" s="8">
        <f t="shared" si="5"/>
        <v>213</v>
      </c>
      <c r="G421" s="8" t="s">
        <v>495</v>
      </c>
      <c r="H421" s="13"/>
      <c r="I421" s="13"/>
    </row>
    <row r="422">
      <c r="A422" s="6">
        <v>420.0</v>
      </c>
      <c r="B422" s="7" t="str">
        <f t="shared" si="1"/>
        <v>1BE001</v>
      </c>
      <c r="C422" s="11" t="str">
        <f t="shared" si="2"/>
        <v>C159A1</v>
      </c>
      <c r="D422" s="12">
        <f t="shared" si="3"/>
        <v>4</v>
      </c>
      <c r="E422" s="6">
        <f t="shared" si="4"/>
        <v>16</v>
      </c>
      <c r="F422" s="8">
        <f t="shared" si="5"/>
        <v>213</v>
      </c>
      <c r="G422" s="8" t="s">
        <v>496</v>
      </c>
      <c r="H422" s="13"/>
      <c r="I422" s="13"/>
    </row>
    <row r="423">
      <c r="A423" s="6">
        <v>421.0</v>
      </c>
      <c r="B423" s="7" t="str">
        <f t="shared" si="1"/>
        <v>1BE001</v>
      </c>
      <c r="C423" s="11" t="str">
        <f t="shared" si="2"/>
        <v>C159A1</v>
      </c>
      <c r="D423" s="12">
        <f t="shared" si="3"/>
        <v>5</v>
      </c>
      <c r="E423" s="6">
        <f t="shared" si="4"/>
        <v>32</v>
      </c>
      <c r="F423" s="8">
        <f t="shared" si="5"/>
        <v>213</v>
      </c>
      <c r="G423" s="8" t="s">
        <v>497</v>
      </c>
      <c r="H423" s="13"/>
      <c r="I423" s="13"/>
    </row>
    <row r="424">
      <c r="A424" s="6">
        <v>422.0</v>
      </c>
      <c r="B424" s="7" t="str">
        <f t="shared" si="1"/>
        <v>1BE001</v>
      </c>
      <c r="C424" s="11" t="str">
        <f t="shared" si="2"/>
        <v>C159A1</v>
      </c>
      <c r="D424" s="12">
        <f t="shared" si="3"/>
        <v>6</v>
      </c>
      <c r="E424" s="6">
        <f t="shared" si="4"/>
        <v>64</v>
      </c>
      <c r="F424" s="8">
        <f t="shared" si="5"/>
        <v>213</v>
      </c>
      <c r="G424" s="8" t="s">
        <v>498</v>
      </c>
      <c r="H424" s="13"/>
      <c r="I424" s="13"/>
    </row>
    <row r="425">
      <c r="A425" s="6">
        <v>423.0</v>
      </c>
      <c r="B425" s="7" t="str">
        <f t="shared" si="1"/>
        <v>1BE001</v>
      </c>
      <c r="C425" s="11" t="str">
        <f t="shared" si="2"/>
        <v>C159A1</v>
      </c>
      <c r="D425" s="12">
        <f t="shared" si="3"/>
        <v>7</v>
      </c>
      <c r="E425" s="6">
        <f t="shared" si="4"/>
        <v>128</v>
      </c>
      <c r="F425" s="8">
        <f t="shared" si="5"/>
        <v>213</v>
      </c>
      <c r="G425" s="8" t="s">
        <v>499</v>
      </c>
      <c r="H425" s="13"/>
      <c r="I425" s="13"/>
    </row>
    <row r="426">
      <c r="A426" s="6">
        <v>424.0</v>
      </c>
      <c r="B426" s="7" t="str">
        <f t="shared" si="1"/>
        <v>1BE002</v>
      </c>
      <c r="C426" s="11" t="str">
        <f t="shared" si="2"/>
        <v>C159A2</v>
      </c>
      <c r="D426" s="12">
        <f t="shared" si="3"/>
        <v>0</v>
      </c>
      <c r="E426" s="6">
        <f t="shared" si="4"/>
        <v>1</v>
      </c>
      <c r="F426" s="8">
        <f t="shared" si="5"/>
        <v>214</v>
      </c>
      <c r="G426" s="8" t="s">
        <v>500</v>
      </c>
      <c r="H426" s="13"/>
      <c r="I426" s="13"/>
    </row>
    <row r="427">
      <c r="A427" s="6">
        <v>425.0</v>
      </c>
      <c r="B427" s="7" t="str">
        <f t="shared" si="1"/>
        <v>1BE002</v>
      </c>
      <c r="C427" s="11" t="str">
        <f t="shared" si="2"/>
        <v>C159A2</v>
      </c>
      <c r="D427" s="12">
        <f t="shared" si="3"/>
        <v>1</v>
      </c>
      <c r="E427" s="6">
        <f t="shared" si="4"/>
        <v>2</v>
      </c>
      <c r="F427" s="8">
        <f t="shared" si="5"/>
        <v>214</v>
      </c>
      <c r="G427" s="8" t="s">
        <v>501</v>
      </c>
      <c r="H427" s="13"/>
      <c r="I427" s="13"/>
    </row>
    <row r="428">
      <c r="A428" s="6">
        <v>426.0</v>
      </c>
      <c r="B428" s="7" t="str">
        <f t="shared" si="1"/>
        <v>1BE002</v>
      </c>
      <c r="C428" s="11" t="str">
        <f t="shared" si="2"/>
        <v>C159A2</v>
      </c>
      <c r="D428" s="12">
        <f t="shared" si="3"/>
        <v>2</v>
      </c>
      <c r="E428" s="6">
        <f t="shared" si="4"/>
        <v>4</v>
      </c>
      <c r="F428" s="8">
        <f t="shared" si="5"/>
        <v>214</v>
      </c>
      <c r="G428" s="8" t="s">
        <v>502</v>
      </c>
      <c r="H428" s="13"/>
      <c r="I428" s="13"/>
    </row>
    <row r="429">
      <c r="A429" s="6">
        <v>427.0</v>
      </c>
      <c r="B429" s="7" t="str">
        <f t="shared" si="1"/>
        <v>1BE002</v>
      </c>
      <c r="C429" s="11" t="str">
        <f t="shared" si="2"/>
        <v>C159A2</v>
      </c>
      <c r="D429" s="12">
        <f t="shared" si="3"/>
        <v>3</v>
      </c>
      <c r="E429" s="6">
        <f t="shared" si="4"/>
        <v>8</v>
      </c>
      <c r="F429" s="8">
        <f t="shared" si="5"/>
        <v>214</v>
      </c>
      <c r="G429" s="8" t="s">
        <v>503</v>
      </c>
      <c r="H429" s="13"/>
      <c r="I429" s="13"/>
    </row>
    <row r="430">
      <c r="A430" s="6">
        <v>428.0</v>
      </c>
      <c r="B430" s="7" t="str">
        <f t="shared" si="1"/>
        <v>1BE002</v>
      </c>
      <c r="C430" s="11" t="str">
        <f t="shared" si="2"/>
        <v>C159A2</v>
      </c>
      <c r="D430" s="12">
        <f t="shared" si="3"/>
        <v>4</v>
      </c>
      <c r="E430" s="6">
        <f t="shared" si="4"/>
        <v>16</v>
      </c>
      <c r="F430" s="8">
        <f t="shared" si="5"/>
        <v>214</v>
      </c>
      <c r="G430" s="8" t="s">
        <v>504</v>
      </c>
      <c r="H430" s="13"/>
      <c r="I430" s="13"/>
    </row>
    <row r="431">
      <c r="A431" s="6">
        <v>429.0</v>
      </c>
      <c r="B431" s="7" t="str">
        <f t="shared" si="1"/>
        <v>1BE002</v>
      </c>
      <c r="C431" s="11" t="str">
        <f t="shared" si="2"/>
        <v>C159A2</v>
      </c>
      <c r="D431" s="12">
        <f t="shared" si="3"/>
        <v>5</v>
      </c>
      <c r="E431" s="6">
        <f t="shared" si="4"/>
        <v>32</v>
      </c>
      <c r="F431" s="8">
        <f t="shared" si="5"/>
        <v>214</v>
      </c>
      <c r="G431" s="8" t="s">
        <v>505</v>
      </c>
      <c r="H431" s="13"/>
      <c r="I431" s="13"/>
    </row>
    <row r="432">
      <c r="A432" s="6">
        <v>430.0</v>
      </c>
      <c r="B432" s="7" t="str">
        <f t="shared" si="1"/>
        <v>1BE002</v>
      </c>
      <c r="C432" s="11" t="str">
        <f t="shared" si="2"/>
        <v>C159A2</v>
      </c>
      <c r="D432" s="12">
        <f t="shared" si="3"/>
        <v>6</v>
      </c>
      <c r="E432" s="6">
        <f t="shared" si="4"/>
        <v>64</v>
      </c>
      <c r="F432" s="8">
        <f t="shared" si="5"/>
        <v>214</v>
      </c>
      <c r="G432" s="8" t="s">
        <v>506</v>
      </c>
      <c r="H432" s="13"/>
      <c r="I432" s="13"/>
    </row>
    <row r="433">
      <c r="A433" s="6">
        <v>431.0</v>
      </c>
      <c r="B433" s="7" t="str">
        <f t="shared" si="1"/>
        <v>1BE002</v>
      </c>
      <c r="C433" s="11" t="str">
        <f t="shared" si="2"/>
        <v>C159A2</v>
      </c>
      <c r="D433" s="12">
        <f t="shared" si="3"/>
        <v>7</v>
      </c>
      <c r="E433" s="6">
        <f t="shared" si="4"/>
        <v>128</v>
      </c>
      <c r="F433" s="8">
        <f t="shared" si="5"/>
        <v>214</v>
      </c>
      <c r="G433" s="8" t="s">
        <v>507</v>
      </c>
      <c r="H433" s="13"/>
      <c r="I433" s="13"/>
    </row>
    <row r="434">
      <c r="A434" s="6">
        <v>432.0</v>
      </c>
      <c r="B434" s="7" t="str">
        <f t="shared" si="1"/>
        <v>1BE003</v>
      </c>
      <c r="C434" s="11" t="str">
        <f t="shared" si="2"/>
        <v>C159A3</v>
      </c>
      <c r="D434" s="12">
        <f t="shared" si="3"/>
        <v>0</v>
      </c>
      <c r="E434" s="6">
        <f t="shared" si="4"/>
        <v>1</v>
      </c>
      <c r="F434" s="8">
        <f t="shared" si="5"/>
        <v>215</v>
      </c>
      <c r="G434" s="8" t="s">
        <v>508</v>
      </c>
      <c r="H434" s="13"/>
      <c r="I434" s="13"/>
    </row>
    <row r="435">
      <c r="A435" s="6">
        <v>433.0</v>
      </c>
      <c r="B435" s="7" t="str">
        <f t="shared" si="1"/>
        <v>1BE003</v>
      </c>
      <c r="C435" s="11" t="str">
        <f t="shared" si="2"/>
        <v>C159A3</v>
      </c>
      <c r="D435" s="12">
        <f t="shared" si="3"/>
        <v>1</v>
      </c>
      <c r="E435" s="6">
        <f t="shared" si="4"/>
        <v>2</v>
      </c>
      <c r="F435" s="8">
        <f t="shared" si="5"/>
        <v>215</v>
      </c>
      <c r="G435" s="8" t="s">
        <v>509</v>
      </c>
      <c r="H435" s="13"/>
      <c r="I435" s="13"/>
    </row>
    <row r="436">
      <c r="A436" s="6">
        <v>434.0</v>
      </c>
      <c r="B436" s="7" t="str">
        <f t="shared" si="1"/>
        <v>1BE003</v>
      </c>
      <c r="C436" s="11" t="str">
        <f t="shared" si="2"/>
        <v>C159A3</v>
      </c>
      <c r="D436" s="12">
        <f t="shared" si="3"/>
        <v>2</v>
      </c>
      <c r="E436" s="6">
        <f t="shared" si="4"/>
        <v>4</v>
      </c>
      <c r="F436" s="8">
        <f t="shared" si="5"/>
        <v>215</v>
      </c>
      <c r="G436" s="8" t="s">
        <v>510</v>
      </c>
      <c r="H436" s="13"/>
      <c r="I436" s="13"/>
    </row>
    <row r="437">
      <c r="A437" s="6">
        <v>435.0</v>
      </c>
      <c r="B437" s="7" t="str">
        <f t="shared" si="1"/>
        <v>1BE003</v>
      </c>
      <c r="C437" s="11" t="str">
        <f t="shared" si="2"/>
        <v>C159A3</v>
      </c>
      <c r="D437" s="12">
        <f t="shared" si="3"/>
        <v>3</v>
      </c>
      <c r="E437" s="6">
        <f t="shared" si="4"/>
        <v>8</v>
      </c>
      <c r="F437" s="8">
        <f t="shared" si="5"/>
        <v>215</v>
      </c>
      <c r="G437" s="8" t="s">
        <v>511</v>
      </c>
      <c r="H437" s="13"/>
      <c r="I437" s="13"/>
    </row>
    <row r="438">
      <c r="A438" s="6">
        <v>436.0</v>
      </c>
      <c r="B438" s="7" t="str">
        <f t="shared" si="1"/>
        <v>1BE003</v>
      </c>
      <c r="C438" s="11" t="str">
        <f t="shared" si="2"/>
        <v>C159A3</v>
      </c>
      <c r="D438" s="12">
        <f t="shared" si="3"/>
        <v>4</v>
      </c>
      <c r="E438" s="6">
        <f t="shared" si="4"/>
        <v>16</v>
      </c>
      <c r="F438" s="8">
        <f t="shared" si="5"/>
        <v>215</v>
      </c>
      <c r="G438" s="8" t="s">
        <v>512</v>
      </c>
      <c r="H438" s="13"/>
      <c r="I438" s="13"/>
    </row>
    <row r="439">
      <c r="A439" s="6">
        <v>437.0</v>
      </c>
      <c r="B439" s="7" t="str">
        <f t="shared" si="1"/>
        <v>1BE003</v>
      </c>
      <c r="C439" s="11" t="str">
        <f t="shared" si="2"/>
        <v>C159A3</v>
      </c>
      <c r="D439" s="12">
        <f t="shared" si="3"/>
        <v>5</v>
      </c>
      <c r="E439" s="6">
        <f t="shared" si="4"/>
        <v>32</v>
      </c>
      <c r="F439" s="8">
        <f t="shared" si="5"/>
        <v>215</v>
      </c>
      <c r="G439" s="8" t="s">
        <v>513</v>
      </c>
      <c r="H439" s="13"/>
      <c r="I439" s="13"/>
    </row>
    <row r="440">
      <c r="A440" s="6">
        <v>438.0</v>
      </c>
      <c r="B440" s="7" t="str">
        <f t="shared" si="1"/>
        <v>1BE003</v>
      </c>
      <c r="C440" s="11" t="str">
        <f t="shared" si="2"/>
        <v>C159A3</v>
      </c>
      <c r="D440" s="12">
        <f t="shared" si="3"/>
        <v>6</v>
      </c>
      <c r="E440" s="6">
        <f t="shared" si="4"/>
        <v>64</v>
      </c>
      <c r="F440" s="8">
        <f t="shared" si="5"/>
        <v>215</v>
      </c>
      <c r="G440" s="8" t="s">
        <v>514</v>
      </c>
      <c r="H440" s="13"/>
      <c r="I440" s="13"/>
    </row>
    <row r="441">
      <c r="A441" s="6">
        <v>439.0</v>
      </c>
      <c r="B441" s="7" t="str">
        <f t="shared" si="1"/>
        <v>1BE003</v>
      </c>
      <c r="C441" s="11" t="str">
        <f t="shared" si="2"/>
        <v>C159A3</v>
      </c>
      <c r="D441" s="12">
        <f t="shared" si="3"/>
        <v>7</v>
      </c>
      <c r="E441" s="6">
        <f t="shared" si="4"/>
        <v>128</v>
      </c>
      <c r="F441" s="8">
        <f t="shared" si="5"/>
        <v>215</v>
      </c>
      <c r="G441" s="8" t="s">
        <v>515</v>
      </c>
      <c r="H441" s="13"/>
      <c r="I441" s="13"/>
    </row>
    <row r="442">
      <c r="A442" s="6">
        <v>440.0</v>
      </c>
      <c r="B442" s="7" t="str">
        <f t="shared" si="1"/>
        <v>1BE004</v>
      </c>
      <c r="C442" s="11" t="str">
        <f t="shared" si="2"/>
        <v>C159A4</v>
      </c>
      <c r="D442" s="12">
        <f t="shared" si="3"/>
        <v>0</v>
      </c>
      <c r="E442" s="6">
        <f t="shared" si="4"/>
        <v>1</v>
      </c>
      <c r="F442" s="8">
        <f t="shared" si="5"/>
        <v>216</v>
      </c>
      <c r="G442" s="8" t="s">
        <v>516</v>
      </c>
      <c r="H442" s="13"/>
      <c r="I442" s="13"/>
    </row>
    <row r="443">
      <c r="A443" s="6">
        <v>441.0</v>
      </c>
      <c r="B443" s="7" t="str">
        <f t="shared" si="1"/>
        <v>1BE004</v>
      </c>
      <c r="C443" s="11" t="str">
        <f t="shared" si="2"/>
        <v>C159A4</v>
      </c>
      <c r="D443" s="12">
        <f t="shared" si="3"/>
        <v>1</v>
      </c>
      <c r="E443" s="6">
        <f t="shared" si="4"/>
        <v>2</v>
      </c>
      <c r="F443" s="8">
        <f t="shared" si="5"/>
        <v>216</v>
      </c>
      <c r="G443" s="8" t="s">
        <v>517</v>
      </c>
      <c r="H443" s="13"/>
      <c r="I443" s="13"/>
    </row>
    <row r="444">
      <c r="A444" s="6">
        <v>442.0</v>
      </c>
      <c r="B444" s="7" t="str">
        <f t="shared" si="1"/>
        <v>1BE004</v>
      </c>
      <c r="C444" s="11" t="str">
        <f t="shared" si="2"/>
        <v>C159A4</v>
      </c>
      <c r="D444" s="12">
        <f t="shared" si="3"/>
        <v>2</v>
      </c>
      <c r="E444" s="6">
        <f t="shared" si="4"/>
        <v>4</v>
      </c>
      <c r="F444" s="8">
        <f t="shared" si="5"/>
        <v>216</v>
      </c>
      <c r="G444" s="8" t="s">
        <v>518</v>
      </c>
      <c r="H444" s="13"/>
      <c r="I444" s="13"/>
    </row>
    <row r="445">
      <c r="A445" s="6">
        <v>443.0</v>
      </c>
      <c r="B445" s="7" t="str">
        <f t="shared" si="1"/>
        <v>1BE004</v>
      </c>
      <c r="C445" s="11" t="str">
        <f t="shared" si="2"/>
        <v>C159A4</v>
      </c>
      <c r="D445" s="12">
        <f t="shared" si="3"/>
        <v>3</v>
      </c>
      <c r="E445" s="6">
        <f t="shared" si="4"/>
        <v>8</v>
      </c>
      <c r="F445" s="8">
        <f t="shared" si="5"/>
        <v>216</v>
      </c>
      <c r="G445" s="8" t="s">
        <v>519</v>
      </c>
      <c r="H445" s="13"/>
      <c r="I445" s="13"/>
    </row>
    <row r="446">
      <c r="A446" s="6">
        <v>444.0</v>
      </c>
      <c r="B446" s="7" t="str">
        <f t="shared" si="1"/>
        <v>1BE004</v>
      </c>
      <c r="C446" s="11" t="str">
        <f t="shared" si="2"/>
        <v>C159A4</v>
      </c>
      <c r="D446" s="12">
        <f t="shared" si="3"/>
        <v>4</v>
      </c>
      <c r="E446" s="6">
        <f t="shared" si="4"/>
        <v>16</v>
      </c>
      <c r="F446" s="8">
        <f t="shared" si="5"/>
        <v>216</v>
      </c>
      <c r="G446" s="8" t="s">
        <v>520</v>
      </c>
      <c r="H446" s="13"/>
      <c r="I446" s="13"/>
    </row>
    <row r="447">
      <c r="A447" s="6">
        <v>445.0</v>
      </c>
      <c r="B447" s="7" t="str">
        <f t="shared" si="1"/>
        <v>1BE004</v>
      </c>
      <c r="C447" s="11" t="str">
        <f t="shared" si="2"/>
        <v>C159A4</v>
      </c>
      <c r="D447" s="12">
        <f t="shared" si="3"/>
        <v>5</v>
      </c>
      <c r="E447" s="6">
        <f t="shared" si="4"/>
        <v>32</v>
      </c>
      <c r="F447" s="8">
        <f t="shared" si="5"/>
        <v>216</v>
      </c>
      <c r="G447" s="8" t="s">
        <v>521</v>
      </c>
      <c r="H447" s="13"/>
      <c r="I447" s="13"/>
    </row>
    <row r="448">
      <c r="A448" s="6">
        <v>446.0</v>
      </c>
      <c r="B448" s="7" t="str">
        <f t="shared" si="1"/>
        <v>1BE004</v>
      </c>
      <c r="C448" s="11" t="str">
        <f t="shared" si="2"/>
        <v>C159A4</v>
      </c>
      <c r="D448" s="12">
        <f t="shared" si="3"/>
        <v>6</v>
      </c>
      <c r="E448" s="6">
        <f t="shared" si="4"/>
        <v>64</v>
      </c>
      <c r="F448" s="8">
        <f t="shared" si="5"/>
        <v>216</v>
      </c>
      <c r="G448" s="8" t="s">
        <v>522</v>
      </c>
      <c r="H448" s="13"/>
      <c r="I448" s="13"/>
    </row>
    <row r="449">
      <c r="A449" s="6">
        <v>447.0</v>
      </c>
      <c r="B449" s="7" t="str">
        <f t="shared" si="1"/>
        <v>1BE004</v>
      </c>
      <c r="C449" s="11" t="str">
        <f t="shared" si="2"/>
        <v>C159A4</v>
      </c>
      <c r="D449" s="12">
        <f t="shared" si="3"/>
        <v>7</v>
      </c>
      <c r="E449" s="6">
        <f t="shared" si="4"/>
        <v>128</v>
      </c>
      <c r="F449" s="8">
        <f t="shared" si="5"/>
        <v>216</v>
      </c>
      <c r="G449" s="8" t="s">
        <v>523</v>
      </c>
      <c r="H449" s="13"/>
      <c r="I449" s="13"/>
    </row>
    <row r="450">
      <c r="A450" s="6">
        <v>448.0</v>
      </c>
      <c r="B450" s="7" t="str">
        <f t="shared" si="1"/>
        <v>1BE005</v>
      </c>
      <c r="C450" s="11" t="str">
        <f t="shared" si="2"/>
        <v>C159A5</v>
      </c>
      <c r="D450" s="12">
        <f t="shared" si="3"/>
        <v>0</v>
      </c>
      <c r="E450" s="6">
        <f t="shared" si="4"/>
        <v>1</v>
      </c>
      <c r="F450" s="8">
        <f t="shared" si="5"/>
        <v>217</v>
      </c>
      <c r="G450" s="8" t="s">
        <v>524</v>
      </c>
      <c r="H450" s="13"/>
      <c r="I450" s="13"/>
    </row>
    <row r="451">
      <c r="A451" s="6">
        <v>449.0</v>
      </c>
      <c r="B451" s="7" t="str">
        <f t="shared" si="1"/>
        <v>1BE005</v>
      </c>
      <c r="C451" s="11" t="str">
        <f t="shared" si="2"/>
        <v>C159A5</v>
      </c>
      <c r="D451" s="12">
        <f t="shared" si="3"/>
        <v>1</v>
      </c>
      <c r="E451" s="6">
        <f t="shared" si="4"/>
        <v>2</v>
      </c>
      <c r="F451" s="8">
        <f t="shared" si="5"/>
        <v>217</v>
      </c>
      <c r="G451" s="8" t="s">
        <v>525</v>
      </c>
      <c r="H451" s="13"/>
      <c r="I451" s="13"/>
    </row>
    <row r="452">
      <c r="A452" s="6">
        <v>450.0</v>
      </c>
      <c r="B452" s="7" t="str">
        <f t="shared" si="1"/>
        <v>1BE005</v>
      </c>
      <c r="C452" s="11" t="str">
        <f t="shared" si="2"/>
        <v>C159A5</v>
      </c>
      <c r="D452" s="12">
        <f t="shared" si="3"/>
        <v>2</v>
      </c>
      <c r="E452" s="6">
        <f t="shared" si="4"/>
        <v>4</v>
      </c>
      <c r="F452" s="8">
        <f t="shared" si="5"/>
        <v>217</v>
      </c>
      <c r="G452" s="8" t="s">
        <v>526</v>
      </c>
      <c r="H452" s="13"/>
      <c r="I452" s="13"/>
    </row>
    <row r="453">
      <c r="A453" s="6">
        <v>451.0</v>
      </c>
      <c r="B453" s="7" t="str">
        <f t="shared" si="1"/>
        <v>1BE005</v>
      </c>
      <c r="C453" s="11" t="str">
        <f t="shared" si="2"/>
        <v>C159A5</v>
      </c>
      <c r="D453" s="12">
        <f t="shared" si="3"/>
        <v>3</v>
      </c>
      <c r="E453" s="6">
        <f t="shared" si="4"/>
        <v>8</v>
      </c>
      <c r="F453" s="8">
        <f t="shared" si="5"/>
        <v>217</v>
      </c>
      <c r="G453" s="8" t="s">
        <v>527</v>
      </c>
      <c r="H453" s="13"/>
      <c r="I453" s="13"/>
    </row>
    <row r="454">
      <c r="A454" s="6">
        <v>452.0</v>
      </c>
      <c r="B454" s="7" t="str">
        <f t="shared" si="1"/>
        <v>1BE005</v>
      </c>
      <c r="C454" s="11" t="str">
        <f t="shared" si="2"/>
        <v>C159A5</v>
      </c>
      <c r="D454" s="12">
        <f t="shared" si="3"/>
        <v>4</v>
      </c>
      <c r="E454" s="6">
        <f t="shared" si="4"/>
        <v>16</v>
      </c>
      <c r="F454" s="8">
        <f t="shared" si="5"/>
        <v>217</v>
      </c>
      <c r="G454" s="8" t="s">
        <v>528</v>
      </c>
      <c r="H454" s="13"/>
      <c r="I454" s="13"/>
    </row>
    <row r="455">
      <c r="A455" s="6">
        <v>453.0</v>
      </c>
      <c r="B455" s="7" t="str">
        <f t="shared" si="1"/>
        <v>1BE005</v>
      </c>
      <c r="C455" s="11" t="str">
        <f t="shared" si="2"/>
        <v>C159A5</v>
      </c>
      <c r="D455" s="12">
        <f t="shared" si="3"/>
        <v>5</v>
      </c>
      <c r="E455" s="6">
        <f t="shared" si="4"/>
        <v>32</v>
      </c>
      <c r="F455" s="8">
        <f t="shared" si="5"/>
        <v>217</v>
      </c>
      <c r="G455" s="8" t="s">
        <v>529</v>
      </c>
      <c r="H455" s="13"/>
      <c r="I455" s="13"/>
    </row>
    <row r="456">
      <c r="A456" s="6">
        <v>454.0</v>
      </c>
      <c r="B456" s="7" t="str">
        <f t="shared" si="1"/>
        <v>1BE005</v>
      </c>
      <c r="C456" s="11" t="str">
        <f t="shared" si="2"/>
        <v>C159A5</v>
      </c>
      <c r="D456" s="12">
        <f t="shared" si="3"/>
        <v>6</v>
      </c>
      <c r="E456" s="6">
        <f t="shared" si="4"/>
        <v>64</v>
      </c>
      <c r="F456" s="8">
        <f t="shared" si="5"/>
        <v>217</v>
      </c>
      <c r="G456" s="8" t="s">
        <v>530</v>
      </c>
      <c r="H456" s="13"/>
      <c r="I456" s="13"/>
    </row>
    <row r="457">
      <c r="A457" s="6">
        <v>455.0</v>
      </c>
      <c r="B457" s="7" t="str">
        <f t="shared" si="1"/>
        <v>1BE005</v>
      </c>
      <c r="C457" s="11" t="str">
        <f t="shared" si="2"/>
        <v>C159A5</v>
      </c>
      <c r="D457" s="12">
        <f t="shared" si="3"/>
        <v>7</v>
      </c>
      <c r="E457" s="6">
        <f t="shared" si="4"/>
        <v>128</v>
      </c>
      <c r="F457" s="8">
        <f t="shared" si="5"/>
        <v>217</v>
      </c>
      <c r="G457" s="8" t="s">
        <v>531</v>
      </c>
      <c r="H457" s="13"/>
      <c r="I457" s="13"/>
    </row>
    <row r="458">
      <c r="A458" s="6">
        <v>456.0</v>
      </c>
      <c r="B458" s="7" t="str">
        <f t="shared" si="1"/>
        <v>1BE006</v>
      </c>
      <c r="C458" s="11" t="str">
        <f t="shared" si="2"/>
        <v>C159A6</v>
      </c>
      <c r="D458" s="12">
        <f t="shared" si="3"/>
        <v>0</v>
      </c>
      <c r="E458" s="6">
        <f t="shared" si="4"/>
        <v>1</v>
      </c>
      <c r="F458" s="8">
        <f t="shared" si="5"/>
        <v>218</v>
      </c>
      <c r="G458" s="8" t="s">
        <v>532</v>
      </c>
      <c r="H458" s="13"/>
      <c r="I458" s="13"/>
    </row>
    <row r="459">
      <c r="A459" s="6">
        <v>457.0</v>
      </c>
      <c r="B459" s="7" t="str">
        <f t="shared" si="1"/>
        <v>1BE006</v>
      </c>
      <c r="C459" s="11" t="str">
        <f t="shared" si="2"/>
        <v>C159A6</v>
      </c>
      <c r="D459" s="12">
        <f t="shared" si="3"/>
        <v>1</v>
      </c>
      <c r="E459" s="6">
        <f t="shared" si="4"/>
        <v>2</v>
      </c>
      <c r="F459" s="8">
        <f t="shared" si="5"/>
        <v>218</v>
      </c>
      <c r="G459" s="8" t="s">
        <v>533</v>
      </c>
      <c r="H459" s="13"/>
      <c r="I459" s="13"/>
    </row>
    <row r="460">
      <c r="A460" s="6">
        <v>458.0</v>
      </c>
      <c r="B460" s="7" t="str">
        <f t="shared" si="1"/>
        <v>1BE006</v>
      </c>
      <c r="C460" s="11" t="str">
        <f t="shared" si="2"/>
        <v>C159A6</v>
      </c>
      <c r="D460" s="12">
        <f t="shared" si="3"/>
        <v>2</v>
      </c>
      <c r="E460" s="6">
        <f t="shared" si="4"/>
        <v>4</v>
      </c>
      <c r="F460" s="8">
        <f t="shared" si="5"/>
        <v>218</v>
      </c>
      <c r="G460" s="8" t="s">
        <v>534</v>
      </c>
      <c r="H460" s="13"/>
      <c r="I460" s="13"/>
    </row>
    <row r="461">
      <c r="A461" s="6">
        <v>459.0</v>
      </c>
      <c r="B461" s="7" t="str">
        <f t="shared" si="1"/>
        <v>1BE006</v>
      </c>
      <c r="C461" s="11" t="str">
        <f t="shared" si="2"/>
        <v>C159A6</v>
      </c>
      <c r="D461" s="12">
        <f t="shared" si="3"/>
        <v>3</v>
      </c>
      <c r="E461" s="6">
        <f t="shared" si="4"/>
        <v>8</v>
      </c>
      <c r="F461" s="8">
        <f t="shared" si="5"/>
        <v>218</v>
      </c>
      <c r="G461" s="8" t="s">
        <v>535</v>
      </c>
      <c r="H461" s="13"/>
      <c r="I461" s="13"/>
    </row>
    <row r="462">
      <c r="A462" s="6">
        <v>460.0</v>
      </c>
      <c r="B462" s="7" t="str">
        <f t="shared" si="1"/>
        <v>1BE006</v>
      </c>
      <c r="C462" s="11" t="str">
        <f t="shared" si="2"/>
        <v>C159A6</v>
      </c>
      <c r="D462" s="12">
        <f t="shared" si="3"/>
        <v>4</v>
      </c>
      <c r="E462" s="6">
        <f t="shared" si="4"/>
        <v>16</v>
      </c>
      <c r="F462" s="8">
        <f t="shared" si="5"/>
        <v>218</v>
      </c>
      <c r="G462" s="8" t="s">
        <v>536</v>
      </c>
      <c r="H462" s="13"/>
      <c r="I462" s="13"/>
    </row>
    <row r="463">
      <c r="A463" s="6">
        <v>461.0</v>
      </c>
      <c r="B463" s="7" t="str">
        <f t="shared" si="1"/>
        <v>1BE006</v>
      </c>
      <c r="C463" s="11" t="str">
        <f t="shared" si="2"/>
        <v>C159A6</v>
      </c>
      <c r="D463" s="12">
        <f t="shared" si="3"/>
        <v>5</v>
      </c>
      <c r="E463" s="6">
        <f t="shared" si="4"/>
        <v>32</v>
      </c>
      <c r="F463" s="8">
        <f t="shared" si="5"/>
        <v>218</v>
      </c>
      <c r="G463" s="8" t="s">
        <v>537</v>
      </c>
      <c r="H463" s="13"/>
      <c r="I463" s="13"/>
    </row>
    <row r="464">
      <c r="A464" s="6">
        <v>462.0</v>
      </c>
      <c r="B464" s="7" t="str">
        <f t="shared" si="1"/>
        <v>1BE006</v>
      </c>
      <c r="C464" s="11" t="str">
        <f t="shared" si="2"/>
        <v>C159A6</v>
      </c>
      <c r="D464" s="12">
        <f t="shared" si="3"/>
        <v>6</v>
      </c>
      <c r="E464" s="6">
        <f t="shared" si="4"/>
        <v>64</v>
      </c>
      <c r="F464" s="8">
        <f t="shared" si="5"/>
        <v>218</v>
      </c>
      <c r="G464" s="8" t="s">
        <v>538</v>
      </c>
      <c r="H464" s="13"/>
      <c r="I464" s="13"/>
    </row>
    <row r="465">
      <c r="A465" s="6">
        <v>463.0</v>
      </c>
      <c r="B465" s="7" t="str">
        <f t="shared" si="1"/>
        <v>1BE006</v>
      </c>
      <c r="C465" s="11" t="str">
        <f t="shared" si="2"/>
        <v>C159A6</v>
      </c>
      <c r="D465" s="12">
        <f t="shared" si="3"/>
        <v>7</v>
      </c>
      <c r="E465" s="6">
        <f t="shared" si="4"/>
        <v>128</v>
      </c>
      <c r="F465" s="8">
        <f t="shared" si="5"/>
        <v>218</v>
      </c>
      <c r="G465" s="8" t="s">
        <v>539</v>
      </c>
      <c r="H465" s="13"/>
      <c r="I465" s="13"/>
    </row>
    <row r="466">
      <c r="A466" s="6">
        <v>464.0</v>
      </c>
      <c r="B466" s="7" t="str">
        <f t="shared" si="1"/>
        <v>1BE007</v>
      </c>
      <c r="C466" s="11" t="str">
        <f t="shared" si="2"/>
        <v>C159A7</v>
      </c>
      <c r="D466" s="12">
        <f t="shared" si="3"/>
        <v>0</v>
      </c>
      <c r="E466" s="6">
        <f t="shared" si="4"/>
        <v>1</v>
      </c>
      <c r="F466" s="8">
        <f t="shared" si="5"/>
        <v>219</v>
      </c>
      <c r="G466" s="8" t="s">
        <v>540</v>
      </c>
      <c r="H466" s="13"/>
      <c r="I466" s="13"/>
    </row>
    <row r="467">
      <c r="A467" s="6">
        <v>465.0</v>
      </c>
      <c r="B467" s="7" t="str">
        <f t="shared" si="1"/>
        <v>1BE007</v>
      </c>
      <c r="C467" s="11" t="str">
        <f t="shared" si="2"/>
        <v>C159A7</v>
      </c>
      <c r="D467" s="12">
        <f t="shared" si="3"/>
        <v>1</v>
      </c>
      <c r="E467" s="6">
        <f t="shared" si="4"/>
        <v>2</v>
      </c>
      <c r="F467" s="8">
        <f t="shared" si="5"/>
        <v>219</v>
      </c>
      <c r="G467" s="8" t="s">
        <v>541</v>
      </c>
      <c r="H467" s="13"/>
      <c r="I467" s="13"/>
    </row>
    <row r="468">
      <c r="A468" s="6">
        <v>466.0</v>
      </c>
      <c r="B468" s="7" t="str">
        <f t="shared" si="1"/>
        <v>1BE007</v>
      </c>
      <c r="C468" s="11" t="str">
        <f t="shared" si="2"/>
        <v>C159A7</v>
      </c>
      <c r="D468" s="12">
        <f t="shared" si="3"/>
        <v>2</v>
      </c>
      <c r="E468" s="6">
        <f t="shared" si="4"/>
        <v>4</v>
      </c>
      <c r="F468" s="8">
        <f t="shared" si="5"/>
        <v>219</v>
      </c>
      <c r="G468" s="8" t="s">
        <v>542</v>
      </c>
      <c r="H468" s="13"/>
      <c r="I468" s="13"/>
    </row>
    <row r="469">
      <c r="A469" s="6">
        <v>467.0</v>
      </c>
      <c r="B469" s="7" t="str">
        <f t="shared" si="1"/>
        <v>1BE007</v>
      </c>
      <c r="C469" s="11" t="str">
        <f t="shared" si="2"/>
        <v>C159A7</v>
      </c>
      <c r="D469" s="12">
        <f t="shared" si="3"/>
        <v>3</v>
      </c>
      <c r="E469" s="6">
        <f t="shared" si="4"/>
        <v>8</v>
      </c>
      <c r="F469" s="8">
        <f t="shared" si="5"/>
        <v>219</v>
      </c>
      <c r="G469" s="8" t="s">
        <v>543</v>
      </c>
      <c r="H469" s="13"/>
      <c r="I469" s="13"/>
    </row>
    <row r="470">
      <c r="A470" s="6">
        <v>468.0</v>
      </c>
      <c r="B470" s="7" t="str">
        <f t="shared" si="1"/>
        <v>1BE007</v>
      </c>
      <c r="C470" s="11" t="str">
        <f t="shared" si="2"/>
        <v>C159A7</v>
      </c>
      <c r="D470" s="12">
        <f t="shared" si="3"/>
        <v>4</v>
      </c>
      <c r="E470" s="6">
        <f t="shared" si="4"/>
        <v>16</v>
      </c>
      <c r="F470" s="8">
        <f t="shared" si="5"/>
        <v>219</v>
      </c>
      <c r="G470" s="8" t="s">
        <v>544</v>
      </c>
      <c r="H470" s="13"/>
      <c r="I470" s="13"/>
    </row>
    <row r="471">
      <c r="A471" s="6">
        <v>469.0</v>
      </c>
      <c r="B471" s="7" t="str">
        <f t="shared" si="1"/>
        <v>1BE007</v>
      </c>
      <c r="C471" s="11" t="str">
        <f t="shared" si="2"/>
        <v>C159A7</v>
      </c>
      <c r="D471" s="12">
        <f t="shared" si="3"/>
        <v>5</v>
      </c>
      <c r="E471" s="6">
        <f t="shared" si="4"/>
        <v>32</v>
      </c>
      <c r="F471" s="8">
        <f t="shared" si="5"/>
        <v>219</v>
      </c>
      <c r="G471" s="8" t="s">
        <v>545</v>
      </c>
      <c r="H471" s="13"/>
      <c r="I471" s="13"/>
    </row>
    <row r="472">
      <c r="A472" s="6">
        <v>470.0</v>
      </c>
      <c r="B472" s="7" t="str">
        <f t="shared" si="1"/>
        <v>1BE007</v>
      </c>
      <c r="C472" s="11" t="str">
        <f t="shared" si="2"/>
        <v>C159A7</v>
      </c>
      <c r="D472" s="12">
        <f t="shared" si="3"/>
        <v>6</v>
      </c>
      <c r="E472" s="6">
        <f t="shared" si="4"/>
        <v>64</v>
      </c>
      <c r="F472" s="8">
        <f t="shared" si="5"/>
        <v>219</v>
      </c>
      <c r="G472" s="8" t="s">
        <v>546</v>
      </c>
      <c r="H472" s="13"/>
      <c r="I472" s="13"/>
    </row>
    <row r="473">
      <c r="A473" s="6">
        <v>471.0</v>
      </c>
      <c r="B473" s="7" t="str">
        <f t="shared" si="1"/>
        <v>1BE007</v>
      </c>
      <c r="C473" s="11" t="str">
        <f t="shared" si="2"/>
        <v>C159A7</v>
      </c>
      <c r="D473" s="12">
        <f t="shared" si="3"/>
        <v>7</v>
      </c>
      <c r="E473" s="6">
        <f t="shared" si="4"/>
        <v>128</v>
      </c>
      <c r="F473" s="8">
        <f t="shared" si="5"/>
        <v>219</v>
      </c>
      <c r="G473" s="8" t="s">
        <v>547</v>
      </c>
      <c r="H473" s="13"/>
      <c r="I473" s="13"/>
    </row>
    <row r="474">
      <c r="A474" s="6">
        <v>472.0</v>
      </c>
      <c r="B474" s="7" t="str">
        <f t="shared" si="1"/>
        <v>1BE008</v>
      </c>
      <c r="C474" s="11" t="str">
        <f t="shared" si="2"/>
        <v>C159A8</v>
      </c>
      <c r="D474" s="12">
        <f t="shared" si="3"/>
        <v>0</v>
      </c>
      <c r="E474" s="6">
        <f t="shared" si="4"/>
        <v>1</v>
      </c>
      <c r="F474" s="8">
        <f t="shared" si="5"/>
        <v>220</v>
      </c>
      <c r="G474" s="8" t="s">
        <v>548</v>
      </c>
      <c r="H474" s="13"/>
      <c r="I474" s="13"/>
    </row>
    <row r="475">
      <c r="A475" s="6">
        <v>473.0</v>
      </c>
      <c r="B475" s="7" t="str">
        <f t="shared" si="1"/>
        <v>1BE008</v>
      </c>
      <c r="C475" s="11" t="str">
        <f t="shared" si="2"/>
        <v>C159A8</v>
      </c>
      <c r="D475" s="12">
        <f t="shared" si="3"/>
        <v>1</v>
      </c>
      <c r="E475" s="6">
        <f t="shared" si="4"/>
        <v>2</v>
      </c>
      <c r="F475" s="8">
        <f t="shared" si="5"/>
        <v>220</v>
      </c>
      <c r="G475" s="8" t="s">
        <v>549</v>
      </c>
      <c r="H475" s="13"/>
      <c r="I475" s="13"/>
    </row>
    <row r="476">
      <c r="A476" s="6">
        <v>474.0</v>
      </c>
      <c r="B476" s="7" t="str">
        <f t="shared" si="1"/>
        <v>1BE008</v>
      </c>
      <c r="C476" s="11" t="str">
        <f t="shared" si="2"/>
        <v>C159A8</v>
      </c>
      <c r="D476" s="12">
        <f t="shared" si="3"/>
        <v>2</v>
      </c>
      <c r="E476" s="6">
        <f t="shared" si="4"/>
        <v>4</v>
      </c>
      <c r="F476" s="8">
        <f t="shared" si="5"/>
        <v>220</v>
      </c>
      <c r="G476" s="8" t="s">
        <v>550</v>
      </c>
      <c r="H476" s="13"/>
      <c r="I476" s="13"/>
    </row>
    <row r="477">
      <c r="A477" s="6">
        <v>475.0</v>
      </c>
      <c r="B477" s="7" t="str">
        <f t="shared" si="1"/>
        <v>1BE008</v>
      </c>
      <c r="C477" s="11" t="str">
        <f t="shared" si="2"/>
        <v>C159A8</v>
      </c>
      <c r="D477" s="12">
        <f t="shared" si="3"/>
        <v>3</v>
      </c>
      <c r="E477" s="6">
        <f t="shared" si="4"/>
        <v>8</v>
      </c>
      <c r="F477" s="8">
        <f t="shared" si="5"/>
        <v>220</v>
      </c>
      <c r="G477" s="8" t="s">
        <v>551</v>
      </c>
      <c r="H477" s="13"/>
      <c r="I477" s="13"/>
    </row>
    <row r="478">
      <c r="A478" s="6">
        <v>476.0</v>
      </c>
      <c r="B478" s="7" t="str">
        <f t="shared" si="1"/>
        <v>1BE008</v>
      </c>
      <c r="C478" s="11" t="str">
        <f t="shared" si="2"/>
        <v>C159A8</v>
      </c>
      <c r="D478" s="12">
        <f t="shared" si="3"/>
        <v>4</v>
      </c>
      <c r="E478" s="6">
        <f t="shared" si="4"/>
        <v>16</v>
      </c>
      <c r="F478" s="8">
        <f t="shared" si="5"/>
        <v>220</v>
      </c>
      <c r="G478" s="8" t="s">
        <v>552</v>
      </c>
      <c r="H478" s="13"/>
      <c r="I478" s="13"/>
    </row>
    <row r="479">
      <c r="A479" s="6">
        <v>477.0</v>
      </c>
      <c r="B479" s="7" t="str">
        <f t="shared" si="1"/>
        <v>1BE008</v>
      </c>
      <c r="C479" s="11" t="str">
        <f t="shared" si="2"/>
        <v>C159A8</v>
      </c>
      <c r="D479" s="12">
        <f t="shared" si="3"/>
        <v>5</v>
      </c>
      <c r="E479" s="6">
        <f t="shared" si="4"/>
        <v>32</v>
      </c>
      <c r="F479" s="8">
        <f t="shared" si="5"/>
        <v>220</v>
      </c>
      <c r="G479" s="8" t="s">
        <v>553</v>
      </c>
      <c r="H479" s="13"/>
      <c r="I479" s="13"/>
    </row>
    <row r="480">
      <c r="A480" s="6">
        <v>478.0</v>
      </c>
      <c r="B480" s="7" t="str">
        <f t="shared" si="1"/>
        <v>1BE008</v>
      </c>
      <c r="C480" s="11" t="str">
        <f t="shared" si="2"/>
        <v>C159A8</v>
      </c>
      <c r="D480" s="12">
        <f t="shared" si="3"/>
        <v>6</v>
      </c>
      <c r="E480" s="6">
        <f t="shared" si="4"/>
        <v>64</v>
      </c>
      <c r="F480" s="8">
        <f t="shared" si="5"/>
        <v>220</v>
      </c>
      <c r="G480" s="8" t="s">
        <v>554</v>
      </c>
      <c r="H480" s="13"/>
      <c r="I480" s="13"/>
    </row>
    <row r="481">
      <c r="A481" s="6">
        <v>479.0</v>
      </c>
      <c r="B481" s="7" t="str">
        <f t="shared" si="1"/>
        <v>1BE008</v>
      </c>
      <c r="C481" s="11" t="str">
        <f t="shared" si="2"/>
        <v>C159A8</v>
      </c>
      <c r="D481" s="12">
        <f t="shared" si="3"/>
        <v>7</v>
      </c>
      <c r="E481" s="6">
        <f t="shared" si="4"/>
        <v>128</v>
      </c>
      <c r="F481" s="8">
        <f t="shared" si="5"/>
        <v>220</v>
      </c>
      <c r="G481" s="8" t="s">
        <v>555</v>
      </c>
      <c r="H481" s="13"/>
      <c r="I481" s="13"/>
    </row>
    <row r="482">
      <c r="A482" s="6">
        <v>480.0</v>
      </c>
      <c r="B482" s="7" t="str">
        <f t="shared" si="1"/>
        <v>1BE009</v>
      </c>
      <c r="C482" s="11" t="str">
        <f t="shared" si="2"/>
        <v>C159A9</v>
      </c>
      <c r="D482" s="12">
        <f t="shared" si="3"/>
        <v>0</v>
      </c>
      <c r="E482" s="6">
        <f t="shared" si="4"/>
        <v>1</v>
      </c>
      <c r="F482" s="8">
        <f t="shared" si="5"/>
        <v>221</v>
      </c>
      <c r="G482" s="8" t="s">
        <v>556</v>
      </c>
      <c r="H482" s="13"/>
      <c r="I482" s="13"/>
    </row>
    <row r="483">
      <c r="A483" s="6">
        <v>481.0</v>
      </c>
      <c r="B483" s="7" t="str">
        <f t="shared" si="1"/>
        <v>1BE009</v>
      </c>
      <c r="C483" s="11" t="str">
        <f t="shared" si="2"/>
        <v>C159A9</v>
      </c>
      <c r="D483" s="12">
        <f t="shared" si="3"/>
        <v>1</v>
      </c>
      <c r="E483" s="6">
        <f t="shared" si="4"/>
        <v>2</v>
      </c>
      <c r="F483" s="8">
        <f t="shared" si="5"/>
        <v>221</v>
      </c>
      <c r="G483" s="8" t="s">
        <v>557</v>
      </c>
      <c r="H483" s="13"/>
      <c r="I483" s="13"/>
    </row>
    <row r="484">
      <c r="A484" s="6">
        <v>482.0</v>
      </c>
      <c r="B484" s="7" t="str">
        <f t="shared" si="1"/>
        <v>1BE009</v>
      </c>
      <c r="C484" s="11" t="str">
        <f t="shared" si="2"/>
        <v>C159A9</v>
      </c>
      <c r="D484" s="12">
        <f t="shared" si="3"/>
        <v>2</v>
      </c>
      <c r="E484" s="6">
        <f t="shared" si="4"/>
        <v>4</v>
      </c>
      <c r="F484" s="8">
        <f t="shared" si="5"/>
        <v>221</v>
      </c>
      <c r="G484" s="8" t="s">
        <v>558</v>
      </c>
      <c r="H484" s="13"/>
      <c r="I484" s="13"/>
    </row>
    <row r="485">
      <c r="A485" s="6">
        <v>483.0</v>
      </c>
      <c r="B485" s="7" t="str">
        <f t="shared" si="1"/>
        <v>1BE009</v>
      </c>
      <c r="C485" s="11" t="str">
        <f t="shared" si="2"/>
        <v>C159A9</v>
      </c>
      <c r="D485" s="12">
        <f t="shared" si="3"/>
        <v>3</v>
      </c>
      <c r="E485" s="6">
        <f t="shared" si="4"/>
        <v>8</v>
      </c>
      <c r="F485" s="8">
        <f t="shared" si="5"/>
        <v>221</v>
      </c>
      <c r="G485" s="8" t="s">
        <v>559</v>
      </c>
      <c r="H485" s="13"/>
      <c r="I485" s="13"/>
    </row>
    <row r="486">
      <c r="A486" s="6">
        <v>484.0</v>
      </c>
      <c r="B486" s="7" t="str">
        <f t="shared" si="1"/>
        <v>1BE009</v>
      </c>
      <c r="C486" s="11" t="str">
        <f t="shared" si="2"/>
        <v>C159A9</v>
      </c>
      <c r="D486" s="12">
        <f t="shared" si="3"/>
        <v>4</v>
      </c>
      <c r="E486" s="6">
        <f t="shared" si="4"/>
        <v>16</v>
      </c>
      <c r="F486" s="8">
        <f t="shared" si="5"/>
        <v>221</v>
      </c>
      <c r="G486" s="8" t="s">
        <v>560</v>
      </c>
      <c r="H486" s="13"/>
      <c r="I486" s="13"/>
    </row>
    <row r="487">
      <c r="A487" s="6">
        <v>485.0</v>
      </c>
      <c r="B487" s="7" t="str">
        <f t="shared" si="1"/>
        <v>1BE009</v>
      </c>
      <c r="C487" s="11" t="str">
        <f t="shared" si="2"/>
        <v>C159A9</v>
      </c>
      <c r="D487" s="12">
        <f t="shared" si="3"/>
        <v>5</v>
      </c>
      <c r="E487" s="6">
        <f t="shared" si="4"/>
        <v>32</v>
      </c>
      <c r="F487" s="8">
        <f t="shared" si="5"/>
        <v>221</v>
      </c>
      <c r="G487" s="8" t="s">
        <v>561</v>
      </c>
      <c r="H487" s="13"/>
      <c r="I487" s="13"/>
    </row>
    <row r="488">
      <c r="A488" s="6">
        <v>486.0</v>
      </c>
      <c r="B488" s="7" t="str">
        <f t="shared" si="1"/>
        <v>1BE009</v>
      </c>
      <c r="C488" s="11" t="str">
        <f t="shared" si="2"/>
        <v>C159A9</v>
      </c>
      <c r="D488" s="12">
        <f t="shared" si="3"/>
        <v>6</v>
      </c>
      <c r="E488" s="6">
        <f t="shared" si="4"/>
        <v>64</v>
      </c>
      <c r="F488" s="8">
        <f t="shared" si="5"/>
        <v>221</v>
      </c>
      <c r="G488" s="8" t="s">
        <v>562</v>
      </c>
      <c r="H488" s="13"/>
      <c r="I488" s="13"/>
    </row>
    <row r="489">
      <c r="A489" s="6">
        <v>487.0</v>
      </c>
      <c r="B489" s="7" t="str">
        <f t="shared" si="1"/>
        <v>1BE009</v>
      </c>
      <c r="C489" s="11" t="str">
        <f t="shared" si="2"/>
        <v>C159A9</v>
      </c>
      <c r="D489" s="12">
        <f t="shared" si="3"/>
        <v>7</v>
      </c>
      <c r="E489" s="6">
        <f t="shared" si="4"/>
        <v>128</v>
      </c>
      <c r="F489" s="8">
        <f t="shared" si="5"/>
        <v>221</v>
      </c>
      <c r="G489" s="8" t="s">
        <v>563</v>
      </c>
      <c r="H489" s="13"/>
      <c r="I489" s="13"/>
    </row>
    <row r="490">
      <c r="A490" s="6">
        <v>488.0</v>
      </c>
      <c r="B490" s="7" t="str">
        <f t="shared" si="1"/>
        <v>1BE00A</v>
      </c>
      <c r="C490" s="11" t="str">
        <f t="shared" si="2"/>
        <v>C159AA</v>
      </c>
      <c r="D490" s="12">
        <f t="shared" si="3"/>
        <v>0</v>
      </c>
      <c r="E490" s="6">
        <f t="shared" si="4"/>
        <v>1</v>
      </c>
      <c r="F490" s="8">
        <f t="shared" si="5"/>
        <v>222</v>
      </c>
      <c r="G490" s="8" t="s">
        <v>564</v>
      </c>
      <c r="H490" s="13"/>
      <c r="I490" s="13"/>
    </row>
    <row r="491">
      <c r="A491" s="6">
        <v>489.0</v>
      </c>
      <c r="B491" s="7" t="str">
        <f t="shared" si="1"/>
        <v>1BE00A</v>
      </c>
      <c r="C491" s="11" t="str">
        <f t="shared" si="2"/>
        <v>C159AA</v>
      </c>
      <c r="D491" s="12">
        <f t="shared" si="3"/>
        <v>1</v>
      </c>
      <c r="E491" s="6">
        <f t="shared" si="4"/>
        <v>2</v>
      </c>
      <c r="F491" s="8">
        <f t="shared" si="5"/>
        <v>222</v>
      </c>
      <c r="G491" s="8" t="s">
        <v>565</v>
      </c>
      <c r="H491" s="13"/>
      <c r="I491" s="13"/>
    </row>
    <row r="492">
      <c r="A492" s="6">
        <v>490.0</v>
      </c>
      <c r="B492" s="7" t="str">
        <f t="shared" si="1"/>
        <v>1BE00A</v>
      </c>
      <c r="C492" s="11" t="str">
        <f t="shared" si="2"/>
        <v>C159AA</v>
      </c>
      <c r="D492" s="12">
        <f t="shared" si="3"/>
        <v>2</v>
      </c>
      <c r="E492" s="6">
        <f t="shared" si="4"/>
        <v>4</v>
      </c>
      <c r="F492" s="8">
        <f t="shared" si="5"/>
        <v>222</v>
      </c>
      <c r="G492" s="8" t="s">
        <v>566</v>
      </c>
      <c r="H492" s="13"/>
      <c r="I492" s="13"/>
    </row>
    <row r="493">
      <c r="A493" s="6">
        <v>491.0</v>
      </c>
      <c r="B493" s="7" t="str">
        <f t="shared" si="1"/>
        <v>1BE00A</v>
      </c>
      <c r="C493" s="11" t="str">
        <f t="shared" si="2"/>
        <v>C159AA</v>
      </c>
      <c r="D493" s="12">
        <f t="shared" si="3"/>
        <v>3</v>
      </c>
      <c r="E493" s="6">
        <f t="shared" si="4"/>
        <v>8</v>
      </c>
      <c r="F493" s="8">
        <f t="shared" si="5"/>
        <v>222</v>
      </c>
      <c r="G493" s="8" t="s">
        <v>567</v>
      </c>
      <c r="H493" s="13"/>
      <c r="I493" s="13"/>
    </row>
    <row r="494">
      <c r="A494" s="6">
        <v>492.0</v>
      </c>
      <c r="B494" s="7" t="str">
        <f t="shared" si="1"/>
        <v>1BE00A</v>
      </c>
      <c r="C494" s="11" t="str">
        <f t="shared" si="2"/>
        <v>C159AA</v>
      </c>
      <c r="D494" s="12">
        <f t="shared" si="3"/>
        <v>4</v>
      </c>
      <c r="E494" s="6">
        <f t="shared" si="4"/>
        <v>16</v>
      </c>
      <c r="F494" s="8">
        <f t="shared" si="5"/>
        <v>222</v>
      </c>
      <c r="G494" s="8" t="s">
        <v>568</v>
      </c>
      <c r="H494" s="13"/>
      <c r="I494" s="13"/>
    </row>
    <row r="495">
      <c r="A495" s="6">
        <v>493.0</v>
      </c>
      <c r="B495" s="7" t="str">
        <f t="shared" si="1"/>
        <v>1BE00A</v>
      </c>
      <c r="C495" s="11" t="str">
        <f t="shared" si="2"/>
        <v>C159AA</v>
      </c>
      <c r="D495" s="12">
        <f t="shared" si="3"/>
        <v>5</v>
      </c>
      <c r="E495" s="6">
        <f t="shared" si="4"/>
        <v>32</v>
      </c>
      <c r="F495" s="8">
        <f t="shared" si="5"/>
        <v>222</v>
      </c>
      <c r="G495" s="8" t="s">
        <v>569</v>
      </c>
      <c r="H495" s="13"/>
      <c r="I495" s="13"/>
    </row>
    <row r="496">
      <c r="A496" s="6">
        <v>494.0</v>
      </c>
      <c r="B496" s="7" t="str">
        <f t="shared" si="1"/>
        <v>1BE00A</v>
      </c>
      <c r="C496" s="11" t="str">
        <f t="shared" si="2"/>
        <v>C159AA</v>
      </c>
      <c r="D496" s="12">
        <f t="shared" si="3"/>
        <v>6</v>
      </c>
      <c r="E496" s="6">
        <f t="shared" si="4"/>
        <v>64</v>
      </c>
      <c r="F496" s="8">
        <f t="shared" si="5"/>
        <v>222</v>
      </c>
      <c r="G496" s="8" t="s">
        <v>570</v>
      </c>
      <c r="H496" s="13"/>
      <c r="I496" s="13"/>
    </row>
    <row r="497">
      <c r="A497" s="6">
        <v>495.0</v>
      </c>
      <c r="B497" s="7" t="str">
        <f t="shared" si="1"/>
        <v>1BE00A</v>
      </c>
      <c r="C497" s="11" t="str">
        <f t="shared" si="2"/>
        <v>C159AA</v>
      </c>
      <c r="D497" s="12">
        <f t="shared" si="3"/>
        <v>7</v>
      </c>
      <c r="E497" s="6">
        <f t="shared" si="4"/>
        <v>128</v>
      </c>
      <c r="F497" s="8">
        <f t="shared" si="5"/>
        <v>222</v>
      </c>
      <c r="G497" s="8" t="s">
        <v>571</v>
      </c>
      <c r="H497" s="13"/>
      <c r="I497" s="13"/>
    </row>
    <row r="498">
      <c r="A498" s="6">
        <v>496.0</v>
      </c>
      <c r="B498" s="7" t="str">
        <f t="shared" si="1"/>
        <v>1BE00B</v>
      </c>
      <c r="C498" s="11" t="str">
        <f t="shared" si="2"/>
        <v>C159AB</v>
      </c>
      <c r="D498" s="12">
        <f t="shared" si="3"/>
        <v>0</v>
      </c>
      <c r="E498" s="6">
        <f t="shared" si="4"/>
        <v>1</v>
      </c>
      <c r="F498" s="8">
        <f t="shared" si="5"/>
        <v>223</v>
      </c>
      <c r="G498" s="8" t="s">
        <v>572</v>
      </c>
      <c r="H498" s="13"/>
      <c r="I498" s="13"/>
    </row>
    <row r="499">
      <c r="A499" s="6">
        <v>497.0</v>
      </c>
      <c r="B499" s="7" t="str">
        <f t="shared" si="1"/>
        <v>1BE00B</v>
      </c>
      <c r="C499" s="11" t="str">
        <f t="shared" si="2"/>
        <v>C159AB</v>
      </c>
      <c r="D499" s="12">
        <f t="shared" si="3"/>
        <v>1</v>
      </c>
      <c r="E499" s="6">
        <f t="shared" si="4"/>
        <v>2</v>
      </c>
      <c r="F499" s="8">
        <f t="shared" si="5"/>
        <v>223</v>
      </c>
      <c r="G499" s="8" t="s">
        <v>573</v>
      </c>
      <c r="H499" s="13"/>
      <c r="I499" s="13"/>
    </row>
    <row r="500">
      <c r="A500" s="6">
        <v>498.0</v>
      </c>
      <c r="B500" s="7" t="str">
        <f t="shared" si="1"/>
        <v>1BE00B</v>
      </c>
      <c r="C500" s="11" t="str">
        <f t="shared" si="2"/>
        <v>C159AB</v>
      </c>
      <c r="D500" s="12">
        <f t="shared" si="3"/>
        <v>2</v>
      </c>
      <c r="E500" s="6">
        <f t="shared" si="4"/>
        <v>4</v>
      </c>
      <c r="F500" s="8">
        <f t="shared" si="5"/>
        <v>223</v>
      </c>
      <c r="G500" s="8" t="s">
        <v>574</v>
      </c>
      <c r="H500" s="13"/>
      <c r="I500" s="13"/>
    </row>
    <row r="501">
      <c r="A501" s="6">
        <v>499.0</v>
      </c>
      <c r="B501" s="7" t="str">
        <f t="shared" si="1"/>
        <v>1BE00B</v>
      </c>
      <c r="C501" s="11" t="str">
        <f t="shared" si="2"/>
        <v>C159AB</v>
      </c>
      <c r="D501" s="12">
        <f t="shared" si="3"/>
        <v>3</v>
      </c>
      <c r="E501" s="6">
        <f t="shared" si="4"/>
        <v>8</v>
      </c>
      <c r="F501" s="8">
        <f t="shared" si="5"/>
        <v>223</v>
      </c>
      <c r="G501" s="8" t="s">
        <v>575</v>
      </c>
      <c r="H501" s="13"/>
      <c r="I501" s="13"/>
    </row>
    <row r="502">
      <c r="A502" s="6">
        <v>500.0</v>
      </c>
      <c r="B502" s="7" t="str">
        <f t="shared" si="1"/>
        <v>1BE00B</v>
      </c>
      <c r="C502" s="11" t="str">
        <f t="shared" si="2"/>
        <v>C159AB</v>
      </c>
      <c r="D502" s="12">
        <f t="shared" si="3"/>
        <v>4</v>
      </c>
      <c r="E502" s="6">
        <f t="shared" si="4"/>
        <v>16</v>
      </c>
      <c r="F502" s="8">
        <f t="shared" si="5"/>
        <v>223</v>
      </c>
      <c r="G502" s="8" t="s">
        <v>576</v>
      </c>
      <c r="H502" s="13"/>
      <c r="I502" s="13"/>
    </row>
    <row r="503">
      <c r="A503" s="6">
        <v>501.0</v>
      </c>
      <c r="B503" s="7" t="str">
        <f t="shared" si="1"/>
        <v>1BE00B</v>
      </c>
      <c r="C503" s="11" t="str">
        <f t="shared" si="2"/>
        <v>C159AB</v>
      </c>
      <c r="D503" s="12">
        <f t="shared" si="3"/>
        <v>5</v>
      </c>
      <c r="E503" s="6">
        <f t="shared" si="4"/>
        <v>32</v>
      </c>
      <c r="F503" s="8">
        <f t="shared" si="5"/>
        <v>223</v>
      </c>
      <c r="G503" s="8" t="s">
        <v>577</v>
      </c>
      <c r="H503" s="13"/>
      <c r="I503" s="13"/>
    </row>
    <row r="504">
      <c r="A504" s="6">
        <v>502.0</v>
      </c>
      <c r="B504" s="7" t="str">
        <f t="shared" si="1"/>
        <v>1BE00B</v>
      </c>
      <c r="C504" s="11" t="str">
        <f t="shared" si="2"/>
        <v>C159AB</v>
      </c>
      <c r="D504" s="12">
        <f t="shared" si="3"/>
        <v>6</v>
      </c>
      <c r="E504" s="6">
        <f t="shared" si="4"/>
        <v>64</v>
      </c>
      <c r="F504" s="8">
        <f t="shared" si="5"/>
        <v>223</v>
      </c>
      <c r="G504" s="8" t="s">
        <v>578</v>
      </c>
      <c r="H504" s="13"/>
      <c r="I504" s="13"/>
    </row>
    <row r="505">
      <c r="A505" s="6">
        <v>503.0</v>
      </c>
      <c r="B505" s="7" t="str">
        <f t="shared" si="1"/>
        <v>1BE00B</v>
      </c>
      <c r="C505" s="11" t="str">
        <f t="shared" si="2"/>
        <v>C159AB</v>
      </c>
      <c r="D505" s="12">
        <f t="shared" si="3"/>
        <v>7</v>
      </c>
      <c r="E505" s="6">
        <f t="shared" si="4"/>
        <v>128</v>
      </c>
      <c r="F505" s="8">
        <f t="shared" si="5"/>
        <v>223</v>
      </c>
      <c r="G505" s="8" t="s">
        <v>579</v>
      </c>
      <c r="H505" s="13"/>
      <c r="I505" s="13"/>
    </row>
    <row r="506">
      <c r="A506" s="6">
        <v>504.0</v>
      </c>
      <c r="B506" s="7" t="str">
        <f t="shared" si="1"/>
        <v>1BE00C</v>
      </c>
      <c r="C506" s="11" t="str">
        <f t="shared" si="2"/>
        <v>C159AC</v>
      </c>
      <c r="D506" s="12">
        <f t="shared" si="3"/>
        <v>0</v>
      </c>
      <c r="E506" s="6">
        <f t="shared" si="4"/>
        <v>1</v>
      </c>
      <c r="F506" s="8">
        <f t="shared" si="5"/>
        <v>224</v>
      </c>
      <c r="G506" s="8" t="s">
        <v>580</v>
      </c>
      <c r="H506" s="13"/>
      <c r="I506" s="13"/>
    </row>
    <row r="507">
      <c r="A507" s="6">
        <v>505.0</v>
      </c>
      <c r="B507" s="7" t="str">
        <f t="shared" si="1"/>
        <v>1BE00C</v>
      </c>
      <c r="C507" s="11" t="str">
        <f t="shared" si="2"/>
        <v>C159AC</v>
      </c>
      <c r="D507" s="12">
        <f t="shared" si="3"/>
        <v>1</v>
      </c>
      <c r="E507" s="6">
        <f t="shared" si="4"/>
        <v>2</v>
      </c>
      <c r="F507" s="8">
        <f t="shared" si="5"/>
        <v>224</v>
      </c>
      <c r="G507" s="8" t="s">
        <v>581</v>
      </c>
      <c r="H507" s="13"/>
      <c r="I507" s="13"/>
    </row>
    <row r="508">
      <c r="A508" s="6">
        <v>506.0</v>
      </c>
      <c r="B508" s="7" t="str">
        <f t="shared" si="1"/>
        <v>1BE00C</v>
      </c>
      <c r="C508" s="11" t="str">
        <f t="shared" si="2"/>
        <v>C159AC</v>
      </c>
      <c r="D508" s="12">
        <f t="shared" si="3"/>
        <v>2</v>
      </c>
      <c r="E508" s="6">
        <f t="shared" si="4"/>
        <v>4</v>
      </c>
      <c r="F508" s="8">
        <f t="shared" si="5"/>
        <v>224</v>
      </c>
      <c r="G508" s="8" t="s">
        <v>582</v>
      </c>
      <c r="H508" s="13"/>
      <c r="I508" s="13"/>
    </row>
    <row r="509">
      <c r="A509" s="6">
        <v>507.0</v>
      </c>
      <c r="B509" s="7" t="str">
        <f t="shared" si="1"/>
        <v>1BE00C</v>
      </c>
      <c r="C509" s="11" t="str">
        <f t="shared" si="2"/>
        <v>C159AC</v>
      </c>
      <c r="D509" s="12">
        <f t="shared" si="3"/>
        <v>3</v>
      </c>
      <c r="E509" s="6">
        <f t="shared" si="4"/>
        <v>8</v>
      </c>
      <c r="F509" s="8">
        <f t="shared" si="5"/>
        <v>224</v>
      </c>
      <c r="G509" s="8" t="s">
        <v>583</v>
      </c>
      <c r="H509" s="13"/>
      <c r="I509" s="13"/>
    </row>
    <row r="510">
      <c r="A510" s="6">
        <v>508.0</v>
      </c>
      <c r="B510" s="7" t="str">
        <f t="shared" si="1"/>
        <v>1BE00C</v>
      </c>
      <c r="C510" s="11" t="str">
        <f t="shared" si="2"/>
        <v>C159AC</v>
      </c>
      <c r="D510" s="12">
        <f t="shared" si="3"/>
        <v>4</v>
      </c>
      <c r="E510" s="6">
        <f t="shared" si="4"/>
        <v>16</v>
      </c>
      <c r="F510" s="8">
        <f t="shared" si="5"/>
        <v>224</v>
      </c>
      <c r="G510" s="8" t="s">
        <v>584</v>
      </c>
      <c r="H510" s="8"/>
      <c r="I510" s="10"/>
    </row>
    <row r="511">
      <c r="A511" s="6">
        <v>509.0</v>
      </c>
      <c r="B511" s="7" t="str">
        <f t="shared" si="1"/>
        <v>1BE00C</v>
      </c>
      <c r="C511" s="11" t="str">
        <f t="shared" si="2"/>
        <v>C159AC</v>
      </c>
      <c r="D511" s="12">
        <f t="shared" si="3"/>
        <v>5</v>
      </c>
      <c r="E511" s="6">
        <f t="shared" si="4"/>
        <v>32</v>
      </c>
      <c r="F511" s="8">
        <f t="shared" si="5"/>
        <v>224</v>
      </c>
      <c r="G511" s="8" t="s">
        <v>585</v>
      </c>
      <c r="H511" s="13"/>
      <c r="I511" s="13"/>
    </row>
    <row r="512">
      <c r="A512" s="6">
        <v>510.0</v>
      </c>
      <c r="B512" s="7" t="str">
        <f t="shared" si="1"/>
        <v>1BE00C</v>
      </c>
      <c r="C512" s="11" t="str">
        <f t="shared" si="2"/>
        <v>C159AC</v>
      </c>
      <c r="D512" s="12">
        <f t="shared" si="3"/>
        <v>6</v>
      </c>
      <c r="E512" s="6">
        <f t="shared" si="4"/>
        <v>64</v>
      </c>
      <c r="F512" s="8">
        <f t="shared" si="5"/>
        <v>224</v>
      </c>
      <c r="G512" s="8" t="s">
        <v>586</v>
      </c>
      <c r="H512" s="13"/>
      <c r="I512" s="13"/>
    </row>
    <row r="513">
      <c r="A513" s="6">
        <v>511.0</v>
      </c>
      <c r="B513" s="7" t="str">
        <f t="shared" si="1"/>
        <v>1BE00C</v>
      </c>
      <c r="C513" s="11" t="str">
        <f t="shared" si="2"/>
        <v>C159AC</v>
      </c>
      <c r="D513" s="12">
        <f t="shared" si="3"/>
        <v>7</v>
      </c>
      <c r="E513" s="6">
        <f t="shared" si="4"/>
        <v>128</v>
      </c>
      <c r="F513" s="8">
        <f t="shared" si="5"/>
        <v>224</v>
      </c>
      <c r="G513" s="8" t="s">
        <v>587</v>
      </c>
      <c r="H513" s="13"/>
      <c r="I513" s="13"/>
    </row>
    <row r="514">
      <c r="A514" s="6">
        <v>512.0</v>
      </c>
      <c r="B514" s="7" t="str">
        <f t="shared" si="1"/>
        <v>1BE00D</v>
      </c>
      <c r="C514" s="11" t="str">
        <f t="shared" si="2"/>
        <v>C159AD</v>
      </c>
      <c r="D514" s="12">
        <f t="shared" si="3"/>
        <v>0</v>
      </c>
      <c r="E514" s="6">
        <f t="shared" si="4"/>
        <v>1</v>
      </c>
      <c r="F514" s="8">
        <f t="shared" si="5"/>
        <v>225</v>
      </c>
      <c r="G514" s="8" t="s">
        <v>95</v>
      </c>
      <c r="H514" s="8"/>
      <c r="I514" s="10"/>
    </row>
    <row r="515">
      <c r="A515" s="6">
        <v>513.0</v>
      </c>
      <c r="B515" s="7" t="str">
        <f t="shared" si="1"/>
        <v>1BE00D</v>
      </c>
      <c r="C515" s="11" t="str">
        <f t="shared" si="2"/>
        <v>C159AD</v>
      </c>
      <c r="D515" s="12">
        <f t="shared" si="3"/>
        <v>1</v>
      </c>
      <c r="E515" s="6">
        <f t="shared" si="4"/>
        <v>2</v>
      </c>
      <c r="F515" s="8">
        <f t="shared" si="5"/>
        <v>225</v>
      </c>
      <c r="G515" s="18" t="s">
        <v>588</v>
      </c>
      <c r="H515" s="15"/>
      <c r="I515" s="15"/>
    </row>
    <row r="516">
      <c r="A516" s="6">
        <v>514.0</v>
      </c>
      <c r="B516" s="7" t="str">
        <f t="shared" si="1"/>
        <v>1BE00D</v>
      </c>
      <c r="C516" s="11" t="str">
        <f t="shared" si="2"/>
        <v>C159AD</v>
      </c>
      <c r="D516" s="12">
        <f t="shared" si="3"/>
        <v>2</v>
      </c>
      <c r="E516" s="6">
        <f t="shared" si="4"/>
        <v>4</v>
      </c>
      <c r="F516" s="8">
        <f t="shared" si="5"/>
        <v>225</v>
      </c>
      <c r="G516" s="18" t="s">
        <v>589</v>
      </c>
      <c r="H516" s="15"/>
      <c r="I516" s="15"/>
    </row>
    <row r="517">
      <c r="A517" s="6">
        <v>515.0</v>
      </c>
      <c r="B517" s="7" t="str">
        <f t="shared" si="1"/>
        <v>1BE00D</v>
      </c>
      <c r="C517" s="11" t="str">
        <f t="shared" si="2"/>
        <v>C159AD</v>
      </c>
      <c r="D517" s="12">
        <f t="shared" si="3"/>
        <v>3</v>
      </c>
      <c r="E517" s="6">
        <f t="shared" si="4"/>
        <v>8</v>
      </c>
      <c r="F517" s="8">
        <f t="shared" si="5"/>
        <v>225</v>
      </c>
      <c r="G517" s="18" t="s">
        <v>590</v>
      </c>
      <c r="H517" s="15"/>
      <c r="I517" s="15"/>
    </row>
    <row r="518">
      <c r="A518" s="6">
        <v>516.0</v>
      </c>
      <c r="B518" s="7" t="str">
        <f t="shared" si="1"/>
        <v>1BE00D</v>
      </c>
      <c r="C518" s="11" t="str">
        <f t="shared" si="2"/>
        <v>C159AD</v>
      </c>
      <c r="D518" s="12">
        <f t="shared" si="3"/>
        <v>4</v>
      </c>
      <c r="E518" s="6">
        <f t="shared" si="4"/>
        <v>16</v>
      </c>
      <c r="F518" s="8">
        <f t="shared" si="5"/>
        <v>225</v>
      </c>
      <c r="G518" s="18" t="s">
        <v>591</v>
      </c>
      <c r="H518" s="15"/>
      <c r="I518" s="15"/>
    </row>
    <row r="519">
      <c r="A519" s="6">
        <v>517.0</v>
      </c>
      <c r="B519" s="7" t="str">
        <f t="shared" si="1"/>
        <v>1BE00D</v>
      </c>
      <c r="C519" s="11" t="str">
        <f t="shared" si="2"/>
        <v>C159AD</v>
      </c>
      <c r="D519" s="12">
        <f t="shared" si="3"/>
        <v>5</v>
      </c>
      <c r="E519" s="6">
        <f t="shared" si="4"/>
        <v>32</v>
      </c>
      <c r="F519" s="8">
        <f t="shared" si="5"/>
        <v>225</v>
      </c>
      <c r="G519" s="18" t="s">
        <v>592</v>
      </c>
      <c r="H519" s="15"/>
      <c r="I519" s="15"/>
    </row>
    <row r="520">
      <c r="A520" s="6">
        <v>518.0</v>
      </c>
      <c r="B520" s="7" t="str">
        <f t="shared" si="1"/>
        <v>1BE00D</v>
      </c>
      <c r="C520" s="11" t="str">
        <f t="shared" si="2"/>
        <v>C159AD</v>
      </c>
      <c r="D520" s="12">
        <f t="shared" si="3"/>
        <v>6</v>
      </c>
      <c r="E520" s="6">
        <f t="shared" si="4"/>
        <v>64</v>
      </c>
      <c r="F520" s="8">
        <f t="shared" si="5"/>
        <v>225</v>
      </c>
      <c r="G520" s="18" t="s">
        <v>593</v>
      </c>
      <c r="H520" s="15"/>
      <c r="I520" s="15"/>
    </row>
    <row r="521">
      <c r="A521" s="6">
        <v>519.0</v>
      </c>
      <c r="B521" s="7" t="str">
        <f t="shared" si="1"/>
        <v>1BE00D</v>
      </c>
      <c r="C521" s="11" t="str">
        <f t="shared" si="2"/>
        <v>C159AD</v>
      </c>
      <c r="D521" s="12">
        <f t="shared" si="3"/>
        <v>7</v>
      </c>
      <c r="E521" s="6">
        <f t="shared" si="4"/>
        <v>128</v>
      </c>
      <c r="F521" s="8">
        <f t="shared" si="5"/>
        <v>225</v>
      </c>
      <c r="G521" s="18" t="s">
        <v>594</v>
      </c>
      <c r="H521" s="15"/>
      <c r="I521" s="15"/>
    </row>
    <row r="522">
      <c r="A522" s="6">
        <v>520.0</v>
      </c>
      <c r="B522" s="7" t="str">
        <f t="shared" si="1"/>
        <v>1BE00E</v>
      </c>
      <c r="C522" s="11" t="str">
        <f t="shared" si="2"/>
        <v>C159AE</v>
      </c>
      <c r="D522" s="12">
        <f t="shared" si="3"/>
        <v>0</v>
      </c>
      <c r="E522" s="6">
        <f t="shared" si="4"/>
        <v>1</v>
      </c>
      <c r="F522" s="8">
        <f t="shared" si="5"/>
        <v>226</v>
      </c>
      <c r="G522" s="18" t="s">
        <v>595</v>
      </c>
      <c r="H522" s="15"/>
      <c r="I522" s="15"/>
    </row>
    <row r="523">
      <c r="A523" s="6">
        <v>521.0</v>
      </c>
      <c r="B523" s="7" t="str">
        <f t="shared" si="1"/>
        <v>1BE00E</v>
      </c>
      <c r="C523" s="11" t="str">
        <f t="shared" si="2"/>
        <v>C159AE</v>
      </c>
      <c r="D523" s="12">
        <f t="shared" si="3"/>
        <v>1</v>
      </c>
      <c r="E523" s="6">
        <f t="shared" si="4"/>
        <v>2</v>
      </c>
      <c r="F523" s="8">
        <f t="shared" si="5"/>
        <v>226</v>
      </c>
      <c r="G523" s="18" t="s">
        <v>596</v>
      </c>
      <c r="H523" s="15"/>
      <c r="I523" s="15"/>
    </row>
    <row r="524">
      <c r="A524" s="6">
        <v>522.0</v>
      </c>
      <c r="B524" s="7" t="str">
        <f t="shared" si="1"/>
        <v>1BE00E</v>
      </c>
      <c r="C524" s="11" t="str">
        <f t="shared" si="2"/>
        <v>C159AE</v>
      </c>
      <c r="D524" s="12">
        <f t="shared" si="3"/>
        <v>2</v>
      </c>
      <c r="E524" s="6">
        <f t="shared" si="4"/>
        <v>4</v>
      </c>
      <c r="F524" s="8">
        <f t="shared" si="5"/>
        <v>226</v>
      </c>
      <c r="G524" s="18" t="s">
        <v>597</v>
      </c>
      <c r="H524" s="15"/>
      <c r="I524" s="15"/>
    </row>
    <row r="525">
      <c r="A525" s="6">
        <v>523.0</v>
      </c>
      <c r="B525" s="7" t="str">
        <f t="shared" si="1"/>
        <v>1BE00E</v>
      </c>
      <c r="C525" s="11" t="str">
        <f t="shared" si="2"/>
        <v>C159AE</v>
      </c>
      <c r="D525" s="12">
        <f t="shared" si="3"/>
        <v>3</v>
      </c>
      <c r="E525" s="6">
        <f t="shared" si="4"/>
        <v>8</v>
      </c>
      <c r="F525" s="8">
        <f t="shared" si="5"/>
        <v>226</v>
      </c>
      <c r="G525" s="18" t="s">
        <v>598</v>
      </c>
      <c r="H525" s="15"/>
      <c r="I525" s="15"/>
    </row>
    <row r="526">
      <c r="A526" s="6">
        <v>524.0</v>
      </c>
      <c r="B526" s="7" t="str">
        <f t="shared" si="1"/>
        <v>1BE00E</v>
      </c>
      <c r="C526" s="11" t="str">
        <f t="shared" si="2"/>
        <v>C159AE</v>
      </c>
      <c r="D526" s="12">
        <f t="shared" si="3"/>
        <v>4</v>
      </c>
      <c r="E526" s="6">
        <f t="shared" si="4"/>
        <v>16</v>
      </c>
      <c r="F526" s="8">
        <f t="shared" si="5"/>
        <v>226</v>
      </c>
      <c r="G526" s="18" t="s">
        <v>599</v>
      </c>
      <c r="H526" s="15"/>
      <c r="I526" s="15"/>
    </row>
    <row r="527">
      <c r="A527" s="6">
        <v>525.0</v>
      </c>
      <c r="B527" s="7" t="str">
        <f t="shared" si="1"/>
        <v>1BE00E</v>
      </c>
      <c r="C527" s="11" t="str">
        <f t="shared" si="2"/>
        <v>C159AE</v>
      </c>
      <c r="D527" s="12">
        <f t="shared" si="3"/>
        <v>5</v>
      </c>
      <c r="E527" s="6">
        <f t="shared" si="4"/>
        <v>32</v>
      </c>
      <c r="F527" s="8">
        <f t="shared" si="5"/>
        <v>226</v>
      </c>
      <c r="G527" s="18" t="s">
        <v>600</v>
      </c>
      <c r="H527" s="15"/>
      <c r="I527" s="15"/>
    </row>
    <row r="528">
      <c r="A528" s="6">
        <v>526.0</v>
      </c>
      <c r="B528" s="7" t="str">
        <f t="shared" si="1"/>
        <v>1BE00E</v>
      </c>
      <c r="C528" s="11" t="str">
        <f t="shared" si="2"/>
        <v>C159AE</v>
      </c>
      <c r="D528" s="12">
        <f t="shared" si="3"/>
        <v>6</v>
      </c>
      <c r="E528" s="6">
        <f t="shared" si="4"/>
        <v>64</v>
      </c>
      <c r="F528" s="8">
        <f t="shared" si="5"/>
        <v>226</v>
      </c>
      <c r="G528" s="18" t="s">
        <v>601</v>
      </c>
      <c r="H528" s="15"/>
      <c r="I528" s="15"/>
    </row>
    <row r="529">
      <c r="A529" s="6">
        <v>527.0</v>
      </c>
      <c r="B529" s="7" t="str">
        <f t="shared" si="1"/>
        <v>1BE00E</v>
      </c>
      <c r="C529" s="11" t="str">
        <f t="shared" si="2"/>
        <v>C159AE</v>
      </c>
      <c r="D529" s="12">
        <f t="shared" si="3"/>
        <v>7</v>
      </c>
      <c r="E529" s="6">
        <f t="shared" si="4"/>
        <v>128</v>
      </c>
      <c r="F529" s="8">
        <f t="shared" si="5"/>
        <v>226</v>
      </c>
      <c r="G529" s="18" t="s">
        <v>602</v>
      </c>
      <c r="H529" s="15"/>
      <c r="I529" s="15"/>
    </row>
    <row r="530">
      <c r="A530" s="6">
        <v>528.0</v>
      </c>
      <c r="B530" s="7" t="str">
        <f t="shared" si="1"/>
        <v>1BE00F</v>
      </c>
      <c r="C530" s="11" t="str">
        <f t="shared" si="2"/>
        <v>C159AF</v>
      </c>
      <c r="D530" s="12">
        <f t="shared" si="3"/>
        <v>0</v>
      </c>
      <c r="E530" s="6">
        <f t="shared" si="4"/>
        <v>1</v>
      </c>
      <c r="F530" s="8">
        <f t="shared" si="5"/>
        <v>227</v>
      </c>
      <c r="G530" s="18" t="s">
        <v>603</v>
      </c>
      <c r="H530" s="15"/>
      <c r="I530" s="15"/>
    </row>
    <row r="531">
      <c r="A531" s="6">
        <v>529.0</v>
      </c>
      <c r="B531" s="7" t="str">
        <f t="shared" si="1"/>
        <v>1BE00F</v>
      </c>
      <c r="C531" s="11" t="str">
        <f t="shared" si="2"/>
        <v>C159AF</v>
      </c>
      <c r="D531" s="12">
        <f t="shared" si="3"/>
        <v>1</v>
      </c>
      <c r="E531" s="6">
        <f t="shared" si="4"/>
        <v>2</v>
      </c>
      <c r="F531" s="8">
        <f t="shared" si="5"/>
        <v>227</v>
      </c>
      <c r="G531" s="18" t="s">
        <v>604</v>
      </c>
      <c r="H531" s="15"/>
      <c r="I531" s="15"/>
    </row>
    <row r="532">
      <c r="A532" s="6">
        <v>530.0</v>
      </c>
      <c r="B532" s="7" t="str">
        <f t="shared" si="1"/>
        <v>1BE00F</v>
      </c>
      <c r="C532" s="11" t="str">
        <f t="shared" si="2"/>
        <v>C159AF</v>
      </c>
      <c r="D532" s="12">
        <f t="shared" si="3"/>
        <v>2</v>
      </c>
      <c r="E532" s="6">
        <f t="shared" si="4"/>
        <v>4</v>
      </c>
      <c r="F532" s="8">
        <f t="shared" si="5"/>
        <v>227</v>
      </c>
      <c r="G532" s="18" t="s">
        <v>605</v>
      </c>
      <c r="H532" s="15"/>
      <c r="I532" s="15"/>
    </row>
    <row r="533">
      <c r="A533" s="6">
        <v>531.0</v>
      </c>
      <c r="B533" s="7" t="str">
        <f t="shared" si="1"/>
        <v>1BE00F</v>
      </c>
      <c r="C533" s="11" t="str">
        <f t="shared" si="2"/>
        <v>C159AF</v>
      </c>
      <c r="D533" s="12">
        <f t="shared" si="3"/>
        <v>3</v>
      </c>
      <c r="E533" s="6">
        <f t="shared" si="4"/>
        <v>8</v>
      </c>
      <c r="F533" s="8">
        <f t="shared" si="5"/>
        <v>227</v>
      </c>
      <c r="G533" s="18" t="s">
        <v>606</v>
      </c>
      <c r="H533" s="15"/>
      <c r="I533" s="15"/>
    </row>
    <row r="534">
      <c r="A534" s="6">
        <v>532.0</v>
      </c>
      <c r="B534" s="7" t="str">
        <f t="shared" si="1"/>
        <v>1BE00F</v>
      </c>
      <c r="C534" s="11" t="str">
        <f t="shared" si="2"/>
        <v>C159AF</v>
      </c>
      <c r="D534" s="12">
        <f t="shared" si="3"/>
        <v>4</v>
      </c>
      <c r="E534" s="6">
        <f t="shared" si="4"/>
        <v>16</v>
      </c>
      <c r="F534" s="8">
        <f t="shared" si="5"/>
        <v>227</v>
      </c>
      <c r="G534" s="18" t="s">
        <v>607</v>
      </c>
      <c r="H534" s="15"/>
      <c r="I534" s="15"/>
    </row>
    <row r="535">
      <c r="A535" s="6">
        <v>533.0</v>
      </c>
      <c r="B535" s="7" t="str">
        <f t="shared" si="1"/>
        <v>1BE00F</v>
      </c>
      <c r="C535" s="11" t="str">
        <f t="shared" si="2"/>
        <v>C159AF</v>
      </c>
      <c r="D535" s="12">
        <f t="shared" si="3"/>
        <v>5</v>
      </c>
      <c r="E535" s="6">
        <f t="shared" si="4"/>
        <v>32</v>
      </c>
      <c r="F535" s="8">
        <f t="shared" si="5"/>
        <v>227</v>
      </c>
      <c r="G535" s="18" t="s">
        <v>608</v>
      </c>
      <c r="H535" s="15"/>
      <c r="I535" s="15"/>
    </row>
    <row r="536">
      <c r="A536" s="6">
        <v>534.0</v>
      </c>
      <c r="B536" s="7" t="str">
        <f t="shared" si="1"/>
        <v>1BE00F</v>
      </c>
      <c r="C536" s="11" t="str">
        <f t="shared" si="2"/>
        <v>C159AF</v>
      </c>
      <c r="D536" s="12">
        <f t="shared" si="3"/>
        <v>6</v>
      </c>
      <c r="E536" s="6">
        <f t="shared" si="4"/>
        <v>64</v>
      </c>
      <c r="F536" s="8">
        <f t="shared" si="5"/>
        <v>227</v>
      </c>
      <c r="G536" s="18" t="s">
        <v>609</v>
      </c>
      <c r="H536" s="15"/>
      <c r="I536" s="15"/>
    </row>
    <row r="537">
      <c r="A537" s="6">
        <v>535.0</v>
      </c>
      <c r="B537" s="7" t="str">
        <f t="shared" si="1"/>
        <v>1BE00F</v>
      </c>
      <c r="C537" s="11" t="str">
        <f t="shared" si="2"/>
        <v>C159AF</v>
      </c>
      <c r="D537" s="12">
        <f t="shared" si="3"/>
        <v>7</v>
      </c>
      <c r="E537" s="6">
        <f t="shared" si="4"/>
        <v>128</v>
      </c>
      <c r="F537" s="8">
        <f t="shared" si="5"/>
        <v>227</v>
      </c>
      <c r="G537" s="18" t="s">
        <v>610</v>
      </c>
      <c r="H537" s="15"/>
      <c r="I537" s="15"/>
    </row>
    <row r="538">
      <c r="A538" s="6">
        <v>536.0</v>
      </c>
      <c r="B538" s="7" t="str">
        <f t="shared" si="1"/>
        <v>1BE010</v>
      </c>
      <c r="C538" s="11" t="str">
        <f t="shared" si="2"/>
        <v>C159B0</v>
      </c>
      <c r="D538" s="12">
        <f t="shared" si="3"/>
        <v>0</v>
      </c>
      <c r="E538" s="6">
        <f t="shared" si="4"/>
        <v>1</v>
      </c>
      <c r="F538" s="8">
        <f t="shared" si="5"/>
        <v>228</v>
      </c>
      <c r="G538" s="18" t="s">
        <v>611</v>
      </c>
      <c r="H538" s="15"/>
      <c r="I538" s="15"/>
    </row>
    <row r="539">
      <c r="A539" s="6">
        <v>537.0</v>
      </c>
      <c r="B539" s="7" t="str">
        <f t="shared" si="1"/>
        <v>1BE010</v>
      </c>
      <c r="C539" s="11" t="str">
        <f t="shared" si="2"/>
        <v>C159B0</v>
      </c>
      <c r="D539" s="12">
        <f t="shared" si="3"/>
        <v>1</v>
      </c>
      <c r="E539" s="6">
        <f t="shared" si="4"/>
        <v>2</v>
      </c>
      <c r="F539" s="8">
        <f t="shared" si="5"/>
        <v>228</v>
      </c>
      <c r="G539" s="18" t="s">
        <v>612</v>
      </c>
      <c r="H539" s="15"/>
      <c r="I539" s="15"/>
    </row>
    <row r="540">
      <c r="A540" s="6">
        <v>538.0</v>
      </c>
      <c r="B540" s="7" t="str">
        <f t="shared" si="1"/>
        <v>1BE010</v>
      </c>
      <c r="C540" s="11" t="str">
        <f t="shared" si="2"/>
        <v>C159B0</v>
      </c>
      <c r="D540" s="12">
        <f t="shared" si="3"/>
        <v>2</v>
      </c>
      <c r="E540" s="6">
        <f t="shared" si="4"/>
        <v>4</v>
      </c>
      <c r="F540" s="8">
        <f t="shared" si="5"/>
        <v>228</v>
      </c>
      <c r="G540" s="18" t="s">
        <v>613</v>
      </c>
      <c r="H540" s="15"/>
      <c r="I540" s="15"/>
    </row>
    <row r="541">
      <c r="A541" s="6">
        <v>539.0</v>
      </c>
      <c r="B541" s="7" t="str">
        <f t="shared" si="1"/>
        <v>1BE010</v>
      </c>
      <c r="C541" s="11" t="str">
        <f t="shared" si="2"/>
        <v>C159B0</v>
      </c>
      <c r="D541" s="12">
        <f t="shared" si="3"/>
        <v>3</v>
      </c>
      <c r="E541" s="6">
        <f t="shared" si="4"/>
        <v>8</v>
      </c>
      <c r="F541" s="8">
        <f t="shared" si="5"/>
        <v>228</v>
      </c>
      <c r="G541" s="18" t="s">
        <v>614</v>
      </c>
      <c r="H541" s="15"/>
      <c r="I541" s="15"/>
    </row>
    <row r="542">
      <c r="A542" s="6">
        <v>540.0</v>
      </c>
      <c r="B542" s="7" t="str">
        <f t="shared" si="1"/>
        <v>1BE010</v>
      </c>
      <c r="C542" s="11" t="str">
        <f t="shared" si="2"/>
        <v>C159B0</v>
      </c>
      <c r="D542" s="12">
        <f t="shared" si="3"/>
        <v>4</v>
      </c>
      <c r="E542" s="6">
        <f t="shared" si="4"/>
        <v>16</v>
      </c>
      <c r="F542" s="8">
        <f t="shared" si="5"/>
        <v>228</v>
      </c>
      <c r="G542" s="18" t="s">
        <v>615</v>
      </c>
      <c r="H542" s="15"/>
      <c r="I542" s="15"/>
    </row>
    <row r="543">
      <c r="A543" s="6">
        <v>541.0</v>
      </c>
      <c r="B543" s="7" t="str">
        <f t="shared" si="1"/>
        <v>1BE010</v>
      </c>
      <c r="C543" s="11" t="str">
        <f t="shared" si="2"/>
        <v>C159B0</v>
      </c>
      <c r="D543" s="12">
        <f t="shared" si="3"/>
        <v>5</v>
      </c>
      <c r="E543" s="6">
        <f t="shared" si="4"/>
        <v>32</v>
      </c>
      <c r="F543" s="8">
        <f t="shared" si="5"/>
        <v>228</v>
      </c>
      <c r="G543" s="18" t="s">
        <v>616</v>
      </c>
      <c r="H543" s="15"/>
      <c r="I543" s="15"/>
    </row>
    <row r="544">
      <c r="A544" s="6">
        <v>542.0</v>
      </c>
      <c r="B544" s="7" t="str">
        <f t="shared" si="1"/>
        <v>1BE010</v>
      </c>
      <c r="C544" s="11" t="str">
        <f t="shared" si="2"/>
        <v>C159B0</v>
      </c>
      <c r="D544" s="12">
        <f t="shared" si="3"/>
        <v>6</v>
      </c>
      <c r="E544" s="6">
        <f t="shared" si="4"/>
        <v>64</v>
      </c>
      <c r="F544" s="8">
        <f t="shared" si="5"/>
        <v>228</v>
      </c>
      <c r="G544" s="18" t="s">
        <v>617</v>
      </c>
      <c r="H544" s="15"/>
      <c r="I544" s="15"/>
    </row>
    <row r="545">
      <c r="A545" s="6">
        <v>543.0</v>
      </c>
      <c r="B545" s="7" t="str">
        <f t="shared" si="1"/>
        <v>1BE010</v>
      </c>
      <c r="C545" s="11" t="str">
        <f t="shared" si="2"/>
        <v>C159B0</v>
      </c>
      <c r="D545" s="12">
        <f t="shared" si="3"/>
        <v>7</v>
      </c>
      <c r="E545" s="6">
        <f t="shared" si="4"/>
        <v>128</v>
      </c>
      <c r="F545" s="8">
        <f t="shared" si="5"/>
        <v>228</v>
      </c>
      <c r="G545" s="18" t="s">
        <v>618</v>
      </c>
      <c r="H545" s="15"/>
      <c r="I545" s="15"/>
    </row>
    <row r="546">
      <c r="A546" s="6">
        <v>544.0</v>
      </c>
      <c r="B546" s="7" t="str">
        <f t="shared" si="1"/>
        <v>1BE011</v>
      </c>
      <c r="C546" s="11" t="str">
        <f t="shared" si="2"/>
        <v>C159B1</v>
      </c>
      <c r="D546" s="12">
        <f t="shared" si="3"/>
        <v>0</v>
      </c>
      <c r="E546" s="6">
        <f t="shared" si="4"/>
        <v>1</v>
      </c>
      <c r="F546" s="8">
        <f t="shared" si="5"/>
        <v>229</v>
      </c>
      <c r="G546" s="18" t="s">
        <v>619</v>
      </c>
      <c r="H546" s="15"/>
      <c r="I546" s="15"/>
    </row>
    <row r="547">
      <c r="A547" s="6">
        <v>545.0</v>
      </c>
      <c r="B547" s="7" t="str">
        <f t="shared" si="1"/>
        <v>1BE011</v>
      </c>
      <c r="C547" s="11" t="str">
        <f t="shared" si="2"/>
        <v>C159B1</v>
      </c>
      <c r="D547" s="12">
        <f t="shared" si="3"/>
        <v>1</v>
      </c>
      <c r="E547" s="6">
        <f t="shared" si="4"/>
        <v>2</v>
      </c>
      <c r="F547" s="8">
        <f t="shared" si="5"/>
        <v>229</v>
      </c>
      <c r="G547" s="18" t="s">
        <v>620</v>
      </c>
      <c r="H547" s="15"/>
      <c r="I547" s="15"/>
    </row>
    <row r="548">
      <c r="A548" s="6">
        <v>546.0</v>
      </c>
      <c r="B548" s="7" t="str">
        <f t="shared" si="1"/>
        <v>1BE011</v>
      </c>
      <c r="C548" s="11" t="str">
        <f t="shared" si="2"/>
        <v>C159B1</v>
      </c>
      <c r="D548" s="12">
        <f t="shared" si="3"/>
        <v>2</v>
      </c>
      <c r="E548" s="6">
        <f t="shared" si="4"/>
        <v>4</v>
      </c>
      <c r="F548" s="8">
        <f t="shared" si="5"/>
        <v>229</v>
      </c>
      <c r="G548" s="18" t="s">
        <v>621</v>
      </c>
      <c r="H548" s="15"/>
      <c r="I548" s="15"/>
    </row>
    <row r="549">
      <c r="A549" s="6">
        <v>547.0</v>
      </c>
      <c r="B549" s="7" t="str">
        <f t="shared" si="1"/>
        <v>1BE011</v>
      </c>
      <c r="C549" s="11" t="str">
        <f t="shared" si="2"/>
        <v>C159B1</v>
      </c>
      <c r="D549" s="12">
        <f t="shared" si="3"/>
        <v>3</v>
      </c>
      <c r="E549" s="6">
        <f t="shared" si="4"/>
        <v>8</v>
      </c>
      <c r="F549" s="8">
        <f t="shared" si="5"/>
        <v>229</v>
      </c>
      <c r="G549" s="18" t="s">
        <v>622</v>
      </c>
      <c r="H549" s="15"/>
      <c r="I549" s="15"/>
    </row>
    <row r="550">
      <c r="A550" s="6">
        <v>548.0</v>
      </c>
      <c r="B550" s="7" t="str">
        <f t="shared" si="1"/>
        <v>1BE011</v>
      </c>
      <c r="C550" s="11" t="str">
        <f t="shared" si="2"/>
        <v>C159B1</v>
      </c>
      <c r="D550" s="12">
        <f t="shared" si="3"/>
        <v>4</v>
      </c>
      <c r="E550" s="6">
        <f t="shared" si="4"/>
        <v>16</v>
      </c>
      <c r="F550" s="8">
        <f t="shared" si="5"/>
        <v>229</v>
      </c>
      <c r="G550" s="18" t="s">
        <v>623</v>
      </c>
      <c r="H550" s="15"/>
      <c r="I550" s="15"/>
    </row>
    <row r="551">
      <c r="A551" s="6">
        <v>549.0</v>
      </c>
      <c r="B551" s="7" t="str">
        <f t="shared" si="1"/>
        <v>1BE011</v>
      </c>
      <c r="C551" s="11" t="str">
        <f t="shared" si="2"/>
        <v>C159B1</v>
      </c>
      <c r="D551" s="12">
        <f t="shared" si="3"/>
        <v>5</v>
      </c>
      <c r="E551" s="6">
        <f t="shared" si="4"/>
        <v>32</v>
      </c>
      <c r="F551" s="8">
        <f t="shared" si="5"/>
        <v>229</v>
      </c>
      <c r="G551" s="18" t="s">
        <v>624</v>
      </c>
      <c r="H551" s="15"/>
      <c r="I551" s="15"/>
    </row>
    <row r="552">
      <c r="A552" s="6">
        <v>550.0</v>
      </c>
      <c r="B552" s="7" t="str">
        <f t="shared" si="1"/>
        <v>1BE011</v>
      </c>
      <c r="C552" s="11" t="str">
        <f t="shared" si="2"/>
        <v>C159B1</v>
      </c>
      <c r="D552" s="12">
        <f t="shared" si="3"/>
        <v>6</v>
      </c>
      <c r="E552" s="6">
        <f t="shared" si="4"/>
        <v>64</v>
      </c>
      <c r="F552" s="8">
        <f t="shared" si="5"/>
        <v>229</v>
      </c>
      <c r="G552" s="18" t="s">
        <v>625</v>
      </c>
      <c r="H552" s="15"/>
      <c r="I552" s="15"/>
    </row>
    <row r="553">
      <c r="A553" s="6">
        <v>551.0</v>
      </c>
      <c r="B553" s="7" t="str">
        <f t="shared" si="1"/>
        <v>1BE011</v>
      </c>
      <c r="C553" s="11" t="str">
        <f t="shared" si="2"/>
        <v>C159B1</v>
      </c>
      <c r="D553" s="12">
        <f t="shared" si="3"/>
        <v>7</v>
      </c>
      <c r="E553" s="6">
        <f t="shared" si="4"/>
        <v>128</v>
      </c>
      <c r="F553" s="8">
        <f t="shared" si="5"/>
        <v>229</v>
      </c>
      <c r="G553" s="18" t="s">
        <v>626</v>
      </c>
      <c r="H553" s="15"/>
      <c r="I553" s="15"/>
    </row>
    <row r="554">
      <c r="A554" s="6">
        <v>552.0</v>
      </c>
      <c r="B554" s="7" t="str">
        <f t="shared" si="1"/>
        <v>1BE012</v>
      </c>
      <c r="C554" s="11" t="str">
        <f t="shared" si="2"/>
        <v>C159B2</v>
      </c>
      <c r="D554" s="12">
        <f t="shared" si="3"/>
        <v>0</v>
      </c>
      <c r="E554" s="6">
        <f t="shared" si="4"/>
        <v>1</v>
      </c>
      <c r="F554" s="8">
        <f t="shared" si="5"/>
        <v>230</v>
      </c>
      <c r="G554" s="18" t="s">
        <v>627</v>
      </c>
      <c r="H554" s="15"/>
      <c r="I554" s="15"/>
    </row>
    <row r="555">
      <c r="A555" s="6">
        <v>553.0</v>
      </c>
      <c r="B555" s="7" t="str">
        <f t="shared" si="1"/>
        <v>1BE012</v>
      </c>
      <c r="C555" s="11" t="str">
        <f t="shared" si="2"/>
        <v>C159B2</v>
      </c>
      <c r="D555" s="12">
        <f t="shared" si="3"/>
        <v>1</v>
      </c>
      <c r="E555" s="6">
        <f t="shared" si="4"/>
        <v>2</v>
      </c>
      <c r="F555" s="8">
        <f t="shared" si="5"/>
        <v>230</v>
      </c>
      <c r="G555" s="18" t="s">
        <v>628</v>
      </c>
      <c r="H555" s="15"/>
      <c r="I555" s="15"/>
    </row>
    <row r="556">
      <c r="A556" s="6">
        <v>554.0</v>
      </c>
      <c r="B556" s="7" t="str">
        <f t="shared" si="1"/>
        <v>1BE012</v>
      </c>
      <c r="C556" s="11" t="str">
        <f t="shared" si="2"/>
        <v>C159B2</v>
      </c>
      <c r="D556" s="12">
        <f t="shared" si="3"/>
        <v>2</v>
      </c>
      <c r="E556" s="6">
        <f t="shared" si="4"/>
        <v>4</v>
      </c>
      <c r="F556" s="8">
        <f t="shared" si="5"/>
        <v>230</v>
      </c>
      <c r="G556" s="18" t="s">
        <v>629</v>
      </c>
      <c r="H556" s="15"/>
      <c r="I556" s="15"/>
    </row>
    <row r="557">
      <c r="A557" s="6">
        <v>555.0</v>
      </c>
      <c r="B557" s="7" t="str">
        <f t="shared" si="1"/>
        <v>1BE012</v>
      </c>
      <c r="C557" s="11" t="str">
        <f t="shared" si="2"/>
        <v>C159B2</v>
      </c>
      <c r="D557" s="12">
        <f t="shared" si="3"/>
        <v>3</v>
      </c>
      <c r="E557" s="6">
        <f t="shared" si="4"/>
        <v>8</v>
      </c>
      <c r="F557" s="8">
        <f t="shared" si="5"/>
        <v>230</v>
      </c>
      <c r="G557" s="18" t="s">
        <v>630</v>
      </c>
      <c r="H557" s="15"/>
      <c r="I557" s="15"/>
    </row>
    <row r="558">
      <c r="A558" s="6">
        <v>556.0</v>
      </c>
      <c r="B558" s="7" t="str">
        <f t="shared" si="1"/>
        <v>1BE012</v>
      </c>
      <c r="C558" s="11" t="str">
        <f t="shared" si="2"/>
        <v>C159B2</v>
      </c>
      <c r="D558" s="12">
        <f t="shared" si="3"/>
        <v>4</v>
      </c>
      <c r="E558" s="6">
        <f t="shared" si="4"/>
        <v>16</v>
      </c>
      <c r="F558" s="8">
        <f t="shared" si="5"/>
        <v>230</v>
      </c>
      <c r="G558" s="18" t="s">
        <v>631</v>
      </c>
      <c r="H558" s="15"/>
      <c r="I558" s="15"/>
    </row>
    <row r="559">
      <c r="A559" s="6">
        <v>557.0</v>
      </c>
      <c r="B559" s="7" t="str">
        <f t="shared" si="1"/>
        <v>1BE012</v>
      </c>
      <c r="C559" s="11" t="str">
        <f t="shared" si="2"/>
        <v>C159B2</v>
      </c>
      <c r="D559" s="12">
        <f t="shared" si="3"/>
        <v>5</v>
      </c>
      <c r="E559" s="6">
        <f t="shared" si="4"/>
        <v>32</v>
      </c>
      <c r="F559" s="8">
        <f t="shared" si="5"/>
        <v>230</v>
      </c>
      <c r="G559" s="18" t="s">
        <v>632</v>
      </c>
      <c r="H559" s="15"/>
      <c r="I559" s="15"/>
    </row>
    <row r="560">
      <c r="A560" s="6">
        <v>558.0</v>
      </c>
      <c r="B560" s="7" t="str">
        <f t="shared" si="1"/>
        <v>1BE012</v>
      </c>
      <c r="C560" s="11" t="str">
        <f t="shared" si="2"/>
        <v>C159B2</v>
      </c>
      <c r="D560" s="12">
        <f t="shared" si="3"/>
        <v>6</v>
      </c>
      <c r="E560" s="6">
        <f t="shared" si="4"/>
        <v>64</v>
      </c>
      <c r="F560" s="8">
        <f t="shared" si="5"/>
        <v>230</v>
      </c>
      <c r="G560" s="18" t="s">
        <v>633</v>
      </c>
      <c r="H560" s="15"/>
      <c r="I560" s="15"/>
    </row>
    <row r="561">
      <c r="A561" s="6">
        <v>559.0</v>
      </c>
      <c r="B561" s="7" t="str">
        <f t="shared" si="1"/>
        <v>1BE012</v>
      </c>
      <c r="C561" s="11" t="str">
        <f t="shared" si="2"/>
        <v>C159B2</v>
      </c>
      <c r="D561" s="12">
        <f t="shared" si="3"/>
        <v>7</v>
      </c>
      <c r="E561" s="6">
        <f t="shared" si="4"/>
        <v>128</v>
      </c>
      <c r="F561" s="8">
        <f t="shared" si="5"/>
        <v>230</v>
      </c>
      <c r="G561" s="18" t="s">
        <v>634</v>
      </c>
      <c r="H561" s="15"/>
      <c r="I561" s="15"/>
    </row>
    <row r="562">
      <c r="A562" s="6">
        <v>560.0</v>
      </c>
      <c r="B562" s="7" t="str">
        <f t="shared" si="1"/>
        <v>1BE013</v>
      </c>
      <c r="C562" s="11" t="str">
        <f t="shared" si="2"/>
        <v>C159B3</v>
      </c>
      <c r="D562" s="12">
        <f t="shared" si="3"/>
        <v>0</v>
      </c>
      <c r="E562" s="6">
        <f t="shared" si="4"/>
        <v>1</v>
      </c>
      <c r="F562" s="8">
        <f t="shared" si="5"/>
        <v>231</v>
      </c>
      <c r="G562" s="18" t="s">
        <v>635</v>
      </c>
      <c r="H562" s="15"/>
      <c r="I562" s="15"/>
    </row>
    <row r="563">
      <c r="A563" s="6">
        <v>561.0</v>
      </c>
      <c r="B563" s="7" t="str">
        <f t="shared" si="1"/>
        <v>1BE013</v>
      </c>
      <c r="C563" s="11" t="str">
        <f t="shared" si="2"/>
        <v>C159B3</v>
      </c>
      <c r="D563" s="12">
        <f t="shared" si="3"/>
        <v>1</v>
      </c>
      <c r="E563" s="6">
        <f t="shared" si="4"/>
        <v>2</v>
      </c>
      <c r="F563" s="8">
        <f t="shared" si="5"/>
        <v>231</v>
      </c>
      <c r="G563" s="18" t="s">
        <v>636</v>
      </c>
      <c r="H563" s="15"/>
      <c r="I563" s="15"/>
    </row>
    <row r="564">
      <c r="A564" s="6">
        <v>562.0</v>
      </c>
      <c r="B564" s="7" t="str">
        <f t="shared" si="1"/>
        <v>1BE013</v>
      </c>
      <c r="C564" s="11" t="str">
        <f t="shared" si="2"/>
        <v>C159B3</v>
      </c>
      <c r="D564" s="12">
        <f t="shared" si="3"/>
        <v>2</v>
      </c>
      <c r="E564" s="6">
        <f t="shared" si="4"/>
        <v>4</v>
      </c>
      <c r="F564" s="8">
        <f t="shared" si="5"/>
        <v>231</v>
      </c>
      <c r="G564" s="18" t="s">
        <v>637</v>
      </c>
      <c r="H564" s="15"/>
      <c r="I564" s="15"/>
    </row>
    <row r="565">
      <c r="A565" s="6">
        <v>563.0</v>
      </c>
      <c r="B565" s="7" t="str">
        <f t="shared" si="1"/>
        <v>1BE013</v>
      </c>
      <c r="C565" s="11" t="str">
        <f t="shared" si="2"/>
        <v>C159B3</v>
      </c>
      <c r="D565" s="12">
        <f t="shared" si="3"/>
        <v>3</v>
      </c>
      <c r="E565" s="6">
        <f t="shared" si="4"/>
        <v>8</v>
      </c>
      <c r="F565" s="8">
        <f t="shared" si="5"/>
        <v>231</v>
      </c>
      <c r="G565" s="18" t="s">
        <v>638</v>
      </c>
      <c r="H565" s="15"/>
      <c r="I565" s="15"/>
    </row>
    <row r="566">
      <c r="A566" s="6">
        <v>564.0</v>
      </c>
      <c r="B566" s="7" t="str">
        <f t="shared" si="1"/>
        <v>1BE013</v>
      </c>
      <c r="C566" s="11" t="str">
        <f t="shared" si="2"/>
        <v>C159B3</v>
      </c>
      <c r="D566" s="12">
        <f t="shared" si="3"/>
        <v>4</v>
      </c>
      <c r="E566" s="6">
        <f t="shared" si="4"/>
        <v>16</v>
      </c>
      <c r="F566" s="8">
        <f t="shared" si="5"/>
        <v>231</v>
      </c>
      <c r="G566" s="18" t="s">
        <v>639</v>
      </c>
      <c r="H566" s="15"/>
      <c r="I566" s="15"/>
    </row>
    <row r="567">
      <c r="A567" s="6">
        <v>565.0</v>
      </c>
      <c r="B567" s="7" t="str">
        <f t="shared" si="1"/>
        <v>1BE013</v>
      </c>
      <c r="C567" s="11" t="str">
        <f t="shared" si="2"/>
        <v>C159B3</v>
      </c>
      <c r="D567" s="12">
        <f t="shared" si="3"/>
        <v>5</v>
      </c>
      <c r="E567" s="6">
        <f t="shared" si="4"/>
        <v>32</v>
      </c>
      <c r="F567" s="8">
        <f t="shared" si="5"/>
        <v>231</v>
      </c>
      <c r="G567" s="18" t="s">
        <v>640</v>
      </c>
      <c r="H567" s="15"/>
      <c r="I567" s="15"/>
    </row>
    <row r="568">
      <c r="A568" s="6">
        <v>566.0</v>
      </c>
      <c r="B568" s="7" t="str">
        <f t="shared" si="1"/>
        <v>1BE013</v>
      </c>
      <c r="C568" s="11" t="str">
        <f t="shared" si="2"/>
        <v>C159B3</v>
      </c>
      <c r="D568" s="12">
        <f t="shared" si="3"/>
        <v>6</v>
      </c>
      <c r="E568" s="6">
        <f t="shared" si="4"/>
        <v>64</v>
      </c>
      <c r="F568" s="8">
        <f t="shared" si="5"/>
        <v>231</v>
      </c>
      <c r="G568" s="18" t="s">
        <v>641</v>
      </c>
      <c r="H568" s="15"/>
      <c r="I568" s="15"/>
    </row>
    <row r="569">
      <c r="A569" s="6">
        <v>567.0</v>
      </c>
      <c r="B569" s="7" t="str">
        <f t="shared" si="1"/>
        <v>1BE013</v>
      </c>
      <c r="C569" s="11" t="str">
        <f t="shared" si="2"/>
        <v>C159B3</v>
      </c>
      <c r="D569" s="12">
        <f t="shared" si="3"/>
        <v>7</v>
      </c>
      <c r="E569" s="6">
        <f t="shared" si="4"/>
        <v>128</v>
      </c>
      <c r="F569" s="8">
        <f t="shared" si="5"/>
        <v>231</v>
      </c>
      <c r="G569" s="18" t="s">
        <v>642</v>
      </c>
      <c r="H569" s="15"/>
      <c r="I569" s="15"/>
    </row>
    <row r="570">
      <c r="A570" s="6">
        <v>568.0</v>
      </c>
      <c r="B570" s="7" t="str">
        <f t="shared" si="1"/>
        <v>1BE014</v>
      </c>
      <c r="C570" s="11" t="str">
        <f t="shared" si="2"/>
        <v>C159B4</v>
      </c>
      <c r="D570" s="12">
        <f t="shared" si="3"/>
        <v>0</v>
      </c>
      <c r="E570" s="6">
        <f t="shared" si="4"/>
        <v>1</v>
      </c>
      <c r="F570" s="8">
        <f t="shared" si="5"/>
        <v>232</v>
      </c>
      <c r="G570" s="18" t="s">
        <v>643</v>
      </c>
      <c r="H570" s="15"/>
      <c r="I570" s="15"/>
    </row>
    <row r="571">
      <c r="A571" s="6">
        <v>569.0</v>
      </c>
      <c r="B571" s="7" t="str">
        <f t="shared" si="1"/>
        <v>1BE014</v>
      </c>
      <c r="C571" s="11" t="str">
        <f t="shared" si="2"/>
        <v>C159B4</v>
      </c>
      <c r="D571" s="12">
        <f t="shared" si="3"/>
        <v>1</v>
      </c>
      <c r="E571" s="6">
        <f t="shared" si="4"/>
        <v>2</v>
      </c>
      <c r="F571" s="8">
        <f t="shared" si="5"/>
        <v>232</v>
      </c>
      <c r="G571" s="18" t="s">
        <v>644</v>
      </c>
      <c r="H571" s="15"/>
      <c r="I571" s="15"/>
    </row>
    <row r="572">
      <c r="A572" s="6">
        <v>570.0</v>
      </c>
      <c r="B572" s="7" t="str">
        <f t="shared" si="1"/>
        <v>1BE014</v>
      </c>
      <c r="C572" s="11" t="str">
        <f t="shared" si="2"/>
        <v>C159B4</v>
      </c>
      <c r="D572" s="12">
        <f t="shared" si="3"/>
        <v>2</v>
      </c>
      <c r="E572" s="6">
        <f t="shared" si="4"/>
        <v>4</v>
      </c>
      <c r="F572" s="8">
        <f t="shared" si="5"/>
        <v>232</v>
      </c>
      <c r="G572" s="18" t="s">
        <v>645</v>
      </c>
      <c r="H572" s="15"/>
      <c r="I572" s="15"/>
    </row>
    <row r="573">
      <c r="A573" s="6">
        <v>571.0</v>
      </c>
      <c r="B573" s="7" t="str">
        <f t="shared" si="1"/>
        <v>1BE014</v>
      </c>
      <c r="C573" s="11" t="str">
        <f t="shared" si="2"/>
        <v>C159B4</v>
      </c>
      <c r="D573" s="12">
        <f t="shared" si="3"/>
        <v>3</v>
      </c>
      <c r="E573" s="6">
        <f t="shared" si="4"/>
        <v>8</v>
      </c>
      <c r="F573" s="8">
        <f t="shared" si="5"/>
        <v>232</v>
      </c>
      <c r="G573" s="18" t="s">
        <v>646</v>
      </c>
      <c r="H573" s="15"/>
      <c r="I573" s="15"/>
    </row>
    <row r="574">
      <c r="A574" s="6">
        <v>572.0</v>
      </c>
      <c r="B574" s="7" t="str">
        <f t="shared" si="1"/>
        <v>1BE014</v>
      </c>
      <c r="C574" s="11" t="str">
        <f t="shared" si="2"/>
        <v>C159B4</v>
      </c>
      <c r="D574" s="12">
        <f t="shared" si="3"/>
        <v>4</v>
      </c>
      <c r="E574" s="6">
        <f t="shared" si="4"/>
        <v>16</v>
      </c>
      <c r="F574" s="8">
        <f t="shared" si="5"/>
        <v>232</v>
      </c>
      <c r="G574" s="18" t="s">
        <v>647</v>
      </c>
      <c r="H574" s="15"/>
      <c r="I574" s="15"/>
    </row>
    <row r="575">
      <c r="A575" s="6">
        <v>573.0</v>
      </c>
      <c r="B575" s="7" t="str">
        <f t="shared" si="1"/>
        <v>1BE014</v>
      </c>
      <c r="C575" s="11" t="str">
        <f t="shared" si="2"/>
        <v>C159B4</v>
      </c>
      <c r="D575" s="12">
        <f t="shared" si="3"/>
        <v>5</v>
      </c>
      <c r="E575" s="6">
        <f t="shared" si="4"/>
        <v>32</v>
      </c>
      <c r="F575" s="8">
        <f t="shared" si="5"/>
        <v>232</v>
      </c>
      <c r="G575" s="18" t="s">
        <v>648</v>
      </c>
      <c r="H575" s="15"/>
      <c r="I575" s="15"/>
    </row>
    <row r="576">
      <c r="A576" s="6">
        <v>574.0</v>
      </c>
      <c r="B576" s="7" t="str">
        <f t="shared" si="1"/>
        <v>1BE014</v>
      </c>
      <c r="C576" s="11" t="str">
        <f t="shared" si="2"/>
        <v>C159B4</v>
      </c>
      <c r="D576" s="12">
        <f t="shared" si="3"/>
        <v>6</v>
      </c>
      <c r="E576" s="6">
        <f t="shared" si="4"/>
        <v>64</v>
      </c>
      <c r="F576" s="8">
        <f t="shared" si="5"/>
        <v>232</v>
      </c>
      <c r="G576" s="19" t="s">
        <v>95</v>
      </c>
      <c r="H576" s="8"/>
      <c r="I576" s="10"/>
    </row>
    <row r="577">
      <c r="A577" s="6">
        <v>575.0</v>
      </c>
      <c r="B577" s="7" t="str">
        <f t="shared" si="1"/>
        <v>1BE014</v>
      </c>
      <c r="C577" s="11" t="str">
        <f t="shared" si="2"/>
        <v>C159B4</v>
      </c>
      <c r="D577" s="12">
        <f t="shared" si="3"/>
        <v>7</v>
      </c>
      <c r="E577" s="6">
        <f t="shared" si="4"/>
        <v>128</v>
      </c>
      <c r="F577" s="8">
        <f t="shared" si="5"/>
        <v>232</v>
      </c>
      <c r="G577" s="18" t="s">
        <v>649</v>
      </c>
      <c r="H577" s="15"/>
      <c r="I577" s="15"/>
    </row>
    <row r="578">
      <c r="A578" s="6">
        <v>576.0</v>
      </c>
      <c r="B578" s="7" t="str">
        <f t="shared" si="1"/>
        <v>1BE015</v>
      </c>
      <c r="C578" s="11" t="str">
        <f t="shared" si="2"/>
        <v>C159B5</v>
      </c>
      <c r="D578" s="12">
        <f t="shared" si="3"/>
        <v>0</v>
      </c>
      <c r="E578" s="6">
        <f t="shared" si="4"/>
        <v>1</v>
      </c>
      <c r="F578" s="8">
        <f t="shared" si="5"/>
        <v>233</v>
      </c>
      <c r="G578" s="18" t="s">
        <v>650</v>
      </c>
      <c r="H578" s="13"/>
      <c r="I578" s="13"/>
    </row>
    <row r="579">
      <c r="A579" s="6">
        <v>577.0</v>
      </c>
      <c r="B579" s="7" t="str">
        <f t="shared" si="1"/>
        <v>1BE015</v>
      </c>
      <c r="C579" s="11" t="str">
        <f t="shared" si="2"/>
        <v>C159B5</v>
      </c>
      <c r="D579" s="12">
        <f t="shared" si="3"/>
        <v>1</v>
      </c>
      <c r="E579" s="6">
        <f t="shared" si="4"/>
        <v>2</v>
      </c>
      <c r="F579" s="8">
        <f t="shared" si="5"/>
        <v>233</v>
      </c>
      <c r="G579" s="18" t="s">
        <v>651</v>
      </c>
      <c r="H579" s="13"/>
      <c r="I579" s="13"/>
    </row>
    <row r="580">
      <c r="A580" s="6">
        <v>578.0</v>
      </c>
      <c r="B580" s="7" t="str">
        <f t="shared" si="1"/>
        <v>1BE015</v>
      </c>
      <c r="C580" s="11" t="str">
        <f t="shared" si="2"/>
        <v>C159B5</v>
      </c>
      <c r="D580" s="12">
        <f t="shared" si="3"/>
        <v>2</v>
      </c>
      <c r="E580" s="6">
        <f t="shared" si="4"/>
        <v>4</v>
      </c>
      <c r="F580" s="8">
        <f t="shared" si="5"/>
        <v>233</v>
      </c>
      <c r="G580" s="18" t="s">
        <v>652</v>
      </c>
      <c r="H580" s="13"/>
      <c r="I580" s="13"/>
    </row>
    <row r="581">
      <c r="A581" s="6">
        <v>579.0</v>
      </c>
      <c r="B581" s="7" t="str">
        <f t="shared" si="1"/>
        <v>1BE015</v>
      </c>
      <c r="C581" s="11" t="str">
        <f t="shared" si="2"/>
        <v>C159B5</v>
      </c>
      <c r="D581" s="12">
        <f t="shared" si="3"/>
        <v>3</v>
      </c>
      <c r="E581" s="6">
        <f t="shared" si="4"/>
        <v>8</v>
      </c>
      <c r="F581" s="8">
        <f t="shared" si="5"/>
        <v>233</v>
      </c>
      <c r="G581" s="18" t="s">
        <v>653</v>
      </c>
      <c r="H581" s="13"/>
      <c r="I581" s="13"/>
    </row>
    <row r="582">
      <c r="A582" s="6">
        <v>580.0</v>
      </c>
      <c r="B582" s="7" t="str">
        <f t="shared" si="1"/>
        <v>1BE015</v>
      </c>
      <c r="C582" s="11" t="str">
        <f t="shared" si="2"/>
        <v>C159B5</v>
      </c>
      <c r="D582" s="12">
        <f t="shared" si="3"/>
        <v>4</v>
      </c>
      <c r="E582" s="6">
        <f t="shared" si="4"/>
        <v>16</v>
      </c>
      <c r="F582" s="8">
        <f t="shared" si="5"/>
        <v>233</v>
      </c>
      <c r="G582" s="18" t="s">
        <v>654</v>
      </c>
      <c r="H582" s="8" t="s">
        <v>123</v>
      </c>
      <c r="I582" s="10"/>
    </row>
    <row r="583">
      <c r="A583" s="6">
        <v>581.0</v>
      </c>
      <c r="B583" s="7" t="str">
        <f t="shared" si="1"/>
        <v>1BE015</v>
      </c>
      <c r="C583" s="11" t="str">
        <f t="shared" si="2"/>
        <v>C159B5</v>
      </c>
      <c r="D583" s="12">
        <f t="shared" si="3"/>
        <v>5</v>
      </c>
      <c r="E583" s="6">
        <f t="shared" si="4"/>
        <v>32</v>
      </c>
      <c r="F583" s="8">
        <f t="shared" si="5"/>
        <v>233</v>
      </c>
      <c r="G583" s="18" t="s">
        <v>655</v>
      </c>
      <c r="H583" s="8" t="s">
        <v>123</v>
      </c>
      <c r="I583" s="10"/>
    </row>
    <row r="584">
      <c r="A584" s="6">
        <v>582.0</v>
      </c>
      <c r="B584" s="7" t="str">
        <f t="shared" si="1"/>
        <v>1BE015</v>
      </c>
      <c r="C584" s="11" t="str">
        <f t="shared" si="2"/>
        <v>C159B5</v>
      </c>
      <c r="D584" s="12">
        <f t="shared" si="3"/>
        <v>6</v>
      </c>
      <c r="E584" s="6">
        <f t="shared" si="4"/>
        <v>64</v>
      </c>
      <c r="F584" s="8">
        <f t="shared" si="5"/>
        <v>233</v>
      </c>
      <c r="G584" s="8" t="s">
        <v>95</v>
      </c>
      <c r="H584" s="8"/>
      <c r="I584" s="13"/>
    </row>
    <row r="585">
      <c r="A585" s="6">
        <v>583.0</v>
      </c>
      <c r="B585" s="7" t="str">
        <f t="shared" si="1"/>
        <v>1BE015</v>
      </c>
      <c r="C585" s="11" t="str">
        <f t="shared" si="2"/>
        <v>C159B5</v>
      </c>
      <c r="D585" s="12">
        <f t="shared" si="3"/>
        <v>7</v>
      </c>
      <c r="E585" s="6">
        <f t="shared" si="4"/>
        <v>128</v>
      </c>
      <c r="F585" s="8">
        <f t="shared" si="5"/>
        <v>233</v>
      </c>
      <c r="G585" s="18" t="s">
        <v>656</v>
      </c>
      <c r="H585" s="13"/>
      <c r="I585" s="13"/>
    </row>
    <row r="586">
      <c r="A586" s="6">
        <v>584.0</v>
      </c>
      <c r="B586" s="7" t="str">
        <f t="shared" si="1"/>
        <v>1BE016</v>
      </c>
      <c r="C586" s="11" t="str">
        <f t="shared" si="2"/>
        <v>C159B6</v>
      </c>
      <c r="D586" s="12">
        <f t="shared" si="3"/>
        <v>0</v>
      </c>
      <c r="E586" s="6">
        <f t="shared" si="4"/>
        <v>1</v>
      </c>
      <c r="F586" s="8">
        <f t="shared" si="5"/>
        <v>234</v>
      </c>
      <c r="G586" s="18" t="s">
        <v>657</v>
      </c>
      <c r="H586" s="13"/>
      <c r="I586" s="13"/>
    </row>
    <row r="587">
      <c r="A587" s="6">
        <v>585.0</v>
      </c>
      <c r="B587" s="7" t="str">
        <f t="shared" si="1"/>
        <v>1BE016</v>
      </c>
      <c r="C587" s="11" t="str">
        <f t="shared" si="2"/>
        <v>C159B6</v>
      </c>
      <c r="D587" s="12">
        <f t="shared" si="3"/>
        <v>1</v>
      </c>
      <c r="E587" s="6">
        <f t="shared" si="4"/>
        <v>2</v>
      </c>
      <c r="F587" s="8">
        <f t="shared" si="5"/>
        <v>234</v>
      </c>
      <c r="G587" s="8" t="s">
        <v>95</v>
      </c>
      <c r="H587" s="8"/>
      <c r="I587" s="13"/>
    </row>
    <row r="588">
      <c r="A588" s="6">
        <v>586.0</v>
      </c>
      <c r="B588" s="7" t="str">
        <f t="shared" si="1"/>
        <v>1BE016</v>
      </c>
      <c r="C588" s="11" t="str">
        <f t="shared" si="2"/>
        <v>C159B6</v>
      </c>
      <c r="D588" s="12">
        <f t="shared" si="3"/>
        <v>2</v>
      </c>
      <c r="E588" s="6">
        <f t="shared" si="4"/>
        <v>4</v>
      </c>
      <c r="F588" s="8">
        <f t="shared" si="5"/>
        <v>234</v>
      </c>
      <c r="G588" s="8" t="s">
        <v>95</v>
      </c>
      <c r="H588" s="8"/>
      <c r="I588" s="13"/>
    </row>
    <row r="589">
      <c r="A589" s="6">
        <v>587.0</v>
      </c>
      <c r="B589" s="7" t="str">
        <f t="shared" si="1"/>
        <v>1BE016</v>
      </c>
      <c r="C589" s="11" t="str">
        <f t="shared" si="2"/>
        <v>C159B6</v>
      </c>
      <c r="D589" s="12">
        <f t="shared" si="3"/>
        <v>3</v>
      </c>
      <c r="E589" s="6">
        <f t="shared" si="4"/>
        <v>8</v>
      </c>
      <c r="F589" s="8">
        <f t="shared" si="5"/>
        <v>234</v>
      </c>
      <c r="G589" s="18" t="s">
        <v>658</v>
      </c>
      <c r="H589" s="13"/>
      <c r="I589" s="13"/>
    </row>
    <row r="590">
      <c r="A590" s="6">
        <v>588.0</v>
      </c>
      <c r="B590" s="7" t="str">
        <f t="shared" si="1"/>
        <v>1BE016</v>
      </c>
      <c r="C590" s="11" t="str">
        <f t="shared" si="2"/>
        <v>C159B6</v>
      </c>
      <c r="D590" s="12">
        <f t="shared" si="3"/>
        <v>4</v>
      </c>
      <c r="E590" s="6">
        <f t="shared" si="4"/>
        <v>16</v>
      </c>
      <c r="F590" s="8">
        <f t="shared" si="5"/>
        <v>234</v>
      </c>
      <c r="G590" s="18" t="s">
        <v>659</v>
      </c>
      <c r="H590" s="8" t="s">
        <v>660</v>
      </c>
      <c r="I590" s="10"/>
    </row>
    <row r="591">
      <c r="A591" s="6">
        <v>589.0</v>
      </c>
      <c r="B591" s="7" t="str">
        <f t="shared" si="1"/>
        <v>1BE016</v>
      </c>
      <c r="C591" s="11" t="str">
        <f t="shared" si="2"/>
        <v>C159B6</v>
      </c>
      <c r="D591" s="12">
        <f t="shared" si="3"/>
        <v>5</v>
      </c>
      <c r="E591" s="6">
        <f t="shared" si="4"/>
        <v>32</v>
      </c>
      <c r="F591" s="8">
        <f t="shared" si="5"/>
        <v>234</v>
      </c>
      <c r="G591" s="18" t="s">
        <v>661</v>
      </c>
      <c r="H591" s="13"/>
      <c r="I591" s="13"/>
    </row>
    <row r="592">
      <c r="A592" s="6">
        <v>590.0</v>
      </c>
      <c r="B592" s="7" t="str">
        <f t="shared" si="1"/>
        <v>1BE016</v>
      </c>
      <c r="C592" s="11" t="str">
        <f t="shared" si="2"/>
        <v>C159B6</v>
      </c>
      <c r="D592" s="12">
        <f t="shared" si="3"/>
        <v>6</v>
      </c>
      <c r="E592" s="6">
        <f t="shared" si="4"/>
        <v>64</v>
      </c>
      <c r="F592" s="8">
        <f t="shared" si="5"/>
        <v>234</v>
      </c>
      <c r="G592" s="8" t="s">
        <v>95</v>
      </c>
      <c r="H592" s="8"/>
      <c r="I592" s="13"/>
    </row>
    <row r="593">
      <c r="A593" s="6">
        <v>591.0</v>
      </c>
      <c r="B593" s="7" t="str">
        <f t="shared" si="1"/>
        <v>1BE016</v>
      </c>
      <c r="C593" s="11" t="str">
        <f t="shared" si="2"/>
        <v>C159B6</v>
      </c>
      <c r="D593" s="12">
        <f t="shared" si="3"/>
        <v>7</v>
      </c>
      <c r="E593" s="6">
        <f t="shared" si="4"/>
        <v>128</v>
      </c>
      <c r="F593" s="8">
        <f t="shared" si="5"/>
        <v>234</v>
      </c>
      <c r="G593" s="8" t="s">
        <v>95</v>
      </c>
      <c r="H593" s="8"/>
      <c r="I593" s="13"/>
    </row>
    <row r="594">
      <c r="A594" s="6">
        <v>592.0</v>
      </c>
      <c r="B594" s="7" t="str">
        <f t="shared" si="1"/>
        <v>1BE017</v>
      </c>
      <c r="C594" s="11" t="str">
        <f t="shared" si="2"/>
        <v>C159B7</v>
      </c>
      <c r="D594" s="12">
        <f t="shared" si="3"/>
        <v>0</v>
      </c>
      <c r="E594" s="6">
        <f t="shared" si="4"/>
        <v>1</v>
      </c>
      <c r="F594" s="8">
        <f t="shared" si="5"/>
        <v>235</v>
      </c>
      <c r="G594" s="18" t="s">
        <v>662</v>
      </c>
      <c r="H594" s="13"/>
      <c r="I594" s="13"/>
    </row>
    <row r="595">
      <c r="A595" s="6">
        <v>593.0</v>
      </c>
      <c r="B595" s="7" t="str">
        <f t="shared" si="1"/>
        <v>1BE017</v>
      </c>
      <c r="C595" s="11" t="str">
        <f t="shared" si="2"/>
        <v>C159B7</v>
      </c>
      <c r="D595" s="12">
        <f t="shared" si="3"/>
        <v>1</v>
      </c>
      <c r="E595" s="6">
        <f t="shared" si="4"/>
        <v>2</v>
      </c>
      <c r="F595" s="8">
        <f t="shared" si="5"/>
        <v>235</v>
      </c>
      <c r="G595" s="18" t="s">
        <v>663</v>
      </c>
      <c r="H595" s="13"/>
      <c r="I595" s="13"/>
    </row>
    <row r="596">
      <c r="A596" s="6">
        <v>594.0</v>
      </c>
      <c r="B596" s="7" t="str">
        <f t="shared" si="1"/>
        <v>1BE017</v>
      </c>
      <c r="C596" s="11" t="str">
        <f t="shared" si="2"/>
        <v>C159B7</v>
      </c>
      <c r="D596" s="12">
        <f t="shared" si="3"/>
        <v>2</v>
      </c>
      <c r="E596" s="6">
        <f t="shared" si="4"/>
        <v>4</v>
      </c>
      <c r="F596" s="8">
        <f t="shared" si="5"/>
        <v>235</v>
      </c>
      <c r="G596" s="18" t="s">
        <v>664</v>
      </c>
      <c r="H596" s="13"/>
      <c r="I596" s="13"/>
    </row>
    <row r="597">
      <c r="A597" s="6">
        <v>595.0</v>
      </c>
      <c r="B597" s="7" t="str">
        <f t="shared" si="1"/>
        <v>1BE017</v>
      </c>
      <c r="C597" s="11" t="str">
        <f t="shared" si="2"/>
        <v>C159B7</v>
      </c>
      <c r="D597" s="12">
        <f t="shared" si="3"/>
        <v>3</v>
      </c>
      <c r="E597" s="6">
        <f t="shared" si="4"/>
        <v>8</v>
      </c>
      <c r="F597" s="8">
        <f t="shared" si="5"/>
        <v>235</v>
      </c>
      <c r="G597" s="18" t="s">
        <v>665</v>
      </c>
      <c r="H597" s="13"/>
      <c r="I597" s="13"/>
    </row>
    <row r="598">
      <c r="A598" s="6">
        <v>596.0</v>
      </c>
      <c r="B598" s="7" t="str">
        <f t="shared" si="1"/>
        <v>1BE017</v>
      </c>
      <c r="C598" s="11" t="str">
        <f t="shared" si="2"/>
        <v>C159B7</v>
      </c>
      <c r="D598" s="12">
        <f t="shared" si="3"/>
        <v>4</v>
      </c>
      <c r="E598" s="6">
        <f t="shared" si="4"/>
        <v>16</v>
      </c>
      <c r="F598" s="8">
        <f t="shared" si="5"/>
        <v>235</v>
      </c>
      <c r="G598" s="18" t="s">
        <v>666</v>
      </c>
      <c r="H598" s="13"/>
      <c r="I598" s="13"/>
    </row>
    <row r="599">
      <c r="A599" s="6">
        <v>597.0</v>
      </c>
      <c r="B599" s="7" t="str">
        <f t="shared" si="1"/>
        <v>1BE017</v>
      </c>
      <c r="C599" s="11" t="str">
        <f t="shared" si="2"/>
        <v>C159B7</v>
      </c>
      <c r="D599" s="12">
        <f t="shared" si="3"/>
        <v>5</v>
      </c>
      <c r="E599" s="6">
        <f t="shared" si="4"/>
        <v>32</v>
      </c>
      <c r="F599" s="8">
        <f t="shared" si="5"/>
        <v>235</v>
      </c>
      <c r="G599" s="18" t="s">
        <v>667</v>
      </c>
      <c r="H599" s="13"/>
      <c r="I599" s="13"/>
    </row>
    <row r="600">
      <c r="A600" s="6">
        <v>598.0</v>
      </c>
      <c r="B600" s="7" t="str">
        <f t="shared" si="1"/>
        <v>1BE017</v>
      </c>
      <c r="C600" s="11" t="str">
        <f t="shared" si="2"/>
        <v>C159B7</v>
      </c>
      <c r="D600" s="12">
        <f t="shared" si="3"/>
        <v>6</v>
      </c>
      <c r="E600" s="6">
        <f t="shared" si="4"/>
        <v>64</v>
      </c>
      <c r="F600" s="8">
        <f t="shared" si="5"/>
        <v>235</v>
      </c>
      <c r="G600" s="18" t="s">
        <v>668</v>
      </c>
      <c r="H600" s="13"/>
      <c r="I600" s="13"/>
    </row>
    <row r="601">
      <c r="A601" s="6">
        <v>599.0</v>
      </c>
      <c r="B601" s="7" t="str">
        <f t="shared" si="1"/>
        <v>1BE017</v>
      </c>
      <c r="C601" s="11" t="str">
        <f t="shared" si="2"/>
        <v>C159B7</v>
      </c>
      <c r="D601" s="12">
        <f t="shared" si="3"/>
        <v>7</v>
      </c>
      <c r="E601" s="6">
        <f t="shared" si="4"/>
        <v>128</v>
      </c>
      <c r="F601" s="8">
        <f t="shared" si="5"/>
        <v>235</v>
      </c>
      <c r="G601" s="18" t="s">
        <v>669</v>
      </c>
      <c r="H601" s="13"/>
      <c r="I601" s="13"/>
    </row>
    <row r="602">
      <c r="A602" s="6">
        <v>600.0</v>
      </c>
      <c r="B602" s="7" t="str">
        <f t="shared" si="1"/>
        <v>1BE018</v>
      </c>
      <c r="C602" s="11" t="str">
        <f t="shared" si="2"/>
        <v>C159B8</v>
      </c>
      <c r="D602" s="12">
        <f t="shared" si="3"/>
        <v>0</v>
      </c>
      <c r="E602" s="6">
        <f t="shared" si="4"/>
        <v>1</v>
      </c>
      <c r="F602" s="8">
        <f t="shared" si="5"/>
        <v>236</v>
      </c>
      <c r="G602" s="18" t="s">
        <v>670</v>
      </c>
      <c r="H602" s="15"/>
      <c r="I602" s="15"/>
    </row>
    <row r="603">
      <c r="A603" s="6">
        <v>601.0</v>
      </c>
      <c r="B603" s="7" t="str">
        <f t="shared" si="1"/>
        <v>1BE018</v>
      </c>
      <c r="C603" s="11" t="str">
        <f t="shared" si="2"/>
        <v>C159B8</v>
      </c>
      <c r="D603" s="12">
        <f t="shared" si="3"/>
        <v>1</v>
      </c>
      <c r="E603" s="6">
        <f t="shared" si="4"/>
        <v>2</v>
      </c>
      <c r="F603" s="8">
        <f t="shared" si="5"/>
        <v>236</v>
      </c>
      <c r="G603" s="18" t="s">
        <v>671</v>
      </c>
      <c r="H603" s="15"/>
      <c r="I603" s="15"/>
    </row>
    <row r="604">
      <c r="A604" s="6">
        <v>602.0</v>
      </c>
      <c r="B604" s="7" t="str">
        <f t="shared" si="1"/>
        <v>1BE018</v>
      </c>
      <c r="C604" s="11" t="str">
        <f t="shared" si="2"/>
        <v>C159B8</v>
      </c>
      <c r="D604" s="12">
        <f t="shared" si="3"/>
        <v>2</v>
      </c>
      <c r="E604" s="6">
        <f t="shared" si="4"/>
        <v>4</v>
      </c>
      <c r="F604" s="8">
        <f t="shared" si="5"/>
        <v>236</v>
      </c>
      <c r="G604" s="18" t="s">
        <v>672</v>
      </c>
      <c r="H604" s="15"/>
      <c r="I604" s="15"/>
    </row>
    <row r="605">
      <c r="A605" s="6">
        <v>603.0</v>
      </c>
      <c r="B605" s="7" t="str">
        <f t="shared" si="1"/>
        <v>1BE018</v>
      </c>
      <c r="C605" s="11" t="str">
        <f t="shared" si="2"/>
        <v>C159B8</v>
      </c>
      <c r="D605" s="12">
        <f t="shared" si="3"/>
        <v>3</v>
      </c>
      <c r="E605" s="6">
        <f t="shared" si="4"/>
        <v>8</v>
      </c>
      <c r="F605" s="8">
        <f t="shared" si="5"/>
        <v>236</v>
      </c>
      <c r="G605" s="18" t="s">
        <v>673</v>
      </c>
      <c r="H605" s="15"/>
      <c r="I605" s="15"/>
    </row>
    <row r="606">
      <c r="A606" s="6">
        <v>604.0</v>
      </c>
      <c r="B606" s="7" t="str">
        <f t="shared" si="1"/>
        <v>1BE018</v>
      </c>
      <c r="C606" s="11" t="str">
        <f t="shared" si="2"/>
        <v>C159B8</v>
      </c>
      <c r="D606" s="12">
        <f t="shared" si="3"/>
        <v>4</v>
      </c>
      <c r="E606" s="6">
        <f t="shared" si="4"/>
        <v>16</v>
      </c>
      <c r="F606" s="8">
        <f t="shared" si="5"/>
        <v>236</v>
      </c>
      <c r="G606" s="18" t="s">
        <v>674</v>
      </c>
      <c r="H606" s="15"/>
      <c r="I606" s="15"/>
    </row>
    <row r="607">
      <c r="A607" s="6">
        <v>605.0</v>
      </c>
      <c r="B607" s="7" t="str">
        <f t="shared" si="1"/>
        <v>1BE018</v>
      </c>
      <c r="C607" s="11" t="str">
        <f t="shared" si="2"/>
        <v>C159B8</v>
      </c>
      <c r="D607" s="12">
        <f t="shared" si="3"/>
        <v>5</v>
      </c>
      <c r="E607" s="6">
        <f t="shared" si="4"/>
        <v>32</v>
      </c>
      <c r="F607" s="8">
        <f t="shared" si="5"/>
        <v>236</v>
      </c>
      <c r="G607" s="18" t="s">
        <v>675</v>
      </c>
      <c r="H607" s="15"/>
      <c r="I607" s="15"/>
    </row>
    <row r="608">
      <c r="A608" s="6">
        <v>606.0</v>
      </c>
      <c r="B608" s="7" t="str">
        <f t="shared" si="1"/>
        <v>1BE018</v>
      </c>
      <c r="C608" s="11" t="str">
        <f t="shared" si="2"/>
        <v>C159B8</v>
      </c>
      <c r="D608" s="12">
        <f t="shared" si="3"/>
        <v>6</v>
      </c>
      <c r="E608" s="6">
        <f t="shared" si="4"/>
        <v>64</v>
      </c>
      <c r="F608" s="8">
        <f t="shared" si="5"/>
        <v>236</v>
      </c>
      <c r="G608" s="18" t="s">
        <v>676</v>
      </c>
      <c r="H608" s="15"/>
      <c r="I608" s="15"/>
    </row>
    <row r="609">
      <c r="A609" s="6">
        <v>607.0</v>
      </c>
      <c r="B609" s="7" t="str">
        <f t="shared" si="1"/>
        <v>1BE018</v>
      </c>
      <c r="C609" s="11" t="str">
        <f t="shared" si="2"/>
        <v>C159B8</v>
      </c>
      <c r="D609" s="12">
        <f t="shared" si="3"/>
        <v>7</v>
      </c>
      <c r="E609" s="6">
        <f t="shared" si="4"/>
        <v>128</v>
      </c>
      <c r="F609" s="8">
        <f t="shared" si="5"/>
        <v>236</v>
      </c>
      <c r="G609" s="18" t="s">
        <v>677</v>
      </c>
      <c r="H609" s="15"/>
      <c r="I609" s="15"/>
    </row>
    <row r="610">
      <c r="A610" s="6">
        <v>608.0</v>
      </c>
      <c r="B610" s="7" t="str">
        <f t="shared" si="1"/>
        <v>1BE019</v>
      </c>
      <c r="C610" s="11" t="str">
        <f t="shared" si="2"/>
        <v>C159B9</v>
      </c>
      <c r="D610" s="12">
        <f t="shared" si="3"/>
        <v>0</v>
      </c>
      <c r="E610" s="6">
        <f t="shared" si="4"/>
        <v>1</v>
      </c>
      <c r="F610" s="8">
        <f t="shared" si="5"/>
        <v>237</v>
      </c>
      <c r="G610" s="18" t="s">
        <v>678</v>
      </c>
      <c r="H610" s="15"/>
      <c r="I610" s="15"/>
    </row>
    <row r="611">
      <c r="A611" s="6">
        <v>609.0</v>
      </c>
      <c r="B611" s="7" t="str">
        <f t="shared" si="1"/>
        <v>1BE019</v>
      </c>
      <c r="C611" s="11" t="str">
        <f t="shared" si="2"/>
        <v>C159B9</v>
      </c>
      <c r="D611" s="12">
        <f t="shared" si="3"/>
        <v>1</v>
      </c>
      <c r="E611" s="6">
        <f t="shared" si="4"/>
        <v>2</v>
      </c>
      <c r="F611" s="8">
        <f t="shared" si="5"/>
        <v>237</v>
      </c>
      <c r="G611" s="8" t="s">
        <v>679</v>
      </c>
      <c r="H611" s="8"/>
      <c r="I611" s="15"/>
    </row>
    <row r="612">
      <c r="A612" s="6">
        <v>610.0</v>
      </c>
      <c r="B612" s="7" t="str">
        <f t="shared" si="1"/>
        <v>1BE019</v>
      </c>
      <c r="C612" s="11" t="str">
        <f t="shared" si="2"/>
        <v>C159B9</v>
      </c>
      <c r="D612" s="12">
        <f t="shared" si="3"/>
        <v>2</v>
      </c>
      <c r="E612" s="6">
        <f t="shared" si="4"/>
        <v>4</v>
      </c>
      <c r="F612" s="8">
        <f t="shared" si="5"/>
        <v>237</v>
      </c>
      <c r="G612" s="18" t="s">
        <v>680</v>
      </c>
      <c r="H612" s="15"/>
      <c r="I612" s="15"/>
    </row>
    <row r="613">
      <c r="A613" s="6">
        <v>611.0</v>
      </c>
      <c r="B613" s="7" t="str">
        <f t="shared" si="1"/>
        <v>1BE019</v>
      </c>
      <c r="C613" s="11" t="str">
        <f t="shared" si="2"/>
        <v>C159B9</v>
      </c>
      <c r="D613" s="12">
        <f t="shared" si="3"/>
        <v>3</v>
      </c>
      <c r="E613" s="6">
        <f t="shared" si="4"/>
        <v>8</v>
      </c>
      <c r="F613" s="8">
        <f t="shared" si="5"/>
        <v>237</v>
      </c>
      <c r="G613" s="18" t="s">
        <v>681</v>
      </c>
      <c r="H613" s="15"/>
      <c r="I613" s="15"/>
    </row>
    <row r="614">
      <c r="A614" s="6">
        <v>612.0</v>
      </c>
      <c r="B614" s="7" t="str">
        <f t="shared" si="1"/>
        <v>1BE019</v>
      </c>
      <c r="C614" s="11" t="str">
        <f t="shared" si="2"/>
        <v>C159B9</v>
      </c>
      <c r="D614" s="12">
        <f t="shared" si="3"/>
        <v>4</v>
      </c>
      <c r="E614" s="6">
        <f t="shared" si="4"/>
        <v>16</v>
      </c>
      <c r="F614" s="8">
        <f t="shared" si="5"/>
        <v>237</v>
      </c>
      <c r="G614" s="18" t="s">
        <v>682</v>
      </c>
      <c r="H614" s="15"/>
      <c r="I614" s="15"/>
    </row>
    <row r="615">
      <c r="A615" s="6">
        <v>613.0</v>
      </c>
      <c r="B615" s="7" t="str">
        <f t="shared" si="1"/>
        <v>1BE019</v>
      </c>
      <c r="C615" s="11" t="str">
        <f t="shared" si="2"/>
        <v>C159B9</v>
      </c>
      <c r="D615" s="12">
        <f t="shared" si="3"/>
        <v>5</v>
      </c>
      <c r="E615" s="6">
        <f t="shared" si="4"/>
        <v>32</v>
      </c>
      <c r="F615" s="8">
        <f t="shared" si="5"/>
        <v>237</v>
      </c>
      <c r="G615" s="18" t="s">
        <v>683</v>
      </c>
      <c r="H615" s="15"/>
      <c r="I615" s="15"/>
    </row>
    <row r="616">
      <c r="A616" s="6">
        <v>614.0</v>
      </c>
      <c r="B616" s="7" t="str">
        <f t="shared" si="1"/>
        <v>1BE019</v>
      </c>
      <c r="C616" s="11" t="str">
        <f t="shared" si="2"/>
        <v>C159B9</v>
      </c>
      <c r="D616" s="12">
        <f t="shared" si="3"/>
        <v>6</v>
      </c>
      <c r="E616" s="6">
        <f t="shared" si="4"/>
        <v>64</v>
      </c>
      <c r="F616" s="8">
        <f t="shared" si="5"/>
        <v>237</v>
      </c>
      <c r="G616" s="18" t="s">
        <v>684</v>
      </c>
      <c r="H616" s="15"/>
      <c r="I616" s="15"/>
    </row>
    <row r="617">
      <c r="A617" s="6">
        <v>615.0</v>
      </c>
      <c r="B617" s="7" t="str">
        <f t="shared" si="1"/>
        <v>1BE019</v>
      </c>
      <c r="C617" s="11" t="str">
        <f t="shared" si="2"/>
        <v>C159B9</v>
      </c>
      <c r="D617" s="12">
        <f t="shared" si="3"/>
        <v>7</v>
      </c>
      <c r="E617" s="6">
        <f t="shared" si="4"/>
        <v>128</v>
      </c>
      <c r="F617" s="8">
        <f t="shared" si="5"/>
        <v>237</v>
      </c>
      <c r="G617" s="18" t="s">
        <v>685</v>
      </c>
      <c r="H617" s="8" t="s">
        <v>686</v>
      </c>
      <c r="I617" s="10"/>
    </row>
    <row r="618">
      <c r="A618" s="6">
        <v>616.0</v>
      </c>
      <c r="B618" s="7" t="str">
        <f t="shared" si="1"/>
        <v>1BE01A</v>
      </c>
      <c r="C618" s="11" t="str">
        <f t="shared" si="2"/>
        <v>C159BA</v>
      </c>
      <c r="D618" s="12">
        <f t="shared" si="3"/>
        <v>0</v>
      </c>
      <c r="E618" s="6">
        <f t="shared" si="4"/>
        <v>1</v>
      </c>
      <c r="F618" s="8">
        <f t="shared" si="5"/>
        <v>238</v>
      </c>
      <c r="G618" s="18" t="s">
        <v>687</v>
      </c>
      <c r="H618" s="15"/>
      <c r="I618" s="15"/>
    </row>
    <row r="619">
      <c r="A619" s="6">
        <v>617.0</v>
      </c>
      <c r="B619" s="7" t="str">
        <f t="shared" si="1"/>
        <v>1BE01A</v>
      </c>
      <c r="C619" s="11" t="str">
        <f t="shared" si="2"/>
        <v>C159BA</v>
      </c>
      <c r="D619" s="12">
        <f t="shared" si="3"/>
        <v>1</v>
      </c>
      <c r="E619" s="6">
        <f t="shared" si="4"/>
        <v>2</v>
      </c>
      <c r="F619" s="8">
        <f t="shared" si="5"/>
        <v>238</v>
      </c>
      <c r="G619" s="18" t="s">
        <v>688</v>
      </c>
      <c r="H619" s="15"/>
      <c r="I619" s="15"/>
    </row>
    <row r="620">
      <c r="A620" s="6">
        <v>618.0</v>
      </c>
      <c r="B620" s="7" t="str">
        <f t="shared" si="1"/>
        <v>1BE01A</v>
      </c>
      <c r="C620" s="11" t="str">
        <f t="shared" si="2"/>
        <v>C159BA</v>
      </c>
      <c r="D620" s="12">
        <f t="shared" si="3"/>
        <v>2</v>
      </c>
      <c r="E620" s="6">
        <f t="shared" si="4"/>
        <v>4</v>
      </c>
      <c r="F620" s="8">
        <f t="shared" si="5"/>
        <v>238</v>
      </c>
      <c r="G620" s="18" t="s">
        <v>689</v>
      </c>
      <c r="H620" s="15"/>
      <c r="I620" s="15"/>
    </row>
    <row r="621">
      <c r="A621" s="6">
        <v>619.0</v>
      </c>
      <c r="B621" s="7" t="str">
        <f t="shared" si="1"/>
        <v>1BE01A</v>
      </c>
      <c r="C621" s="11" t="str">
        <f t="shared" si="2"/>
        <v>C159BA</v>
      </c>
      <c r="D621" s="12">
        <f t="shared" si="3"/>
        <v>3</v>
      </c>
      <c r="E621" s="6">
        <f t="shared" si="4"/>
        <v>8</v>
      </c>
      <c r="F621" s="8">
        <f t="shared" si="5"/>
        <v>238</v>
      </c>
      <c r="G621" s="18" t="s">
        <v>690</v>
      </c>
      <c r="H621" s="15"/>
      <c r="I621" s="15"/>
    </row>
    <row r="622">
      <c r="A622" s="6">
        <v>620.0</v>
      </c>
      <c r="B622" s="7" t="str">
        <f t="shared" si="1"/>
        <v>1BE01A</v>
      </c>
      <c r="C622" s="11" t="str">
        <f t="shared" si="2"/>
        <v>C159BA</v>
      </c>
      <c r="D622" s="12">
        <f t="shared" si="3"/>
        <v>4</v>
      </c>
      <c r="E622" s="6">
        <f t="shared" si="4"/>
        <v>16</v>
      </c>
      <c r="F622" s="8">
        <f t="shared" si="5"/>
        <v>238</v>
      </c>
      <c r="G622" s="18" t="s">
        <v>691</v>
      </c>
      <c r="H622" s="15"/>
      <c r="I622" s="15"/>
    </row>
    <row r="623">
      <c r="A623" s="6">
        <v>621.0</v>
      </c>
      <c r="B623" s="7" t="str">
        <f t="shared" si="1"/>
        <v>1BE01A</v>
      </c>
      <c r="C623" s="11" t="str">
        <f t="shared" si="2"/>
        <v>C159BA</v>
      </c>
      <c r="D623" s="12">
        <f t="shared" si="3"/>
        <v>5</v>
      </c>
      <c r="E623" s="6">
        <f t="shared" si="4"/>
        <v>32</v>
      </c>
      <c r="F623" s="8">
        <f t="shared" si="5"/>
        <v>238</v>
      </c>
      <c r="G623" s="18" t="s">
        <v>692</v>
      </c>
      <c r="H623" s="15"/>
      <c r="I623" s="15"/>
    </row>
    <row r="624">
      <c r="A624" s="6">
        <v>622.0</v>
      </c>
      <c r="B624" s="7" t="str">
        <f t="shared" si="1"/>
        <v>1BE01A</v>
      </c>
      <c r="C624" s="11" t="str">
        <f t="shared" si="2"/>
        <v>C159BA</v>
      </c>
      <c r="D624" s="12">
        <f t="shared" si="3"/>
        <v>6</v>
      </c>
      <c r="E624" s="6">
        <f t="shared" si="4"/>
        <v>64</v>
      </c>
      <c r="F624" s="8">
        <f t="shared" si="5"/>
        <v>238</v>
      </c>
      <c r="G624" s="8" t="s">
        <v>95</v>
      </c>
      <c r="H624" s="8"/>
      <c r="I624" s="15"/>
    </row>
    <row r="625">
      <c r="A625" s="6">
        <v>623.0</v>
      </c>
      <c r="B625" s="7" t="str">
        <f t="shared" si="1"/>
        <v>1BE01A</v>
      </c>
      <c r="C625" s="11" t="str">
        <f t="shared" si="2"/>
        <v>C159BA</v>
      </c>
      <c r="D625" s="12">
        <f t="shared" si="3"/>
        <v>7</v>
      </c>
      <c r="E625" s="6">
        <f t="shared" si="4"/>
        <v>128</v>
      </c>
      <c r="F625" s="8">
        <f t="shared" si="5"/>
        <v>238</v>
      </c>
      <c r="G625" s="19" t="s">
        <v>693</v>
      </c>
      <c r="H625" s="15"/>
      <c r="I625" s="15"/>
    </row>
    <row r="626">
      <c r="A626" s="6">
        <v>624.0</v>
      </c>
      <c r="B626" s="7" t="str">
        <f t="shared" si="1"/>
        <v>1BE01B</v>
      </c>
      <c r="C626" s="11" t="str">
        <f t="shared" si="2"/>
        <v>C159BB</v>
      </c>
      <c r="D626" s="12">
        <f t="shared" si="3"/>
        <v>0</v>
      </c>
      <c r="E626" s="6">
        <f t="shared" si="4"/>
        <v>1</v>
      </c>
      <c r="F626" s="8">
        <f t="shared" si="5"/>
        <v>239</v>
      </c>
      <c r="G626" s="8" t="s">
        <v>694</v>
      </c>
      <c r="H626" s="13"/>
      <c r="I626" s="13"/>
    </row>
    <row r="627">
      <c r="A627" s="6">
        <v>625.0</v>
      </c>
      <c r="B627" s="7" t="str">
        <f t="shared" si="1"/>
        <v>1BE01B</v>
      </c>
      <c r="C627" s="11" t="str">
        <f t="shared" si="2"/>
        <v>C159BB</v>
      </c>
      <c r="D627" s="12">
        <f t="shared" si="3"/>
        <v>1</v>
      </c>
      <c r="E627" s="6">
        <f t="shared" si="4"/>
        <v>2</v>
      </c>
      <c r="F627" s="8">
        <f t="shared" si="5"/>
        <v>239</v>
      </c>
      <c r="G627" s="8" t="s">
        <v>695</v>
      </c>
      <c r="H627" s="13"/>
      <c r="I627" s="13"/>
    </row>
    <row r="628">
      <c r="A628" s="6">
        <v>626.0</v>
      </c>
      <c r="B628" s="7" t="str">
        <f t="shared" si="1"/>
        <v>1BE01B</v>
      </c>
      <c r="C628" s="11" t="str">
        <f t="shared" si="2"/>
        <v>C159BB</v>
      </c>
      <c r="D628" s="12">
        <f t="shared" si="3"/>
        <v>2</v>
      </c>
      <c r="E628" s="6">
        <f t="shared" si="4"/>
        <v>4</v>
      </c>
      <c r="F628" s="8">
        <f t="shared" si="5"/>
        <v>239</v>
      </c>
      <c r="G628" s="8" t="s">
        <v>696</v>
      </c>
      <c r="H628" s="13"/>
      <c r="I628" s="13"/>
    </row>
    <row r="629">
      <c r="A629" s="6">
        <v>627.0</v>
      </c>
      <c r="B629" s="7" t="str">
        <f t="shared" si="1"/>
        <v>1BE01B</v>
      </c>
      <c r="C629" s="11" t="str">
        <f t="shared" si="2"/>
        <v>C159BB</v>
      </c>
      <c r="D629" s="12">
        <f t="shared" si="3"/>
        <v>3</v>
      </c>
      <c r="E629" s="6">
        <f t="shared" si="4"/>
        <v>8</v>
      </c>
      <c r="F629" s="8">
        <f t="shared" si="5"/>
        <v>239</v>
      </c>
      <c r="G629" s="8" t="s">
        <v>95</v>
      </c>
      <c r="H629" s="8"/>
      <c r="I629" s="13"/>
    </row>
    <row r="630">
      <c r="A630" s="6">
        <v>628.0</v>
      </c>
      <c r="B630" s="7" t="str">
        <f t="shared" si="1"/>
        <v>1BE01B</v>
      </c>
      <c r="C630" s="11" t="str">
        <f t="shared" si="2"/>
        <v>C159BB</v>
      </c>
      <c r="D630" s="12">
        <f t="shared" si="3"/>
        <v>4</v>
      </c>
      <c r="E630" s="6">
        <f t="shared" si="4"/>
        <v>16</v>
      </c>
      <c r="F630" s="8">
        <f t="shared" si="5"/>
        <v>239</v>
      </c>
      <c r="G630" s="8" t="s">
        <v>95</v>
      </c>
      <c r="H630" s="8"/>
      <c r="I630" s="13"/>
    </row>
    <row r="631">
      <c r="A631" s="6">
        <v>629.0</v>
      </c>
      <c r="B631" s="7" t="str">
        <f t="shared" si="1"/>
        <v>1BE01B</v>
      </c>
      <c r="C631" s="11" t="str">
        <f t="shared" si="2"/>
        <v>C159BB</v>
      </c>
      <c r="D631" s="12">
        <f t="shared" si="3"/>
        <v>5</v>
      </c>
      <c r="E631" s="6">
        <f t="shared" si="4"/>
        <v>32</v>
      </c>
      <c r="F631" s="8">
        <f t="shared" si="5"/>
        <v>239</v>
      </c>
      <c r="G631" s="8" t="s">
        <v>95</v>
      </c>
      <c r="H631" s="8"/>
      <c r="I631" s="13"/>
    </row>
    <row r="632">
      <c r="A632" s="6">
        <v>630.0</v>
      </c>
      <c r="B632" s="7" t="str">
        <f t="shared" si="1"/>
        <v>1BE01B</v>
      </c>
      <c r="C632" s="11" t="str">
        <f t="shared" si="2"/>
        <v>C159BB</v>
      </c>
      <c r="D632" s="12">
        <f t="shared" si="3"/>
        <v>6</v>
      </c>
      <c r="E632" s="6">
        <f t="shared" si="4"/>
        <v>64</v>
      </c>
      <c r="F632" s="8">
        <f t="shared" si="5"/>
        <v>239</v>
      </c>
      <c r="G632" s="8" t="s">
        <v>95</v>
      </c>
      <c r="H632" s="8"/>
      <c r="I632" s="13"/>
    </row>
    <row r="633">
      <c r="A633" s="6">
        <v>631.0</v>
      </c>
      <c r="B633" s="7" t="str">
        <f t="shared" si="1"/>
        <v>1BE01B</v>
      </c>
      <c r="C633" s="11" t="str">
        <f t="shared" si="2"/>
        <v>C159BB</v>
      </c>
      <c r="D633" s="12">
        <f t="shared" si="3"/>
        <v>7</v>
      </c>
      <c r="E633" s="6">
        <f t="shared" si="4"/>
        <v>128</v>
      </c>
      <c r="F633" s="8">
        <f t="shared" si="5"/>
        <v>239</v>
      </c>
      <c r="G633" s="8" t="s">
        <v>95</v>
      </c>
      <c r="H633" s="8"/>
      <c r="I633" s="13"/>
    </row>
    <row r="634">
      <c r="A634" s="6">
        <v>632.0</v>
      </c>
      <c r="B634" s="7" t="str">
        <f t="shared" si="1"/>
        <v>1BE01C</v>
      </c>
      <c r="C634" s="11" t="str">
        <f t="shared" si="2"/>
        <v>C159BC</v>
      </c>
      <c r="D634" s="12">
        <f t="shared" si="3"/>
        <v>0</v>
      </c>
      <c r="E634" s="6">
        <f t="shared" si="4"/>
        <v>1</v>
      </c>
      <c r="F634" s="8">
        <f t="shared" si="5"/>
        <v>240</v>
      </c>
      <c r="G634" s="8" t="s">
        <v>95</v>
      </c>
      <c r="H634" s="8"/>
      <c r="I634" s="13"/>
    </row>
    <row r="635">
      <c r="A635" s="6">
        <v>633.0</v>
      </c>
      <c r="B635" s="7" t="str">
        <f t="shared" si="1"/>
        <v>1BE01C</v>
      </c>
      <c r="C635" s="11" t="str">
        <f t="shared" si="2"/>
        <v>C159BC</v>
      </c>
      <c r="D635" s="12">
        <f t="shared" si="3"/>
        <v>1</v>
      </c>
      <c r="E635" s="6">
        <f t="shared" si="4"/>
        <v>2</v>
      </c>
      <c r="F635" s="8">
        <f t="shared" si="5"/>
        <v>240</v>
      </c>
      <c r="G635" s="8" t="s">
        <v>95</v>
      </c>
      <c r="H635" s="8"/>
      <c r="I635" s="13"/>
    </row>
    <row r="636">
      <c r="A636" s="6">
        <v>634.0</v>
      </c>
      <c r="B636" s="7" t="str">
        <f t="shared" si="1"/>
        <v>1BE01C</v>
      </c>
      <c r="C636" s="11" t="str">
        <f t="shared" si="2"/>
        <v>C159BC</v>
      </c>
      <c r="D636" s="12">
        <f t="shared" si="3"/>
        <v>2</v>
      </c>
      <c r="E636" s="6">
        <f t="shared" si="4"/>
        <v>4</v>
      </c>
      <c r="F636" s="8">
        <f t="shared" si="5"/>
        <v>240</v>
      </c>
      <c r="G636" s="8" t="s">
        <v>95</v>
      </c>
      <c r="H636" s="8"/>
      <c r="I636" s="13"/>
    </row>
    <row r="637">
      <c r="A637" s="6">
        <v>635.0</v>
      </c>
      <c r="B637" s="7" t="str">
        <f t="shared" si="1"/>
        <v>1BE01C</v>
      </c>
      <c r="C637" s="11" t="str">
        <f t="shared" si="2"/>
        <v>C159BC</v>
      </c>
      <c r="D637" s="12">
        <f t="shared" si="3"/>
        <v>3</v>
      </c>
      <c r="E637" s="6">
        <f t="shared" si="4"/>
        <v>8</v>
      </c>
      <c r="F637" s="8">
        <f t="shared" si="5"/>
        <v>240</v>
      </c>
      <c r="G637" s="8" t="s">
        <v>95</v>
      </c>
      <c r="H637" s="8"/>
      <c r="I637" s="13"/>
    </row>
    <row r="638">
      <c r="A638" s="6">
        <v>636.0</v>
      </c>
      <c r="B638" s="7" t="str">
        <f t="shared" si="1"/>
        <v>1BE01C</v>
      </c>
      <c r="C638" s="11" t="str">
        <f t="shared" si="2"/>
        <v>C159BC</v>
      </c>
      <c r="D638" s="12">
        <f t="shared" si="3"/>
        <v>4</v>
      </c>
      <c r="E638" s="6">
        <f t="shared" si="4"/>
        <v>16</v>
      </c>
      <c r="F638" s="8">
        <f t="shared" si="5"/>
        <v>240</v>
      </c>
      <c r="G638" s="8" t="s">
        <v>95</v>
      </c>
      <c r="H638" s="8"/>
      <c r="I638" s="13"/>
    </row>
    <row r="639">
      <c r="A639" s="6">
        <v>637.0</v>
      </c>
      <c r="B639" s="7" t="str">
        <f t="shared" si="1"/>
        <v>1BE01C</v>
      </c>
      <c r="C639" s="11" t="str">
        <f t="shared" si="2"/>
        <v>C159BC</v>
      </c>
      <c r="D639" s="12">
        <f t="shared" si="3"/>
        <v>5</v>
      </c>
      <c r="E639" s="6">
        <f t="shared" si="4"/>
        <v>32</v>
      </c>
      <c r="F639" s="8">
        <f t="shared" si="5"/>
        <v>240</v>
      </c>
      <c r="G639" s="8" t="s">
        <v>95</v>
      </c>
      <c r="H639" s="8"/>
      <c r="I639" s="13"/>
    </row>
    <row r="640">
      <c r="A640" s="6">
        <v>638.0</v>
      </c>
      <c r="B640" s="7" t="str">
        <f t="shared" si="1"/>
        <v>1BE01C</v>
      </c>
      <c r="C640" s="11" t="str">
        <f t="shared" si="2"/>
        <v>C159BC</v>
      </c>
      <c r="D640" s="12">
        <f t="shared" si="3"/>
        <v>6</v>
      </c>
      <c r="E640" s="6">
        <f t="shared" si="4"/>
        <v>64</v>
      </c>
      <c r="F640" s="8">
        <f t="shared" si="5"/>
        <v>240</v>
      </c>
      <c r="G640" s="8" t="s">
        <v>95</v>
      </c>
      <c r="H640" s="8"/>
      <c r="I640" s="13"/>
    </row>
    <row r="641">
      <c r="A641" s="6">
        <v>639.0</v>
      </c>
      <c r="B641" s="7" t="str">
        <f t="shared" si="1"/>
        <v>1BE01C</v>
      </c>
      <c r="C641" s="11" t="str">
        <f t="shared" si="2"/>
        <v>C159BC</v>
      </c>
      <c r="D641" s="12">
        <f t="shared" si="3"/>
        <v>7</v>
      </c>
      <c r="E641" s="6">
        <f t="shared" si="4"/>
        <v>128</v>
      </c>
      <c r="F641" s="8">
        <f t="shared" si="5"/>
        <v>240</v>
      </c>
      <c r="G641" s="8" t="s">
        <v>95</v>
      </c>
      <c r="H641" s="8"/>
      <c r="I641" s="13"/>
    </row>
    <row r="642">
      <c r="A642" s="6">
        <v>640.0</v>
      </c>
      <c r="B642" s="7" t="str">
        <f t="shared" si="1"/>
        <v>1BE01D</v>
      </c>
      <c r="C642" s="11" t="str">
        <f t="shared" si="2"/>
        <v>C159BD</v>
      </c>
      <c r="D642" s="12">
        <f t="shared" si="3"/>
        <v>0</v>
      </c>
      <c r="E642" s="6">
        <f t="shared" si="4"/>
        <v>1</v>
      </c>
      <c r="F642" s="8">
        <f t="shared" si="5"/>
        <v>241</v>
      </c>
      <c r="G642" s="8" t="s">
        <v>697</v>
      </c>
      <c r="H642" s="8" t="s">
        <v>698</v>
      </c>
      <c r="I642" s="10"/>
    </row>
    <row r="643">
      <c r="A643" s="6">
        <v>641.0</v>
      </c>
      <c r="B643" s="7" t="str">
        <f t="shared" si="1"/>
        <v>1BE01D</v>
      </c>
      <c r="C643" s="11" t="str">
        <f t="shared" si="2"/>
        <v>C159BD</v>
      </c>
      <c r="D643" s="12">
        <f t="shared" si="3"/>
        <v>1</v>
      </c>
      <c r="E643" s="6">
        <f t="shared" si="4"/>
        <v>2</v>
      </c>
      <c r="F643" s="8">
        <f t="shared" si="5"/>
        <v>241</v>
      </c>
      <c r="G643" s="8" t="s">
        <v>95</v>
      </c>
      <c r="H643" s="13"/>
      <c r="I643" s="13"/>
    </row>
    <row r="644">
      <c r="A644" s="6">
        <v>642.0</v>
      </c>
      <c r="B644" s="7" t="str">
        <f t="shared" si="1"/>
        <v>1BE01D</v>
      </c>
      <c r="C644" s="11" t="str">
        <f t="shared" si="2"/>
        <v>C159BD</v>
      </c>
      <c r="D644" s="12">
        <f t="shared" si="3"/>
        <v>2</v>
      </c>
      <c r="E644" s="6">
        <f t="shared" si="4"/>
        <v>4</v>
      </c>
      <c r="F644" s="8">
        <f t="shared" si="5"/>
        <v>241</v>
      </c>
      <c r="G644" s="8" t="s">
        <v>95</v>
      </c>
      <c r="H644" s="13"/>
      <c r="I644" s="13"/>
    </row>
    <row r="645">
      <c r="A645" s="6">
        <v>643.0</v>
      </c>
      <c r="B645" s="7" t="str">
        <f t="shared" si="1"/>
        <v>1BE01D</v>
      </c>
      <c r="C645" s="11" t="str">
        <f t="shared" si="2"/>
        <v>C159BD</v>
      </c>
      <c r="D645" s="12">
        <f t="shared" si="3"/>
        <v>3</v>
      </c>
      <c r="E645" s="6">
        <f t="shared" si="4"/>
        <v>8</v>
      </c>
      <c r="F645" s="8">
        <f t="shared" si="5"/>
        <v>241</v>
      </c>
      <c r="G645" s="8" t="s">
        <v>95</v>
      </c>
      <c r="H645" s="13"/>
      <c r="I645" s="13"/>
    </row>
    <row r="646">
      <c r="A646" s="6">
        <v>644.0</v>
      </c>
      <c r="B646" s="7" t="str">
        <f t="shared" si="1"/>
        <v>1BE01D</v>
      </c>
      <c r="C646" s="11" t="str">
        <f t="shared" si="2"/>
        <v>C159BD</v>
      </c>
      <c r="D646" s="12">
        <f t="shared" si="3"/>
        <v>4</v>
      </c>
      <c r="E646" s="6">
        <f t="shared" si="4"/>
        <v>16</v>
      </c>
      <c r="F646" s="8">
        <f t="shared" si="5"/>
        <v>241</v>
      </c>
      <c r="G646" s="8" t="s">
        <v>95</v>
      </c>
      <c r="H646" s="13"/>
      <c r="I646" s="13"/>
    </row>
    <row r="647">
      <c r="A647" s="6">
        <v>645.0</v>
      </c>
      <c r="B647" s="7" t="str">
        <f t="shared" si="1"/>
        <v>1BE01D</v>
      </c>
      <c r="C647" s="11" t="str">
        <f t="shared" si="2"/>
        <v>C159BD</v>
      </c>
      <c r="D647" s="12">
        <f t="shared" si="3"/>
        <v>5</v>
      </c>
      <c r="E647" s="6">
        <f t="shared" si="4"/>
        <v>32</v>
      </c>
      <c r="F647" s="8">
        <f t="shared" si="5"/>
        <v>241</v>
      </c>
      <c r="G647" s="8" t="s">
        <v>95</v>
      </c>
      <c r="H647" s="13"/>
      <c r="I647" s="13"/>
    </row>
    <row r="648">
      <c r="A648" s="6">
        <v>646.0</v>
      </c>
      <c r="B648" s="7" t="str">
        <f t="shared" si="1"/>
        <v>1BE01D</v>
      </c>
      <c r="C648" s="11" t="str">
        <f t="shared" si="2"/>
        <v>C159BD</v>
      </c>
      <c r="D648" s="12">
        <f t="shared" si="3"/>
        <v>6</v>
      </c>
      <c r="E648" s="6">
        <f t="shared" si="4"/>
        <v>64</v>
      </c>
      <c r="F648" s="8">
        <f t="shared" si="5"/>
        <v>241</v>
      </c>
      <c r="G648" s="8" t="s">
        <v>95</v>
      </c>
      <c r="H648" s="13"/>
      <c r="I648" s="13"/>
    </row>
    <row r="649">
      <c r="A649" s="6">
        <v>647.0</v>
      </c>
      <c r="B649" s="7" t="str">
        <f t="shared" si="1"/>
        <v>1BE01D</v>
      </c>
      <c r="C649" s="11" t="str">
        <f t="shared" si="2"/>
        <v>C159BD</v>
      </c>
      <c r="D649" s="12">
        <f t="shared" si="3"/>
        <v>7</v>
      </c>
      <c r="E649" s="6">
        <f t="shared" si="4"/>
        <v>128</v>
      </c>
      <c r="F649" s="8">
        <f t="shared" si="5"/>
        <v>241</v>
      </c>
      <c r="G649" s="8" t="s">
        <v>95</v>
      </c>
      <c r="H649" s="13"/>
      <c r="I649" s="13"/>
    </row>
    <row r="650">
      <c r="A650" s="6">
        <v>648.0</v>
      </c>
      <c r="B650" s="7" t="str">
        <f t="shared" si="1"/>
        <v>1BE01E</v>
      </c>
      <c r="C650" s="11" t="str">
        <f t="shared" si="2"/>
        <v>C159BE</v>
      </c>
      <c r="D650" s="12">
        <f t="shared" si="3"/>
        <v>0</v>
      </c>
      <c r="E650" s="6">
        <f t="shared" si="4"/>
        <v>1</v>
      </c>
      <c r="F650" s="8">
        <f t="shared" si="5"/>
        <v>242</v>
      </c>
      <c r="G650" s="8" t="s">
        <v>95</v>
      </c>
      <c r="H650" s="13"/>
      <c r="I650" s="13"/>
    </row>
    <row r="651">
      <c r="A651" s="6">
        <v>649.0</v>
      </c>
      <c r="B651" s="7" t="str">
        <f t="shared" si="1"/>
        <v>1BE01E</v>
      </c>
      <c r="C651" s="11" t="str">
        <f t="shared" si="2"/>
        <v>C159BE</v>
      </c>
      <c r="D651" s="12">
        <f t="shared" si="3"/>
        <v>1</v>
      </c>
      <c r="E651" s="6">
        <f t="shared" si="4"/>
        <v>2</v>
      </c>
      <c r="F651" s="8">
        <f t="shared" si="5"/>
        <v>242</v>
      </c>
      <c r="G651" s="8" t="s">
        <v>95</v>
      </c>
      <c r="H651" s="13"/>
      <c r="I651" s="13"/>
    </row>
    <row r="652">
      <c r="A652" s="6">
        <v>650.0</v>
      </c>
      <c r="B652" s="7" t="str">
        <f t="shared" si="1"/>
        <v>1BE01E</v>
      </c>
      <c r="C652" s="11" t="str">
        <f t="shared" si="2"/>
        <v>C159BE</v>
      </c>
      <c r="D652" s="12">
        <f t="shared" si="3"/>
        <v>2</v>
      </c>
      <c r="E652" s="6">
        <f t="shared" si="4"/>
        <v>4</v>
      </c>
      <c r="F652" s="8">
        <f t="shared" si="5"/>
        <v>242</v>
      </c>
      <c r="G652" s="20" t="s">
        <v>699</v>
      </c>
      <c r="H652" s="13"/>
      <c r="I652" s="13"/>
    </row>
    <row r="653">
      <c r="A653" s="6">
        <v>651.0</v>
      </c>
      <c r="B653" s="7" t="str">
        <f t="shared" si="1"/>
        <v>1BE01E</v>
      </c>
      <c r="C653" s="11" t="str">
        <f t="shared" si="2"/>
        <v>C159BE</v>
      </c>
      <c r="D653" s="12">
        <f t="shared" si="3"/>
        <v>3</v>
      </c>
      <c r="E653" s="6">
        <f t="shared" si="4"/>
        <v>8</v>
      </c>
      <c r="F653" s="8">
        <f t="shared" si="5"/>
        <v>242</v>
      </c>
      <c r="G653" s="20" t="s">
        <v>700</v>
      </c>
      <c r="H653" s="13"/>
      <c r="I653" s="13"/>
    </row>
    <row r="654">
      <c r="A654" s="6">
        <v>652.0</v>
      </c>
      <c r="B654" s="7" t="str">
        <f t="shared" si="1"/>
        <v>1BE01E</v>
      </c>
      <c r="C654" s="11" t="str">
        <f t="shared" si="2"/>
        <v>C159BE</v>
      </c>
      <c r="D654" s="12">
        <f t="shared" si="3"/>
        <v>4</v>
      </c>
      <c r="E654" s="6">
        <f t="shared" si="4"/>
        <v>16</v>
      </c>
      <c r="F654" s="8">
        <f t="shared" si="5"/>
        <v>242</v>
      </c>
      <c r="G654" s="20" t="s">
        <v>701</v>
      </c>
      <c r="H654" s="13"/>
      <c r="I654" s="13"/>
    </row>
    <row r="655">
      <c r="A655" s="6">
        <v>653.0</v>
      </c>
      <c r="B655" s="7" t="str">
        <f t="shared" si="1"/>
        <v>1BE01E</v>
      </c>
      <c r="C655" s="11" t="str">
        <f t="shared" si="2"/>
        <v>C159BE</v>
      </c>
      <c r="D655" s="12">
        <f t="shared" si="3"/>
        <v>5</v>
      </c>
      <c r="E655" s="6">
        <f t="shared" si="4"/>
        <v>32</v>
      </c>
      <c r="F655" s="8">
        <f t="shared" si="5"/>
        <v>242</v>
      </c>
      <c r="G655" s="20" t="s">
        <v>702</v>
      </c>
      <c r="H655" s="13"/>
      <c r="I655" s="13"/>
    </row>
    <row r="656">
      <c r="A656" s="6">
        <v>654.0</v>
      </c>
      <c r="B656" s="7" t="str">
        <f t="shared" si="1"/>
        <v>1BE01E</v>
      </c>
      <c r="C656" s="11" t="str">
        <f t="shared" si="2"/>
        <v>C159BE</v>
      </c>
      <c r="D656" s="12">
        <f t="shared" si="3"/>
        <v>6</v>
      </c>
      <c r="E656" s="6">
        <f t="shared" si="4"/>
        <v>64</v>
      </c>
      <c r="F656" s="8">
        <f t="shared" si="5"/>
        <v>242</v>
      </c>
      <c r="G656" s="20" t="s">
        <v>703</v>
      </c>
      <c r="H656" s="13"/>
      <c r="I656" s="13"/>
    </row>
    <row r="657">
      <c r="A657" s="6">
        <v>655.0</v>
      </c>
      <c r="B657" s="7" t="str">
        <f t="shared" si="1"/>
        <v>1BE01E</v>
      </c>
      <c r="C657" s="11" t="str">
        <f t="shared" si="2"/>
        <v>C159BE</v>
      </c>
      <c r="D657" s="12">
        <f t="shared" si="3"/>
        <v>7</v>
      </c>
      <c r="E657" s="6">
        <f t="shared" si="4"/>
        <v>128</v>
      </c>
      <c r="F657" s="8">
        <f t="shared" si="5"/>
        <v>242</v>
      </c>
      <c r="G657" s="20" t="s">
        <v>703</v>
      </c>
      <c r="H657" s="13"/>
      <c r="I657" s="13"/>
    </row>
    <row r="658">
      <c r="A658" s="6">
        <v>656.0</v>
      </c>
      <c r="B658" s="7" t="str">
        <f t="shared" si="1"/>
        <v>1BE01F</v>
      </c>
      <c r="C658" s="11" t="str">
        <f t="shared" si="2"/>
        <v>C159BF</v>
      </c>
      <c r="D658" s="12">
        <f t="shared" si="3"/>
        <v>0</v>
      </c>
      <c r="E658" s="6">
        <f t="shared" si="4"/>
        <v>1</v>
      </c>
      <c r="F658" s="8">
        <f t="shared" si="5"/>
        <v>243</v>
      </c>
      <c r="G658" s="20" t="s">
        <v>704</v>
      </c>
      <c r="H658" s="13"/>
      <c r="I658" s="13"/>
    </row>
    <row r="659">
      <c r="A659" s="6">
        <v>657.0</v>
      </c>
      <c r="B659" s="7" t="str">
        <f t="shared" si="1"/>
        <v>1BE01F</v>
      </c>
      <c r="C659" s="11" t="str">
        <f t="shared" si="2"/>
        <v>C159BF</v>
      </c>
      <c r="D659" s="12">
        <f t="shared" si="3"/>
        <v>1</v>
      </c>
      <c r="E659" s="6">
        <f t="shared" si="4"/>
        <v>2</v>
      </c>
      <c r="F659" s="8">
        <f t="shared" si="5"/>
        <v>243</v>
      </c>
      <c r="G659" s="20" t="s">
        <v>705</v>
      </c>
      <c r="H659" s="13"/>
      <c r="I659" s="13"/>
    </row>
    <row r="660">
      <c r="A660" s="6">
        <v>658.0</v>
      </c>
      <c r="B660" s="7" t="str">
        <f t="shared" si="1"/>
        <v>1BE01F</v>
      </c>
      <c r="C660" s="11" t="str">
        <f t="shared" si="2"/>
        <v>C159BF</v>
      </c>
      <c r="D660" s="12">
        <f t="shared" si="3"/>
        <v>2</v>
      </c>
      <c r="E660" s="6">
        <f t="shared" si="4"/>
        <v>4</v>
      </c>
      <c r="F660" s="8">
        <f t="shared" si="5"/>
        <v>243</v>
      </c>
      <c r="G660" s="20" t="s">
        <v>706</v>
      </c>
      <c r="H660" s="13"/>
      <c r="I660" s="13"/>
    </row>
    <row r="661">
      <c r="A661" s="6">
        <v>659.0</v>
      </c>
      <c r="B661" s="7" t="str">
        <f t="shared" si="1"/>
        <v>1BE01F</v>
      </c>
      <c r="C661" s="11" t="str">
        <f t="shared" si="2"/>
        <v>C159BF</v>
      </c>
      <c r="D661" s="12">
        <f t="shared" si="3"/>
        <v>3</v>
      </c>
      <c r="E661" s="6">
        <f t="shared" si="4"/>
        <v>8</v>
      </c>
      <c r="F661" s="8">
        <f t="shared" si="5"/>
        <v>243</v>
      </c>
      <c r="G661" s="20" t="s">
        <v>707</v>
      </c>
      <c r="H661" s="13"/>
      <c r="I661" s="13"/>
    </row>
    <row r="662">
      <c r="A662" s="6">
        <v>660.0</v>
      </c>
      <c r="B662" s="7" t="str">
        <f t="shared" si="1"/>
        <v>1BE01F</v>
      </c>
      <c r="C662" s="11" t="str">
        <f t="shared" si="2"/>
        <v>C159BF</v>
      </c>
      <c r="D662" s="12">
        <f t="shared" si="3"/>
        <v>4</v>
      </c>
      <c r="E662" s="6">
        <f t="shared" si="4"/>
        <v>16</v>
      </c>
      <c r="F662" s="8">
        <f t="shared" si="5"/>
        <v>243</v>
      </c>
      <c r="G662" s="20" t="s">
        <v>708</v>
      </c>
      <c r="H662" s="13"/>
      <c r="I662" s="13"/>
    </row>
    <row r="663">
      <c r="A663" s="6">
        <v>661.0</v>
      </c>
      <c r="B663" s="7" t="str">
        <f t="shared" si="1"/>
        <v>1BE01F</v>
      </c>
      <c r="C663" s="11" t="str">
        <f t="shared" si="2"/>
        <v>C159BF</v>
      </c>
      <c r="D663" s="12">
        <f t="shared" si="3"/>
        <v>5</v>
      </c>
      <c r="E663" s="6">
        <f t="shared" si="4"/>
        <v>32</v>
      </c>
      <c r="F663" s="8">
        <f t="shared" si="5"/>
        <v>243</v>
      </c>
      <c r="G663" s="20" t="s">
        <v>709</v>
      </c>
      <c r="H663" s="13"/>
      <c r="I663" s="13"/>
    </row>
    <row r="664">
      <c r="A664" s="6">
        <v>662.0</v>
      </c>
      <c r="B664" s="7" t="str">
        <f t="shared" si="1"/>
        <v>1BE01F</v>
      </c>
      <c r="C664" s="11" t="str">
        <f t="shared" si="2"/>
        <v>C159BF</v>
      </c>
      <c r="D664" s="12">
        <f t="shared" si="3"/>
        <v>6</v>
      </c>
      <c r="E664" s="6">
        <f t="shared" si="4"/>
        <v>64</v>
      </c>
      <c r="F664" s="8">
        <f t="shared" si="5"/>
        <v>243</v>
      </c>
      <c r="G664" s="20" t="s">
        <v>710</v>
      </c>
      <c r="H664" s="13"/>
      <c r="I664" s="13"/>
    </row>
    <row r="665">
      <c r="A665" s="6">
        <v>663.0</v>
      </c>
      <c r="B665" s="7" t="str">
        <f t="shared" si="1"/>
        <v>1BE01F</v>
      </c>
      <c r="C665" s="11" t="str">
        <f t="shared" si="2"/>
        <v>C159BF</v>
      </c>
      <c r="D665" s="12">
        <f t="shared" si="3"/>
        <v>7</v>
      </c>
      <c r="E665" s="6">
        <f t="shared" si="4"/>
        <v>128</v>
      </c>
      <c r="F665" s="8">
        <f t="shared" si="5"/>
        <v>243</v>
      </c>
      <c r="G665" s="20" t="s">
        <v>711</v>
      </c>
      <c r="H665" s="13"/>
      <c r="I665" s="13"/>
    </row>
    <row r="666">
      <c r="A666" s="6">
        <v>664.0</v>
      </c>
      <c r="B666" s="7" t="str">
        <f t="shared" si="1"/>
        <v>1BE020</v>
      </c>
      <c r="C666" s="11" t="str">
        <f t="shared" si="2"/>
        <v>C159C0</v>
      </c>
      <c r="D666" s="12">
        <f t="shared" si="3"/>
        <v>0</v>
      </c>
      <c r="E666" s="6">
        <f t="shared" si="4"/>
        <v>1</v>
      </c>
      <c r="F666" s="8">
        <f t="shared" si="5"/>
        <v>244</v>
      </c>
      <c r="G666" s="20" t="s">
        <v>712</v>
      </c>
      <c r="H666" s="13"/>
      <c r="I666" s="13"/>
    </row>
    <row r="667">
      <c r="A667" s="6">
        <v>665.0</v>
      </c>
      <c r="B667" s="7" t="str">
        <f t="shared" si="1"/>
        <v>1BE020</v>
      </c>
      <c r="C667" s="11" t="str">
        <f t="shared" si="2"/>
        <v>C159C0</v>
      </c>
      <c r="D667" s="12">
        <f t="shared" si="3"/>
        <v>1</v>
      </c>
      <c r="E667" s="6">
        <f t="shared" si="4"/>
        <v>2</v>
      </c>
      <c r="F667" s="8">
        <f t="shared" si="5"/>
        <v>244</v>
      </c>
      <c r="G667" s="20" t="s">
        <v>713</v>
      </c>
      <c r="H667" s="13"/>
      <c r="I667" s="13"/>
    </row>
    <row r="668">
      <c r="A668" s="6">
        <v>666.0</v>
      </c>
      <c r="B668" s="7" t="str">
        <f t="shared" si="1"/>
        <v>1BE020</v>
      </c>
      <c r="C668" s="11" t="str">
        <f t="shared" si="2"/>
        <v>C159C0</v>
      </c>
      <c r="D668" s="12">
        <f t="shared" si="3"/>
        <v>2</v>
      </c>
      <c r="E668" s="6">
        <f t="shared" si="4"/>
        <v>4</v>
      </c>
      <c r="F668" s="8">
        <f t="shared" si="5"/>
        <v>244</v>
      </c>
      <c r="G668" s="20" t="s">
        <v>714</v>
      </c>
      <c r="H668" s="13"/>
      <c r="I668" s="13"/>
    </row>
    <row r="669">
      <c r="A669" s="6">
        <v>667.0</v>
      </c>
      <c r="B669" s="7" t="str">
        <f t="shared" si="1"/>
        <v>1BE020</v>
      </c>
      <c r="C669" s="11" t="str">
        <f t="shared" si="2"/>
        <v>C159C0</v>
      </c>
      <c r="D669" s="12">
        <f t="shared" si="3"/>
        <v>3</v>
      </c>
      <c r="E669" s="6">
        <f t="shared" si="4"/>
        <v>8</v>
      </c>
      <c r="F669" s="8">
        <f t="shared" si="5"/>
        <v>244</v>
      </c>
      <c r="G669" s="20" t="s">
        <v>715</v>
      </c>
      <c r="H669" s="13"/>
      <c r="I669" s="13"/>
    </row>
    <row r="670">
      <c r="A670" s="6">
        <v>668.0</v>
      </c>
      <c r="B670" s="7" t="str">
        <f t="shared" si="1"/>
        <v>1BE020</v>
      </c>
      <c r="C670" s="11" t="str">
        <f t="shared" si="2"/>
        <v>C159C0</v>
      </c>
      <c r="D670" s="12">
        <f t="shared" si="3"/>
        <v>4</v>
      </c>
      <c r="E670" s="6">
        <f t="shared" si="4"/>
        <v>16</v>
      </c>
      <c r="F670" s="8">
        <f t="shared" si="5"/>
        <v>244</v>
      </c>
      <c r="G670" s="20" t="s">
        <v>716</v>
      </c>
      <c r="H670" s="13"/>
      <c r="I670" s="13"/>
    </row>
    <row r="671">
      <c r="A671" s="6">
        <v>669.0</v>
      </c>
      <c r="B671" s="7" t="str">
        <f t="shared" si="1"/>
        <v>1BE020</v>
      </c>
      <c r="C671" s="11" t="str">
        <f t="shared" si="2"/>
        <v>C159C0</v>
      </c>
      <c r="D671" s="12">
        <f t="shared" si="3"/>
        <v>5</v>
      </c>
      <c r="E671" s="6">
        <f t="shared" si="4"/>
        <v>32</v>
      </c>
      <c r="F671" s="8">
        <f t="shared" si="5"/>
        <v>244</v>
      </c>
      <c r="G671" s="20" t="s">
        <v>717</v>
      </c>
      <c r="H671" s="13"/>
      <c r="I671" s="13"/>
    </row>
    <row r="672">
      <c r="A672" s="6">
        <v>670.0</v>
      </c>
      <c r="B672" s="7" t="str">
        <f t="shared" si="1"/>
        <v>1BE020</v>
      </c>
      <c r="C672" s="11" t="str">
        <f t="shared" si="2"/>
        <v>C159C0</v>
      </c>
      <c r="D672" s="12">
        <f t="shared" si="3"/>
        <v>6</v>
      </c>
      <c r="E672" s="6">
        <f t="shared" si="4"/>
        <v>64</v>
      </c>
      <c r="F672" s="8">
        <f t="shared" si="5"/>
        <v>244</v>
      </c>
      <c r="G672" s="20" t="s">
        <v>718</v>
      </c>
      <c r="H672" s="13"/>
      <c r="I672" s="13"/>
    </row>
    <row r="673">
      <c r="A673" s="6">
        <v>671.0</v>
      </c>
      <c r="B673" s="7" t="str">
        <f t="shared" si="1"/>
        <v>1BE020</v>
      </c>
      <c r="C673" s="11" t="str">
        <f t="shared" si="2"/>
        <v>C159C0</v>
      </c>
      <c r="D673" s="12">
        <f t="shared" si="3"/>
        <v>7</v>
      </c>
      <c r="E673" s="6">
        <f t="shared" si="4"/>
        <v>128</v>
      </c>
      <c r="F673" s="8">
        <f t="shared" si="5"/>
        <v>244</v>
      </c>
      <c r="G673" s="20" t="s">
        <v>719</v>
      </c>
      <c r="H673" s="13"/>
      <c r="I673" s="13"/>
    </row>
    <row r="674">
      <c r="A674" s="6">
        <v>672.0</v>
      </c>
      <c r="B674" s="7" t="str">
        <f t="shared" si="1"/>
        <v>1BE021</v>
      </c>
      <c r="C674" s="11" t="str">
        <f t="shared" si="2"/>
        <v>C159C1</v>
      </c>
      <c r="D674" s="12">
        <f t="shared" si="3"/>
        <v>0</v>
      </c>
      <c r="E674" s="6">
        <f t="shared" si="4"/>
        <v>1</v>
      </c>
      <c r="F674" s="8">
        <f t="shared" si="5"/>
        <v>245</v>
      </c>
      <c r="G674" s="20" t="s">
        <v>720</v>
      </c>
      <c r="H674" s="13"/>
      <c r="I674" s="13"/>
    </row>
    <row r="675">
      <c r="A675" s="6">
        <v>673.0</v>
      </c>
      <c r="B675" s="7" t="str">
        <f t="shared" si="1"/>
        <v>1BE021</v>
      </c>
      <c r="C675" s="11" t="str">
        <f t="shared" si="2"/>
        <v>C159C1</v>
      </c>
      <c r="D675" s="12">
        <f t="shared" si="3"/>
        <v>1</v>
      </c>
      <c r="E675" s="6">
        <f t="shared" si="4"/>
        <v>2</v>
      </c>
      <c r="F675" s="8">
        <f t="shared" si="5"/>
        <v>245</v>
      </c>
      <c r="G675" s="20" t="s">
        <v>721</v>
      </c>
      <c r="H675" s="13"/>
      <c r="I675" s="13"/>
    </row>
    <row r="676">
      <c r="A676" s="6">
        <v>674.0</v>
      </c>
      <c r="B676" s="7" t="str">
        <f t="shared" si="1"/>
        <v>1BE021</v>
      </c>
      <c r="C676" s="11" t="str">
        <f t="shared" si="2"/>
        <v>C159C1</v>
      </c>
      <c r="D676" s="12">
        <f t="shared" si="3"/>
        <v>2</v>
      </c>
      <c r="E676" s="6">
        <f t="shared" si="4"/>
        <v>4</v>
      </c>
      <c r="F676" s="8">
        <f t="shared" si="5"/>
        <v>245</v>
      </c>
      <c r="G676" s="20" t="s">
        <v>722</v>
      </c>
      <c r="H676" s="13"/>
      <c r="I676" s="13"/>
    </row>
    <row r="677">
      <c r="A677" s="6">
        <v>675.0</v>
      </c>
      <c r="B677" s="7" t="str">
        <f t="shared" si="1"/>
        <v>1BE021</v>
      </c>
      <c r="C677" s="11" t="str">
        <f t="shared" si="2"/>
        <v>C159C1</v>
      </c>
      <c r="D677" s="12">
        <f t="shared" si="3"/>
        <v>3</v>
      </c>
      <c r="E677" s="6">
        <f t="shared" si="4"/>
        <v>8</v>
      </c>
      <c r="F677" s="8">
        <f t="shared" si="5"/>
        <v>245</v>
      </c>
      <c r="G677" s="20" t="s">
        <v>723</v>
      </c>
      <c r="H677" s="13"/>
      <c r="I677" s="13"/>
    </row>
    <row r="678">
      <c r="A678" s="6">
        <v>676.0</v>
      </c>
      <c r="B678" s="7" t="str">
        <f t="shared" si="1"/>
        <v>1BE021</v>
      </c>
      <c r="C678" s="11" t="str">
        <f t="shared" si="2"/>
        <v>C159C1</v>
      </c>
      <c r="D678" s="12">
        <f t="shared" si="3"/>
        <v>4</v>
      </c>
      <c r="E678" s="6">
        <f t="shared" si="4"/>
        <v>16</v>
      </c>
      <c r="F678" s="8">
        <f t="shared" si="5"/>
        <v>245</v>
      </c>
      <c r="G678" s="20" t="s">
        <v>724</v>
      </c>
      <c r="H678" s="13"/>
      <c r="I678" s="13"/>
    </row>
    <row r="679">
      <c r="A679" s="6">
        <v>677.0</v>
      </c>
      <c r="B679" s="7" t="str">
        <f t="shared" si="1"/>
        <v>1BE021</v>
      </c>
      <c r="C679" s="11" t="str">
        <f t="shared" si="2"/>
        <v>C159C1</v>
      </c>
      <c r="D679" s="12">
        <f t="shared" si="3"/>
        <v>5</v>
      </c>
      <c r="E679" s="6">
        <f t="shared" si="4"/>
        <v>32</v>
      </c>
      <c r="F679" s="8">
        <f t="shared" si="5"/>
        <v>245</v>
      </c>
      <c r="G679" s="20" t="s">
        <v>725</v>
      </c>
      <c r="H679" s="13"/>
      <c r="I679" s="13"/>
    </row>
    <row r="680">
      <c r="A680" s="6">
        <v>678.0</v>
      </c>
      <c r="B680" s="7" t="str">
        <f t="shared" si="1"/>
        <v>1BE021</v>
      </c>
      <c r="C680" s="11" t="str">
        <f t="shared" si="2"/>
        <v>C159C1</v>
      </c>
      <c r="D680" s="12">
        <f t="shared" si="3"/>
        <v>6</v>
      </c>
      <c r="E680" s="6">
        <f t="shared" si="4"/>
        <v>64</v>
      </c>
      <c r="F680" s="8">
        <f t="shared" si="5"/>
        <v>245</v>
      </c>
      <c r="G680" s="20" t="s">
        <v>726</v>
      </c>
      <c r="H680" s="13"/>
      <c r="I680" s="13"/>
    </row>
    <row r="681">
      <c r="A681" s="6">
        <v>679.0</v>
      </c>
      <c r="B681" s="7" t="str">
        <f t="shared" si="1"/>
        <v>1BE021</v>
      </c>
      <c r="C681" s="11" t="str">
        <f t="shared" si="2"/>
        <v>C159C1</v>
      </c>
      <c r="D681" s="12">
        <f t="shared" si="3"/>
        <v>7</v>
      </c>
      <c r="E681" s="6">
        <f t="shared" si="4"/>
        <v>128</v>
      </c>
      <c r="F681" s="8">
        <f t="shared" si="5"/>
        <v>245</v>
      </c>
      <c r="G681" s="20" t="s">
        <v>727</v>
      </c>
      <c r="H681" s="13"/>
      <c r="I681" s="13"/>
    </row>
    <row r="682">
      <c r="A682" s="6">
        <v>680.0</v>
      </c>
      <c r="B682" s="7" t="str">
        <f t="shared" si="1"/>
        <v>1BE022</v>
      </c>
      <c r="C682" s="11" t="str">
        <f t="shared" si="2"/>
        <v>C159C2</v>
      </c>
      <c r="D682" s="12">
        <f t="shared" si="3"/>
        <v>0</v>
      </c>
      <c r="E682" s="6">
        <f t="shared" si="4"/>
        <v>1</v>
      </c>
      <c r="F682" s="8">
        <f t="shared" si="5"/>
        <v>246</v>
      </c>
      <c r="G682" s="20" t="s">
        <v>728</v>
      </c>
      <c r="H682" s="13"/>
      <c r="I682" s="13"/>
    </row>
    <row r="683">
      <c r="A683" s="6">
        <v>681.0</v>
      </c>
      <c r="B683" s="7" t="str">
        <f t="shared" si="1"/>
        <v>1BE022</v>
      </c>
      <c r="C683" s="11" t="str">
        <f t="shared" si="2"/>
        <v>C159C2</v>
      </c>
      <c r="D683" s="12">
        <f t="shared" si="3"/>
        <v>1</v>
      </c>
      <c r="E683" s="6">
        <f t="shared" si="4"/>
        <v>2</v>
      </c>
      <c r="F683" s="8">
        <f t="shared" si="5"/>
        <v>246</v>
      </c>
      <c r="G683" s="20" t="s">
        <v>729</v>
      </c>
      <c r="H683" s="13"/>
      <c r="I683" s="13"/>
    </row>
    <row r="684">
      <c r="A684" s="6">
        <v>682.0</v>
      </c>
      <c r="B684" s="7" t="str">
        <f t="shared" si="1"/>
        <v>1BE022</v>
      </c>
      <c r="C684" s="11" t="str">
        <f t="shared" si="2"/>
        <v>C159C2</v>
      </c>
      <c r="D684" s="12">
        <f t="shared" si="3"/>
        <v>2</v>
      </c>
      <c r="E684" s="6">
        <f t="shared" si="4"/>
        <v>4</v>
      </c>
      <c r="F684" s="8">
        <f t="shared" si="5"/>
        <v>246</v>
      </c>
      <c r="G684" s="20" t="s">
        <v>730</v>
      </c>
      <c r="H684" s="13"/>
      <c r="I684" s="13"/>
    </row>
    <row r="685">
      <c r="A685" s="6">
        <v>683.0</v>
      </c>
      <c r="B685" s="7" t="str">
        <f t="shared" si="1"/>
        <v>1BE022</v>
      </c>
      <c r="C685" s="11" t="str">
        <f t="shared" si="2"/>
        <v>C159C2</v>
      </c>
      <c r="D685" s="12">
        <f t="shared" si="3"/>
        <v>3</v>
      </c>
      <c r="E685" s="6">
        <f t="shared" si="4"/>
        <v>8</v>
      </c>
      <c r="F685" s="8">
        <f t="shared" si="5"/>
        <v>246</v>
      </c>
      <c r="G685" s="20" t="s">
        <v>731</v>
      </c>
      <c r="H685" s="13"/>
      <c r="I685" s="13"/>
    </row>
    <row r="686">
      <c r="A686" s="6">
        <v>684.0</v>
      </c>
      <c r="B686" s="7" t="str">
        <f t="shared" si="1"/>
        <v>1BE022</v>
      </c>
      <c r="C686" s="11" t="str">
        <f t="shared" si="2"/>
        <v>C159C2</v>
      </c>
      <c r="D686" s="12">
        <f t="shared" si="3"/>
        <v>4</v>
      </c>
      <c r="E686" s="6">
        <f t="shared" si="4"/>
        <v>16</v>
      </c>
      <c r="F686" s="8">
        <f t="shared" si="5"/>
        <v>246</v>
      </c>
      <c r="G686" s="20" t="s">
        <v>732</v>
      </c>
      <c r="H686" s="13"/>
      <c r="I686" s="13"/>
    </row>
    <row r="687">
      <c r="A687" s="6">
        <v>685.0</v>
      </c>
      <c r="B687" s="7" t="str">
        <f t="shared" si="1"/>
        <v>1BE022</v>
      </c>
      <c r="C687" s="11" t="str">
        <f t="shared" si="2"/>
        <v>C159C2</v>
      </c>
      <c r="D687" s="12">
        <f t="shared" si="3"/>
        <v>5</v>
      </c>
      <c r="E687" s="6">
        <f t="shared" si="4"/>
        <v>32</v>
      </c>
      <c r="F687" s="8">
        <f t="shared" si="5"/>
        <v>246</v>
      </c>
      <c r="G687" s="20" t="s">
        <v>733</v>
      </c>
      <c r="H687" s="13"/>
      <c r="I687" s="13"/>
    </row>
    <row r="688">
      <c r="A688" s="6">
        <v>686.0</v>
      </c>
      <c r="B688" s="7" t="str">
        <f t="shared" si="1"/>
        <v>1BE022</v>
      </c>
      <c r="C688" s="11" t="str">
        <f t="shared" si="2"/>
        <v>C159C2</v>
      </c>
      <c r="D688" s="12">
        <f t="shared" si="3"/>
        <v>6</v>
      </c>
      <c r="E688" s="6">
        <f t="shared" si="4"/>
        <v>64</v>
      </c>
      <c r="F688" s="8">
        <f t="shared" si="5"/>
        <v>246</v>
      </c>
      <c r="G688" s="20" t="s">
        <v>734</v>
      </c>
      <c r="H688" s="13"/>
      <c r="I688" s="13"/>
    </row>
    <row r="689">
      <c r="A689" s="6">
        <v>687.0</v>
      </c>
      <c r="B689" s="7" t="str">
        <f t="shared" si="1"/>
        <v>1BE022</v>
      </c>
      <c r="C689" s="11" t="str">
        <f t="shared" si="2"/>
        <v>C159C2</v>
      </c>
      <c r="D689" s="12">
        <f t="shared" si="3"/>
        <v>7</v>
      </c>
      <c r="E689" s="6">
        <f t="shared" si="4"/>
        <v>128</v>
      </c>
      <c r="F689" s="8">
        <f t="shared" si="5"/>
        <v>246</v>
      </c>
      <c r="G689" s="20" t="s">
        <v>735</v>
      </c>
      <c r="H689" s="13"/>
      <c r="I689" s="13"/>
    </row>
    <row r="690">
      <c r="A690" s="6">
        <v>688.0</v>
      </c>
      <c r="B690" s="7" t="str">
        <f t="shared" si="1"/>
        <v>1BE023</v>
      </c>
      <c r="C690" s="11" t="str">
        <f t="shared" si="2"/>
        <v>C159C3</v>
      </c>
      <c r="D690" s="12">
        <f t="shared" si="3"/>
        <v>0</v>
      </c>
      <c r="E690" s="6">
        <f t="shared" si="4"/>
        <v>1</v>
      </c>
      <c r="F690" s="8">
        <f t="shared" si="5"/>
        <v>247</v>
      </c>
      <c r="G690" s="20" t="s">
        <v>736</v>
      </c>
      <c r="H690" s="13"/>
      <c r="I690" s="13"/>
    </row>
    <row r="691">
      <c r="A691" s="6">
        <v>689.0</v>
      </c>
      <c r="B691" s="7" t="str">
        <f t="shared" si="1"/>
        <v>1BE023</v>
      </c>
      <c r="C691" s="11" t="str">
        <f t="shared" si="2"/>
        <v>C159C3</v>
      </c>
      <c r="D691" s="12">
        <f t="shared" si="3"/>
        <v>1</v>
      </c>
      <c r="E691" s="6">
        <f t="shared" si="4"/>
        <v>2</v>
      </c>
      <c r="F691" s="8">
        <f t="shared" si="5"/>
        <v>247</v>
      </c>
      <c r="G691" s="20" t="s">
        <v>737</v>
      </c>
      <c r="H691" s="13"/>
      <c r="I691" s="13"/>
    </row>
    <row r="692">
      <c r="A692" s="6">
        <v>690.0</v>
      </c>
      <c r="B692" s="7" t="str">
        <f t="shared" si="1"/>
        <v>1BE023</v>
      </c>
      <c r="C692" s="11" t="str">
        <f t="shared" si="2"/>
        <v>C159C3</v>
      </c>
      <c r="D692" s="12">
        <f t="shared" si="3"/>
        <v>2</v>
      </c>
      <c r="E692" s="6">
        <f t="shared" si="4"/>
        <v>4</v>
      </c>
      <c r="F692" s="8">
        <f t="shared" si="5"/>
        <v>247</v>
      </c>
      <c r="G692" s="20" t="s">
        <v>738</v>
      </c>
      <c r="H692" s="13"/>
      <c r="I692" s="13"/>
    </row>
    <row r="693">
      <c r="A693" s="6">
        <v>691.0</v>
      </c>
      <c r="B693" s="7" t="str">
        <f t="shared" si="1"/>
        <v>1BE023</v>
      </c>
      <c r="C693" s="11" t="str">
        <f t="shared" si="2"/>
        <v>C159C3</v>
      </c>
      <c r="D693" s="12">
        <f t="shared" si="3"/>
        <v>3</v>
      </c>
      <c r="E693" s="6">
        <f t="shared" si="4"/>
        <v>8</v>
      </c>
      <c r="F693" s="8">
        <f t="shared" si="5"/>
        <v>247</v>
      </c>
      <c r="G693" s="20" t="s">
        <v>739</v>
      </c>
      <c r="H693" s="13"/>
      <c r="I693" s="13"/>
    </row>
    <row r="694">
      <c r="A694" s="6">
        <v>692.0</v>
      </c>
      <c r="B694" s="7" t="str">
        <f t="shared" si="1"/>
        <v>1BE023</v>
      </c>
      <c r="C694" s="11" t="str">
        <f t="shared" si="2"/>
        <v>C159C3</v>
      </c>
      <c r="D694" s="12">
        <f t="shared" si="3"/>
        <v>4</v>
      </c>
      <c r="E694" s="6">
        <f t="shared" si="4"/>
        <v>16</v>
      </c>
      <c r="F694" s="8">
        <f t="shared" si="5"/>
        <v>247</v>
      </c>
      <c r="G694" s="8" t="s">
        <v>95</v>
      </c>
      <c r="H694" s="13"/>
      <c r="I694" s="13"/>
    </row>
    <row r="695">
      <c r="A695" s="6">
        <v>693.0</v>
      </c>
      <c r="B695" s="7" t="str">
        <f t="shared" si="1"/>
        <v>1BE023</v>
      </c>
      <c r="C695" s="11" t="str">
        <f t="shared" si="2"/>
        <v>C159C3</v>
      </c>
      <c r="D695" s="12">
        <f t="shared" si="3"/>
        <v>5</v>
      </c>
      <c r="E695" s="6">
        <f t="shared" si="4"/>
        <v>32</v>
      </c>
      <c r="F695" s="8">
        <f t="shared" si="5"/>
        <v>247</v>
      </c>
      <c r="G695" s="20" t="s">
        <v>740</v>
      </c>
      <c r="H695" s="13"/>
      <c r="I695" s="13"/>
    </row>
    <row r="696">
      <c r="A696" s="6">
        <v>694.0</v>
      </c>
      <c r="B696" s="7" t="str">
        <f t="shared" si="1"/>
        <v>1BE023</v>
      </c>
      <c r="C696" s="11" t="str">
        <f t="shared" si="2"/>
        <v>C159C3</v>
      </c>
      <c r="D696" s="12">
        <f t="shared" si="3"/>
        <v>6</v>
      </c>
      <c r="E696" s="6">
        <f t="shared" si="4"/>
        <v>64</v>
      </c>
      <c r="F696" s="8">
        <f t="shared" si="5"/>
        <v>247</v>
      </c>
      <c r="G696" s="20" t="s">
        <v>741</v>
      </c>
      <c r="H696" s="13"/>
      <c r="I696" s="13"/>
    </row>
    <row r="697">
      <c r="A697" s="6">
        <v>695.0</v>
      </c>
      <c r="B697" s="7" t="str">
        <f t="shared" si="1"/>
        <v>1BE023</v>
      </c>
      <c r="C697" s="11" t="str">
        <f t="shared" si="2"/>
        <v>C159C3</v>
      </c>
      <c r="D697" s="12">
        <f t="shared" si="3"/>
        <v>7</v>
      </c>
      <c r="E697" s="6">
        <f t="shared" si="4"/>
        <v>128</v>
      </c>
      <c r="F697" s="8">
        <f t="shared" si="5"/>
        <v>247</v>
      </c>
      <c r="G697" s="20" t="s">
        <v>742</v>
      </c>
      <c r="H697" s="13"/>
      <c r="I697" s="13"/>
    </row>
    <row r="698">
      <c r="A698" s="6">
        <v>696.0</v>
      </c>
      <c r="B698" s="7" t="str">
        <f t="shared" si="1"/>
        <v>1BE024</v>
      </c>
      <c r="C698" s="11" t="str">
        <f t="shared" si="2"/>
        <v>C159C4</v>
      </c>
      <c r="D698" s="12">
        <f t="shared" si="3"/>
        <v>0</v>
      </c>
      <c r="E698" s="6">
        <f t="shared" si="4"/>
        <v>1</v>
      </c>
      <c r="F698" s="8">
        <f t="shared" si="5"/>
        <v>248</v>
      </c>
      <c r="G698" s="20" t="s">
        <v>743</v>
      </c>
      <c r="H698" s="13"/>
      <c r="I698" s="13"/>
    </row>
    <row r="699">
      <c r="A699" s="6">
        <v>697.0</v>
      </c>
      <c r="B699" s="7" t="str">
        <f t="shared" si="1"/>
        <v>1BE024</v>
      </c>
      <c r="C699" s="11" t="str">
        <f t="shared" si="2"/>
        <v>C159C4</v>
      </c>
      <c r="D699" s="12">
        <f t="shared" si="3"/>
        <v>1</v>
      </c>
      <c r="E699" s="6">
        <f t="shared" si="4"/>
        <v>2</v>
      </c>
      <c r="F699" s="8">
        <f t="shared" si="5"/>
        <v>248</v>
      </c>
      <c r="G699" s="20" t="s">
        <v>744</v>
      </c>
      <c r="H699" s="13"/>
      <c r="I699" s="13"/>
    </row>
    <row r="700">
      <c r="A700" s="6">
        <v>698.0</v>
      </c>
      <c r="B700" s="7" t="str">
        <f t="shared" si="1"/>
        <v>1BE024</v>
      </c>
      <c r="C700" s="11" t="str">
        <f t="shared" si="2"/>
        <v>C159C4</v>
      </c>
      <c r="D700" s="12">
        <f t="shared" si="3"/>
        <v>2</v>
      </c>
      <c r="E700" s="6">
        <f t="shared" si="4"/>
        <v>4</v>
      </c>
      <c r="F700" s="8">
        <f t="shared" si="5"/>
        <v>248</v>
      </c>
      <c r="G700" s="20" t="s">
        <v>745</v>
      </c>
      <c r="H700" s="13"/>
      <c r="I700" s="13"/>
    </row>
    <row r="701">
      <c r="A701" s="6">
        <v>699.0</v>
      </c>
      <c r="B701" s="7" t="str">
        <f t="shared" si="1"/>
        <v>1BE024</v>
      </c>
      <c r="C701" s="11" t="str">
        <f t="shared" si="2"/>
        <v>C159C4</v>
      </c>
      <c r="D701" s="12">
        <f t="shared" si="3"/>
        <v>3</v>
      </c>
      <c r="E701" s="6">
        <f t="shared" si="4"/>
        <v>8</v>
      </c>
      <c r="F701" s="8">
        <f t="shared" si="5"/>
        <v>248</v>
      </c>
      <c r="G701" s="8" t="s">
        <v>95</v>
      </c>
      <c r="H701" s="13"/>
      <c r="I701" s="13"/>
    </row>
    <row r="702">
      <c r="A702" s="6">
        <v>700.0</v>
      </c>
      <c r="B702" s="7" t="str">
        <f t="shared" si="1"/>
        <v>1BE024</v>
      </c>
      <c r="C702" s="11" t="str">
        <f t="shared" si="2"/>
        <v>C159C4</v>
      </c>
      <c r="D702" s="12">
        <f t="shared" si="3"/>
        <v>4</v>
      </c>
      <c r="E702" s="6">
        <f t="shared" si="4"/>
        <v>16</v>
      </c>
      <c r="F702" s="8">
        <f t="shared" si="5"/>
        <v>248</v>
      </c>
      <c r="G702" s="20" t="s">
        <v>746</v>
      </c>
      <c r="H702" s="13"/>
      <c r="I702" s="13"/>
    </row>
    <row r="703">
      <c r="A703" s="6">
        <v>701.0</v>
      </c>
      <c r="B703" s="7" t="str">
        <f t="shared" si="1"/>
        <v>1BE024</v>
      </c>
      <c r="C703" s="11" t="str">
        <f t="shared" si="2"/>
        <v>C159C4</v>
      </c>
      <c r="D703" s="12">
        <f t="shared" si="3"/>
        <v>5</v>
      </c>
      <c r="E703" s="6">
        <f t="shared" si="4"/>
        <v>32</v>
      </c>
      <c r="F703" s="8">
        <f t="shared" si="5"/>
        <v>248</v>
      </c>
      <c r="G703" s="20" t="s">
        <v>747</v>
      </c>
      <c r="H703" s="13"/>
      <c r="I703" s="13"/>
    </row>
    <row r="704">
      <c r="A704" s="6">
        <v>702.0</v>
      </c>
      <c r="B704" s="7" t="str">
        <f t="shared" si="1"/>
        <v>1BE024</v>
      </c>
      <c r="C704" s="11" t="str">
        <f t="shared" si="2"/>
        <v>C159C4</v>
      </c>
      <c r="D704" s="12">
        <f t="shared" si="3"/>
        <v>6</v>
      </c>
      <c r="E704" s="6">
        <f t="shared" si="4"/>
        <v>64</v>
      </c>
      <c r="F704" s="8">
        <f t="shared" si="5"/>
        <v>248</v>
      </c>
      <c r="G704" s="20" t="s">
        <v>748</v>
      </c>
      <c r="H704" s="13"/>
      <c r="I704" s="13"/>
    </row>
    <row r="705">
      <c r="A705" s="6">
        <v>703.0</v>
      </c>
      <c r="B705" s="7" t="str">
        <f t="shared" si="1"/>
        <v>1BE024</v>
      </c>
      <c r="C705" s="11" t="str">
        <f t="shared" si="2"/>
        <v>C159C4</v>
      </c>
      <c r="D705" s="12">
        <f t="shared" si="3"/>
        <v>7</v>
      </c>
      <c r="E705" s="6">
        <f t="shared" si="4"/>
        <v>128</v>
      </c>
      <c r="F705" s="8">
        <f t="shared" si="5"/>
        <v>248</v>
      </c>
      <c r="G705" s="20" t="s">
        <v>749</v>
      </c>
      <c r="H705" s="13"/>
      <c r="I705" s="13"/>
    </row>
    <row r="706">
      <c r="A706" s="6">
        <v>704.0</v>
      </c>
      <c r="B706" s="7" t="str">
        <f t="shared" si="1"/>
        <v>1BE025</v>
      </c>
      <c r="C706" s="11" t="str">
        <f t="shared" si="2"/>
        <v>C159C5</v>
      </c>
      <c r="D706" s="12">
        <f t="shared" si="3"/>
        <v>0</v>
      </c>
      <c r="E706" s="6">
        <f t="shared" si="4"/>
        <v>1</v>
      </c>
      <c r="F706" s="8">
        <f t="shared" si="5"/>
        <v>249</v>
      </c>
      <c r="G706" s="20" t="s">
        <v>750</v>
      </c>
      <c r="H706" s="13"/>
      <c r="I706" s="13"/>
    </row>
    <row r="707">
      <c r="A707" s="6">
        <v>705.0</v>
      </c>
      <c r="B707" s="7" t="str">
        <f t="shared" si="1"/>
        <v>1BE025</v>
      </c>
      <c r="C707" s="11" t="str">
        <f t="shared" si="2"/>
        <v>C159C5</v>
      </c>
      <c r="D707" s="12">
        <f t="shared" si="3"/>
        <v>1</v>
      </c>
      <c r="E707" s="6">
        <f t="shared" si="4"/>
        <v>2</v>
      </c>
      <c r="F707" s="8">
        <f t="shared" si="5"/>
        <v>249</v>
      </c>
      <c r="G707" s="20" t="s">
        <v>751</v>
      </c>
      <c r="H707" s="13"/>
      <c r="I707" s="13"/>
    </row>
    <row r="708">
      <c r="A708" s="6">
        <v>706.0</v>
      </c>
      <c r="B708" s="7" t="str">
        <f t="shared" si="1"/>
        <v>1BE025</v>
      </c>
      <c r="C708" s="11" t="str">
        <f t="shared" si="2"/>
        <v>C159C5</v>
      </c>
      <c r="D708" s="12">
        <f t="shared" si="3"/>
        <v>2</v>
      </c>
      <c r="E708" s="6">
        <f t="shared" si="4"/>
        <v>4</v>
      </c>
      <c r="F708" s="8">
        <f t="shared" si="5"/>
        <v>249</v>
      </c>
      <c r="G708" s="20" t="s">
        <v>752</v>
      </c>
      <c r="H708" s="13"/>
      <c r="I708" s="13"/>
    </row>
    <row r="709">
      <c r="A709" s="6">
        <v>707.0</v>
      </c>
      <c r="B709" s="7" t="str">
        <f t="shared" si="1"/>
        <v>1BE025</v>
      </c>
      <c r="C709" s="11" t="str">
        <f t="shared" si="2"/>
        <v>C159C5</v>
      </c>
      <c r="D709" s="12">
        <f t="shared" si="3"/>
        <v>3</v>
      </c>
      <c r="E709" s="6">
        <f t="shared" si="4"/>
        <v>8</v>
      </c>
      <c r="F709" s="8">
        <f t="shared" si="5"/>
        <v>249</v>
      </c>
      <c r="G709" s="20" t="s">
        <v>753</v>
      </c>
      <c r="H709" s="8" t="s">
        <v>754</v>
      </c>
      <c r="I709" s="10"/>
    </row>
    <row r="710">
      <c r="A710" s="6">
        <v>708.0</v>
      </c>
      <c r="B710" s="7" t="str">
        <f t="shared" si="1"/>
        <v>1BE025</v>
      </c>
      <c r="C710" s="11" t="str">
        <f t="shared" si="2"/>
        <v>C159C5</v>
      </c>
      <c r="D710" s="12">
        <f t="shared" si="3"/>
        <v>4</v>
      </c>
      <c r="E710" s="6">
        <f t="shared" si="4"/>
        <v>16</v>
      </c>
      <c r="F710" s="8">
        <f t="shared" si="5"/>
        <v>249</v>
      </c>
      <c r="G710" s="20" t="s">
        <v>755</v>
      </c>
      <c r="H710" s="8" t="s">
        <v>754</v>
      </c>
      <c r="I710" s="10"/>
    </row>
    <row r="711">
      <c r="A711" s="6">
        <v>709.0</v>
      </c>
      <c r="B711" s="7" t="str">
        <f t="shared" si="1"/>
        <v>1BE025</v>
      </c>
      <c r="C711" s="11" t="str">
        <f t="shared" si="2"/>
        <v>C159C5</v>
      </c>
      <c r="D711" s="12">
        <f t="shared" si="3"/>
        <v>5</v>
      </c>
      <c r="E711" s="6">
        <f t="shared" si="4"/>
        <v>32</v>
      </c>
      <c r="F711" s="8">
        <f t="shared" si="5"/>
        <v>249</v>
      </c>
      <c r="G711" s="20" t="s">
        <v>756</v>
      </c>
      <c r="H711" s="8" t="s">
        <v>754</v>
      </c>
      <c r="I711" s="10"/>
    </row>
    <row r="712">
      <c r="A712" s="6">
        <v>710.0</v>
      </c>
      <c r="B712" s="7" t="str">
        <f t="shared" si="1"/>
        <v>1BE025</v>
      </c>
      <c r="C712" s="11" t="str">
        <f t="shared" si="2"/>
        <v>C159C5</v>
      </c>
      <c r="D712" s="12">
        <f t="shared" si="3"/>
        <v>6</v>
      </c>
      <c r="E712" s="6">
        <f t="shared" si="4"/>
        <v>64</v>
      </c>
      <c r="F712" s="8">
        <f t="shared" si="5"/>
        <v>249</v>
      </c>
      <c r="G712" s="20" t="s">
        <v>757</v>
      </c>
      <c r="H712" s="8" t="s">
        <v>754</v>
      </c>
      <c r="I712" s="10"/>
    </row>
    <row r="713">
      <c r="A713" s="6">
        <v>711.0</v>
      </c>
      <c r="B713" s="7" t="str">
        <f t="shared" si="1"/>
        <v>1BE025</v>
      </c>
      <c r="C713" s="11" t="str">
        <f t="shared" si="2"/>
        <v>C159C5</v>
      </c>
      <c r="D713" s="12">
        <f t="shared" si="3"/>
        <v>7</v>
      </c>
      <c r="E713" s="6">
        <f t="shared" si="4"/>
        <v>128</v>
      </c>
      <c r="F713" s="8">
        <f t="shared" si="5"/>
        <v>249</v>
      </c>
      <c r="G713" s="20" t="s">
        <v>758</v>
      </c>
      <c r="H713" s="8" t="s">
        <v>754</v>
      </c>
      <c r="I713" s="10"/>
    </row>
    <row r="714">
      <c r="A714" s="6">
        <v>712.0</v>
      </c>
      <c r="B714" s="7" t="str">
        <f t="shared" si="1"/>
        <v>1BE026</v>
      </c>
      <c r="C714" s="11" t="str">
        <f t="shared" si="2"/>
        <v>C159C6</v>
      </c>
      <c r="D714" s="12">
        <f t="shared" si="3"/>
        <v>0</v>
      </c>
      <c r="E714" s="6">
        <f t="shared" si="4"/>
        <v>1</v>
      </c>
      <c r="F714" s="8">
        <f t="shared" si="5"/>
        <v>250</v>
      </c>
      <c r="G714" s="20" t="s">
        <v>759</v>
      </c>
      <c r="H714" s="8" t="s">
        <v>754</v>
      </c>
      <c r="I714" s="10"/>
    </row>
    <row r="715">
      <c r="A715" s="6">
        <v>713.0</v>
      </c>
      <c r="B715" s="7" t="str">
        <f t="shared" si="1"/>
        <v>1BE026</v>
      </c>
      <c r="C715" s="11" t="str">
        <f t="shared" si="2"/>
        <v>C159C6</v>
      </c>
      <c r="D715" s="12">
        <f t="shared" si="3"/>
        <v>1</v>
      </c>
      <c r="E715" s="6">
        <f t="shared" si="4"/>
        <v>2</v>
      </c>
      <c r="F715" s="8">
        <f t="shared" si="5"/>
        <v>250</v>
      </c>
      <c r="G715" s="20" t="s">
        <v>760</v>
      </c>
      <c r="H715" s="8" t="s">
        <v>754</v>
      </c>
      <c r="I715" s="10"/>
    </row>
    <row r="716">
      <c r="A716" s="6">
        <v>714.0</v>
      </c>
      <c r="B716" s="7" t="str">
        <f t="shared" si="1"/>
        <v>1BE026</v>
      </c>
      <c r="C716" s="11" t="str">
        <f t="shared" si="2"/>
        <v>C159C6</v>
      </c>
      <c r="D716" s="12">
        <f t="shared" si="3"/>
        <v>2</v>
      </c>
      <c r="E716" s="6">
        <f t="shared" si="4"/>
        <v>4</v>
      </c>
      <c r="F716" s="8">
        <f t="shared" si="5"/>
        <v>250</v>
      </c>
      <c r="G716" s="20" t="s">
        <v>761</v>
      </c>
      <c r="H716" s="13"/>
      <c r="I716" s="13"/>
    </row>
    <row r="717">
      <c r="A717" s="6">
        <v>715.0</v>
      </c>
      <c r="B717" s="7" t="str">
        <f t="shared" si="1"/>
        <v>1BE026</v>
      </c>
      <c r="C717" s="11" t="str">
        <f t="shared" si="2"/>
        <v>C159C6</v>
      </c>
      <c r="D717" s="12">
        <f t="shared" si="3"/>
        <v>3</v>
      </c>
      <c r="E717" s="6">
        <f t="shared" si="4"/>
        <v>8</v>
      </c>
      <c r="F717" s="8">
        <f t="shared" si="5"/>
        <v>250</v>
      </c>
      <c r="G717" s="20" t="s">
        <v>762</v>
      </c>
      <c r="H717" s="13"/>
      <c r="I717" s="13"/>
    </row>
    <row r="718">
      <c r="A718" s="6">
        <v>716.0</v>
      </c>
      <c r="B718" s="7" t="str">
        <f t="shared" si="1"/>
        <v>1BE026</v>
      </c>
      <c r="C718" s="11" t="str">
        <f t="shared" si="2"/>
        <v>C159C6</v>
      </c>
      <c r="D718" s="12">
        <f t="shared" si="3"/>
        <v>4</v>
      </c>
      <c r="E718" s="6">
        <f t="shared" si="4"/>
        <v>16</v>
      </c>
      <c r="F718" s="8">
        <f t="shared" si="5"/>
        <v>250</v>
      </c>
      <c r="G718" s="20" t="s">
        <v>763</v>
      </c>
      <c r="H718" s="13"/>
      <c r="I718" s="13"/>
    </row>
    <row r="719">
      <c r="A719" s="6">
        <v>717.0</v>
      </c>
      <c r="B719" s="7" t="str">
        <f t="shared" si="1"/>
        <v>1BE026</v>
      </c>
      <c r="C719" s="11" t="str">
        <f t="shared" si="2"/>
        <v>C159C6</v>
      </c>
      <c r="D719" s="12">
        <f t="shared" si="3"/>
        <v>5</v>
      </c>
      <c r="E719" s="6">
        <f t="shared" si="4"/>
        <v>32</v>
      </c>
      <c r="F719" s="8">
        <f t="shared" si="5"/>
        <v>250</v>
      </c>
      <c r="G719" s="8" t="s">
        <v>95</v>
      </c>
      <c r="H719" s="13"/>
      <c r="I719" s="13"/>
    </row>
    <row r="720">
      <c r="A720" s="6">
        <v>718.0</v>
      </c>
      <c r="B720" s="7" t="str">
        <f t="shared" si="1"/>
        <v>1BE026</v>
      </c>
      <c r="C720" s="11" t="str">
        <f t="shared" si="2"/>
        <v>C159C6</v>
      </c>
      <c r="D720" s="12">
        <f t="shared" si="3"/>
        <v>6</v>
      </c>
      <c r="E720" s="6">
        <f t="shared" si="4"/>
        <v>64</v>
      </c>
      <c r="F720" s="8">
        <f t="shared" si="5"/>
        <v>250</v>
      </c>
      <c r="G720" s="8" t="s">
        <v>95</v>
      </c>
      <c r="H720" s="13"/>
      <c r="I720" s="13"/>
    </row>
    <row r="721">
      <c r="A721" s="6">
        <v>719.0</v>
      </c>
      <c r="B721" s="7" t="str">
        <f t="shared" si="1"/>
        <v>1BE026</v>
      </c>
      <c r="C721" s="11" t="str">
        <f t="shared" si="2"/>
        <v>C159C6</v>
      </c>
      <c r="D721" s="12">
        <f t="shared" si="3"/>
        <v>7</v>
      </c>
      <c r="E721" s="6">
        <f t="shared" si="4"/>
        <v>128</v>
      </c>
      <c r="F721" s="8">
        <f t="shared" si="5"/>
        <v>250</v>
      </c>
      <c r="G721" s="8" t="s">
        <v>95</v>
      </c>
      <c r="H721" s="13"/>
      <c r="I721" s="13"/>
    </row>
    <row r="722">
      <c r="A722" s="6">
        <v>720.0</v>
      </c>
      <c r="B722" s="7" t="str">
        <f t="shared" si="1"/>
        <v>1BE027</v>
      </c>
      <c r="C722" s="11" t="str">
        <f t="shared" si="2"/>
        <v>C159C7</v>
      </c>
      <c r="D722" s="12">
        <f t="shared" si="3"/>
        <v>0</v>
      </c>
      <c r="E722" s="6">
        <f t="shared" si="4"/>
        <v>1</v>
      </c>
      <c r="F722" s="8">
        <f t="shared" si="5"/>
        <v>251</v>
      </c>
      <c r="G722" s="8" t="s">
        <v>95</v>
      </c>
      <c r="H722" s="13"/>
      <c r="I722" s="13"/>
    </row>
    <row r="723">
      <c r="A723" s="6">
        <v>721.0</v>
      </c>
      <c r="B723" s="7" t="str">
        <f t="shared" si="1"/>
        <v>1BE027</v>
      </c>
      <c r="C723" s="11" t="str">
        <f t="shared" si="2"/>
        <v>C159C7</v>
      </c>
      <c r="D723" s="12">
        <f t="shared" si="3"/>
        <v>1</v>
      </c>
      <c r="E723" s="6">
        <f t="shared" si="4"/>
        <v>2</v>
      </c>
      <c r="F723" s="8">
        <f t="shared" si="5"/>
        <v>251</v>
      </c>
      <c r="G723" s="8" t="s">
        <v>95</v>
      </c>
      <c r="H723" s="13"/>
      <c r="I723" s="13"/>
    </row>
    <row r="724">
      <c r="A724" s="6">
        <v>722.0</v>
      </c>
      <c r="B724" s="7" t="str">
        <f t="shared" si="1"/>
        <v>1BE027</v>
      </c>
      <c r="C724" s="11" t="str">
        <f t="shared" si="2"/>
        <v>C159C7</v>
      </c>
      <c r="D724" s="12">
        <f t="shared" si="3"/>
        <v>2</v>
      </c>
      <c r="E724" s="6">
        <f t="shared" si="4"/>
        <v>4</v>
      </c>
      <c r="F724" s="8">
        <f t="shared" si="5"/>
        <v>251</v>
      </c>
      <c r="G724" s="8" t="s">
        <v>95</v>
      </c>
      <c r="H724" s="13"/>
      <c r="I724" s="13"/>
    </row>
    <row r="725">
      <c r="A725" s="6">
        <v>723.0</v>
      </c>
      <c r="B725" s="7" t="str">
        <f t="shared" si="1"/>
        <v>1BE027</v>
      </c>
      <c r="C725" s="11" t="str">
        <f t="shared" si="2"/>
        <v>C159C7</v>
      </c>
      <c r="D725" s="12">
        <f t="shared" si="3"/>
        <v>3</v>
      </c>
      <c r="E725" s="6">
        <f t="shared" si="4"/>
        <v>8</v>
      </c>
      <c r="F725" s="8">
        <f t="shared" si="5"/>
        <v>251</v>
      </c>
      <c r="G725" s="8" t="s">
        <v>95</v>
      </c>
      <c r="H725" s="13"/>
      <c r="I725" s="13"/>
    </row>
    <row r="726">
      <c r="A726" s="6">
        <v>724.0</v>
      </c>
      <c r="B726" s="7" t="str">
        <f t="shared" si="1"/>
        <v>1BE027</v>
      </c>
      <c r="C726" s="11" t="str">
        <f t="shared" si="2"/>
        <v>C159C7</v>
      </c>
      <c r="D726" s="12">
        <f t="shared" si="3"/>
        <v>4</v>
      </c>
      <c r="E726" s="6">
        <f t="shared" si="4"/>
        <v>16</v>
      </c>
      <c r="F726" s="8">
        <f t="shared" si="5"/>
        <v>251</v>
      </c>
      <c r="G726" s="8" t="s">
        <v>95</v>
      </c>
      <c r="H726" s="13"/>
      <c r="I726" s="13"/>
    </row>
    <row r="727">
      <c r="A727" s="6">
        <v>725.0</v>
      </c>
      <c r="B727" s="7" t="str">
        <f t="shared" si="1"/>
        <v>1BE027</v>
      </c>
      <c r="C727" s="11" t="str">
        <f t="shared" si="2"/>
        <v>C159C7</v>
      </c>
      <c r="D727" s="12">
        <f t="shared" si="3"/>
        <v>5</v>
      </c>
      <c r="E727" s="6">
        <f t="shared" si="4"/>
        <v>32</v>
      </c>
      <c r="F727" s="8">
        <f t="shared" si="5"/>
        <v>251</v>
      </c>
      <c r="G727" s="8" t="s">
        <v>95</v>
      </c>
      <c r="H727" s="13"/>
      <c r="I727" s="13"/>
    </row>
    <row r="728">
      <c r="A728" s="6">
        <v>726.0</v>
      </c>
      <c r="B728" s="7" t="str">
        <f t="shared" si="1"/>
        <v>1BE027</v>
      </c>
      <c r="C728" s="11" t="str">
        <f t="shared" si="2"/>
        <v>C159C7</v>
      </c>
      <c r="D728" s="12">
        <f t="shared" si="3"/>
        <v>6</v>
      </c>
      <c r="E728" s="6">
        <f t="shared" si="4"/>
        <v>64</v>
      </c>
      <c r="F728" s="8">
        <f t="shared" si="5"/>
        <v>251</v>
      </c>
      <c r="G728" s="8" t="s">
        <v>95</v>
      </c>
      <c r="H728" s="13"/>
      <c r="I728" s="13"/>
    </row>
    <row r="729">
      <c r="A729" s="6">
        <v>727.0</v>
      </c>
      <c r="B729" s="7" t="str">
        <f t="shared" si="1"/>
        <v>1BE027</v>
      </c>
      <c r="C729" s="11" t="str">
        <f t="shared" si="2"/>
        <v>C159C7</v>
      </c>
      <c r="D729" s="12">
        <f t="shared" si="3"/>
        <v>7</v>
      </c>
      <c r="E729" s="6">
        <f t="shared" si="4"/>
        <v>128</v>
      </c>
      <c r="F729" s="8">
        <f t="shared" si="5"/>
        <v>251</v>
      </c>
      <c r="G729" s="8" t="s">
        <v>95</v>
      </c>
      <c r="H729" s="13"/>
      <c r="I729" s="13"/>
    </row>
    <row r="730">
      <c r="A730" s="6">
        <v>728.0</v>
      </c>
      <c r="B730" s="7" t="str">
        <f t="shared" si="1"/>
        <v>1BE028</v>
      </c>
      <c r="C730" s="11" t="str">
        <f t="shared" si="2"/>
        <v>C159C8</v>
      </c>
      <c r="D730" s="12">
        <f t="shared" si="3"/>
        <v>0</v>
      </c>
      <c r="E730" s="6">
        <f t="shared" si="4"/>
        <v>1</v>
      </c>
      <c r="F730" s="8">
        <f t="shared" si="5"/>
        <v>252</v>
      </c>
      <c r="G730" s="8" t="s">
        <v>95</v>
      </c>
      <c r="H730" s="13"/>
      <c r="I730" s="13"/>
    </row>
    <row r="731">
      <c r="A731" s="6">
        <v>729.0</v>
      </c>
      <c r="B731" s="7" t="str">
        <f t="shared" si="1"/>
        <v>1BE028</v>
      </c>
      <c r="C731" s="11" t="str">
        <f t="shared" si="2"/>
        <v>C159C8</v>
      </c>
      <c r="D731" s="12">
        <f t="shared" si="3"/>
        <v>1</v>
      </c>
      <c r="E731" s="6">
        <f t="shared" si="4"/>
        <v>2</v>
      </c>
      <c r="F731" s="8">
        <f t="shared" si="5"/>
        <v>252</v>
      </c>
      <c r="G731" s="8" t="s">
        <v>95</v>
      </c>
      <c r="H731" s="13"/>
      <c r="I731" s="13"/>
    </row>
    <row r="732">
      <c r="A732" s="6">
        <v>730.0</v>
      </c>
      <c r="B732" s="7" t="str">
        <f t="shared" si="1"/>
        <v>1BE028</v>
      </c>
      <c r="C732" s="11" t="str">
        <f t="shared" si="2"/>
        <v>C159C8</v>
      </c>
      <c r="D732" s="12">
        <f t="shared" si="3"/>
        <v>2</v>
      </c>
      <c r="E732" s="6">
        <f t="shared" si="4"/>
        <v>4</v>
      </c>
      <c r="F732" s="8">
        <f t="shared" si="5"/>
        <v>252</v>
      </c>
      <c r="G732" s="8" t="s">
        <v>95</v>
      </c>
      <c r="H732" s="13"/>
      <c r="I732" s="13"/>
    </row>
    <row r="733">
      <c r="A733" s="6">
        <v>731.0</v>
      </c>
      <c r="B733" s="7" t="str">
        <f t="shared" si="1"/>
        <v>1BE028</v>
      </c>
      <c r="C733" s="11" t="str">
        <f t="shared" si="2"/>
        <v>C159C8</v>
      </c>
      <c r="D733" s="12">
        <f t="shared" si="3"/>
        <v>3</v>
      </c>
      <c r="E733" s="6">
        <f t="shared" si="4"/>
        <v>8</v>
      </c>
      <c r="F733" s="8">
        <f t="shared" si="5"/>
        <v>252</v>
      </c>
      <c r="G733" s="8" t="s">
        <v>95</v>
      </c>
      <c r="H733" s="13"/>
      <c r="I733" s="13"/>
    </row>
    <row r="734">
      <c r="A734" s="6">
        <v>732.0</v>
      </c>
      <c r="B734" s="7" t="str">
        <f t="shared" si="1"/>
        <v>1BE028</v>
      </c>
      <c r="C734" s="11" t="str">
        <f t="shared" si="2"/>
        <v>C159C8</v>
      </c>
      <c r="D734" s="12">
        <f t="shared" si="3"/>
        <v>4</v>
      </c>
      <c r="E734" s="6">
        <f t="shared" si="4"/>
        <v>16</v>
      </c>
      <c r="F734" s="8">
        <f t="shared" si="5"/>
        <v>252</v>
      </c>
      <c r="G734" s="8" t="s">
        <v>95</v>
      </c>
      <c r="H734" s="13"/>
      <c r="I734" s="13"/>
    </row>
    <row r="735">
      <c r="A735" s="6">
        <v>733.0</v>
      </c>
      <c r="B735" s="7" t="str">
        <f t="shared" si="1"/>
        <v>1BE028</v>
      </c>
      <c r="C735" s="11" t="str">
        <f t="shared" si="2"/>
        <v>C159C8</v>
      </c>
      <c r="D735" s="12">
        <f t="shared" si="3"/>
        <v>5</v>
      </c>
      <c r="E735" s="6">
        <f t="shared" si="4"/>
        <v>32</v>
      </c>
      <c r="F735" s="8">
        <f t="shared" si="5"/>
        <v>252</v>
      </c>
      <c r="G735" s="8" t="s">
        <v>95</v>
      </c>
      <c r="H735" s="13"/>
      <c r="I735" s="13"/>
    </row>
    <row r="736">
      <c r="A736" s="6">
        <v>734.0</v>
      </c>
      <c r="B736" s="7" t="str">
        <f t="shared" si="1"/>
        <v>1BE028</v>
      </c>
      <c r="C736" s="11" t="str">
        <f t="shared" si="2"/>
        <v>C159C8</v>
      </c>
      <c r="D736" s="12">
        <f t="shared" si="3"/>
        <v>6</v>
      </c>
      <c r="E736" s="6">
        <f t="shared" si="4"/>
        <v>64</v>
      </c>
      <c r="F736" s="8">
        <f t="shared" si="5"/>
        <v>252</v>
      </c>
      <c r="G736" s="8" t="s">
        <v>95</v>
      </c>
      <c r="H736" s="13"/>
      <c r="I736" s="13"/>
    </row>
    <row r="737">
      <c r="A737" s="6">
        <v>735.0</v>
      </c>
      <c r="B737" s="7" t="str">
        <f t="shared" si="1"/>
        <v>1BE028</v>
      </c>
      <c r="C737" s="11" t="str">
        <f t="shared" si="2"/>
        <v>C159C8</v>
      </c>
      <c r="D737" s="12">
        <f t="shared" si="3"/>
        <v>7</v>
      </c>
      <c r="E737" s="6">
        <f t="shared" si="4"/>
        <v>128</v>
      </c>
      <c r="F737" s="8">
        <f t="shared" si="5"/>
        <v>252</v>
      </c>
      <c r="G737" s="8" t="s">
        <v>95</v>
      </c>
      <c r="H737" s="13"/>
      <c r="I737" s="13"/>
    </row>
    <row r="738">
      <c r="A738" s="6">
        <v>736.0</v>
      </c>
      <c r="B738" s="7" t="str">
        <f t="shared" si="1"/>
        <v>1BE029</v>
      </c>
      <c r="C738" s="11" t="str">
        <f t="shared" si="2"/>
        <v>C159C9</v>
      </c>
      <c r="D738" s="12">
        <f t="shared" si="3"/>
        <v>0</v>
      </c>
      <c r="E738" s="6">
        <f t="shared" si="4"/>
        <v>1</v>
      </c>
      <c r="F738" s="8">
        <f t="shared" si="5"/>
        <v>253</v>
      </c>
      <c r="G738" s="8" t="s">
        <v>95</v>
      </c>
      <c r="H738" s="13"/>
      <c r="I738" s="13"/>
    </row>
    <row r="739">
      <c r="A739" s="6">
        <v>737.0</v>
      </c>
      <c r="B739" s="7" t="str">
        <f t="shared" si="1"/>
        <v>1BE029</v>
      </c>
      <c r="C739" s="11" t="str">
        <f t="shared" si="2"/>
        <v>C159C9</v>
      </c>
      <c r="D739" s="12">
        <f t="shared" si="3"/>
        <v>1</v>
      </c>
      <c r="E739" s="6">
        <f t="shared" si="4"/>
        <v>2</v>
      </c>
      <c r="F739" s="8">
        <f t="shared" si="5"/>
        <v>253</v>
      </c>
      <c r="G739" s="8" t="s">
        <v>95</v>
      </c>
      <c r="H739" s="13"/>
      <c r="I739" s="13"/>
    </row>
    <row r="740">
      <c r="A740" s="6">
        <v>738.0</v>
      </c>
      <c r="B740" s="7" t="str">
        <f t="shared" si="1"/>
        <v>1BE029</v>
      </c>
      <c r="C740" s="11" t="str">
        <f t="shared" si="2"/>
        <v>C159C9</v>
      </c>
      <c r="D740" s="12">
        <f t="shared" si="3"/>
        <v>2</v>
      </c>
      <c r="E740" s="6">
        <f t="shared" si="4"/>
        <v>4</v>
      </c>
      <c r="F740" s="8">
        <f t="shared" si="5"/>
        <v>253</v>
      </c>
      <c r="G740" s="8" t="s">
        <v>95</v>
      </c>
      <c r="H740" s="13"/>
      <c r="I740" s="13"/>
    </row>
    <row r="741">
      <c r="A741" s="6">
        <v>739.0</v>
      </c>
      <c r="B741" s="7" t="str">
        <f t="shared" si="1"/>
        <v>1BE029</v>
      </c>
      <c r="C741" s="11" t="str">
        <f t="shared" si="2"/>
        <v>C159C9</v>
      </c>
      <c r="D741" s="12">
        <f t="shared" si="3"/>
        <v>3</v>
      </c>
      <c r="E741" s="6">
        <f t="shared" si="4"/>
        <v>8</v>
      </c>
      <c r="F741" s="8">
        <f t="shared" si="5"/>
        <v>253</v>
      </c>
      <c r="G741" s="8" t="s">
        <v>95</v>
      </c>
      <c r="H741" s="13"/>
      <c r="I741" s="13"/>
    </row>
    <row r="742">
      <c r="A742" s="6">
        <v>740.0</v>
      </c>
      <c r="B742" s="7" t="str">
        <f t="shared" si="1"/>
        <v>1BE029</v>
      </c>
      <c r="C742" s="11" t="str">
        <f t="shared" si="2"/>
        <v>C159C9</v>
      </c>
      <c r="D742" s="12">
        <f t="shared" si="3"/>
        <v>4</v>
      </c>
      <c r="E742" s="6">
        <f t="shared" si="4"/>
        <v>16</v>
      </c>
      <c r="F742" s="8">
        <f t="shared" si="5"/>
        <v>253</v>
      </c>
      <c r="G742" s="8" t="s">
        <v>95</v>
      </c>
      <c r="H742" s="13"/>
      <c r="I742" s="13"/>
    </row>
    <row r="743">
      <c r="A743" s="6">
        <v>741.0</v>
      </c>
      <c r="B743" s="7" t="str">
        <f t="shared" si="1"/>
        <v>1BE029</v>
      </c>
      <c r="C743" s="11" t="str">
        <f t="shared" si="2"/>
        <v>C159C9</v>
      </c>
      <c r="D743" s="12">
        <f t="shared" si="3"/>
        <v>5</v>
      </c>
      <c r="E743" s="6">
        <f t="shared" si="4"/>
        <v>32</v>
      </c>
      <c r="F743" s="8">
        <f t="shared" si="5"/>
        <v>253</v>
      </c>
      <c r="G743" s="8" t="s">
        <v>95</v>
      </c>
      <c r="H743" s="13"/>
      <c r="I743" s="13"/>
    </row>
    <row r="744">
      <c r="A744" s="6">
        <v>742.0</v>
      </c>
      <c r="B744" s="7" t="str">
        <f t="shared" si="1"/>
        <v>1BE029</v>
      </c>
      <c r="C744" s="11" t="str">
        <f t="shared" si="2"/>
        <v>C159C9</v>
      </c>
      <c r="D744" s="12">
        <f t="shared" si="3"/>
        <v>6</v>
      </c>
      <c r="E744" s="6">
        <f t="shared" si="4"/>
        <v>64</v>
      </c>
      <c r="F744" s="8">
        <f t="shared" si="5"/>
        <v>253</v>
      </c>
      <c r="G744" s="8" t="s">
        <v>95</v>
      </c>
      <c r="H744" s="13"/>
      <c r="I744" s="13"/>
    </row>
    <row r="745">
      <c r="A745" s="6">
        <v>743.0</v>
      </c>
      <c r="B745" s="7" t="str">
        <f t="shared" si="1"/>
        <v>1BE029</v>
      </c>
      <c r="C745" s="11" t="str">
        <f t="shared" si="2"/>
        <v>C159C9</v>
      </c>
      <c r="D745" s="12">
        <f t="shared" si="3"/>
        <v>7</v>
      </c>
      <c r="E745" s="6">
        <f t="shared" si="4"/>
        <v>128</v>
      </c>
      <c r="F745" s="8">
        <f t="shared" si="5"/>
        <v>253</v>
      </c>
      <c r="G745" s="8" t="s">
        <v>95</v>
      </c>
      <c r="H745" s="13"/>
      <c r="I745" s="13"/>
    </row>
    <row r="746">
      <c r="A746" s="6">
        <v>744.0</v>
      </c>
      <c r="B746" s="7" t="str">
        <f t="shared" si="1"/>
        <v>1BE02A</v>
      </c>
      <c r="C746" s="11" t="str">
        <f t="shared" si="2"/>
        <v>C159CA</v>
      </c>
      <c r="D746" s="12">
        <f t="shared" si="3"/>
        <v>0</v>
      </c>
      <c r="E746" s="6">
        <f t="shared" si="4"/>
        <v>1</v>
      </c>
      <c r="F746" s="8">
        <f t="shared" si="5"/>
        <v>254</v>
      </c>
      <c r="G746" s="8" t="s">
        <v>95</v>
      </c>
      <c r="H746" s="13"/>
      <c r="I746" s="13"/>
    </row>
    <row r="747">
      <c r="A747" s="6">
        <v>745.0</v>
      </c>
      <c r="B747" s="7" t="str">
        <f t="shared" si="1"/>
        <v>1BE02A</v>
      </c>
      <c r="C747" s="11" t="str">
        <f t="shared" si="2"/>
        <v>C159CA</v>
      </c>
      <c r="D747" s="12">
        <f t="shared" si="3"/>
        <v>1</v>
      </c>
      <c r="E747" s="6">
        <f t="shared" si="4"/>
        <v>2</v>
      </c>
      <c r="F747" s="8">
        <f t="shared" si="5"/>
        <v>254</v>
      </c>
      <c r="G747" s="8" t="s">
        <v>95</v>
      </c>
      <c r="H747" s="13"/>
      <c r="I747" s="13"/>
    </row>
    <row r="748">
      <c r="A748" s="6">
        <v>746.0</v>
      </c>
      <c r="B748" s="7" t="str">
        <f t="shared" si="1"/>
        <v>1BE02A</v>
      </c>
      <c r="C748" s="11" t="str">
        <f t="shared" si="2"/>
        <v>C159CA</v>
      </c>
      <c r="D748" s="12">
        <f t="shared" si="3"/>
        <v>2</v>
      </c>
      <c r="E748" s="6">
        <f t="shared" si="4"/>
        <v>4</v>
      </c>
      <c r="F748" s="8">
        <f t="shared" si="5"/>
        <v>254</v>
      </c>
      <c r="G748" s="8" t="s">
        <v>95</v>
      </c>
      <c r="H748" s="13"/>
      <c r="I748" s="13"/>
    </row>
    <row r="749">
      <c r="A749" s="6">
        <v>747.0</v>
      </c>
      <c r="B749" s="7" t="str">
        <f t="shared" si="1"/>
        <v>1BE02A</v>
      </c>
      <c r="C749" s="11" t="str">
        <f t="shared" si="2"/>
        <v>C159CA</v>
      </c>
      <c r="D749" s="12">
        <f t="shared" si="3"/>
        <v>3</v>
      </c>
      <c r="E749" s="6">
        <f t="shared" si="4"/>
        <v>8</v>
      </c>
      <c r="F749" s="8">
        <f t="shared" si="5"/>
        <v>254</v>
      </c>
      <c r="G749" s="8" t="s">
        <v>95</v>
      </c>
      <c r="H749" s="13"/>
      <c r="I749" s="13"/>
    </row>
    <row r="750">
      <c r="A750" s="6">
        <v>748.0</v>
      </c>
      <c r="B750" s="7" t="str">
        <f t="shared" si="1"/>
        <v>1BE02A</v>
      </c>
      <c r="C750" s="11" t="str">
        <f t="shared" si="2"/>
        <v>C159CA</v>
      </c>
      <c r="D750" s="12">
        <f t="shared" si="3"/>
        <v>4</v>
      </c>
      <c r="E750" s="6">
        <f t="shared" si="4"/>
        <v>16</v>
      </c>
      <c r="F750" s="8">
        <f t="shared" si="5"/>
        <v>254</v>
      </c>
      <c r="G750" s="8" t="s">
        <v>95</v>
      </c>
      <c r="H750" s="13"/>
      <c r="I750" s="13"/>
    </row>
    <row r="751">
      <c r="A751" s="6">
        <v>749.0</v>
      </c>
      <c r="B751" s="7" t="str">
        <f t="shared" si="1"/>
        <v>1BE02A</v>
      </c>
      <c r="C751" s="11" t="str">
        <f t="shared" si="2"/>
        <v>C159CA</v>
      </c>
      <c r="D751" s="12">
        <f t="shared" si="3"/>
        <v>5</v>
      </c>
      <c r="E751" s="6">
        <f t="shared" si="4"/>
        <v>32</v>
      </c>
      <c r="F751" s="8">
        <f t="shared" si="5"/>
        <v>254</v>
      </c>
      <c r="G751" s="8" t="s">
        <v>95</v>
      </c>
      <c r="H751" s="13"/>
      <c r="I751" s="13"/>
    </row>
    <row r="752">
      <c r="A752" s="6">
        <v>750.0</v>
      </c>
      <c r="B752" s="7" t="str">
        <f t="shared" si="1"/>
        <v>1BE02A</v>
      </c>
      <c r="C752" s="11" t="str">
        <f t="shared" si="2"/>
        <v>C159CA</v>
      </c>
      <c r="D752" s="12">
        <f t="shared" si="3"/>
        <v>6</v>
      </c>
      <c r="E752" s="6">
        <f t="shared" si="4"/>
        <v>64</v>
      </c>
      <c r="F752" s="8">
        <f t="shared" si="5"/>
        <v>254</v>
      </c>
      <c r="G752" s="8" t="s">
        <v>95</v>
      </c>
      <c r="H752" s="13"/>
      <c r="I752" s="13"/>
    </row>
    <row r="753">
      <c r="A753" s="6">
        <v>751.0</v>
      </c>
      <c r="B753" s="7" t="str">
        <f t="shared" si="1"/>
        <v>1BE02A</v>
      </c>
      <c r="C753" s="11" t="str">
        <f t="shared" si="2"/>
        <v>C159CA</v>
      </c>
      <c r="D753" s="12">
        <f t="shared" si="3"/>
        <v>7</v>
      </c>
      <c r="E753" s="6">
        <f t="shared" si="4"/>
        <v>128</v>
      </c>
      <c r="F753" s="8">
        <f t="shared" si="5"/>
        <v>254</v>
      </c>
      <c r="G753" s="8" t="s">
        <v>95</v>
      </c>
      <c r="H753" s="13"/>
      <c r="I753" s="13"/>
    </row>
    <row r="754">
      <c r="A754" s="6">
        <v>752.0</v>
      </c>
      <c r="B754" s="7" t="str">
        <f t="shared" si="1"/>
        <v>1BE02B</v>
      </c>
      <c r="C754" s="11" t="str">
        <f t="shared" si="2"/>
        <v>C159CB</v>
      </c>
      <c r="D754" s="12">
        <f t="shared" si="3"/>
        <v>0</v>
      </c>
      <c r="E754" s="6">
        <f t="shared" si="4"/>
        <v>1</v>
      </c>
      <c r="F754" s="6" t="s">
        <v>95</v>
      </c>
      <c r="G754" s="8" t="s">
        <v>95</v>
      </c>
      <c r="H754" s="13"/>
      <c r="I754" s="13"/>
    </row>
    <row r="755">
      <c r="A755" s="6">
        <v>753.0</v>
      </c>
      <c r="B755" s="7" t="str">
        <f t="shared" si="1"/>
        <v>1BE02B</v>
      </c>
      <c r="C755" s="11" t="str">
        <f t="shared" si="2"/>
        <v>C159CB</v>
      </c>
      <c r="D755" s="12">
        <f t="shared" si="3"/>
        <v>1</v>
      </c>
      <c r="E755" s="6">
        <f t="shared" si="4"/>
        <v>2</v>
      </c>
      <c r="F755" s="6" t="s">
        <v>95</v>
      </c>
      <c r="G755" s="8" t="s">
        <v>95</v>
      </c>
      <c r="H755" s="13"/>
      <c r="I755" s="13"/>
    </row>
    <row r="756">
      <c r="A756" s="6">
        <v>754.0</v>
      </c>
      <c r="B756" s="7" t="str">
        <f t="shared" si="1"/>
        <v>1BE02B</v>
      </c>
      <c r="C756" s="11" t="str">
        <f t="shared" si="2"/>
        <v>C159CB</v>
      </c>
      <c r="D756" s="12">
        <f t="shared" si="3"/>
        <v>2</v>
      </c>
      <c r="E756" s="6">
        <f t="shared" si="4"/>
        <v>4</v>
      </c>
      <c r="F756" s="6" t="s">
        <v>95</v>
      </c>
      <c r="G756" s="8" t="s">
        <v>95</v>
      </c>
      <c r="H756" s="13"/>
      <c r="I756" s="13"/>
    </row>
    <row r="757">
      <c r="A757" s="6">
        <v>755.0</v>
      </c>
      <c r="B757" s="7" t="str">
        <f t="shared" si="1"/>
        <v>1BE02B</v>
      </c>
      <c r="C757" s="11" t="str">
        <f t="shared" si="2"/>
        <v>C159CB</v>
      </c>
      <c r="D757" s="12">
        <f t="shared" si="3"/>
        <v>3</v>
      </c>
      <c r="E757" s="6">
        <f t="shared" si="4"/>
        <v>8</v>
      </c>
      <c r="F757" s="6" t="s">
        <v>95</v>
      </c>
      <c r="G757" s="8" t="s">
        <v>95</v>
      </c>
      <c r="H757" s="13"/>
      <c r="I757" s="13"/>
    </row>
    <row r="758">
      <c r="A758" s="6">
        <v>756.0</v>
      </c>
      <c r="B758" s="7" t="str">
        <f t="shared" si="1"/>
        <v>1BE02B</v>
      </c>
      <c r="C758" s="11" t="str">
        <f t="shared" si="2"/>
        <v>C159CB</v>
      </c>
      <c r="D758" s="12">
        <f t="shared" si="3"/>
        <v>4</v>
      </c>
      <c r="E758" s="6">
        <f t="shared" si="4"/>
        <v>16</v>
      </c>
      <c r="F758" s="6" t="s">
        <v>95</v>
      </c>
      <c r="G758" s="8" t="s">
        <v>95</v>
      </c>
      <c r="H758" s="13"/>
      <c r="I758" s="13"/>
    </row>
    <row r="759">
      <c r="A759" s="6">
        <v>757.0</v>
      </c>
      <c r="B759" s="7" t="str">
        <f t="shared" si="1"/>
        <v>1BE02B</v>
      </c>
      <c r="C759" s="11" t="str">
        <f t="shared" si="2"/>
        <v>C159CB</v>
      </c>
      <c r="D759" s="12">
        <f t="shared" si="3"/>
        <v>5</v>
      </c>
      <c r="E759" s="6">
        <f t="shared" si="4"/>
        <v>32</v>
      </c>
      <c r="F759" s="6" t="s">
        <v>95</v>
      </c>
      <c r="G759" s="8" t="s">
        <v>95</v>
      </c>
      <c r="H759" s="13"/>
      <c r="I759" s="13"/>
    </row>
    <row r="760">
      <c r="A760" s="6">
        <v>758.0</v>
      </c>
      <c r="B760" s="7" t="str">
        <f t="shared" si="1"/>
        <v>1BE02B</v>
      </c>
      <c r="C760" s="11" t="str">
        <f t="shared" si="2"/>
        <v>C159CB</v>
      </c>
      <c r="D760" s="12">
        <f t="shared" si="3"/>
        <v>6</v>
      </c>
      <c r="E760" s="6">
        <f t="shared" si="4"/>
        <v>64</v>
      </c>
      <c r="F760" s="6" t="s">
        <v>95</v>
      </c>
      <c r="G760" s="8" t="s">
        <v>95</v>
      </c>
      <c r="H760" s="13"/>
      <c r="I760" s="13"/>
    </row>
    <row r="761">
      <c r="A761" s="6">
        <v>759.0</v>
      </c>
      <c r="B761" s="7" t="str">
        <f t="shared" si="1"/>
        <v>1BE02B</v>
      </c>
      <c r="C761" s="11" t="str">
        <f t="shared" si="2"/>
        <v>C159CB</v>
      </c>
      <c r="D761" s="12">
        <f t="shared" si="3"/>
        <v>7</v>
      </c>
      <c r="E761" s="6">
        <f t="shared" si="4"/>
        <v>128</v>
      </c>
      <c r="F761" s="6" t="s">
        <v>95</v>
      </c>
      <c r="G761" s="8" t="s">
        <v>95</v>
      </c>
      <c r="H761" s="13"/>
      <c r="I761" s="13"/>
    </row>
    <row r="762">
      <c r="A762" s="6">
        <v>760.0</v>
      </c>
      <c r="B762" s="7" t="str">
        <f t="shared" si="1"/>
        <v>1BE02C</v>
      </c>
      <c r="C762" s="11" t="str">
        <f t="shared" si="2"/>
        <v>C159CC</v>
      </c>
      <c r="D762" s="12">
        <f t="shared" si="3"/>
        <v>0</v>
      </c>
      <c r="E762" s="6">
        <f t="shared" si="4"/>
        <v>1</v>
      </c>
      <c r="F762" s="6" t="s">
        <v>95</v>
      </c>
      <c r="G762" s="8" t="s">
        <v>95</v>
      </c>
      <c r="H762" s="13"/>
      <c r="I762" s="13"/>
    </row>
    <row r="763">
      <c r="A763" s="6">
        <v>761.0</v>
      </c>
      <c r="B763" s="7" t="str">
        <f t="shared" si="1"/>
        <v>1BE02C</v>
      </c>
      <c r="C763" s="11" t="str">
        <f t="shared" si="2"/>
        <v>C159CC</v>
      </c>
      <c r="D763" s="12">
        <f t="shared" si="3"/>
        <v>1</v>
      </c>
      <c r="E763" s="6">
        <f t="shared" si="4"/>
        <v>2</v>
      </c>
      <c r="F763" s="6" t="s">
        <v>95</v>
      </c>
      <c r="G763" s="8" t="s">
        <v>95</v>
      </c>
      <c r="H763" s="13"/>
      <c r="I763" s="13"/>
    </row>
    <row r="764">
      <c r="A764" s="6">
        <v>762.0</v>
      </c>
      <c r="B764" s="7" t="str">
        <f t="shared" si="1"/>
        <v>1BE02C</v>
      </c>
      <c r="C764" s="11" t="str">
        <f t="shared" si="2"/>
        <v>C159CC</v>
      </c>
      <c r="D764" s="12">
        <f t="shared" si="3"/>
        <v>2</v>
      </c>
      <c r="E764" s="6">
        <f t="shared" si="4"/>
        <v>4</v>
      </c>
      <c r="F764" s="6" t="s">
        <v>95</v>
      </c>
      <c r="G764" s="8" t="s">
        <v>95</v>
      </c>
      <c r="H764" s="13"/>
      <c r="I764" s="13"/>
    </row>
    <row r="765">
      <c r="A765" s="6">
        <v>763.0</v>
      </c>
      <c r="B765" s="7" t="str">
        <f t="shared" si="1"/>
        <v>1BE02C</v>
      </c>
      <c r="C765" s="11" t="str">
        <f t="shared" si="2"/>
        <v>C159CC</v>
      </c>
      <c r="D765" s="12">
        <f t="shared" si="3"/>
        <v>3</v>
      </c>
      <c r="E765" s="6">
        <f t="shared" si="4"/>
        <v>8</v>
      </c>
      <c r="F765" s="6" t="s">
        <v>95</v>
      </c>
      <c r="G765" s="8" t="s">
        <v>95</v>
      </c>
      <c r="H765" s="13"/>
      <c r="I765" s="13"/>
    </row>
    <row r="766">
      <c r="A766" s="6">
        <v>764.0</v>
      </c>
      <c r="B766" s="7" t="str">
        <f t="shared" si="1"/>
        <v>1BE02C</v>
      </c>
      <c r="C766" s="11" t="str">
        <f t="shared" si="2"/>
        <v>C159CC</v>
      </c>
      <c r="D766" s="12">
        <f t="shared" si="3"/>
        <v>4</v>
      </c>
      <c r="E766" s="6">
        <f t="shared" si="4"/>
        <v>16</v>
      </c>
      <c r="F766" s="6" t="s">
        <v>95</v>
      </c>
      <c r="G766" s="8" t="s">
        <v>95</v>
      </c>
      <c r="H766" s="13"/>
      <c r="I766" s="13"/>
    </row>
    <row r="767">
      <c r="A767" s="6">
        <v>765.0</v>
      </c>
      <c r="B767" s="7" t="str">
        <f t="shared" si="1"/>
        <v>1BE02C</v>
      </c>
      <c r="C767" s="11" t="str">
        <f t="shared" si="2"/>
        <v>C159CC</v>
      </c>
      <c r="D767" s="12">
        <f t="shared" si="3"/>
        <v>5</v>
      </c>
      <c r="E767" s="6">
        <f t="shared" si="4"/>
        <v>32</v>
      </c>
      <c r="F767" s="6" t="s">
        <v>95</v>
      </c>
      <c r="G767" s="8" t="s">
        <v>95</v>
      </c>
      <c r="H767" s="13"/>
      <c r="I767" s="13"/>
    </row>
    <row r="768">
      <c r="A768" s="6">
        <v>766.0</v>
      </c>
      <c r="B768" s="7" t="str">
        <f t="shared" si="1"/>
        <v>1BE02C</v>
      </c>
      <c r="C768" s="11" t="str">
        <f t="shared" si="2"/>
        <v>C159CC</v>
      </c>
      <c r="D768" s="12">
        <f t="shared" si="3"/>
        <v>6</v>
      </c>
      <c r="E768" s="6">
        <f t="shared" si="4"/>
        <v>64</v>
      </c>
      <c r="F768" s="6" t="s">
        <v>95</v>
      </c>
      <c r="G768" s="8" t="s">
        <v>95</v>
      </c>
      <c r="H768" s="13"/>
      <c r="I768" s="13"/>
    </row>
    <row r="769">
      <c r="A769" s="6">
        <v>767.0</v>
      </c>
      <c r="B769" s="7" t="str">
        <f t="shared" si="1"/>
        <v>1BE02C</v>
      </c>
      <c r="C769" s="11" t="str">
        <f t="shared" si="2"/>
        <v>C159CC</v>
      </c>
      <c r="D769" s="12">
        <f t="shared" si="3"/>
        <v>7</v>
      </c>
      <c r="E769" s="6">
        <f t="shared" si="4"/>
        <v>128</v>
      </c>
      <c r="F769" s="6" t="s">
        <v>95</v>
      </c>
      <c r="G769" s="8" t="s">
        <v>95</v>
      </c>
      <c r="H769" s="13"/>
      <c r="I769" s="13"/>
    </row>
    <row r="770">
      <c r="A770" s="6">
        <v>768.0</v>
      </c>
      <c r="B770" s="7" t="str">
        <f t="shared" si="1"/>
        <v>1BE02D</v>
      </c>
      <c r="C770" s="11" t="str">
        <f t="shared" si="2"/>
        <v>C159CD</v>
      </c>
      <c r="D770" s="12">
        <f t="shared" si="3"/>
        <v>0</v>
      </c>
      <c r="E770" s="6">
        <f t="shared" si="4"/>
        <v>1</v>
      </c>
      <c r="F770" s="6" t="s">
        <v>95</v>
      </c>
      <c r="G770" s="8" t="s">
        <v>95</v>
      </c>
      <c r="H770" s="13"/>
      <c r="I770" s="13"/>
    </row>
    <row r="771">
      <c r="A771" s="6">
        <v>769.0</v>
      </c>
      <c r="B771" s="7" t="str">
        <f t="shared" si="1"/>
        <v>1BE02D</v>
      </c>
      <c r="C771" s="11" t="str">
        <f t="shared" si="2"/>
        <v>C159CD</v>
      </c>
      <c r="D771" s="12">
        <f t="shared" si="3"/>
        <v>1</v>
      </c>
      <c r="E771" s="6">
        <f t="shared" si="4"/>
        <v>2</v>
      </c>
      <c r="F771" s="6" t="s">
        <v>95</v>
      </c>
      <c r="G771" s="8" t="s">
        <v>95</v>
      </c>
      <c r="H771" s="13"/>
      <c r="I771" s="13"/>
    </row>
    <row r="772">
      <c r="A772" s="6">
        <v>770.0</v>
      </c>
      <c r="B772" s="7" t="str">
        <f t="shared" si="1"/>
        <v>1BE02D</v>
      </c>
      <c r="C772" s="11" t="str">
        <f t="shared" si="2"/>
        <v>C159CD</v>
      </c>
      <c r="D772" s="12">
        <f t="shared" si="3"/>
        <v>2</v>
      </c>
      <c r="E772" s="6">
        <f t="shared" si="4"/>
        <v>4</v>
      </c>
      <c r="F772" s="6" t="s">
        <v>95</v>
      </c>
      <c r="G772" s="8" t="s">
        <v>95</v>
      </c>
      <c r="H772" s="13"/>
      <c r="I772" s="13"/>
    </row>
    <row r="773">
      <c r="A773" s="6">
        <v>771.0</v>
      </c>
      <c r="B773" s="7" t="str">
        <f t="shared" si="1"/>
        <v>1BE02D</v>
      </c>
      <c r="C773" s="11" t="str">
        <f t="shared" si="2"/>
        <v>C159CD</v>
      </c>
      <c r="D773" s="12">
        <f t="shared" si="3"/>
        <v>3</v>
      </c>
      <c r="E773" s="6">
        <f t="shared" si="4"/>
        <v>8</v>
      </c>
      <c r="F773" s="6" t="s">
        <v>95</v>
      </c>
      <c r="G773" s="8" t="s">
        <v>95</v>
      </c>
      <c r="H773" s="13"/>
      <c r="I773" s="13"/>
    </row>
    <row r="774">
      <c r="A774" s="6">
        <v>772.0</v>
      </c>
      <c r="B774" s="7" t="str">
        <f t="shared" si="1"/>
        <v>1BE02D</v>
      </c>
      <c r="C774" s="11" t="str">
        <f t="shared" si="2"/>
        <v>C159CD</v>
      </c>
      <c r="D774" s="12">
        <f t="shared" si="3"/>
        <v>4</v>
      </c>
      <c r="E774" s="6">
        <f t="shared" si="4"/>
        <v>16</v>
      </c>
      <c r="F774" s="6" t="s">
        <v>95</v>
      </c>
      <c r="G774" s="8" t="s">
        <v>95</v>
      </c>
      <c r="H774" s="13"/>
      <c r="I774" s="13"/>
    </row>
    <row r="775">
      <c r="A775" s="6">
        <v>773.0</v>
      </c>
      <c r="B775" s="7" t="str">
        <f t="shared" si="1"/>
        <v>1BE02D</v>
      </c>
      <c r="C775" s="11" t="str">
        <f t="shared" si="2"/>
        <v>C159CD</v>
      </c>
      <c r="D775" s="12">
        <f t="shared" si="3"/>
        <v>5</v>
      </c>
      <c r="E775" s="6">
        <f t="shared" si="4"/>
        <v>32</v>
      </c>
      <c r="F775" s="6" t="s">
        <v>95</v>
      </c>
      <c r="G775" s="8" t="s">
        <v>95</v>
      </c>
      <c r="H775" s="13"/>
      <c r="I775" s="13"/>
    </row>
    <row r="776">
      <c r="A776" s="6">
        <v>774.0</v>
      </c>
      <c r="B776" s="7" t="str">
        <f t="shared" si="1"/>
        <v>1BE02D</v>
      </c>
      <c r="C776" s="11" t="str">
        <f t="shared" si="2"/>
        <v>C159CD</v>
      </c>
      <c r="D776" s="12">
        <f t="shared" si="3"/>
        <v>6</v>
      </c>
      <c r="E776" s="6">
        <f t="shared" si="4"/>
        <v>64</v>
      </c>
      <c r="F776" s="6" t="s">
        <v>95</v>
      </c>
      <c r="G776" s="8" t="s">
        <v>95</v>
      </c>
      <c r="H776" s="13"/>
      <c r="I776" s="13"/>
    </row>
    <row r="777">
      <c r="A777" s="6">
        <v>775.0</v>
      </c>
      <c r="B777" s="7" t="str">
        <f t="shared" si="1"/>
        <v>1BE02D</v>
      </c>
      <c r="C777" s="11" t="str">
        <f t="shared" si="2"/>
        <v>C159CD</v>
      </c>
      <c r="D777" s="12">
        <f t="shared" si="3"/>
        <v>7</v>
      </c>
      <c r="E777" s="6">
        <f t="shared" si="4"/>
        <v>128</v>
      </c>
      <c r="F777" s="6" t="s">
        <v>95</v>
      </c>
      <c r="G777" s="8" t="s">
        <v>95</v>
      </c>
      <c r="H777" s="13"/>
      <c r="I777" s="13"/>
    </row>
    <row r="778">
      <c r="A778" s="6">
        <v>776.0</v>
      </c>
      <c r="B778" s="7" t="str">
        <f t="shared" si="1"/>
        <v>1BE02E</v>
      </c>
      <c r="C778" s="11" t="str">
        <f t="shared" si="2"/>
        <v>C159CE</v>
      </c>
      <c r="D778" s="12">
        <f t="shared" si="3"/>
        <v>0</v>
      </c>
      <c r="E778" s="6">
        <f t="shared" si="4"/>
        <v>1</v>
      </c>
      <c r="F778" s="6" t="s">
        <v>95</v>
      </c>
      <c r="G778" s="8" t="s">
        <v>95</v>
      </c>
      <c r="H778" s="13"/>
      <c r="I778" s="13"/>
    </row>
    <row r="779">
      <c r="A779" s="6">
        <v>777.0</v>
      </c>
      <c r="B779" s="7" t="str">
        <f t="shared" si="1"/>
        <v>1BE02E</v>
      </c>
      <c r="C779" s="11" t="str">
        <f t="shared" si="2"/>
        <v>C159CE</v>
      </c>
      <c r="D779" s="12">
        <f t="shared" si="3"/>
        <v>1</v>
      </c>
      <c r="E779" s="6">
        <f t="shared" si="4"/>
        <v>2</v>
      </c>
      <c r="F779" s="6" t="s">
        <v>95</v>
      </c>
      <c r="G779" s="8" t="s">
        <v>95</v>
      </c>
      <c r="H779" s="13"/>
      <c r="I779" s="13"/>
    </row>
    <row r="780">
      <c r="A780" s="6">
        <v>778.0</v>
      </c>
      <c r="B780" s="7" t="str">
        <f t="shared" si="1"/>
        <v>1BE02E</v>
      </c>
      <c r="C780" s="11" t="str">
        <f t="shared" si="2"/>
        <v>C159CE</v>
      </c>
      <c r="D780" s="12">
        <f t="shared" si="3"/>
        <v>2</v>
      </c>
      <c r="E780" s="6">
        <f t="shared" si="4"/>
        <v>4</v>
      </c>
      <c r="F780" s="6" t="s">
        <v>95</v>
      </c>
      <c r="G780" s="8" t="s">
        <v>95</v>
      </c>
      <c r="H780" s="13"/>
      <c r="I780" s="13"/>
    </row>
    <row r="781">
      <c r="A781" s="6">
        <v>779.0</v>
      </c>
      <c r="B781" s="7" t="str">
        <f t="shared" si="1"/>
        <v>1BE02E</v>
      </c>
      <c r="C781" s="11" t="str">
        <f t="shared" si="2"/>
        <v>C159CE</v>
      </c>
      <c r="D781" s="12">
        <f t="shared" si="3"/>
        <v>3</v>
      </c>
      <c r="E781" s="6">
        <f t="shared" si="4"/>
        <v>8</v>
      </c>
      <c r="F781" s="6" t="s">
        <v>95</v>
      </c>
      <c r="G781" s="8" t="s">
        <v>95</v>
      </c>
      <c r="H781" s="13"/>
      <c r="I781" s="13"/>
    </row>
    <row r="782">
      <c r="A782" s="6">
        <v>780.0</v>
      </c>
      <c r="B782" s="7" t="str">
        <f t="shared" si="1"/>
        <v>1BE02E</v>
      </c>
      <c r="C782" s="11" t="str">
        <f t="shared" si="2"/>
        <v>C159CE</v>
      </c>
      <c r="D782" s="12">
        <f t="shared" si="3"/>
        <v>4</v>
      </c>
      <c r="E782" s="6">
        <f t="shared" si="4"/>
        <v>16</v>
      </c>
      <c r="F782" s="6" t="s">
        <v>95</v>
      </c>
      <c r="G782" s="8" t="s">
        <v>95</v>
      </c>
      <c r="H782" s="13"/>
      <c r="I782" s="13"/>
    </row>
    <row r="783">
      <c r="A783" s="6">
        <v>781.0</v>
      </c>
      <c r="B783" s="7" t="str">
        <f t="shared" si="1"/>
        <v>1BE02E</v>
      </c>
      <c r="C783" s="11" t="str">
        <f t="shared" si="2"/>
        <v>C159CE</v>
      </c>
      <c r="D783" s="12">
        <f t="shared" si="3"/>
        <v>5</v>
      </c>
      <c r="E783" s="6">
        <f t="shared" si="4"/>
        <v>32</v>
      </c>
      <c r="F783" s="6" t="s">
        <v>95</v>
      </c>
      <c r="G783" s="8" t="s">
        <v>95</v>
      </c>
      <c r="H783" s="13"/>
      <c r="I783" s="13"/>
    </row>
    <row r="784">
      <c r="A784" s="6">
        <v>782.0</v>
      </c>
      <c r="B784" s="7" t="str">
        <f t="shared" si="1"/>
        <v>1BE02E</v>
      </c>
      <c r="C784" s="11" t="str">
        <f t="shared" si="2"/>
        <v>C159CE</v>
      </c>
      <c r="D784" s="12">
        <f t="shared" si="3"/>
        <v>6</v>
      </c>
      <c r="E784" s="6">
        <f t="shared" si="4"/>
        <v>64</v>
      </c>
      <c r="F784" s="6" t="s">
        <v>95</v>
      </c>
      <c r="G784" s="8" t="s">
        <v>95</v>
      </c>
      <c r="H784" s="13"/>
      <c r="I784" s="13"/>
    </row>
    <row r="785">
      <c r="A785" s="6">
        <v>783.0</v>
      </c>
      <c r="B785" s="7" t="str">
        <f t="shared" si="1"/>
        <v>1BE02E</v>
      </c>
      <c r="C785" s="11" t="str">
        <f t="shared" si="2"/>
        <v>C159CE</v>
      </c>
      <c r="D785" s="12">
        <f t="shared" si="3"/>
        <v>7</v>
      </c>
      <c r="E785" s="6">
        <f t="shared" si="4"/>
        <v>128</v>
      </c>
      <c r="F785" s="6" t="s">
        <v>95</v>
      </c>
      <c r="G785" s="8" t="s">
        <v>95</v>
      </c>
      <c r="H785" s="13"/>
      <c r="I785" s="13"/>
    </row>
    <row r="786">
      <c r="A786" s="6">
        <v>784.0</v>
      </c>
      <c r="B786" s="7" t="str">
        <f t="shared" si="1"/>
        <v>1BE02F</v>
      </c>
      <c r="C786" s="11" t="str">
        <f t="shared" si="2"/>
        <v>C159CF</v>
      </c>
      <c r="D786" s="12">
        <f t="shared" si="3"/>
        <v>0</v>
      </c>
      <c r="E786" s="6">
        <f t="shared" si="4"/>
        <v>1</v>
      </c>
      <c r="F786" s="6" t="s">
        <v>95</v>
      </c>
      <c r="G786" s="8" t="s">
        <v>95</v>
      </c>
      <c r="H786" s="13"/>
      <c r="I786" s="13"/>
    </row>
    <row r="787">
      <c r="A787" s="6">
        <v>785.0</v>
      </c>
      <c r="B787" s="7" t="str">
        <f t="shared" si="1"/>
        <v>1BE02F</v>
      </c>
      <c r="C787" s="11" t="str">
        <f t="shared" si="2"/>
        <v>C159CF</v>
      </c>
      <c r="D787" s="12">
        <f t="shared" si="3"/>
        <v>1</v>
      </c>
      <c r="E787" s="6">
        <f t="shared" si="4"/>
        <v>2</v>
      </c>
      <c r="F787" s="6" t="s">
        <v>95</v>
      </c>
      <c r="G787" s="8" t="s">
        <v>95</v>
      </c>
      <c r="H787" s="13"/>
      <c r="I787" s="13"/>
    </row>
    <row r="788">
      <c r="A788" s="6">
        <v>786.0</v>
      </c>
      <c r="B788" s="7" t="str">
        <f t="shared" si="1"/>
        <v>1BE02F</v>
      </c>
      <c r="C788" s="11" t="str">
        <f t="shared" si="2"/>
        <v>C159CF</v>
      </c>
      <c r="D788" s="12">
        <f t="shared" si="3"/>
        <v>2</v>
      </c>
      <c r="E788" s="6">
        <f t="shared" si="4"/>
        <v>4</v>
      </c>
      <c r="F788" s="6" t="s">
        <v>95</v>
      </c>
      <c r="G788" s="8" t="s">
        <v>95</v>
      </c>
      <c r="H788" s="13"/>
      <c r="I788" s="13"/>
    </row>
    <row r="789">
      <c r="A789" s="6">
        <v>787.0</v>
      </c>
      <c r="B789" s="7" t="str">
        <f t="shared" si="1"/>
        <v>1BE02F</v>
      </c>
      <c r="C789" s="11" t="str">
        <f t="shared" si="2"/>
        <v>C159CF</v>
      </c>
      <c r="D789" s="12">
        <f t="shared" si="3"/>
        <v>3</v>
      </c>
      <c r="E789" s="6">
        <f t="shared" si="4"/>
        <v>8</v>
      </c>
      <c r="F789" s="6" t="s">
        <v>95</v>
      </c>
      <c r="G789" s="8" t="s">
        <v>95</v>
      </c>
      <c r="H789" s="13"/>
      <c r="I789" s="13"/>
    </row>
    <row r="790">
      <c r="A790" s="6">
        <v>788.0</v>
      </c>
      <c r="B790" s="7" t="str">
        <f t="shared" si="1"/>
        <v>1BE02F</v>
      </c>
      <c r="C790" s="11" t="str">
        <f t="shared" si="2"/>
        <v>C159CF</v>
      </c>
      <c r="D790" s="12">
        <f t="shared" si="3"/>
        <v>4</v>
      </c>
      <c r="E790" s="6">
        <f t="shared" si="4"/>
        <v>16</v>
      </c>
      <c r="F790" s="6" t="s">
        <v>95</v>
      </c>
      <c r="G790" s="8" t="s">
        <v>95</v>
      </c>
      <c r="H790" s="13"/>
      <c r="I790" s="13"/>
    </row>
    <row r="791">
      <c r="A791" s="6">
        <v>789.0</v>
      </c>
      <c r="B791" s="7" t="str">
        <f t="shared" si="1"/>
        <v>1BE02F</v>
      </c>
      <c r="C791" s="11" t="str">
        <f t="shared" si="2"/>
        <v>C159CF</v>
      </c>
      <c r="D791" s="12">
        <f t="shared" si="3"/>
        <v>5</v>
      </c>
      <c r="E791" s="6">
        <f t="shared" si="4"/>
        <v>32</v>
      </c>
      <c r="F791" s="6" t="s">
        <v>95</v>
      </c>
      <c r="G791" s="8" t="s">
        <v>95</v>
      </c>
      <c r="H791" s="13"/>
      <c r="I791" s="13"/>
    </row>
    <row r="792">
      <c r="A792" s="6">
        <v>790.0</v>
      </c>
      <c r="B792" s="7" t="str">
        <f t="shared" si="1"/>
        <v>1BE02F</v>
      </c>
      <c r="C792" s="11" t="str">
        <f t="shared" si="2"/>
        <v>C159CF</v>
      </c>
      <c r="D792" s="12">
        <f t="shared" si="3"/>
        <v>6</v>
      </c>
      <c r="E792" s="6">
        <f t="shared" si="4"/>
        <v>64</v>
      </c>
      <c r="F792" s="6" t="s">
        <v>95</v>
      </c>
      <c r="G792" s="8" t="s">
        <v>95</v>
      </c>
      <c r="H792" s="13"/>
      <c r="I792" s="13"/>
    </row>
    <row r="793">
      <c r="A793" s="6">
        <v>791.0</v>
      </c>
      <c r="B793" s="7" t="str">
        <f t="shared" si="1"/>
        <v>1BE02F</v>
      </c>
      <c r="C793" s="11" t="str">
        <f t="shared" si="2"/>
        <v>C159CF</v>
      </c>
      <c r="D793" s="12">
        <f t="shared" si="3"/>
        <v>7</v>
      </c>
      <c r="E793" s="6">
        <f t="shared" si="4"/>
        <v>128</v>
      </c>
      <c r="F793" s="6" t="s">
        <v>95</v>
      </c>
      <c r="G793" s="8" t="s">
        <v>95</v>
      </c>
      <c r="H793" s="13"/>
      <c r="I793" s="13"/>
    </row>
    <row r="794">
      <c r="A794" s="6">
        <v>792.0</v>
      </c>
      <c r="B794" s="7" t="str">
        <f t="shared" si="1"/>
        <v>1BE030</v>
      </c>
      <c r="C794" s="11" t="str">
        <f t="shared" si="2"/>
        <v>C159D0</v>
      </c>
      <c r="D794" s="12">
        <f t="shared" si="3"/>
        <v>0</v>
      </c>
      <c r="E794" s="6">
        <f t="shared" si="4"/>
        <v>1</v>
      </c>
      <c r="F794" s="6" t="s">
        <v>95</v>
      </c>
      <c r="G794" s="8" t="s">
        <v>95</v>
      </c>
      <c r="H794" s="13"/>
      <c r="I794" s="13"/>
    </row>
    <row r="795">
      <c r="A795" s="6">
        <v>793.0</v>
      </c>
      <c r="B795" s="7" t="str">
        <f t="shared" si="1"/>
        <v>1BE030</v>
      </c>
      <c r="C795" s="11" t="str">
        <f t="shared" si="2"/>
        <v>C159D0</v>
      </c>
      <c r="D795" s="12">
        <f t="shared" si="3"/>
        <v>1</v>
      </c>
      <c r="E795" s="6">
        <f t="shared" si="4"/>
        <v>2</v>
      </c>
      <c r="F795" s="6" t="s">
        <v>95</v>
      </c>
      <c r="G795" s="8" t="s">
        <v>95</v>
      </c>
      <c r="H795" s="13"/>
      <c r="I795" s="13"/>
    </row>
    <row r="796">
      <c r="A796" s="6">
        <v>794.0</v>
      </c>
      <c r="B796" s="7" t="str">
        <f t="shared" si="1"/>
        <v>1BE030</v>
      </c>
      <c r="C796" s="11" t="str">
        <f t="shared" si="2"/>
        <v>C159D0</v>
      </c>
      <c r="D796" s="12">
        <f t="shared" si="3"/>
        <v>2</v>
      </c>
      <c r="E796" s="6">
        <f t="shared" si="4"/>
        <v>4</v>
      </c>
      <c r="F796" s="6" t="s">
        <v>95</v>
      </c>
      <c r="G796" s="8" t="s">
        <v>95</v>
      </c>
      <c r="H796" s="13"/>
      <c r="I796" s="13"/>
    </row>
    <row r="797">
      <c r="A797" s="6">
        <v>795.0</v>
      </c>
      <c r="B797" s="7" t="str">
        <f t="shared" si="1"/>
        <v>1BE030</v>
      </c>
      <c r="C797" s="11" t="str">
        <f t="shared" si="2"/>
        <v>C159D0</v>
      </c>
      <c r="D797" s="12">
        <f t="shared" si="3"/>
        <v>3</v>
      </c>
      <c r="E797" s="6">
        <f t="shared" si="4"/>
        <v>8</v>
      </c>
      <c r="F797" s="6" t="s">
        <v>95</v>
      </c>
      <c r="G797" s="8" t="s">
        <v>95</v>
      </c>
      <c r="H797" s="13"/>
      <c r="I797" s="13"/>
    </row>
    <row r="798">
      <c r="A798" s="6">
        <v>796.0</v>
      </c>
      <c r="B798" s="7" t="str">
        <f t="shared" si="1"/>
        <v>1BE030</v>
      </c>
      <c r="C798" s="11" t="str">
        <f t="shared" si="2"/>
        <v>C159D0</v>
      </c>
      <c r="D798" s="12">
        <f t="shared" si="3"/>
        <v>4</v>
      </c>
      <c r="E798" s="6">
        <f t="shared" si="4"/>
        <v>16</v>
      </c>
      <c r="F798" s="6" t="s">
        <v>95</v>
      </c>
      <c r="G798" s="8" t="s">
        <v>95</v>
      </c>
      <c r="H798" s="13"/>
      <c r="I798" s="13"/>
    </row>
    <row r="799">
      <c r="A799" s="6">
        <v>797.0</v>
      </c>
      <c r="B799" s="7" t="str">
        <f t="shared" si="1"/>
        <v>1BE030</v>
      </c>
      <c r="C799" s="11" t="str">
        <f t="shared" si="2"/>
        <v>C159D0</v>
      </c>
      <c r="D799" s="12">
        <f t="shared" si="3"/>
        <v>5</v>
      </c>
      <c r="E799" s="6">
        <f t="shared" si="4"/>
        <v>32</v>
      </c>
      <c r="F799" s="6" t="s">
        <v>95</v>
      </c>
      <c r="G799" s="8" t="s">
        <v>95</v>
      </c>
      <c r="H799" s="13"/>
      <c r="I799" s="13"/>
    </row>
    <row r="800">
      <c r="A800" s="6">
        <v>798.0</v>
      </c>
      <c r="B800" s="7" t="str">
        <f t="shared" si="1"/>
        <v>1BE030</v>
      </c>
      <c r="C800" s="11" t="str">
        <f t="shared" si="2"/>
        <v>C159D0</v>
      </c>
      <c r="D800" s="12">
        <f t="shared" si="3"/>
        <v>6</v>
      </c>
      <c r="E800" s="6">
        <f t="shared" si="4"/>
        <v>64</v>
      </c>
      <c r="F800" s="6" t="s">
        <v>95</v>
      </c>
      <c r="G800" s="8" t="s">
        <v>95</v>
      </c>
      <c r="H800" s="13"/>
      <c r="I800" s="13"/>
    </row>
    <row r="801">
      <c r="A801" s="6">
        <v>799.0</v>
      </c>
      <c r="B801" s="7" t="str">
        <f t="shared" si="1"/>
        <v>1BE030</v>
      </c>
      <c r="C801" s="11" t="str">
        <f t="shared" si="2"/>
        <v>C159D0</v>
      </c>
      <c r="D801" s="12">
        <f t="shared" si="3"/>
        <v>7</v>
      </c>
      <c r="E801" s="6">
        <f t="shared" si="4"/>
        <v>128</v>
      </c>
      <c r="F801" s="6" t="s">
        <v>95</v>
      </c>
      <c r="G801" s="8" t="s">
        <v>95</v>
      </c>
      <c r="H801" s="13"/>
      <c r="I801" s="13"/>
    </row>
  </sheetData>
  <conditionalFormatting sqref="E1:F801">
    <cfRule type="expression" dxfId="4" priority="1">
      <formula>"ADDRES"</formula>
    </cfRule>
  </conditionalFormatting>
  <drawing r:id="rId4"/>
  <legacyDrawing r:id="rId5"/>
  <tableParts count="1"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8D8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1.38"/>
    <col customWidth="1" min="2" max="2" width="7.63"/>
    <col customWidth="1" min="3" max="3" width="10.88"/>
    <col customWidth="1" min="4" max="4" width="8.63"/>
    <col customWidth="1" min="5" max="5" width="14.25"/>
    <col customWidth="1" min="6" max="6" width="8.5"/>
    <col customWidth="1" min="7" max="7" width="12.0"/>
    <col customWidth="1" min="8" max="8" width="8.38"/>
    <col customWidth="1" min="9" max="9" width="23.38"/>
    <col customWidth="1" min="10" max="10" width="8.38"/>
    <col customWidth="1" min="11" max="11" width="19.25"/>
    <col customWidth="1" min="12" max="12" width="8.5"/>
    <col customWidth="1" min="13" max="13" width="17.0"/>
    <col customWidth="1" min="14" max="14" width="8.88"/>
    <col customWidth="1" min="15" max="15" width="63.5"/>
    <col customWidth="1" min="16" max="17" width="8.5"/>
    <col customWidth="1" min="18" max="18" width="20.88"/>
    <col customWidth="1" min="19" max="19" width="8.13"/>
    <col customWidth="1" min="20" max="20" width="15.0"/>
    <col customWidth="1" min="21" max="21" width="8.88"/>
    <col customWidth="1" min="22" max="22" width="18.38"/>
    <col customWidth="1" min="23" max="23" width="9.5"/>
    <col customWidth="1" min="24" max="24" width="13.75"/>
    <col customWidth="1" min="25" max="25" width="10.0"/>
    <col customWidth="1" min="26" max="26" width="11.75"/>
    <col customWidth="1" min="27" max="27" width="10.0"/>
  </cols>
  <sheetData>
    <row r="1">
      <c r="A1" s="21" t="s">
        <v>764</v>
      </c>
      <c r="B1" s="22"/>
      <c r="C1" s="23" t="s">
        <v>765</v>
      </c>
      <c r="D1" s="22"/>
      <c r="E1" s="23" t="s">
        <v>766</v>
      </c>
      <c r="F1" s="22"/>
      <c r="G1" s="23" t="s">
        <v>767</v>
      </c>
      <c r="H1" s="22"/>
      <c r="I1" s="23" t="s">
        <v>768</v>
      </c>
      <c r="J1" s="22"/>
      <c r="K1" s="23" t="s">
        <v>769</v>
      </c>
      <c r="L1" s="22"/>
      <c r="M1" s="23" t="s">
        <v>770</v>
      </c>
      <c r="N1" s="22"/>
      <c r="O1" s="23"/>
      <c r="P1" s="23"/>
      <c r="Q1" s="24"/>
      <c r="R1" s="25" t="s">
        <v>771</v>
      </c>
      <c r="S1" s="22"/>
      <c r="T1" s="25" t="s">
        <v>772</v>
      </c>
      <c r="U1" s="22"/>
      <c r="V1" s="25" t="s">
        <v>773</v>
      </c>
      <c r="W1" s="22"/>
      <c r="X1" s="25" t="s">
        <v>774</v>
      </c>
      <c r="Y1" s="22"/>
      <c r="Z1" s="23"/>
      <c r="AB1" s="26"/>
      <c r="AC1" s="26"/>
      <c r="AD1" s="26"/>
      <c r="AE1" s="26"/>
      <c r="AF1" s="26"/>
      <c r="AG1" s="26"/>
      <c r="AH1" s="26"/>
      <c r="AI1" s="26"/>
    </row>
    <row r="2">
      <c r="A2" s="27" t="s">
        <v>775</v>
      </c>
      <c r="B2" s="28" t="s">
        <v>776</v>
      </c>
      <c r="C2" s="27" t="s">
        <v>775</v>
      </c>
      <c r="D2" s="28" t="s">
        <v>776</v>
      </c>
      <c r="E2" s="27" t="s">
        <v>775</v>
      </c>
      <c r="F2" s="28" t="s">
        <v>776</v>
      </c>
      <c r="G2" s="27" t="s">
        <v>775</v>
      </c>
      <c r="H2" s="28" t="s">
        <v>776</v>
      </c>
      <c r="I2" s="27" t="s">
        <v>775</v>
      </c>
      <c r="J2" s="28" t="s">
        <v>776</v>
      </c>
      <c r="K2" s="27" t="s">
        <v>775</v>
      </c>
      <c r="L2" s="28" t="s">
        <v>776</v>
      </c>
      <c r="M2" s="27" t="s">
        <v>775</v>
      </c>
      <c r="N2" s="28" t="s">
        <v>776</v>
      </c>
      <c r="O2" s="27"/>
      <c r="P2" s="27"/>
      <c r="Q2" s="28"/>
      <c r="R2" s="29" t="s">
        <v>775</v>
      </c>
      <c r="S2" s="30" t="s">
        <v>776</v>
      </c>
      <c r="T2" s="29" t="s">
        <v>775</v>
      </c>
      <c r="U2" s="30" t="s">
        <v>776</v>
      </c>
      <c r="V2" s="29" t="s">
        <v>775</v>
      </c>
      <c r="W2" s="30" t="s">
        <v>776</v>
      </c>
      <c r="X2" s="29" t="s">
        <v>775</v>
      </c>
      <c r="Y2" s="30" t="s">
        <v>776</v>
      </c>
      <c r="Z2" s="31"/>
      <c r="AA2" s="31"/>
      <c r="AB2" s="32"/>
      <c r="AC2" s="32"/>
      <c r="AD2" s="32"/>
      <c r="AE2" s="32"/>
      <c r="AF2" s="32"/>
      <c r="AG2" s="32"/>
      <c r="AH2" s="32"/>
      <c r="AI2" s="32"/>
    </row>
    <row r="3">
      <c r="A3" s="33" t="s">
        <v>777</v>
      </c>
      <c r="B3" s="34">
        <v>128.0</v>
      </c>
      <c r="C3" s="14" t="s">
        <v>778</v>
      </c>
      <c r="D3" s="34">
        <v>248.0</v>
      </c>
      <c r="E3" s="14" t="s">
        <v>779</v>
      </c>
      <c r="F3" s="34">
        <v>184.0</v>
      </c>
      <c r="G3" s="14" t="s">
        <v>780</v>
      </c>
      <c r="H3" s="34">
        <v>232.0</v>
      </c>
      <c r="I3" s="14" t="s">
        <v>781</v>
      </c>
      <c r="J3" s="34">
        <v>156.0</v>
      </c>
      <c r="K3" s="14" t="s">
        <v>782</v>
      </c>
      <c r="L3" s="34">
        <v>142.0</v>
      </c>
      <c r="M3" s="14" t="s">
        <v>783</v>
      </c>
      <c r="N3" s="34">
        <v>132.0</v>
      </c>
      <c r="O3" s="31"/>
      <c r="P3" s="31"/>
      <c r="Q3" s="34"/>
      <c r="R3" s="35" t="s">
        <v>784</v>
      </c>
      <c r="S3" s="36">
        <v>205.0</v>
      </c>
      <c r="T3" s="35" t="s">
        <v>785</v>
      </c>
      <c r="U3" s="36">
        <v>208.0</v>
      </c>
      <c r="V3" s="35" t="s">
        <v>786</v>
      </c>
      <c r="W3" s="36">
        <v>179.0</v>
      </c>
      <c r="X3" s="35" t="s">
        <v>787</v>
      </c>
      <c r="Y3" s="36">
        <v>181.0</v>
      </c>
      <c r="Z3" s="14"/>
      <c r="AA3" s="31"/>
    </row>
    <row r="4">
      <c r="A4" s="33" t="s">
        <v>788</v>
      </c>
      <c r="B4" s="34">
        <v>132.0</v>
      </c>
      <c r="C4" s="14" t="s">
        <v>789</v>
      </c>
      <c r="D4" s="34">
        <v>254.0</v>
      </c>
      <c r="E4" s="14" t="s">
        <v>787</v>
      </c>
      <c r="F4" s="34">
        <v>165.0</v>
      </c>
      <c r="G4" s="14" t="s">
        <v>790</v>
      </c>
      <c r="H4" s="34">
        <v>149.0</v>
      </c>
      <c r="I4" s="14" t="s">
        <v>791</v>
      </c>
      <c r="J4" s="34">
        <v>189.0</v>
      </c>
      <c r="K4" s="33" t="s">
        <v>792</v>
      </c>
      <c r="L4" s="34">
        <v>132.0</v>
      </c>
      <c r="M4" s="14" t="s">
        <v>793</v>
      </c>
      <c r="N4" s="34">
        <v>143.0</v>
      </c>
      <c r="O4" s="31"/>
      <c r="P4" s="31"/>
      <c r="Q4" s="34"/>
      <c r="R4" s="35" t="s">
        <v>794</v>
      </c>
      <c r="S4" s="36">
        <v>156.0</v>
      </c>
      <c r="T4" s="35" t="s">
        <v>795</v>
      </c>
      <c r="U4" s="36">
        <v>163.0</v>
      </c>
      <c r="V4" s="35" t="s">
        <v>787</v>
      </c>
      <c r="W4" s="36">
        <v>234.0</v>
      </c>
      <c r="X4" s="35" t="s">
        <v>795</v>
      </c>
      <c r="Y4" s="36">
        <v>184.0</v>
      </c>
      <c r="Z4" s="14"/>
      <c r="AA4" s="31"/>
    </row>
    <row r="5">
      <c r="A5" s="33" t="s">
        <v>796</v>
      </c>
      <c r="B5" s="34">
        <v>136.0</v>
      </c>
      <c r="C5" s="14" t="s">
        <v>797</v>
      </c>
      <c r="D5" s="34">
        <v>141.0</v>
      </c>
      <c r="E5" s="14" t="s">
        <v>798</v>
      </c>
      <c r="F5" s="34">
        <v>199.0</v>
      </c>
      <c r="G5" s="14" t="s">
        <v>799</v>
      </c>
      <c r="H5" s="34">
        <v>136.0</v>
      </c>
      <c r="I5" s="14" t="s">
        <v>792</v>
      </c>
      <c r="J5" s="34">
        <v>186.0</v>
      </c>
      <c r="K5" s="14" t="s">
        <v>783</v>
      </c>
      <c r="L5" s="34">
        <v>175.0</v>
      </c>
      <c r="M5" s="33" t="s">
        <v>800</v>
      </c>
      <c r="N5" s="34">
        <v>160.0</v>
      </c>
      <c r="O5" s="31"/>
      <c r="P5" s="31"/>
      <c r="Q5" s="34"/>
      <c r="R5" s="35" t="s">
        <v>801</v>
      </c>
      <c r="S5" s="36">
        <v>253.0</v>
      </c>
      <c r="T5" s="35" t="s">
        <v>802</v>
      </c>
      <c r="U5" s="36">
        <v>223.0</v>
      </c>
      <c r="V5" s="37" t="s">
        <v>803</v>
      </c>
      <c r="W5" s="36">
        <v>178.0</v>
      </c>
      <c r="X5" s="35" t="s">
        <v>804</v>
      </c>
      <c r="Y5" s="36">
        <v>163.0</v>
      </c>
      <c r="Z5" s="14"/>
      <c r="AA5" s="31"/>
    </row>
    <row r="6">
      <c r="A6" s="33" t="s">
        <v>792</v>
      </c>
      <c r="B6" s="34">
        <v>140.0</v>
      </c>
      <c r="C6" s="14" t="s">
        <v>805</v>
      </c>
      <c r="D6" s="34">
        <v>178.0</v>
      </c>
      <c r="E6" s="14" t="s">
        <v>806</v>
      </c>
      <c r="F6" s="34">
        <v>203.0</v>
      </c>
      <c r="G6" s="14" t="s">
        <v>782</v>
      </c>
      <c r="H6" s="34">
        <v>178.0</v>
      </c>
      <c r="I6" s="14" t="s">
        <v>807</v>
      </c>
      <c r="J6" s="34">
        <v>153.0</v>
      </c>
      <c r="K6" s="14" t="s">
        <v>793</v>
      </c>
      <c r="L6" s="34">
        <v>143.0</v>
      </c>
      <c r="M6" s="14" t="s">
        <v>780</v>
      </c>
      <c r="N6" s="34">
        <v>172.0</v>
      </c>
      <c r="O6" s="31"/>
      <c r="P6" s="31"/>
      <c r="Q6" s="34"/>
      <c r="R6" s="35" t="s">
        <v>808</v>
      </c>
      <c r="S6" s="36">
        <v>185.0</v>
      </c>
      <c r="T6" s="35" t="s">
        <v>798</v>
      </c>
      <c r="U6" s="36">
        <v>203.0</v>
      </c>
      <c r="V6" s="37" t="s">
        <v>809</v>
      </c>
      <c r="W6" s="36">
        <v>201.0</v>
      </c>
      <c r="X6" s="35" t="s">
        <v>810</v>
      </c>
      <c r="Y6" s="36">
        <v>165.0</v>
      </c>
      <c r="Z6" s="14"/>
      <c r="AA6" s="31"/>
    </row>
    <row r="7">
      <c r="A7" s="33" t="s">
        <v>811</v>
      </c>
      <c r="B7" s="34">
        <v>144.0</v>
      </c>
      <c r="C7" s="14" t="s">
        <v>812</v>
      </c>
      <c r="D7" s="34">
        <v>174.0</v>
      </c>
      <c r="E7" s="14" t="s">
        <v>813</v>
      </c>
      <c r="F7" s="34">
        <v>192.0</v>
      </c>
      <c r="G7" s="14" t="s">
        <v>814</v>
      </c>
      <c r="H7" s="34">
        <v>164.0</v>
      </c>
      <c r="I7" s="14" t="s">
        <v>784</v>
      </c>
      <c r="J7" s="34">
        <v>253.0</v>
      </c>
      <c r="K7" s="33" t="s">
        <v>811</v>
      </c>
      <c r="L7" s="34">
        <v>160.0</v>
      </c>
      <c r="M7" s="14" t="s">
        <v>804</v>
      </c>
      <c r="N7" s="34">
        <v>163.0</v>
      </c>
      <c r="O7" s="31"/>
      <c r="P7" s="31"/>
      <c r="Q7" s="34"/>
      <c r="R7" s="35" t="s">
        <v>815</v>
      </c>
      <c r="S7" s="36">
        <v>178.0</v>
      </c>
      <c r="T7" s="35" t="s">
        <v>787</v>
      </c>
      <c r="U7" s="36">
        <v>142.0</v>
      </c>
      <c r="V7" s="37" t="s">
        <v>816</v>
      </c>
      <c r="W7" s="36">
        <v>133.0</v>
      </c>
      <c r="X7" s="35" t="s">
        <v>817</v>
      </c>
      <c r="Y7" s="36">
        <v>192.0</v>
      </c>
      <c r="Z7" s="14"/>
      <c r="AA7" s="31"/>
    </row>
    <row r="8">
      <c r="A8" s="33" t="s">
        <v>818</v>
      </c>
      <c r="B8" s="34">
        <v>148.0</v>
      </c>
      <c r="C8" s="14" t="s">
        <v>819</v>
      </c>
      <c r="D8" s="34">
        <v>236.0</v>
      </c>
      <c r="E8" s="14" t="s">
        <v>820</v>
      </c>
      <c r="F8" s="34">
        <v>230.0</v>
      </c>
      <c r="G8" s="14" t="s">
        <v>821</v>
      </c>
      <c r="H8" s="34">
        <v>185.0</v>
      </c>
      <c r="I8" s="14" t="s">
        <v>789</v>
      </c>
      <c r="J8" s="34">
        <v>174.0</v>
      </c>
      <c r="K8" s="33" t="s">
        <v>800</v>
      </c>
      <c r="L8" s="34">
        <v>172.0</v>
      </c>
      <c r="M8" s="33" t="s">
        <v>822</v>
      </c>
      <c r="N8" s="34">
        <v>147.0</v>
      </c>
      <c r="O8" s="31"/>
      <c r="P8" s="31"/>
      <c r="Q8" s="34"/>
      <c r="R8" s="35" t="s">
        <v>823</v>
      </c>
      <c r="S8" s="36">
        <v>238.0</v>
      </c>
      <c r="T8" s="35" t="s">
        <v>824</v>
      </c>
      <c r="U8" s="36">
        <v>248.0</v>
      </c>
      <c r="V8" s="37" t="s">
        <v>799</v>
      </c>
      <c r="W8" s="36">
        <v>163.0</v>
      </c>
      <c r="X8" s="35" t="s">
        <v>825</v>
      </c>
      <c r="Y8" s="36">
        <v>209.0</v>
      </c>
      <c r="Z8" s="14"/>
      <c r="AA8" s="31"/>
    </row>
    <row r="9">
      <c r="A9" s="33" t="s">
        <v>826</v>
      </c>
      <c r="B9" s="34">
        <v>152.0</v>
      </c>
      <c r="C9" s="14" t="s">
        <v>795</v>
      </c>
      <c r="D9" s="34">
        <v>208.0</v>
      </c>
      <c r="E9" s="14" t="s">
        <v>827</v>
      </c>
      <c r="F9" s="34">
        <v>248.0</v>
      </c>
      <c r="G9" s="14" t="s">
        <v>828</v>
      </c>
      <c r="H9" s="34">
        <v>146.0</v>
      </c>
      <c r="I9" s="14" t="s">
        <v>808</v>
      </c>
      <c r="J9" s="34">
        <v>219.0</v>
      </c>
      <c r="K9" s="33" t="s">
        <v>816</v>
      </c>
      <c r="L9" s="34">
        <v>167.0</v>
      </c>
      <c r="M9" s="14" t="s">
        <v>782</v>
      </c>
      <c r="N9" s="34">
        <v>175.0</v>
      </c>
      <c r="O9" s="31"/>
      <c r="P9" s="31"/>
      <c r="Q9" s="34"/>
      <c r="R9" s="35" t="s">
        <v>803</v>
      </c>
      <c r="S9" s="36">
        <v>153.0</v>
      </c>
      <c r="T9" s="35" t="s">
        <v>813</v>
      </c>
      <c r="U9" s="36">
        <v>230.0</v>
      </c>
      <c r="V9" s="37" t="s">
        <v>782</v>
      </c>
      <c r="W9" s="36">
        <v>224.0</v>
      </c>
      <c r="X9" s="35" t="s">
        <v>801</v>
      </c>
      <c r="Y9" s="36">
        <v>142.0</v>
      </c>
      <c r="Z9" s="14"/>
      <c r="AA9" s="31"/>
    </row>
    <row r="10">
      <c r="A10" s="33" t="s">
        <v>820</v>
      </c>
      <c r="B10" s="34">
        <v>156.0</v>
      </c>
      <c r="C10" s="14" t="s">
        <v>829</v>
      </c>
      <c r="D10" s="34">
        <v>153.0</v>
      </c>
      <c r="E10" s="14" t="s">
        <v>830</v>
      </c>
      <c r="F10" s="34">
        <v>196.0</v>
      </c>
      <c r="G10" s="14" t="s">
        <v>831</v>
      </c>
      <c r="H10" s="34">
        <v>201.0</v>
      </c>
      <c r="I10" s="14" t="s">
        <v>832</v>
      </c>
      <c r="J10" s="34">
        <v>196.0</v>
      </c>
      <c r="K10" s="14" t="s">
        <v>780</v>
      </c>
      <c r="L10" s="34">
        <v>163.0</v>
      </c>
      <c r="M10" s="33" t="s">
        <v>811</v>
      </c>
      <c r="N10" s="34">
        <v>146.0</v>
      </c>
      <c r="O10" s="31"/>
      <c r="P10" s="31"/>
      <c r="Q10" s="34"/>
      <c r="R10" s="35" t="s">
        <v>833</v>
      </c>
      <c r="S10" s="36">
        <v>202.0</v>
      </c>
      <c r="T10" s="35" t="s">
        <v>825</v>
      </c>
      <c r="U10" s="36">
        <v>184.0</v>
      </c>
      <c r="V10" s="37" t="s">
        <v>814</v>
      </c>
      <c r="W10" s="36">
        <v>238.0</v>
      </c>
      <c r="X10" s="35" t="s">
        <v>799</v>
      </c>
      <c r="Y10" s="36">
        <v>141.0</v>
      </c>
      <c r="Z10" s="14"/>
      <c r="AA10" s="31"/>
    </row>
    <row r="11">
      <c r="A11" s="33" t="s">
        <v>800</v>
      </c>
      <c r="B11" s="34">
        <v>160.0</v>
      </c>
      <c r="C11" s="14" t="s">
        <v>834</v>
      </c>
      <c r="D11" s="34">
        <v>209.0</v>
      </c>
      <c r="E11" s="14" t="s">
        <v>817</v>
      </c>
      <c r="F11" s="34">
        <v>167.0</v>
      </c>
      <c r="G11" s="14" t="s">
        <v>835</v>
      </c>
      <c r="H11" s="34">
        <v>254.0</v>
      </c>
      <c r="I11" s="14" t="s">
        <v>823</v>
      </c>
      <c r="J11" s="34">
        <v>223.0</v>
      </c>
      <c r="K11" s="33" t="s">
        <v>777</v>
      </c>
      <c r="L11" s="22"/>
      <c r="M11" s="33" t="s">
        <v>816</v>
      </c>
      <c r="N11" s="34">
        <v>174.0</v>
      </c>
      <c r="O11" s="31"/>
      <c r="P11" s="31"/>
      <c r="Q11" s="34"/>
      <c r="R11" s="35" t="s">
        <v>830</v>
      </c>
      <c r="S11" s="36">
        <v>223.0</v>
      </c>
      <c r="T11" s="35" t="s">
        <v>801</v>
      </c>
      <c r="U11" s="36">
        <v>141.0</v>
      </c>
      <c r="V11" s="37" t="s">
        <v>821</v>
      </c>
      <c r="W11" s="36">
        <v>223.0</v>
      </c>
      <c r="X11" s="35" t="s">
        <v>836</v>
      </c>
      <c r="Y11" s="36">
        <v>199.0</v>
      </c>
      <c r="Z11" s="14"/>
      <c r="AA11" s="32"/>
    </row>
    <row r="12">
      <c r="A12" s="33" t="s">
        <v>816</v>
      </c>
      <c r="B12" s="34">
        <v>164.0</v>
      </c>
      <c r="C12" s="14" t="s">
        <v>837</v>
      </c>
      <c r="D12" s="34">
        <v>164.0</v>
      </c>
      <c r="E12" s="14" t="s">
        <v>825</v>
      </c>
      <c r="F12" s="34">
        <v>254.0</v>
      </c>
      <c r="G12" s="14" t="s">
        <v>784</v>
      </c>
      <c r="H12" s="34">
        <v>191.0</v>
      </c>
      <c r="I12" s="14" t="s">
        <v>833</v>
      </c>
      <c r="J12" s="34">
        <v>185.0</v>
      </c>
      <c r="K12" s="33" t="s">
        <v>822</v>
      </c>
      <c r="L12" s="22"/>
      <c r="M12" s="33" t="s">
        <v>838</v>
      </c>
      <c r="N12" s="34">
        <v>142.0</v>
      </c>
      <c r="O12" s="31"/>
      <c r="P12" s="31"/>
      <c r="Q12" s="34"/>
      <c r="R12" s="35" t="s">
        <v>839</v>
      </c>
      <c r="S12" s="36">
        <v>130.0</v>
      </c>
      <c r="T12" s="35" t="s">
        <v>820</v>
      </c>
      <c r="U12" s="36">
        <v>172.0</v>
      </c>
      <c r="V12" s="37" t="s">
        <v>792</v>
      </c>
      <c r="W12" s="36">
        <v>153.0</v>
      </c>
      <c r="X12" s="35" t="s">
        <v>797</v>
      </c>
      <c r="Y12" s="36">
        <v>223.0</v>
      </c>
      <c r="Z12" s="14"/>
      <c r="AA12" s="32"/>
    </row>
    <row r="13">
      <c r="A13" s="33" t="s">
        <v>780</v>
      </c>
      <c r="B13" s="34">
        <v>168.0</v>
      </c>
      <c r="C13" s="14" t="s">
        <v>836</v>
      </c>
      <c r="D13" s="34">
        <v>195.0</v>
      </c>
      <c r="E13" s="14" t="s">
        <v>793</v>
      </c>
      <c r="F13" s="34">
        <v>141.0</v>
      </c>
      <c r="G13" s="14" t="s">
        <v>803</v>
      </c>
      <c r="H13" s="34">
        <v>199.0</v>
      </c>
      <c r="I13" s="14" t="s">
        <v>830</v>
      </c>
      <c r="J13" s="34">
        <v>130.0</v>
      </c>
      <c r="K13" s="14" t="s">
        <v>804</v>
      </c>
      <c r="L13" s="22"/>
      <c r="M13" s="14" t="s">
        <v>792</v>
      </c>
      <c r="N13" s="34">
        <v>167.0</v>
      </c>
      <c r="O13" s="31"/>
      <c r="P13" s="31"/>
      <c r="Q13" s="34"/>
      <c r="R13" s="35" t="s">
        <v>781</v>
      </c>
      <c r="S13" s="36">
        <v>179.0</v>
      </c>
      <c r="T13" s="35" t="s">
        <v>840</v>
      </c>
      <c r="U13" s="36">
        <v>236.0</v>
      </c>
      <c r="V13" s="37" t="s">
        <v>835</v>
      </c>
      <c r="W13" s="36">
        <v>173.0</v>
      </c>
      <c r="X13" s="35" t="s">
        <v>789</v>
      </c>
      <c r="Y13" s="36">
        <v>208.0</v>
      </c>
      <c r="Z13" s="14"/>
    </row>
    <row r="14">
      <c r="A14" s="33" t="s">
        <v>841</v>
      </c>
      <c r="B14" s="34">
        <v>172.0</v>
      </c>
      <c r="C14" s="14" t="s">
        <v>787</v>
      </c>
      <c r="D14" s="34">
        <v>172.0</v>
      </c>
      <c r="E14" s="14" t="s">
        <v>795</v>
      </c>
      <c r="F14" s="34">
        <v>178.0</v>
      </c>
      <c r="G14" s="14" t="s">
        <v>834</v>
      </c>
      <c r="H14" s="34">
        <v>170.0</v>
      </c>
      <c r="I14" s="14" t="s">
        <v>842</v>
      </c>
      <c r="J14" s="34">
        <v>250.0</v>
      </c>
      <c r="K14" s="14" t="s">
        <v>843</v>
      </c>
      <c r="L14" s="22"/>
      <c r="M14" s="14" t="s">
        <v>843</v>
      </c>
      <c r="N14" s="34"/>
      <c r="O14" s="31"/>
      <c r="P14" s="31"/>
      <c r="Q14" s="34"/>
      <c r="R14" s="35" t="s">
        <v>788</v>
      </c>
      <c r="S14" s="36">
        <v>149.0</v>
      </c>
      <c r="T14" s="35" t="s">
        <v>817</v>
      </c>
      <c r="U14" s="36">
        <v>192.0</v>
      </c>
      <c r="V14" s="37" t="s">
        <v>784</v>
      </c>
      <c r="W14" s="36">
        <v>225.0</v>
      </c>
      <c r="X14" s="35" t="s">
        <v>840</v>
      </c>
      <c r="Y14" s="36">
        <v>147.0</v>
      </c>
      <c r="Z14" s="14"/>
    </row>
    <row r="15">
      <c r="A15" s="33" t="s">
        <v>844</v>
      </c>
      <c r="B15" s="34">
        <v>176.0</v>
      </c>
      <c r="C15" s="14" t="s">
        <v>845</v>
      </c>
      <c r="D15" s="34">
        <v>220.0</v>
      </c>
      <c r="E15" s="14" t="s">
        <v>812</v>
      </c>
      <c r="F15" s="34">
        <v>223.0</v>
      </c>
      <c r="G15" s="14" t="s">
        <v>820</v>
      </c>
      <c r="H15" s="34">
        <v>140.0</v>
      </c>
      <c r="I15" s="14" t="s">
        <v>816</v>
      </c>
      <c r="J15" s="34">
        <v>232.0</v>
      </c>
      <c r="K15" s="14"/>
      <c r="L15" s="34"/>
      <c r="M15" s="33" t="s">
        <v>777</v>
      </c>
      <c r="N15" s="34"/>
      <c r="O15" s="31"/>
      <c r="P15" s="31"/>
      <c r="Q15" s="34"/>
      <c r="R15" s="35" t="s">
        <v>807</v>
      </c>
      <c r="S15" s="36">
        <v>164.0</v>
      </c>
      <c r="T15" s="35" t="s">
        <v>799</v>
      </c>
      <c r="U15" s="36">
        <v>199.0</v>
      </c>
      <c r="V15" s="37" t="s">
        <v>846</v>
      </c>
      <c r="W15" s="36">
        <v>186.0</v>
      </c>
      <c r="X15" s="35" t="s">
        <v>847</v>
      </c>
      <c r="Y15" s="36">
        <v>196.0</v>
      </c>
    </row>
    <row r="16">
      <c r="A16" s="33" t="s">
        <v>779</v>
      </c>
      <c r="B16" s="34">
        <v>180.0</v>
      </c>
      <c r="C16" s="14" t="s">
        <v>830</v>
      </c>
      <c r="D16" s="34">
        <v>204.0</v>
      </c>
      <c r="E16" s="14" t="s">
        <v>840</v>
      </c>
      <c r="F16" s="34">
        <v>174.0</v>
      </c>
      <c r="G16" s="14" t="s">
        <v>810</v>
      </c>
      <c r="H16" s="34">
        <v>205.0</v>
      </c>
      <c r="I16" s="14" t="s">
        <v>815</v>
      </c>
      <c r="J16" s="34">
        <v>149.0</v>
      </c>
      <c r="K16" s="14"/>
      <c r="L16" s="34"/>
      <c r="M16" s="14"/>
      <c r="N16" s="34"/>
      <c r="O16" s="31"/>
      <c r="P16" s="31"/>
      <c r="Q16" s="34"/>
      <c r="R16" s="35" t="s">
        <v>786</v>
      </c>
      <c r="S16" s="36">
        <v>186.0</v>
      </c>
      <c r="T16" s="35" t="s">
        <v>789</v>
      </c>
      <c r="U16" s="36">
        <v>209.0</v>
      </c>
      <c r="V16" s="37" t="s">
        <v>847</v>
      </c>
      <c r="W16" s="36">
        <v>134.0</v>
      </c>
      <c r="X16" s="35" t="s">
        <v>793</v>
      </c>
      <c r="Y16" s="36">
        <v>140.0</v>
      </c>
    </row>
    <row r="17">
      <c r="A17" s="33" t="s">
        <v>838</v>
      </c>
      <c r="B17" s="34">
        <v>184.0</v>
      </c>
      <c r="C17" s="14" t="s">
        <v>804</v>
      </c>
      <c r="D17" s="34">
        <v>170.0</v>
      </c>
      <c r="E17" s="14" t="s">
        <v>836</v>
      </c>
      <c r="F17" s="34">
        <v>236.0</v>
      </c>
      <c r="G17" s="14" t="s">
        <v>848</v>
      </c>
      <c r="H17" s="34">
        <v>134.0</v>
      </c>
      <c r="I17" s="14" t="s">
        <v>828</v>
      </c>
      <c r="J17" s="34">
        <v>234.0</v>
      </c>
      <c r="K17" s="14"/>
      <c r="L17" s="34"/>
      <c r="M17" s="14"/>
      <c r="N17" s="34"/>
      <c r="O17" s="31"/>
      <c r="P17" s="31"/>
      <c r="Q17" s="34"/>
      <c r="R17" s="35" t="s">
        <v>845</v>
      </c>
      <c r="S17" s="36">
        <v>134.0</v>
      </c>
      <c r="T17" s="35" t="s">
        <v>797</v>
      </c>
      <c r="U17" s="36">
        <v>167.0</v>
      </c>
      <c r="V17" s="37" t="s">
        <v>810</v>
      </c>
      <c r="W17" s="38"/>
      <c r="X17" s="35" t="s">
        <v>849</v>
      </c>
      <c r="Y17" s="36">
        <v>207.0</v>
      </c>
    </row>
    <row r="18">
      <c r="A18" s="33" t="s">
        <v>822</v>
      </c>
      <c r="B18" s="34">
        <v>188.0</v>
      </c>
      <c r="C18" s="14" t="s">
        <v>810</v>
      </c>
      <c r="D18" s="34">
        <v>147.0</v>
      </c>
      <c r="E18" s="14" t="s">
        <v>778</v>
      </c>
      <c r="F18" s="34">
        <v>208.0</v>
      </c>
      <c r="G18" s="14" t="s">
        <v>841</v>
      </c>
      <c r="H18" s="34">
        <v>179.0</v>
      </c>
      <c r="I18" s="14" t="s">
        <v>804</v>
      </c>
      <c r="J18" s="34">
        <v>136.0</v>
      </c>
      <c r="K18" s="14"/>
      <c r="L18" s="34"/>
      <c r="N18" s="34"/>
      <c r="O18" s="31"/>
      <c r="P18" s="31"/>
      <c r="Q18" s="34"/>
      <c r="R18" s="35" t="s">
        <v>809</v>
      </c>
      <c r="S18" s="36">
        <v>146.0</v>
      </c>
      <c r="T18" s="35" t="s">
        <v>810</v>
      </c>
      <c r="U18" s="36">
        <v>196.0</v>
      </c>
      <c r="V18" s="37" t="s">
        <v>848</v>
      </c>
      <c r="W18" s="38"/>
      <c r="X18" s="39"/>
      <c r="Y18" s="36">
        <v>225.0</v>
      </c>
      <c r="AC18" s="14"/>
    </row>
    <row r="19">
      <c r="A19" s="33" t="s">
        <v>813</v>
      </c>
      <c r="B19" s="34">
        <v>192.0</v>
      </c>
      <c r="C19" s="14" t="s">
        <v>820</v>
      </c>
      <c r="D19" s="34">
        <v>214.0</v>
      </c>
      <c r="E19" s="14" t="s">
        <v>789</v>
      </c>
      <c r="F19" s="34">
        <v>142.0</v>
      </c>
      <c r="G19" s="14" t="s">
        <v>850</v>
      </c>
      <c r="H19" s="34">
        <v>234.0</v>
      </c>
      <c r="I19" s="14" t="s">
        <v>851</v>
      </c>
      <c r="J19" s="34">
        <v>178.0</v>
      </c>
      <c r="K19" s="14"/>
      <c r="L19" s="34"/>
      <c r="N19" s="34"/>
      <c r="O19" s="31"/>
      <c r="P19" s="31"/>
      <c r="Q19" s="34"/>
      <c r="R19" s="35" t="s">
        <v>846</v>
      </c>
      <c r="S19" s="36">
        <v>173.0</v>
      </c>
      <c r="T19" s="35" t="s">
        <v>830</v>
      </c>
      <c r="U19" s="36">
        <v>207.0</v>
      </c>
      <c r="V19" s="37" t="s">
        <v>850</v>
      </c>
      <c r="W19" s="40"/>
      <c r="X19" s="39"/>
      <c r="Y19" s="36">
        <v>172.0</v>
      </c>
    </row>
    <row r="20">
      <c r="A20" s="33" t="s">
        <v>852</v>
      </c>
      <c r="B20" s="34">
        <v>196.0</v>
      </c>
      <c r="C20" s="14" t="s">
        <v>801</v>
      </c>
      <c r="D20" s="34">
        <v>181.0</v>
      </c>
      <c r="E20" s="14" t="s">
        <v>797</v>
      </c>
      <c r="F20" s="34">
        <v>153.0</v>
      </c>
      <c r="G20" s="14" t="s">
        <v>853</v>
      </c>
      <c r="H20" s="34">
        <v>233.0</v>
      </c>
      <c r="I20" s="14" t="s">
        <v>780</v>
      </c>
      <c r="J20" s="34">
        <v>164.0</v>
      </c>
      <c r="K20" s="14"/>
      <c r="L20" s="34"/>
      <c r="N20" s="22"/>
      <c r="O20" s="31"/>
      <c r="P20" s="31"/>
      <c r="Q20" s="34"/>
      <c r="R20" s="35" t="s">
        <v>787</v>
      </c>
      <c r="S20" s="36">
        <v>233.0</v>
      </c>
      <c r="T20" s="35" t="s">
        <v>829</v>
      </c>
      <c r="U20" s="36">
        <v>225.0</v>
      </c>
      <c r="V20" s="37" t="s">
        <v>854</v>
      </c>
      <c r="W20" s="40"/>
      <c r="X20" s="39"/>
      <c r="Y20" s="38"/>
    </row>
    <row r="21">
      <c r="A21" s="33" t="s">
        <v>786</v>
      </c>
      <c r="B21" s="34">
        <v>200.0</v>
      </c>
      <c r="C21" s="14" t="s">
        <v>840</v>
      </c>
      <c r="D21" s="34">
        <v>223.0</v>
      </c>
      <c r="E21" s="14" t="s">
        <v>855</v>
      </c>
      <c r="F21" s="34">
        <v>209.0</v>
      </c>
      <c r="G21" s="14" t="s">
        <v>856</v>
      </c>
      <c r="H21" s="34">
        <v>194.0</v>
      </c>
      <c r="I21" s="14" t="s">
        <v>835</v>
      </c>
      <c r="J21" s="34">
        <v>137.0</v>
      </c>
      <c r="K21" s="14"/>
      <c r="L21" s="34"/>
      <c r="N21" s="22"/>
      <c r="O21" s="31"/>
      <c r="P21" s="31"/>
      <c r="Q21" s="34"/>
      <c r="R21" s="35" t="s">
        <v>847</v>
      </c>
      <c r="S21" s="36">
        <v>254.0</v>
      </c>
      <c r="T21" s="35" t="s">
        <v>779</v>
      </c>
      <c r="U21" s="36">
        <v>195.0</v>
      </c>
      <c r="V21" s="37" t="s">
        <v>807</v>
      </c>
      <c r="W21" s="40"/>
      <c r="X21" s="39"/>
      <c r="Y21" s="38"/>
      <c r="AA21" s="32"/>
    </row>
    <row r="22">
      <c r="A22" s="33" t="s">
        <v>857</v>
      </c>
      <c r="B22" s="34">
        <v>204.0</v>
      </c>
      <c r="C22" s="14" t="s">
        <v>799</v>
      </c>
      <c r="D22" s="34">
        <v>167.0</v>
      </c>
      <c r="E22" s="14" t="s">
        <v>801</v>
      </c>
      <c r="F22" s="34">
        <v>225.0</v>
      </c>
      <c r="G22" s="14" t="s">
        <v>854</v>
      </c>
      <c r="H22" s="34">
        <v>137.0</v>
      </c>
      <c r="I22" s="14" t="s">
        <v>788</v>
      </c>
      <c r="J22" s="34">
        <v>146.0</v>
      </c>
      <c r="K22" s="14"/>
      <c r="L22" s="34"/>
      <c r="N22" s="22"/>
      <c r="O22" s="31"/>
      <c r="P22" s="31"/>
      <c r="Q22" s="34"/>
      <c r="R22" s="35" t="s">
        <v>851</v>
      </c>
      <c r="S22" s="36">
        <v>133.0</v>
      </c>
      <c r="T22" s="35" t="s">
        <v>847</v>
      </c>
      <c r="U22" s="36">
        <v>147.0</v>
      </c>
      <c r="V22" s="37" t="s">
        <v>839</v>
      </c>
      <c r="W22" s="40"/>
      <c r="X22" s="39"/>
      <c r="Y22" s="38"/>
      <c r="AA22" s="32"/>
    </row>
    <row r="23">
      <c r="A23" s="33" t="s">
        <v>856</v>
      </c>
      <c r="B23" s="34">
        <v>208.0</v>
      </c>
      <c r="C23" s="14" t="s">
        <v>847</v>
      </c>
      <c r="D23" s="34">
        <v>207.0</v>
      </c>
      <c r="E23" s="14" t="s">
        <v>810</v>
      </c>
      <c r="F23" s="34">
        <v>164.0</v>
      </c>
      <c r="G23" s="14" t="s">
        <v>807</v>
      </c>
      <c r="H23" s="34">
        <v>238.0</v>
      </c>
      <c r="I23" s="14" t="s">
        <v>839</v>
      </c>
      <c r="J23" s="34">
        <v>173.0</v>
      </c>
      <c r="K23" s="14"/>
      <c r="L23" s="34"/>
      <c r="N23" s="22"/>
      <c r="O23" s="31"/>
      <c r="P23" s="31"/>
      <c r="Q23" s="34"/>
      <c r="R23" s="35" t="s">
        <v>780</v>
      </c>
      <c r="S23" s="36">
        <v>199.0</v>
      </c>
      <c r="T23" s="35" t="s">
        <v>836</v>
      </c>
      <c r="U23" s="38"/>
      <c r="V23" s="37" t="s">
        <v>778</v>
      </c>
      <c r="W23" s="40"/>
      <c r="X23" s="39"/>
      <c r="Y23" s="40"/>
      <c r="AA23" s="32"/>
    </row>
    <row r="24">
      <c r="A24" s="33" t="s">
        <v>858</v>
      </c>
      <c r="B24" s="34">
        <v>212.0</v>
      </c>
      <c r="C24" s="14" t="s">
        <v>824</v>
      </c>
      <c r="D24" s="34">
        <v>163.0</v>
      </c>
      <c r="E24" s="14" t="s">
        <v>799</v>
      </c>
      <c r="F24" s="34">
        <v>207.0</v>
      </c>
      <c r="G24" s="14" t="s">
        <v>859</v>
      </c>
      <c r="H24" s="34">
        <v>173.0</v>
      </c>
      <c r="I24" s="14" t="s">
        <v>786</v>
      </c>
      <c r="J24" s="34">
        <v>233.0</v>
      </c>
      <c r="K24" s="14"/>
      <c r="L24" s="34"/>
      <c r="N24" s="22"/>
      <c r="O24" s="31"/>
      <c r="P24" s="31"/>
      <c r="Q24" s="34"/>
      <c r="R24" s="35" t="s">
        <v>860</v>
      </c>
      <c r="S24" s="36">
        <v>221.0</v>
      </c>
      <c r="T24" s="35" t="s">
        <v>849</v>
      </c>
      <c r="U24" s="38"/>
      <c r="V24" s="37" t="s">
        <v>861</v>
      </c>
      <c r="W24" s="40"/>
      <c r="X24" s="39"/>
      <c r="Y24" s="40"/>
      <c r="AA24" s="32"/>
    </row>
    <row r="25">
      <c r="A25" s="33" t="s">
        <v>824</v>
      </c>
      <c r="B25" s="34">
        <v>216.0</v>
      </c>
      <c r="C25" s="14" t="s">
        <v>849</v>
      </c>
      <c r="D25" s="34">
        <v>196.0</v>
      </c>
      <c r="E25" s="14" t="s">
        <v>829</v>
      </c>
      <c r="F25" s="34">
        <v>140.0</v>
      </c>
      <c r="G25" s="14" t="s">
        <v>839</v>
      </c>
      <c r="H25" s="34">
        <v>133.0</v>
      </c>
      <c r="I25" s="14" t="s">
        <v>803</v>
      </c>
      <c r="J25" s="34">
        <v>201.0</v>
      </c>
      <c r="K25" s="14"/>
      <c r="L25" s="34"/>
      <c r="N25" s="22"/>
      <c r="O25" s="31"/>
      <c r="P25" s="31"/>
      <c r="Q25" s="34"/>
      <c r="R25" s="35" t="s">
        <v>862</v>
      </c>
      <c r="S25" s="36">
        <v>206.0</v>
      </c>
      <c r="T25" s="39"/>
      <c r="U25" s="38"/>
      <c r="V25" s="37" t="s">
        <v>829</v>
      </c>
      <c r="W25" s="40"/>
      <c r="X25" s="39"/>
      <c r="Y25" s="40"/>
      <c r="AA25" s="32"/>
    </row>
    <row r="26">
      <c r="A26" s="33" t="s">
        <v>863</v>
      </c>
      <c r="B26" s="34">
        <v>220.0</v>
      </c>
      <c r="C26" s="14" t="s">
        <v>855</v>
      </c>
      <c r="D26" s="34">
        <v>140.0</v>
      </c>
      <c r="E26" s="14" t="s">
        <v>805</v>
      </c>
      <c r="F26" s="34">
        <v>204.0</v>
      </c>
      <c r="G26" s="14" t="s">
        <v>786</v>
      </c>
      <c r="H26" s="34">
        <v>239.0</v>
      </c>
      <c r="I26" s="14" t="s">
        <v>809</v>
      </c>
      <c r="J26" s="34">
        <v>254.0</v>
      </c>
      <c r="K26" s="14"/>
      <c r="L26" s="34"/>
      <c r="N26" s="22"/>
      <c r="O26" s="31"/>
      <c r="P26" s="31"/>
      <c r="Q26" s="34"/>
      <c r="R26" s="35" t="s">
        <v>842</v>
      </c>
      <c r="S26" s="40"/>
      <c r="T26" s="39"/>
      <c r="U26" s="40"/>
      <c r="V26" s="37" t="s">
        <v>851</v>
      </c>
      <c r="W26" s="40"/>
      <c r="X26" s="39"/>
      <c r="Y26" s="40"/>
      <c r="AA26" s="32"/>
    </row>
    <row r="27">
      <c r="A27" s="33" t="s">
        <v>864</v>
      </c>
      <c r="B27" s="34">
        <v>224.0</v>
      </c>
      <c r="C27" s="14" t="s">
        <v>865</v>
      </c>
      <c r="D27" s="34">
        <v>225.0</v>
      </c>
      <c r="E27" s="14" t="s">
        <v>847</v>
      </c>
      <c r="F27" s="34">
        <v>195.0</v>
      </c>
      <c r="G27" s="14" t="s">
        <v>804</v>
      </c>
      <c r="H27" s="34">
        <v>219.0</v>
      </c>
      <c r="I27" s="14" t="s">
        <v>861</v>
      </c>
      <c r="J27" s="34">
        <v>191.0</v>
      </c>
      <c r="K27" s="14"/>
      <c r="L27" s="34"/>
      <c r="N27" s="22"/>
      <c r="O27" s="31"/>
      <c r="P27" s="31"/>
      <c r="Q27" s="34"/>
      <c r="R27" s="35" t="s">
        <v>861</v>
      </c>
      <c r="S27" s="40"/>
      <c r="T27" s="39"/>
      <c r="U27" s="40"/>
      <c r="V27" s="41"/>
      <c r="W27" s="38"/>
      <c r="X27" s="39"/>
      <c r="Y27" s="40"/>
      <c r="AA27" s="32"/>
    </row>
    <row r="28">
      <c r="A28" s="33" t="s">
        <v>866</v>
      </c>
      <c r="B28" s="34">
        <v>228.0</v>
      </c>
      <c r="C28" s="14" t="s">
        <v>793</v>
      </c>
      <c r="D28" s="34">
        <v>142.0</v>
      </c>
      <c r="E28" s="14" t="s">
        <v>824</v>
      </c>
      <c r="F28" s="34">
        <v>172.0</v>
      </c>
      <c r="G28" s="14" t="s">
        <v>809</v>
      </c>
      <c r="H28" s="34">
        <v>225.0</v>
      </c>
      <c r="I28" s="14" t="s">
        <v>846</v>
      </c>
      <c r="J28" s="34">
        <v>133.0</v>
      </c>
      <c r="K28" s="14"/>
      <c r="L28" s="34"/>
      <c r="N28" s="22"/>
      <c r="O28" s="31"/>
      <c r="P28" s="31"/>
      <c r="Q28" s="34"/>
      <c r="R28" s="35" t="s">
        <v>816</v>
      </c>
      <c r="S28" s="40"/>
      <c r="T28" s="39"/>
      <c r="U28" s="40"/>
      <c r="V28" s="41"/>
      <c r="W28" s="38"/>
      <c r="X28" s="39"/>
      <c r="Y28" s="40"/>
      <c r="AA28" s="32"/>
    </row>
    <row r="29">
      <c r="A29" s="33" t="s">
        <v>867</v>
      </c>
      <c r="B29" s="34">
        <v>232.0</v>
      </c>
      <c r="C29" s="42" t="s">
        <v>868</v>
      </c>
      <c r="D29" s="34">
        <v>230.0</v>
      </c>
      <c r="E29" s="14" t="s">
        <v>849</v>
      </c>
      <c r="F29" s="34">
        <v>147.0</v>
      </c>
      <c r="G29" s="14" t="s">
        <v>861</v>
      </c>
      <c r="H29" s="34">
        <v>129.0</v>
      </c>
      <c r="I29" s="14" t="s">
        <v>829</v>
      </c>
      <c r="J29" s="34">
        <v>199.0</v>
      </c>
      <c r="K29" s="14"/>
      <c r="L29" s="34"/>
      <c r="N29" s="22"/>
      <c r="O29" s="31"/>
      <c r="P29" s="31"/>
      <c r="Q29" s="34"/>
      <c r="R29" s="35" t="s">
        <v>829</v>
      </c>
      <c r="S29" s="40"/>
      <c r="T29" s="39"/>
      <c r="U29" s="40"/>
      <c r="V29" s="39"/>
      <c r="W29" s="38"/>
      <c r="X29" s="39"/>
      <c r="Y29" s="40"/>
      <c r="AA29" s="32"/>
    </row>
    <row r="30">
      <c r="A30" s="33" t="s">
        <v>869</v>
      </c>
      <c r="B30" s="34">
        <v>236.0</v>
      </c>
      <c r="D30" s="43">
        <v>199.0</v>
      </c>
      <c r="E30" s="42" t="s">
        <v>804</v>
      </c>
      <c r="F30" s="34">
        <v>214.0</v>
      </c>
      <c r="G30" s="14" t="s">
        <v>846</v>
      </c>
      <c r="H30" s="34">
        <v>186.0</v>
      </c>
      <c r="I30" s="14" t="s">
        <v>799</v>
      </c>
      <c r="J30" s="34">
        <v>194.0</v>
      </c>
      <c r="K30" s="42"/>
      <c r="L30" s="34"/>
      <c r="N30" s="22"/>
      <c r="O30" s="31"/>
      <c r="P30" s="31"/>
      <c r="Q30" s="34"/>
      <c r="R30" s="35" t="s">
        <v>779</v>
      </c>
      <c r="S30" s="40"/>
      <c r="T30" s="39"/>
      <c r="U30" s="40"/>
      <c r="V30" s="39"/>
      <c r="W30" s="38"/>
      <c r="X30" s="39"/>
      <c r="Y30" s="38"/>
      <c r="AA30" s="32"/>
    </row>
    <row r="31">
      <c r="A31" s="33" t="s">
        <v>870</v>
      </c>
      <c r="B31" s="34">
        <v>240.0</v>
      </c>
      <c r="D31" s="22"/>
      <c r="F31" s="44"/>
      <c r="G31" s="14" t="s">
        <v>829</v>
      </c>
      <c r="H31" s="34">
        <v>198.0</v>
      </c>
      <c r="I31" s="14" t="s">
        <v>782</v>
      </c>
      <c r="J31" s="34">
        <v>170.0</v>
      </c>
      <c r="K31" s="32"/>
      <c r="L31" s="44"/>
      <c r="M31" s="32"/>
      <c r="N31" s="44"/>
      <c r="O31" s="32"/>
      <c r="P31" s="32"/>
      <c r="Q31" s="44"/>
      <c r="R31" s="35" t="s">
        <v>799</v>
      </c>
      <c r="S31" s="40"/>
      <c r="T31" s="39"/>
      <c r="U31" s="40"/>
      <c r="V31" s="39"/>
      <c r="W31" s="38"/>
      <c r="X31" s="39"/>
      <c r="Y31" s="38"/>
      <c r="AA31" s="32"/>
    </row>
    <row r="32">
      <c r="A32" s="33" t="s">
        <v>871</v>
      </c>
      <c r="B32" s="34">
        <v>244.0</v>
      </c>
      <c r="D32" s="34"/>
      <c r="F32" s="44"/>
      <c r="G32" s="14" t="s">
        <v>847</v>
      </c>
      <c r="H32" s="34">
        <v>224.0</v>
      </c>
      <c r="I32" s="14" t="s">
        <v>848</v>
      </c>
      <c r="J32" s="34">
        <v>140.0</v>
      </c>
      <c r="K32" s="32"/>
      <c r="L32" s="44"/>
      <c r="M32" s="32"/>
      <c r="N32" s="44"/>
      <c r="O32" s="32"/>
      <c r="P32" s="32"/>
      <c r="Q32" s="44"/>
      <c r="R32" s="35" t="s">
        <v>810</v>
      </c>
      <c r="S32" s="40"/>
      <c r="T32" s="39"/>
      <c r="U32" s="40"/>
      <c r="V32" s="39"/>
      <c r="W32" s="38"/>
      <c r="X32" s="39"/>
      <c r="Y32" s="38"/>
      <c r="AA32" s="32"/>
    </row>
    <row r="33">
      <c r="A33" s="33" t="s">
        <v>872</v>
      </c>
      <c r="B33" s="34">
        <v>248.0</v>
      </c>
      <c r="D33" s="34"/>
      <c r="F33" s="44"/>
      <c r="G33" s="14" t="s">
        <v>781</v>
      </c>
      <c r="H33" s="34">
        <v>250.0</v>
      </c>
      <c r="I33" s="14" t="s">
        <v>873</v>
      </c>
      <c r="J33" s="34">
        <v>205.0</v>
      </c>
      <c r="K33" s="32"/>
      <c r="L33" s="44"/>
      <c r="M33" s="32"/>
      <c r="N33" s="44"/>
      <c r="O33" s="32"/>
      <c r="P33" s="32"/>
      <c r="Q33" s="44"/>
      <c r="R33" s="35" t="s">
        <v>782</v>
      </c>
      <c r="S33" s="40"/>
      <c r="T33" s="39"/>
      <c r="U33" s="38"/>
      <c r="V33" s="39"/>
      <c r="W33" s="38"/>
      <c r="X33" s="39"/>
      <c r="Y33" s="38"/>
      <c r="AA33" s="32"/>
    </row>
    <row r="34">
      <c r="A34" s="33" t="s">
        <v>798</v>
      </c>
      <c r="B34" s="34">
        <v>252.0</v>
      </c>
      <c r="D34" s="34"/>
      <c r="F34" s="44"/>
      <c r="G34" s="14" t="s">
        <v>832</v>
      </c>
      <c r="H34" s="44"/>
      <c r="J34" s="34">
        <v>224.0</v>
      </c>
      <c r="K34" s="32"/>
      <c r="L34" s="44"/>
      <c r="M34" s="32"/>
      <c r="N34" s="44"/>
      <c r="O34" s="32"/>
      <c r="P34" s="32"/>
      <c r="Q34" s="44"/>
      <c r="R34" s="35" t="s">
        <v>848</v>
      </c>
      <c r="S34" s="38"/>
      <c r="T34" s="39"/>
      <c r="U34" s="38"/>
      <c r="V34" s="39"/>
      <c r="W34" s="38"/>
      <c r="X34" s="39"/>
      <c r="Y34" s="38"/>
      <c r="AA34" s="32"/>
    </row>
    <row r="35">
      <c r="A35" s="45"/>
      <c r="B35" s="44"/>
      <c r="D35" s="34"/>
      <c r="F35" s="44"/>
      <c r="G35" s="14" t="s">
        <v>851</v>
      </c>
      <c r="H35" s="22"/>
      <c r="J35" s="34">
        <v>134.0</v>
      </c>
      <c r="K35" s="32"/>
      <c r="L35" s="44"/>
      <c r="M35" s="32"/>
      <c r="N35" s="44"/>
      <c r="O35" s="32"/>
      <c r="P35" s="32"/>
      <c r="Q35" s="44"/>
      <c r="R35" s="35" t="s">
        <v>873</v>
      </c>
      <c r="S35" s="38"/>
      <c r="T35" s="39"/>
      <c r="U35" s="38"/>
      <c r="V35" s="41"/>
      <c r="W35" s="38"/>
      <c r="X35" s="39"/>
      <c r="Y35" s="38"/>
      <c r="AA35" s="32"/>
    </row>
    <row r="36">
      <c r="A36" s="45"/>
      <c r="B36" s="44"/>
      <c r="D36" s="44"/>
      <c r="F36" s="44"/>
      <c r="G36" s="42" t="s">
        <v>874</v>
      </c>
      <c r="H36" s="44"/>
      <c r="J36" s="34">
        <v>238.0</v>
      </c>
      <c r="K36" s="32"/>
      <c r="L36" s="44"/>
      <c r="M36" s="32"/>
      <c r="N36" s="44"/>
      <c r="O36" s="32"/>
      <c r="P36" s="32"/>
      <c r="Q36" s="44"/>
      <c r="R36" s="39"/>
      <c r="S36" s="38"/>
      <c r="T36" s="39"/>
      <c r="U36" s="38"/>
      <c r="V36" s="41"/>
      <c r="W36" s="38"/>
      <c r="X36" s="39"/>
      <c r="Y36" s="38"/>
      <c r="AA36" s="32"/>
    </row>
    <row r="37">
      <c r="A37" s="45"/>
      <c r="B37" s="44"/>
      <c r="D37" s="44"/>
      <c r="F37" s="44"/>
      <c r="G37" s="46" t="s">
        <v>792</v>
      </c>
      <c r="H37" s="44"/>
      <c r="J37" s="43">
        <v>129.0</v>
      </c>
      <c r="K37" s="32"/>
      <c r="L37" s="44"/>
      <c r="M37" s="32"/>
      <c r="N37" s="44"/>
      <c r="O37" s="32"/>
      <c r="P37" s="32"/>
      <c r="Q37" s="44"/>
      <c r="S37" s="44"/>
      <c r="U37" s="44"/>
      <c r="V37" s="47"/>
      <c r="W37" s="44"/>
      <c r="Y37" s="44"/>
      <c r="AA37" s="32"/>
    </row>
    <row r="38">
      <c r="A38" s="45"/>
      <c r="B38" s="44"/>
      <c r="D38" s="44"/>
      <c r="F38" s="44"/>
      <c r="H38" s="44"/>
      <c r="J38" s="43">
        <v>179.0</v>
      </c>
      <c r="K38" s="32"/>
      <c r="L38" s="44"/>
      <c r="M38" s="32"/>
      <c r="N38" s="44"/>
      <c r="O38" s="32"/>
      <c r="P38" s="32"/>
      <c r="Q38" s="44"/>
      <c r="S38" s="44"/>
      <c r="U38" s="44"/>
      <c r="V38" s="47"/>
      <c r="W38" s="44"/>
      <c r="Y38" s="44"/>
      <c r="AA38" s="32"/>
    </row>
    <row r="39">
      <c r="A39" s="45"/>
      <c r="B39" s="44"/>
      <c r="D39" s="44"/>
      <c r="F39" s="44"/>
      <c r="H39" s="44"/>
      <c r="J39" s="44"/>
      <c r="K39" s="32"/>
      <c r="L39" s="44"/>
      <c r="M39" s="32"/>
      <c r="N39" s="44"/>
      <c r="O39" s="32"/>
      <c r="P39" s="32"/>
      <c r="Q39" s="44"/>
      <c r="S39" s="44"/>
      <c r="U39" s="44"/>
      <c r="V39" s="47"/>
      <c r="W39" s="44"/>
      <c r="Y39" s="44"/>
      <c r="AA39" s="32"/>
    </row>
    <row r="40">
      <c r="A40" s="45"/>
      <c r="B40" s="44"/>
      <c r="D40" s="44"/>
      <c r="F40" s="44"/>
      <c r="H40" s="44"/>
      <c r="J40" s="44"/>
      <c r="K40" s="32"/>
      <c r="L40" s="44"/>
      <c r="M40" s="32"/>
      <c r="N40" s="44"/>
      <c r="O40" s="32"/>
      <c r="P40" s="32"/>
      <c r="Q40" s="44"/>
      <c r="S40" s="44"/>
      <c r="U40" s="44"/>
      <c r="V40" s="47"/>
      <c r="W40" s="44"/>
      <c r="Y40" s="44"/>
      <c r="AA40" s="32"/>
    </row>
    <row r="41">
      <c r="A41" s="45"/>
      <c r="B41" s="44"/>
      <c r="D41" s="44"/>
      <c r="F41" s="44"/>
      <c r="H41" s="44"/>
      <c r="J41" s="44"/>
      <c r="K41" s="32"/>
      <c r="L41" s="44"/>
      <c r="M41" s="32"/>
      <c r="N41" s="44"/>
      <c r="O41" s="32"/>
      <c r="P41" s="32"/>
      <c r="Q41" s="44"/>
      <c r="S41" s="44"/>
      <c r="U41" s="44"/>
      <c r="V41" s="47"/>
      <c r="W41" s="44"/>
      <c r="Y41" s="44"/>
      <c r="AA41" s="32"/>
    </row>
    <row r="42">
      <c r="A42" s="45"/>
      <c r="B42" s="44"/>
      <c r="D42" s="44"/>
      <c r="F42" s="44"/>
      <c r="H42" s="44"/>
      <c r="J42" s="44"/>
      <c r="K42" s="32"/>
      <c r="L42" s="44"/>
      <c r="M42" s="32"/>
      <c r="N42" s="44"/>
      <c r="O42" s="32"/>
      <c r="P42" s="32"/>
      <c r="Q42" s="44"/>
      <c r="S42" s="44"/>
      <c r="U42" s="44"/>
      <c r="V42" s="47"/>
      <c r="W42" s="44"/>
      <c r="Y42" s="44"/>
      <c r="AA42" s="32"/>
    </row>
    <row r="43">
      <c r="A43" s="45"/>
      <c r="B43" s="44"/>
      <c r="D43" s="44"/>
      <c r="F43" s="44"/>
      <c r="H43" s="44"/>
      <c r="J43" s="44"/>
      <c r="K43" s="32"/>
      <c r="L43" s="44"/>
      <c r="M43" s="32"/>
      <c r="N43" s="44"/>
      <c r="O43" s="32"/>
      <c r="P43" s="32"/>
      <c r="Q43" s="44"/>
      <c r="S43" s="44"/>
      <c r="U43" s="44"/>
      <c r="V43" s="47"/>
      <c r="W43" s="44"/>
      <c r="Y43" s="44"/>
      <c r="AA43" s="32"/>
    </row>
    <row r="44">
      <c r="A44" s="45"/>
      <c r="B44" s="44"/>
      <c r="D44" s="44"/>
      <c r="F44" s="44"/>
      <c r="H44" s="44"/>
      <c r="J44" s="44"/>
      <c r="K44" s="32"/>
      <c r="L44" s="44"/>
      <c r="M44" s="32"/>
      <c r="N44" s="44"/>
      <c r="O44" s="32"/>
      <c r="P44" s="32"/>
      <c r="Q44" s="44"/>
      <c r="S44" s="44"/>
      <c r="U44" s="44"/>
      <c r="V44" s="47"/>
      <c r="W44" s="44"/>
      <c r="Y44" s="44"/>
      <c r="AA44" s="32"/>
    </row>
    <row r="45">
      <c r="A45" s="45"/>
      <c r="B45" s="44"/>
      <c r="D45" s="44"/>
      <c r="F45" s="44"/>
      <c r="H45" s="44"/>
      <c r="J45" s="44"/>
      <c r="K45" s="32"/>
      <c r="L45" s="44"/>
      <c r="M45" s="32"/>
      <c r="N45" s="44"/>
      <c r="O45" s="32"/>
      <c r="P45" s="32"/>
      <c r="Q45" s="44"/>
      <c r="S45" s="44"/>
      <c r="U45" s="44"/>
      <c r="V45" s="47"/>
      <c r="W45" s="44"/>
      <c r="Y45" s="44"/>
      <c r="AA45" s="32"/>
    </row>
    <row r="46">
      <c r="A46" s="45"/>
      <c r="B46" s="44"/>
      <c r="D46" s="44"/>
      <c r="F46" s="44"/>
      <c r="H46" s="44"/>
      <c r="J46" s="44"/>
      <c r="K46" s="32"/>
      <c r="L46" s="44"/>
      <c r="M46" s="32"/>
      <c r="N46" s="44"/>
      <c r="O46" s="32"/>
      <c r="P46" s="32"/>
      <c r="Q46" s="44"/>
      <c r="S46" s="44"/>
      <c r="U46" s="44"/>
      <c r="V46" s="47"/>
      <c r="W46" s="44"/>
      <c r="Y46" s="44"/>
      <c r="AA46" s="32"/>
    </row>
    <row r="47">
      <c r="A47" s="45"/>
      <c r="B47" s="44"/>
      <c r="D47" s="44"/>
      <c r="F47" s="44"/>
      <c r="H47" s="44"/>
      <c r="J47" s="44"/>
      <c r="K47" s="32"/>
      <c r="L47" s="44"/>
      <c r="M47" s="32"/>
      <c r="N47" s="44"/>
      <c r="O47" s="32"/>
      <c r="P47" s="32"/>
      <c r="Q47" s="44"/>
      <c r="S47" s="44"/>
      <c r="U47" s="44"/>
      <c r="V47" s="47"/>
      <c r="W47" s="44"/>
      <c r="Y47" s="44"/>
      <c r="AA47" s="32"/>
    </row>
    <row r="48">
      <c r="A48" s="45"/>
      <c r="B48" s="44"/>
      <c r="D48" s="44"/>
      <c r="F48" s="44"/>
      <c r="H48" s="44"/>
      <c r="J48" s="44"/>
      <c r="K48" s="32"/>
      <c r="L48" s="44"/>
      <c r="M48" s="32"/>
      <c r="N48" s="44"/>
      <c r="O48" s="32"/>
      <c r="P48" s="32"/>
      <c r="Q48" s="44"/>
      <c r="S48" s="44"/>
      <c r="U48" s="44"/>
      <c r="V48" s="47"/>
      <c r="W48" s="44"/>
      <c r="Y48" s="44"/>
      <c r="AA48" s="32"/>
    </row>
    <row r="49">
      <c r="A49" s="45"/>
      <c r="B49" s="44"/>
      <c r="D49" s="44"/>
      <c r="F49" s="44"/>
      <c r="H49" s="44"/>
      <c r="J49" s="44"/>
      <c r="K49" s="32"/>
      <c r="L49" s="44"/>
      <c r="M49" s="32"/>
      <c r="N49" s="44"/>
      <c r="O49" s="32"/>
      <c r="P49" s="32"/>
      <c r="Q49" s="44"/>
      <c r="S49" s="44"/>
      <c r="U49" s="44"/>
      <c r="V49" s="47"/>
      <c r="W49" s="44"/>
      <c r="Y49" s="44"/>
      <c r="AA49" s="32"/>
    </row>
    <row r="50">
      <c r="A50" s="45"/>
      <c r="B50" s="44"/>
      <c r="D50" s="44"/>
      <c r="F50" s="44"/>
      <c r="H50" s="44"/>
      <c r="J50" s="44"/>
      <c r="K50" s="32"/>
      <c r="L50" s="44"/>
      <c r="M50" s="32"/>
      <c r="N50" s="44"/>
      <c r="O50" s="32"/>
      <c r="P50" s="32"/>
      <c r="Q50" s="44"/>
      <c r="S50" s="44"/>
      <c r="U50" s="44"/>
      <c r="V50" s="47"/>
      <c r="W50" s="44"/>
      <c r="Y50" s="44"/>
      <c r="AA50" s="32"/>
    </row>
    <row r="51">
      <c r="A51" s="45"/>
      <c r="B51" s="44"/>
      <c r="D51" s="44"/>
      <c r="F51" s="44"/>
      <c r="H51" s="44"/>
      <c r="J51" s="44"/>
      <c r="K51" s="32"/>
      <c r="L51" s="44"/>
      <c r="M51" s="32"/>
      <c r="N51" s="44"/>
      <c r="O51" s="32"/>
      <c r="P51" s="32"/>
      <c r="Q51" s="44"/>
      <c r="S51" s="44"/>
      <c r="U51" s="44"/>
      <c r="V51" s="47"/>
      <c r="W51" s="44"/>
      <c r="Y51" s="44"/>
      <c r="AA51" s="32"/>
    </row>
    <row r="52">
      <c r="A52" s="45"/>
      <c r="B52" s="44"/>
      <c r="D52" s="44"/>
      <c r="F52" s="44"/>
      <c r="H52" s="44"/>
      <c r="J52" s="44"/>
      <c r="K52" s="32"/>
      <c r="L52" s="44"/>
      <c r="M52" s="32"/>
      <c r="N52" s="44"/>
      <c r="O52" s="32"/>
      <c r="P52" s="32"/>
      <c r="Q52" s="44"/>
      <c r="S52" s="44"/>
      <c r="U52" s="44"/>
      <c r="V52" s="47"/>
      <c r="W52" s="44"/>
      <c r="Y52" s="44"/>
      <c r="AA52" s="32"/>
    </row>
    <row r="53">
      <c r="A53" s="45"/>
      <c r="B53" s="44"/>
      <c r="D53" s="44"/>
      <c r="F53" s="44"/>
      <c r="H53" s="44"/>
      <c r="J53" s="44"/>
      <c r="K53" s="32"/>
      <c r="L53" s="44"/>
      <c r="M53" s="32"/>
      <c r="N53" s="44"/>
      <c r="O53" s="32"/>
      <c r="P53" s="32"/>
      <c r="Q53" s="44"/>
      <c r="S53" s="44"/>
      <c r="U53" s="44"/>
      <c r="V53" s="47"/>
      <c r="W53" s="44"/>
      <c r="Y53" s="44"/>
      <c r="AA53" s="32"/>
    </row>
    <row r="54">
      <c r="A54" s="45"/>
      <c r="B54" s="44"/>
      <c r="D54" s="44"/>
      <c r="F54" s="44"/>
      <c r="H54" s="44"/>
      <c r="J54" s="44"/>
      <c r="K54" s="32"/>
      <c r="L54" s="44"/>
      <c r="M54" s="32"/>
      <c r="N54" s="44"/>
      <c r="O54" s="32"/>
      <c r="P54" s="32"/>
      <c r="Q54" s="44"/>
      <c r="S54" s="44"/>
      <c r="U54" s="44"/>
      <c r="V54" s="47"/>
      <c r="W54" s="44"/>
      <c r="Y54" s="44"/>
      <c r="AA54" s="32"/>
    </row>
    <row r="55">
      <c r="A55" s="45"/>
      <c r="B55" s="44"/>
      <c r="D55" s="44"/>
      <c r="F55" s="44"/>
      <c r="H55" s="44"/>
      <c r="J55" s="44"/>
      <c r="K55" s="32"/>
      <c r="L55" s="44"/>
      <c r="M55" s="32"/>
      <c r="N55" s="44"/>
      <c r="O55" s="32"/>
      <c r="P55" s="32"/>
      <c r="Q55" s="44"/>
      <c r="S55" s="44"/>
      <c r="U55" s="44"/>
      <c r="V55" s="47"/>
      <c r="W55" s="44"/>
      <c r="Y55" s="44"/>
      <c r="AA55" s="32"/>
    </row>
    <row r="56">
      <c r="A56" s="45"/>
      <c r="B56" s="44"/>
      <c r="D56" s="44"/>
      <c r="F56" s="44"/>
      <c r="H56" s="44"/>
      <c r="J56" s="44"/>
      <c r="K56" s="32"/>
      <c r="L56" s="44"/>
      <c r="M56" s="32"/>
      <c r="N56" s="44"/>
      <c r="O56" s="32"/>
      <c r="P56" s="32"/>
      <c r="Q56" s="44"/>
      <c r="S56" s="44"/>
      <c r="U56" s="44"/>
      <c r="V56" s="47"/>
      <c r="W56" s="44"/>
      <c r="Y56" s="44"/>
      <c r="AA56" s="32"/>
    </row>
    <row r="57">
      <c r="A57" s="45"/>
      <c r="B57" s="44"/>
      <c r="D57" s="44"/>
      <c r="F57" s="44"/>
      <c r="H57" s="44"/>
      <c r="J57" s="44"/>
      <c r="K57" s="32"/>
      <c r="L57" s="44"/>
      <c r="M57" s="32"/>
      <c r="N57" s="44"/>
      <c r="O57" s="32"/>
      <c r="P57" s="32"/>
      <c r="Q57" s="44"/>
      <c r="S57" s="44"/>
      <c r="U57" s="44"/>
      <c r="V57" s="47"/>
      <c r="W57" s="44"/>
      <c r="Y57" s="44"/>
      <c r="AA57" s="32"/>
    </row>
    <row r="58">
      <c r="A58" s="45"/>
      <c r="B58" s="44"/>
      <c r="D58" s="44"/>
      <c r="F58" s="44"/>
      <c r="H58" s="44"/>
      <c r="J58" s="44"/>
      <c r="K58" s="32"/>
      <c r="L58" s="44"/>
      <c r="M58" s="32"/>
      <c r="N58" s="44"/>
      <c r="O58" s="32"/>
      <c r="P58" s="32"/>
      <c r="Q58" s="44"/>
      <c r="S58" s="44"/>
      <c r="U58" s="44"/>
      <c r="V58" s="47"/>
      <c r="W58" s="44"/>
      <c r="Y58" s="44"/>
      <c r="AA58" s="32"/>
    </row>
    <row r="59">
      <c r="A59" s="45"/>
      <c r="B59" s="44"/>
      <c r="D59" s="44"/>
      <c r="F59" s="44"/>
      <c r="H59" s="44"/>
      <c r="J59" s="44"/>
      <c r="K59" s="32"/>
      <c r="L59" s="44"/>
      <c r="M59" s="32"/>
      <c r="N59" s="44"/>
      <c r="O59" s="32"/>
      <c r="P59" s="32"/>
      <c r="Q59" s="44"/>
      <c r="S59" s="44"/>
      <c r="U59" s="44"/>
      <c r="V59" s="47"/>
      <c r="W59" s="44"/>
      <c r="Y59" s="44"/>
      <c r="AA59" s="32"/>
    </row>
    <row r="60">
      <c r="A60" s="45"/>
      <c r="B60" s="44"/>
      <c r="D60" s="44"/>
      <c r="F60" s="44"/>
      <c r="H60" s="44"/>
      <c r="J60" s="44"/>
      <c r="K60" s="32"/>
      <c r="L60" s="44"/>
      <c r="M60" s="32"/>
      <c r="N60" s="44"/>
      <c r="O60" s="32"/>
      <c r="P60" s="32"/>
      <c r="Q60" s="44"/>
      <c r="S60" s="44"/>
      <c r="U60" s="44"/>
      <c r="V60" s="47"/>
      <c r="W60" s="44"/>
      <c r="Y60" s="44"/>
      <c r="AA60" s="32"/>
    </row>
    <row r="61">
      <c r="A61" s="45"/>
      <c r="B61" s="44"/>
      <c r="D61" s="44"/>
      <c r="F61" s="44"/>
      <c r="H61" s="44"/>
      <c r="J61" s="44"/>
      <c r="K61" s="32"/>
      <c r="L61" s="44"/>
      <c r="M61" s="32"/>
      <c r="N61" s="44"/>
      <c r="O61" s="32"/>
      <c r="P61" s="32"/>
      <c r="Q61" s="44"/>
      <c r="S61" s="44"/>
      <c r="U61" s="44"/>
      <c r="V61" s="47"/>
      <c r="W61" s="44"/>
      <c r="Y61" s="44"/>
      <c r="AA61" s="32"/>
    </row>
    <row r="62">
      <c r="A62" s="45"/>
      <c r="B62" s="44"/>
      <c r="D62" s="44"/>
      <c r="F62" s="44"/>
      <c r="H62" s="44"/>
      <c r="J62" s="44"/>
      <c r="K62" s="32"/>
      <c r="L62" s="44"/>
      <c r="M62" s="32"/>
      <c r="N62" s="44"/>
      <c r="O62" s="32"/>
      <c r="P62" s="32"/>
      <c r="Q62" s="44"/>
      <c r="S62" s="44"/>
      <c r="U62" s="44"/>
      <c r="V62" s="47"/>
      <c r="W62" s="44"/>
      <c r="Y62" s="44"/>
      <c r="AA62" s="32"/>
    </row>
    <row r="63">
      <c r="A63" s="45"/>
      <c r="B63" s="44"/>
      <c r="D63" s="44"/>
      <c r="F63" s="44"/>
      <c r="H63" s="44"/>
      <c r="J63" s="44"/>
      <c r="K63" s="32"/>
      <c r="L63" s="44"/>
      <c r="M63" s="32"/>
      <c r="N63" s="44"/>
      <c r="O63" s="32"/>
      <c r="P63" s="32"/>
      <c r="Q63" s="44"/>
      <c r="S63" s="44"/>
      <c r="U63" s="44"/>
      <c r="V63" s="47"/>
      <c r="W63" s="44"/>
      <c r="Y63" s="44"/>
      <c r="AA63" s="32"/>
    </row>
    <row r="64">
      <c r="A64" s="45"/>
      <c r="B64" s="44"/>
      <c r="D64" s="44"/>
      <c r="F64" s="44"/>
      <c r="H64" s="44"/>
      <c r="J64" s="44"/>
      <c r="K64" s="32"/>
      <c r="L64" s="44"/>
      <c r="M64" s="32"/>
      <c r="N64" s="44"/>
      <c r="O64" s="32"/>
      <c r="P64" s="32"/>
      <c r="Q64" s="44"/>
      <c r="S64" s="44"/>
      <c r="U64" s="44"/>
      <c r="V64" s="47"/>
      <c r="W64" s="44"/>
      <c r="Y64" s="44"/>
      <c r="AA64" s="32"/>
    </row>
    <row r="65">
      <c r="A65" s="45"/>
      <c r="B65" s="44"/>
      <c r="D65" s="44"/>
      <c r="F65" s="44"/>
      <c r="H65" s="44"/>
      <c r="J65" s="44"/>
      <c r="K65" s="32"/>
      <c r="L65" s="44"/>
      <c r="M65" s="32"/>
      <c r="N65" s="44"/>
      <c r="O65" s="32"/>
      <c r="P65" s="32"/>
      <c r="Q65" s="44"/>
      <c r="S65" s="44"/>
      <c r="U65" s="44"/>
      <c r="V65" s="47"/>
      <c r="W65" s="44"/>
      <c r="Y65" s="44"/>
      <c r="AA65" s="32"/>
    </row>
    <row r="66">
      <c r="A66" s="45"/>
      <c r="B66" s="44"/>
      <c r="D66" s="44"/>
      <c r="F66" s="44"/>
      <c r="H66" s="44"/>
      <c r="J66" s="44"/>
      <c r="K66" s="32"/>
      <c r="L66" s="44"/>
      <c r="M66" s="32"/>
      <c r="N66" s="44"/>
      <c r="O66" s="32"/>
      <c r="P66" s="32"/>
      <c r="Q66" s="44"/>
      <c r="S66" s="44"/>
      <c r="U66" s="44"/>
      <c r="V66" s="47"/>
      <c r="W66" s="44"/>
      <c r="Y66" s="44"/>
      <c r="AA66" s="32"/>
    </row>
    <row r="67">
      <c r="A67" s="45"/>
      <c r="B67" s="44"/>
      <c r="D67" s="44"/>
      <c r="F67" s="44"/>
      <c r="H67" s="44"/>
      <c r="J67" s="44"/>
      <c r="K67" s="32"/>
      <c r="L67" s="44"/>
      <c r="M67" s="32"/>
      <c r="N67" s="44"/>
      <c r="O67" s="32"/>
      <c r="P67" s="32"/>
      <c r="Q67" s="44"/>
      <c r="S67" s="44"/>
      <c r="U67" s="44"/>
      <c r="V67" s="47"/>
      <c r="W67" s="44"/>
      <c r="Y67" s="44"/>
      <c r="AA67" s="32"/>
    </row>
    <row r="68">
      <c r="A68" s="45"/>
      <c r="B68" s="44"/>
      <c r="D68" s="44"/>
      <c r="F68" s="44"/>
      <c r="H68" s="44"/>
      <c r="J68" s="44"/>
      <c r="K68" s="32"/>
      <c r="L68" s="44"/>
      <c r="M68" s="32"/>
      <c r="N68" s="44"/>
      <c r="O68" s="32"/>
      <c r="P68" s="32"/>
      <c r="Q68" s="44"/>
      <c r="S68" s="44"/>
      <c r="U68" s="44"/>
      <c r="V68" s="47"/>
      <c r="W68" s="44"/>
      <c r="Y68" s="44"/>
      <c r="AA68" s="32"/>
    </row>
    <row r="69">
      <c r="A69" s="45"/>
      <c r="B69" s="44"/>
      <c r="D69" s="44"/>
      <c r="F69" s="44"/>
      <c r="H69" s="44"/>
      <c r="J69" s="44"/>
      <c r="K69" s="32"/>
      <c r="L69" s="44"/>
      <c r="M69" s="32"/>
      <c r="N69" s="44"/>
      <c r="O69" s="32"/>
      <c r="P69" s="32"/>
      <c r="Q69" s="44"/>
      <c r="S69" s="44"/>
      <c r="U69" s="44"/>
      <c r="V69" s="47"/>
      <c r="W69" s="44"/>
      <c r="Y69" s="44"/>
      <c r="AA69" s="32"/>
    </row>
    <row r="70">
      <c r="A70" s="45"/>
      <c r="B70" s="44"/>
      <c r="D70" s="44"/>
      <c r="F70" s="44"/>
      <c r="H70" s="44"/>
      <c r="J70" s="44"/>
      <c r="K70" s="32"/>
      <c r="L70" s="44"/>
      <c r="M70" s="32"/>
      <c r="N70" s="44"/>
      <c r="O70" s="32"/>
      <c r="P70" s="32"/>
      <c r="Q70" s="44"/>
      <c r="S70" s="44"/>
      <c r="U70" s="44"/>
      <c r="V70" s="47"/>
      <c r="W70" s="44"/>
      <c r="Y70" s="44"/>
      <c r="AA70" s="32"/>
    </row>
    <row r="71">
      <c r="A71" s="45"/>
      <c r="B71" s="44"/>
      <c r="D71" s="44"/>
      <c r="F71" s="44"/>
      <c r="H71" s="44"/>
      <c r="J71" s="44"/>
      <c r="K71" s="32"/>
      <c r="L71" s="44"/>
      <c r="M71" s="32"/>
      <c r="N71" s="44"/>
      <c r="O71" s="32"/>
      <c r="P71" s="32"/>
      <c r="Q71" s="44"/>
      <c r="S71" s="44"/>
      <c r="U71" s="44"/>
      <c r="V71" s="47"/>
      <c r="W71" s="44"/>
      <c r="Y71" s="44"/>
      <c r="AA71" s="32"/>
    </row>
    <row r="72">
      <c r="A72" s="45"/>
      <c r="B72" s="44"/>
      <c r="D72" s="44"/>
      <c r="F72" s="44"/>
      <c r="H72" s="44"/>
      <c r="J72" s="44"/>
      <c r="K72" s="32"/>
      <c r="L72" s="44"/>
      <c r="M72" s="32"/>
      <c r="N72" s="44"/>
      <c r="O72" s="32"/>
      <c r="P72" s="32"/>
      <c r="Q72" s="44"/>
      <c r="S72" s="44"/>
      <c r="U72" s="44"/>
      <c r="V72" s="47"/>
      <c r="W72" s="44"/>
      <c r="Y72" s="44"/>
      <c r="AA72" s="32"/>
    </row>
    <row r="73">
      <c r="A73" s="45"/>
      <c r="B73" s="44"/>
      <c r="D73" s="44"/>
      <c r="F73" s="44"/>
      <c r="H73" s="44"/>
      <c r="J73" s="44"/>
      <c r="K73" s="32"/>
      <c r="L73" s="44"/>
      <c r="M73" s="32"/>
      <c r="N73" s="44"/>
      <c r="O73" s="32"/>
      <c r="P73" s="32"/>
      <c r="Q73" s="44"/>
      <c r="S73" s="44"/>
      <c r="U73" s="44"/>
      <c r="V73" s="47"/>
      <c r="W73" s="44"/>
      <c r="Y73" s="44"/>
      <c r="AA73" s="32"/>
    </row>
    <row r="74">
      <c r="A74" s="45"/>
      <c r="B74" s="44"/>
      <c r="D74" s="44"/>
      <c r="F74" s="44"/>
      <c r="H74" s="44"/>
      <c r="J74" s="44"/>
      <c r="K74" s="32"/>
      <c r="L74" s="44"/>
      <c r="M74" s="32"/>
      <c r="N74" s="44"/>
      <c r="O74" s="32"/>
      <c r="P74" s="32"/>
      <c r="Q74" s="44"/>
      <c r="S74" s="44"/>
      <c r="U74" s="44"/>
      <c r="V74" s="47"/>
      <c r="W74" s="44"/>
      <c r="Y74" s="44"/>
      <c r="AA74" s="32"/>
    </row>
    <row r="75">
      <c r="A75" s="45"/>
      <c r="B75" s="44"/>
      <c r="D75" s="44"/>
      <c r="F75" s="44"/>
      <c r="H75" s="44"/>
      <c r="J75" s="44"/>
      <c r="K75" s="32"/>
      <c r="L75" s="44"/>
      <c r="M75" s="32"/>
      <c r="N75" s="44"/>
      <c r="O75" s="32"/>
      <c r="P75" s="32"/>
      <c r="Q75" s="44"/>
      <c r="S75" s="44"/>
      <c r="U75" s="44"/>
      <c r="V75" s="47"/>
      <c r="W75" s="44"/>
      <c r="Y75" s="44"/>
      <c r="AA75" s="32"/>
    </row>
    <row r="76">
      <c r="A76" s="45"/>
      <c r="B76" s="44"/>
      <c r="D76" s="44"/>
      <c r="F76" s="44"/>
      <c r="H76" s="44"/>
      <c r="J76" s="44"/>
      <c r="K76" s="32"/>
      <c r="L76" s="44"/>
      <c r="M76" s="32"/>
      <c r="N76" s="44"/>
      <c r="O76" s="32"/>
      <c r="P76" s="32"/>
      <c r="Q76" s="44"/>
      <c r="S76" s="44"/>
      <c r="U76" s="44"/>
      <c r="V76" s="47"/>
      <c r="W76" s="44"/>
      <c r="Y76" s="44"/>
      <c r="AA76" s="32"/>
    </row>
    <row r="77">
      <c r="A77" s="45"/>
      <c r="B77" s="44"/>
      <c r="D77" s="44"/>
      <c r="F77" s="44"/>
      <c r="H77" s="44"/>
      <c r="J77" s="44"/>
      <c r="K77" s="32"/>
      <c r="L77" s="44"/>
      <c r="M77" s="32"/>
      <c r="N77" s="44"/>
      <c r="O77" s="32"/>
      <c r="P77" s="32"/>
      <c r="Q77" s="44"/>
      <c r="S77" s="44"/>
      <c r="U77" s="44"/>
      <c r="V77" s="47"/>
      <c r="W77" s="44"/>
      <c r="Y77" s="44"/>
      <c r="AA77" s="32"/>
    </row>
    <row r="78">
      <c r="A78" s="45"/>
      <c r="B78" s="44"/>
      <c r="D78" s="44"/>
      <c r="F78" s="44"/>
      <c r="H78" s="44"/>
      <c r="J78" s="44"/>
      <c r="K78" s="32"/>
      <c r="L78" s="44"/>
      <c r="M78" s="32"/>
      <c r="N78" s="44"/>
      <c r="O78" s="32"/>
      <c r="P78" s="32"/>
      <c r="Q78" s="44"/>
      <c r="S78" s="44"/>
      <c r="U78" s="44"/>
      <c r="V78" s="47"/>
      <c r="W78" s="44"/>
      <c r="Y78" s="44"/>
      <c r="AA78" s="32"/>
    </row>
    <row r="79">
      <c r="A79" s="45"/>
      <c r="B79" s="44"/>
      <c r="D79" s="44"/>
      <c r="F79" s="44"/>
      <c r="H79" s="44"/>
      <c r="J79" s="44"/>
      <c r="K79" s="32"/>
      <c r="L79" s="44"/>
      <c r="M79" s="32"/>
      <c r="N79" s="44"/>
      <c r="O79" s="32"/>
      <c r="P79" s="32"/>
      <c r="Q79" s="44"/>
      <c r="S79" s="44"/>
      <c r="U79" s="44"/>
      <c r="V79" s="47"/>
      <c r="W79" s="44"/>
      <c r="Y79" s="44"/>
      <c r="AA79" s="32"/>
    </row>
    <row r="80">
      <c r="A80" s="45"/>
      <c r="B80" s="44"/>
      <c r="D80" s="44"/>
      <c r="F80" s="44"/>
      <c r="H80" s="44"/>
      <c r="J80" s="44"/>
      <c r="K80" s="32"/>
      <c r="L80" s="44"/>
      <c r="M80" s="32"/>
      <c r="N80" s="44"/>
      <c r="O80" s="32"/>
      <c r="P80" s="32"/>
      <c r="Q80" s="44"/>
      <c r="S80" s="44"/>
      <c r="U80" s="44"/>
      <c r="V80" s="47"/>
      <c r="W80" s="44"/>
      <c r="Y80" s="44"/>
      <c r="AA80" s="32"/>
    </row>
    <row r="81">
      <c r="A81" s="45"/>
      <c r="B81" s="44"/>
      <c r="D81" s="44"/>
      <c r="F81" s="44"/>
      <c r="H81" s="44"/>
      <c r="J81" s="44"/>
      <c r="K81" s="32"/>
      <c r="L81" s="44"/>
      <c r="M81" s="32"/>
      <c r="N81" s="44"/>
      <c r="O81" s="32"/>
      <c r="P81" s="32"/>
      <c r="Q81" s="44"/>
      <c r="S81" s="44"/>
      <c r="U81" s="44"/>
      <c r="V81" s="47"/>
      <c r="W81" s="44"/>
      <c r="Y81" s="44"/>
      <c r="AA81" s="32"/>
    </row>
    <row r="82">
      <c r="A82" s="45"/>
      <c r="B82" s="44"/>
      <c r="D82" s="44"/>
      <c r="F82" s="44"/>
      <c r="H82" s="44"/>
      <c r="J82" s="44"/>
      <c r="K82" s="32"/>
      <c r="L82" s="44"/>
      <c r="M82" s="32"/>
      <c r="N82" s="44"/>
      <c r="O82" s="32"/>
      <c r="P82" s="32"/>
      <c r="Q82" s="44"/>
      <c r="S82" s="44"/>
      <c r="U82" s="44"/>
      <c r="V82" s="47"/>
      <c r="W82" s="44"/>
      <c r="Y82" s="44"/>
      <c r="AA82" s="32"/>
    </row>
    <row r="83">
      <c r="A83" s="45"/>
      <c r="B83" s="44"/>
      <c r="D83" s="44"/>
      <c r="F83" s="44"/>
      <c r="H83" s="44"/>
      <c r="J83" s="44"/>
      <c r="K83" s="32"/>
      <c r="L83" s="44"/>
      <c r="M83" s="32"/>
      <c r="N83" s="44"/>
      <c r="O83" s="32"/>
      <c r="P83" s="32"/>
      <c r="Q83" s="44"/>
      <c r="S83" s="44"/>
      <c r="U83" s="44"/>
      <c r="V83" s="47"/>
      <c r="W83" s="44"/>
      <c r="Y83" s="44"/>
      <c r="AA83" s="32"/>
    </row>
    <row r="84">
      <c r="A84" s="45"/>
      <c r="B84" s="44"/>
      <c r="D84" s="44"/>
      <c r="F84" s="44"/>
      <c r="H84" s="44"/>
      <c r="J84" s="44"/>
      <c r="K84" s="32"/>
      <c r="L84" s="44"/>
      <c r="M84" s="32"/>
      <c r="N84" s="44"/>
      <c r="O84" s="32"/>
      <c r="P84" s="32"/>
      <c r="Q84" s="44"/>
      <c r="S84" s="44"/>
      <c r="U84" s="44"/>
      <c r="V84" s="47"/>
      <c r="W84" s="44"/>
      <c r="Y84" s="44"/>
      <c r="AA84" s="32"/>
    </row>
    <row r="85">
      <c r="A85" s="45"/>
      <c r="B85" s="44"/>
      <c r="D85" s="44"/>
      <c r="F85" s="44"/>
      <c r="H85" s="44"/>
      <c r="J85" s="44"/>
      <c r="K85" s="32"/>
      <c r="L85" s="44"/>
      <c r="M85" s="32"/>
      <c r="N85" s="44"/>
      <c r="O85" s="32"/>
      <c r="P85" s="32"/>
      <c r="Q85" s="44"/>
      <c r="S85" s="44"/>
      <c r="U85" s="44"/>
      <c r="V85" s="47"/>
      <c r="W85" s="44"/>
      <c r="Y85" s="44"/>
      <c r="AA85" s="32"/>
    </row>
    <row r="86">
      <c r="A86" s="45"/>
      <c r="B86" s="44"/>
      <c r="D86" s="44"/>
      <c r="F86" s="44"/>
      <c r="H86" s="44"/>
      <c r="J86" s="44"/>
      <c r="K86" s="32"/>
      <c r="L86" s="44"/>
      <c r="M86" s="32"/>
      <c r="N86" s="44"/>
      <c r="O86" s="32"/>
      <c r="P86" s="32"/>
      <c r="Q86" s="44"/>
      <c r="S86" s="44"/>
      <c r="U86" s="44"/>
      <c r="V86" s="47"/>
      <c r="W86" s="44"/>
      <c r="Y86" s="44"/>
      <c r="AA86" s="32"/>
    </row>
    <row r="87">
      <c r="A87" s="45"/>
      <c r="B87" s="44"/>
      <c r="D87" s="44"/>
      <c r="F87" s="44"/>
      <c r="H87" s="44"/>
      <c r="J87" s="44"/>
      <c r="K87" s="32"/>
      <c r="L87" s="44"/>
      <c r="M87" s="32"/>
      <c r="N87" s="44"/>
      <c r="O87" s="32"/>
      <c r="P87" s="32"/>
      <c r="Q87" s="44"/>
      <c r="S87" s="44"/>
      <c r="U87" s="44"/>
      <c r="V87" s="47"/>
      <c r="W87" s="44"/>
      <c r="Y87" s="44"/>
      <c r="AA87" s="32"/>
    </row>
    <row r="88">
      <c r="A88" s="45"/>
      <c r="B88" s="44"/>
      <c r="D88" s="44"/>
      <c r="F88" s="44"/>
      <c r="H88" s="44"/>
      <c r="J88" s="44"/>
      <c r="K88" s="32"/>
      <c r="L88" s="44"/>
      <c r="M88" s="32"/>
      <c r="N88" s="44"/>
      <c r="O88" s="32"/>
      <c r="P88" s="32"/>
      <c r="Q88" s="44"/>
      <c r="S88" s="44"/>
      <c r="U88" s="44"/>
      <c r="V88" s="47"/>
      <c r="W88" s="44"/>
      <c r="Y88" s="44"/>
      <c r="AA88" s="32"/>
    </row>
    <row r="89">
      <c r="A89" s="45"/>
      <c r="B89" s="44"/>
      <c r="D89" s="44"/>
      <c r="F89" s="44"/>
      <c r="H89" s="44"/>
      <c r="J89" s="44"/>
      <c r="K89" s="32"/>
      <c r="L89" s="44"/>
      <c r="M89" s="32"/>
      <c r="N89" s="44"/>
      <c r="O89" s="32"/>
      <c r="P89" s="32"/>
      <c r="Q89" s="44"/>
      <c r="S89" s="44"/>
      <c r="U89" s="44"/>
      <c r="V89" s="47"/>
      <c r="W89" s="44"/>
      <c r="Y89" s="44"/>
      <c r="AA89" s="32"/>
    </row>
    <row r="90">
      <c r="A90" s="45"/>
      <c r="B90" s="44"/>
      <c r="D90" s="44"/>
      <c r="F90" s="44"/>
      <c r="H90" s="44"/>
      <c r="J90" s="44"/>
      <c r="K90" s="32"/>
      <c r="L90" s="44"/>
      <c r="M90" s="32"/>
      <c r="N90" s="44"/>
      <c r="O90" s="32"/>
      <c r="P90" s="32"/>
      <c r="Q90" s="44"/>
      <c r="S90" s="44"/>
      <c r="U90" s="44"/>
      <c r="V90" s="47"/>
      <c r="W90" s="44"/>
      <c r="Y90" s="44"/>
      <c r="AA90" s="32"/>
    </row>
    <row r="91">
      <c r="A91" s="45"/>
      <c r="B91" s="44"/>
      <c r="D91" s="44"/>
      <c r="F91" s="44"/>
      <c r="H91" s="44"/>
      <c r="J91" s="44"/>
      <c r="K91" s="32"/>
      <c r="L91" s="44"/>
      <c r="M91" s="32"/>
      <c r="N91" s="44"/>
      <c r="O91" s="32"/>
      <c r="P91" s="32"/>
      <c r="Q91" s="44"/>
      <c r="S91" s="44"/>
      <c r="U91" s="44"/>
      <c r="V91" s="47"/>
      <c r="W91" s="44"/>
      <c r="Y91" s="44"/>
      <c r="AA91" s="32"/>
    </row>
    <row r="92">
      <c r="A92" s="45"/>
      <c r="B92" s="44"/>
      <c r="D92" s="44"/>
      <c r="F92" s="44"/>
      <c r="H92" s="44"/>
      <c r="J92" s="44"/>
      <c r="K92" s="32"/>
      <c r="L92" s="44"/>
      <c r="M92" s="32"/>
      <c r="N92" s="44"/>
      <c r="O92" s="32"/>
      <c r="P92" s="32"/>
      <c r="Q92" s="44"/>
      <c r="S92" s="44"/>
      <c r="U92" s="44"/>
      <c r="V92" s="47"/>
      <c r="W92" s="44"/>
      <c r="Y92" s="44"/>
      <c r="AA92" s="32"/>
    </row>
    <row r="93">
      <c r="A93" s="45"/>
      <c r="B93" s="44"/>
      <c r="D93" s="44"/>
      <c r="F93" s="44"/>
      <c r="H93" s="44"/>
      <c r="J93" s="44"/>
      <c r="K93" s="32"/>
      <c r="L93" s="44"/>
      <c r="M93" s="32"/>
      <c r="N93" s="44"/>
      <c r="O93" s="32"/>
      <c r="P93" s="32"/>
      <c r="Q93" s="44"/>
      <c r="S93" s="44"/>
      <c r="U93" s="44"/>
      <c r="V93" s="47"/>
      <c r="W93" s="44"/>
      <c r="Y93" s="44"/>
      <c r="AA93" s="32"/>
    </row>
    <row r="94">
      <c r="A94" s="45"/>
      <c r="B94" s="44"/>
      <c r="D94" s="44"/>
      <c r="F94" s="44"/>
      <c r="H94" s="44"/>
      <c r="J94" s="44"/>
      <c r="K94" s="32"/>
      <c r="L94" s="44"/>
      <c r="M94" s="32"/>
      <c r="N94" s="44"/>
      <c r="O94" s="32"/>
      <c r="P94" s="32"/>
      <c r="Q94" s="44"/>
      <c r="S94" s="44"/>
      <c r="U94" s="44"/>
      <c r="V94" s="47"/>
      <c r="W94" s="44"/>
      <c r="Y94" s="44"/>
      <c r="AA94" s="32"/>
    </row>
    <row r="95">
      <c r="A95" s="45"/>
      <c r="B95" s="44"/>
      <c r="D95" s="44"/>
      <c r="F95" s="44"/>
      <c r="H95" s="44"/>
      <c r="J95" s="44"/>
      <c r="K95" s="32"/>
      <c r="L95" s="44"/>
      <c r="M95" s="32"/>
      <c r="N95" s="44"/>
      <c r="O95" s="32"/>
      <c r="P95" s="32"/>
      <c r="Q95" s="44"/>
      <c r="S95" s="44"/>
      <c r="U95" s="44"/>
      <c r="V95" s="47"/>
      <c r="W95" s="44"/>
      <c r="Y95" s="44"/>
      <c r="AA95" s="32"/>
    </row>
    <row r="96">
      <c r="A96" s="45"/>
      <c r="B96" s="44"/>
      <c r="D96" s="44"/>
      <c r="F96" s="44"/>
      <c r="H96" s="44"/>
      <c r="J96" s="44"/>
      <c r="K96" s="32"/>
      <c r="L96" s="44"/>
      <c r="M96" s="32"/>
      <c r="N96" s="44"/>
      <c r="O96" s="32"/>
      <c r="P96" s="32"/>
      <c r="Q96" s="44"/>
      <c r="S96" s="44"/>
      <c r="U96" s="44"/>
      <c r="V96" s="47"/>
      <c r="W96" s="44"/>
      <c r="Y96" s="44"/>
      <c r="AA96" s="32"/>
    </row>
    <row r="97">
      <c r="A97" s="45"/>
      <c r="B97" s="44"/>
      <c r="D97" s="44"/>
      <c r="F97" s="44"/>
      <c r="H97" s="44"/>
      <c r="J97" s="44"/>
      <c r="K97" s="32"/>
      <c r="L97" s="44"/>
      <c r="M97" s="32"/>
      <c r="N97" s="44"/>
      <c r="O97" s="32"/>
      <c r="P97" s="32"/>
      <c r="Q97" s="44"/>
      <c r="S97" s="44"/>
      <c r="U97" s="44"/>
      <c r="V97" s="47"/>
      <c r="W97" s="44"/>
      <c r="Y97" s="44"/>
      <c r="AA97" s="32"/>
    </row>
    <row r="98">
      <c r="A98" s="45"/>
      <c r="B98" s="44"/>
      <c r="D98" s="44"/>
      <c r="F98" s="44"/>
      <c r="H98" s="44"/>
      <c r="J98" s="44"/>
      <c r="K98" s="32"/>
      <c r="L98" s="44"/>
      <c r="M98" s="32"/>
      <c r="N98" s="44"/>
      <c r="O98" s="32"/>
      <c r="P98" s="32"/>
      <c r="Q98" s="44"/>
      <c r="S98" s="44"/>
      <c r="U98" s="44"/>
      <c r="V98" s="47"/>
      <c r="W98" s="44"/>
      <c r="Y98" s="44"/>
      <c r="AA98" s="32"/>
    </row>
    <row r="99">
      <c r="A99" s="45"/>
      <c r="B99" s="44"/>
      <c r="D99" s="44"/>
      <c r="F99" s="44"/>
      <c r="H99" s="44"/>
      <c r="J99" s="44"/>
      <c r="K99" s="32"/>
      <c r="L99" s="44"/>
      <c r="M99" s="32"/>
      <c r="N99" s="44"/>
      <c r="O99" s="32"/>
      <c r="P99" s="32"/>
      <c r="Q99" s="44"/>
      <c r="S99" s="44"/>
      <c r="U99" s="44"/>
      <c r="V99" s="47"/>
      <c r="W99" s="44"/>
      <c r="Y99" s="44"/>
      <c r="AA99" s="32"/>
    </row>
    <row r="100">
      <c r="A100" s="45"/>
      <c r="B100" s="44"/>
      <c r="D100" s="44"/>
      <c r="F100" s="44"/>
      <c r="H100" s="44"/>
      <c r="J100" s="44"/>
      <c r="K100" s="32"/>
      <c r="L100" s="44"/>
      <c r="M100" s="32"/>
      <c r="N100" s="44"/>
      <c r="O100" s="32"/>
      <c r="P100" s="32"/>
      <c r="Q100" s="44"/>
      <c r="S100" s="44"/>
      <c r="U100" s="44"/>
      <c r="V100" s="47"/>
      <c r="W100" s="44"/>
      <c r="Y100" s="44"/>
      <c r="AA100" s="32"/>
    </row>
    <row r="101">
      <c r="A101" s="45"/>
      <c r="B101" s="44"/>
      <c r="D101" s="44"/>
      <c r="F101" s="44"/>
      <c r="H101" s="44"/>
      <c r="J101" s="44"/>
      <c r="K101" s="32"/>
      <c r="L101" s="44"/>
      <c r="M101" s="32"/>
      <c r="N101" s="44"/>
      <c r="O101" s="32"/>
      <c r="P101" s="32"/>
      <c r="Q101" s="44"/>
      <c r="S101" s="44"/>
      <c r="U101" s="44"/>
      <c r="V101" s="47"/>
      <c r="W101" s="44"/>
      <c r="Y101" s="44"/>
      <c r="AA101" s="32"/>
    </row>
    <row r="102">
      <c r="A102" s="45"/>
      <c r="B102" s="44"/>
      <c r="D102" s="44"/>
      <c r="F102" s="44"/>
      <c r="H102" s="44"/>
      <c r="J102" s="44"/>
      <c r="K102" s="32"/>
      <c r="L102" s="44"/>
      <c r="M102" s="32"/>
      <c r="N102" s="44"/>
      <c r="O102" s="32"/>
      <c r="P102" s="32"/>
      <c r="Q102" s="44"/>
      <c r="S102" s="44"/>
      <c r="U102" s="44"/>
      <c r="V102" s="47"/>
      <c r="W102" s="44"/>
      <c r="Y102" s="44"/>
      <c r="AA102" s="32"/>
    </row>
    <row r="103">
      <c r="A103" s="45"/>
      <c r="B103" s="44"/>
      <c r="D103" s="44"/>
      <c r="F103" s="44"/>
      <c r="H103" s="44"/>
      <c r="J103" s="44"/>
      <c r="K103" s="32"/>
      <c r="L103" s="44"/>
      <c r="M103" s="32"/>
      <c r="N103" s="44"/>
      <c r="O103" s="32"/>
      <c r="P103" s="32"/>
      <c r="Q103" s="44"/>
      <c r="S103" s="44"/>
      <c r="U103" s="44"/>
      <c r="V103" s="47"/>
      <c r="W103" s="44"/>
      <c r="Y103" s="44"/>
      <c r="AA103" s="32"/>
    </row>
    <row r="104">
      <c r="A104" s="45"/>
      <c r="B104" s="44"/>
      <c r="D104" s="44"/>
      <c r="F104" s="44"/>
      <c r="H104" s="44"/>
      <c r="J104" s="44"/>
      <c r="K104" s="32"/>
      <c r="L104" s="44"/>
      <c r="M104" s="32"/>
      <c r="N104" s="44"/>
      <c r="O104" s="32"/>
      <c r="P104" s="32"/>
      <c r="Q104" s="44"/>
      <c r="S104" s="44"/>
      <c r="U104" s="44"/>
      <c r="V104" s="47"/>
      <c r="W104" s="44"/>
      <c r="Y104" s="44"/>
      <c r="AA104" s="32"/>
    </row>
    <row r="105">
      <c r="A105" s="45"/>
      <c r="B105" s="44"/>
      <c r="D105" s="44"/>
      <c r="F105" s="44"/>
      <c r="H105" s="44"/>
      <c r="J105" s="44"/>
      <c r="K105" s="32"/>
      <c r="L105" s="44"/>
      <c r="M105" s="32"/>
      <c r="N105" s="44"/>
      <c r="O105" s="32"/>
      <c r="P105" s="32"/>
      <c r="Q105" s="44"/>
      <c r="S105" s="44"/>
      <c r="U105" s="44"/>
      <c r="V105" s="47"/>
      <c r="W105" s="44"/>
      <c r="Y105" s="44"/>
      <c r="AA105" s="32"/>
    </row>
    <row r="106">
      <c r="A106" s="45"/>
      <c r="B106" s="44"/>
      <c r="D106" s="44"/>
      <c r="F106" s="44"/>
      <c r="H106" s="44"/>
      <c r="J106" s="44"/>
      <c r="K106" s="32"/>
      <c r="L106" s="44"/>
      <c r="M106" s="32"/>
      <c r="N106" s="44"/>
      <c r="O106" s="32"/>
      <c r="P106" s="32"/>
      <c r="Q106" s="44"/>
      <c r="S106" s="44"/>
      <c r="U106" s="44"/>
      <c r="V106" s="47"/>
      <c r="W106" s="44"/>
      <c r="Y106" s="44"/>
      <c r="AA106" s="32"/>
    </row>
    <row r="107">
      <c r="A107" s="45"/>
      <c r="B107" s="44"/>
      <c r="D107" s="44"/>
      <c r="F107" s="44"/>
      <c r="H107" s="44"/>
      <c r="J107" s="44"/>
      <c r="K107" s="32"/>
      <c r="L107" s="44"/>
      <c r="M107" s="32"/>
      <c r="N107" s="44"/>
      <c r="O107" s="32"/>
      <c r="P107" s="32"/>
      <c r="Q107" s="44"/>
      <c r="S107" s="44"/>
      <c r="U107" s="44"/>
      <c r="V107" s="47"/>
      <c r="W107" s="44"/>
      <c r="Y107" s="44"/>
      <c r="AA107" s="32"/>
    </row>
    <row r="108">
      <c r="A108" s="45"/>
      <c r="B108" s="44"/>
      <c r="D108" s="44"/>
      <c r="F108" s="44"/>
      <c r="H108" s="44"/>
      <c r="J108" s="44"/>
      <c r="K108" s="32"/>
      <c r="L108" s="44"/>
      <c r="M108" s="32"/>
      <c r="N108" s="44"/>
      <c r="O108" s="32"/>
      <c r="P108" s="32"/>
      <c r="Q108" s="44"/>
      <c r="S108" s="44"/>
      <c r="U108" s="44"/>
      <c r="V108" s="47"/>
      <c r="W108" s="44"/>
      <c r="Y108" s="44"/>
      <c r="AA108" s="32"/>
    </row>
    <row r="109">
      <c r="A109" s="45"/>
      <c r="B109" s="44"/>
      <c r="D109" s="44"/>
      <c r="F109" s="44"/>
      <c r="H109" s="44"/>
      <c r="J109" s="44"/>
      <c r="K109" s="32"/>
      <c r="L109" s="44"/>
      <c r="M109" s="32"/>
      <c r="N109" s="44"/>
      <c r="O109" s="32"/>
      <c r="P109" s="32"/>
      <c r="Q109" s="44"/>
      <c r="S109" s="44"/>
      <c r="U109" s="44"/>
      <c r="V109" s="47"/>
      <c r="W109" s="44"/>
      <c r="Y109" s="44"/>
      <c r="AA109" s="32"/>
    </row>
    <row r="110">
      <c r="A110" s="45"/>
      <c r="B110" s="44"/>
      <c r="D110" s="44"/>
      <c r="F110" s="44"/>
      <c r="H110" s="44"/>
      <c r="J110" s="44"/>
      <c r="K110" s="32"/>
      <c r="L110" s="44"/>
      <c r="M110" s="32"/>
      <c r="N110" s="44"/>
      <c r="O110" s="32"/>
      <c r="P110" s="32"/>
      <c r="Q110" s="44"/>
      <c r="S110" s="44"/>
      <c r="U110" s="44"/>
      <c r="V110" s="47"/>
      <c r="W110" s="44"/>
      <c r="Y110" s="44"/>
      <c r="AA110" s="32"/>
    </row>
    <row r="111">
      <c r="A111" s="45"/>
      <c r="B111" s="44"/>
      <c r="D111" s="44"/>
      <c r="F111" s="44"/>
      <c r="H111" s="44"/>
      <c r="J111" s="44"/>
      <c r="K111" s="32"/>
      <c r="L111" s="44"/>
      <c r="M111" s="32"/>
      <c r="N111" s="44"/>
      <c r="O111" s="32"/>
      <c r="P111" s="32"/>
      <c r="Q111" s="44"/>
      <c r="S111" s="44"/>
      <c r="U111" s="44"/>
      <c r="V111" s="47"/>
      <c r="W111" s="44"/>
      <c r="Y111" s="44"/>
      <c r="AA111" s="32"/>
    </row>
    <row r="112">
      <c r="A112" s="45"/>
      <c r="B112" s="44"/>
      <c r="D112" s="44"/>
      <c r="F112" s="44"/>
      <c r="H112" s="44"/>
      <c r="J112" s="44"/>
      <c r="K112" s="32"/>
      <c r="L112" s="44"/>
      <c r="M112" s="32"/>
      <c r="N112" s="44"/>
      <c r="O112" s="32"/>
      <c r="P112" s="32"/>
      <c r="Q112" s="44"/>
      <c r="S112" s="44"/>
      <c r="U112" s="44"/>
      <c r="V112" s="47"/>
      <c r="W112" s="44"/>
      <c r="Y112" s="44"/>
      <c r="AA112" s="32"/>
    </row>
    <row r="113">
      <c r="A113" s="45"/>
      <c r="B113" s="44"/>
      <c r="D113" s="44"/>
      <c r="F113" s="44"/>
      <c r="H113" s="44"/>
      <c r="J113" s="44"/>
      <c r="K113" s="32"/>
      <c r="L113" s="44"/>
      <c r="M113" s="32"/>
      <c r="N113" s="44"/>
      <c r="O113" s="32"/>
      <c r="P113" s="32"/>
      <c r="Q113" s="44"/>
      <c r="S113" s="44"/>
      <c r="U113" s="44"/>
      <c r="V113" s="47"/>
      <c r="W113" s="44"/>
      <c r="Y113" s="44"/>
      <c r="AA113" s="32"/>
    </row>
    <row r="114">
      <c r="A114" s="45"/>
      <c r="B114" s="44"/>
      <c r="D114" s="44"/>
      <c r="F114" s="44"/>
      <c r="H114" s="44"/>
      <c r="J114" s="44"/>
      <c r="K114" s="32"/>
      <c r="L114" s="44"/>
      <c r="M114" s="32"/>
      <c r="N114" s="44"/>
      <c r="O114" s="32"/>
      <c r="P114" s="32"/>
      <c r="Q114" s="44"/>
      <c r="S114" s="44"/>
      <c r="U114" s="44"/>
      <c r="V114" s="47"/>
      <c r="W114" s="44"/>
      <c r="Y114" s="44"/>
      <c r="AA114" s="32"/>
    </row>
    <row r="115">
      <c r="A115" s="45"/>
      <c r="B115" s="44"/>
      <c r="D115" s="44"/>
      <c r="F115" s="44"/>
      <c r="H115" s="44"/>
      <c r="J115" s="44"/>
      <c r="K115" s="32"/>
      <c r="L115" s="44"/>
      <c r="M115" s="32"/>
      <c r="N115" s="44"/>
      <c r="O115" s="32"/>
      <c r="P115" s="32"/>
      <c r="Q115" s="44"/>
      <c r="S115" s="44"/>
      <c r="U115" s="44"/>
      <c r="V115" s="47"/>
      <c r="W115" s="44"/>
      <c r="Y115" s="44"/>
      <c r="AA115" s="32"/>
    </row>
    <row r="116">
      <c r="A116" s="45"/>
      <c r="B116" s="44"/>
      <c r="D116" s="44"/>
      <c r="F116" s="44"/>
      <c r="H116" s="44"/>
      <c r="J116" s="44"/>
      <c r="K116" s="32"/>
      <c r="L116" s="44"/>
      <c r="M116" s="32"/>
      <c r="N116" s="44"/>
      <c r="O116" s="32"/>
      <c r="P116" s="32"/>
      <c r="Q116" s="44"/>
      <c r="S116" s="44"/>
      <c r="U116" s="44"/>
      <c r="V116" s="47"/>
      <c r="W116" s="44"/>
      <c r="Y116" s="44"/>
      <c r="AA116" s="32"/>
    </row>
    <row r="117">
      <c r="A117" s="45"/>
      <c r="B117" s="44"/>
      <c r="D117" s="44"/>
      <c r="F117" s="44"/>
      <c r="H117" s="44"/>
      <c r="J117" s="44"/>
      <c r="K117" s="32"/>
      <c r="L117" s="44"/>
      <c r="M117" s="32"/>
      <c r="N117" s="44"/>
      <c r="O117" s="32"/>
      <c r="P117" s="32"/>
      <c r="Q117" s="44"/>
      <c r="S117" s="44"/>
      <c r="U117" s="44"/>
      <c r="V117" s="47"/>
      <c r="W117" s="44"/>
      <c r="Y117" s="44"/>
      <c r="AA117" s="32"/>
    </row>
    <row r="118">
      <c r="A118" s="45"/>
      <c r="B118" s="44"/>
      <c r="D118" s="44"/>
      <c r="F118" s="44"/>
      <c r="H118" s="44"/>
      <c r="J118" s="44"/>
      <c r="K118" s="32"/>
      <c r="L118" s="44"/>
      <c r="M118" s="32"/>
      <c r="N118" s="44"/>
      <c r="O118" s="32"/>
      <c r="P118" s="32"/>
      <c r="Q118" s="44"/>
      <c r="S118" s="44"/>
      <c r="U118" s="44"/>
      <c r="V118" s="47"/>
      <c r="W118" s="44"/>
      <c r="Y118" s="44"/>
      <c r="AA118" s="32"/>
    </row>
    <row r="119">
      <c r="A119" s="45"/>
      <c r="B119" s="44"/>
      <c r="D119" s="44"/>
      <c r="F119" s="44"/>
      <c r="H119" s="44"/>
      <c r="J119" s="44"/>
      <c r="K119" s="32"/>
      <c r="L119" s="44"/>
      <c r="M119" s="32"/>
      <c r="N119" s="44"/>
      <c r="O119" s="32"/>
      <c r="P119" s="32"/>
      <c r="Q119" s="44"/>
      <c r="S119" s="44"/>
      <c r="U119" s="44"/>
      <c r="V119" s="47"/>
      <c r="W119" s="44"/>
      <c r="Y119" s="44"/>
      <c r="AA119" s="32"/>
    </row>
    <row r="120">
      <c r="A120" s="45"/>
      <c r="B120" s="44"/>
      <c r="D120" s="44"/>
      <c r="F120" s="44"/>
      <c r="H120" s="44"/>
      <c r="J120" s="44"/>
      <c r="K120" s="32"/>
      <c r="L120" s="44"/>
      <c r="M120" s="32"/>
      <c r="N120" s="44"/>
      <c r="O120" s="32"/>
      <c r="P120" s="32"/>
      <c r="Q120" s="44"/>
      <c r="S120" s="44"/>
      <c r="U120" s="44"/>
      <c r="V120" s="47"/>
      <c r="W120" s="44"/>
      <c r="Y120" s="44"/>
      <c r="AA120" s="32"/>
    </row>
    <row r="121">
      <c r="A121" s="45"/>
      <c r="B121" s="44"/>
      <c r="D121" s="44"/>
      <c r="F121" s="44"/>
      <c r="H121" s="44"/>
      <c r="J121" s="44"/>
      <c r="K121" s="32"/>
      <c r="L121" s="44"/>
      <c r="M121" s="32"/>
      <c r="N121" s="44"/>
      <c r="O121" s="32"/>
      <c r="P121" s="32"/>
      <c r="Q121" s="44"/>
      <c r="S121" s="44"/>
      <c r="U121" s="44"/>
      <c r="V121" s="47"/>
      <c r="W121" s="44"/>
      <c r="Y121" s="44"/>
      <c r="AA121" s="32"/>
    </row>
    <row r="122">
      <c r="A122" s="45"/>
      <c r="B122" s="44"/>
      <c r="D122" s="44"/>
      <c r="F122" s="44"/>
      <c r="H122" s="44"/>
      <c r="J122" s="44"/>
      <c r="K122" s="32"/>
      <c r="L122" s="44"/>
      <c r="M122" s="32"/>
      <c r="N122" s="44"/>
      <c r="O122" s="32"/>
      <c r="P122" s="32"/>
      <c r="Q122" s="44"/>
      <c r="S122" s="44"/>
      <c r="U122" s="44"/>
      <c r="V122" s="47"/>
      <c r="W122" s="44"/>
      <c r="Y122" s="44"/>
      <c r="AA122" s="32"/>
    </row>
    <row r="123">
      <c r="A123" s="45"/>
      <c r="B123" s="44"/>
      <c r="D123" s="44"/>
      <c r="F123" s="44"/>
      <c r="H123" s="44"/>
      <c r="J123" s="44"/>
      <c r="K123" s="32"/>
      <c r="L123" s="44"/>
      <c r="M123" s="32"/>
      <c r="N123" s="44"/>
      <c r="O123" s="32"/>
      <c r="P123" s="32"/>
      <c r="Q123" s="44"/>
      <c r="S123" s="44"/>
      <c r="U123" s="44"/>
      <c r="V123" s="47"/>
      <c r="W123" s="44"/>
      <c r="Y123" s="44"/>
      <c r="AA123" s="32"/>
    </row>
    <row r="124">
      <c r="A124" s="45"/>
      <c r="B124" s="44"/>
      <c r="D124" s="44"/>
      <c r="F124" s="44"/>
      <c r="H124" s="44"/>
      <c r="J124" s="44"/>
      <c r="K124" s="32"/>
      <c r="L124" s="44"/>
      <c r="M124" s="32"/>
      <c r="N124" s="44"/>
      <c r="O124" s="32"/>
      <c r="P124" s="32"/>
      <c r="Q124" s="44"/>
      <c r="S124" s="44"/>
      <c r="U124" s="44"/>
      <c r="V124" s="47"/>
      <c r="W124" s="44"/>
      <c r="Y124" s="44"/>
      <c r="AA124" s="32"/>
    </row>
    <row r="125">
      <c r="A125" s="45"/>
      <c r="B125" s="44"/>
      <c r="D125" s="44"/>
      <c r="F125" s="44"/>
      <c r="H125" s="44"/>
      <c r="J125" s="44"/>
      <c r="K125" s="32"/>
      <c r="L125" s="44"/>
      <c r="M125" s="32"/>
      <c r="N125" s="44"/>
      <c r="O125" s="32"/>
      <c r="P125" s="32"/>
      <c r="Q125" s="44"/>
      <c r="S125" s="44"/>
      <c r="U125" s="44"/>
      <c r="V125" s="47"/>
      <c r="W125" s="44"/>
      <c r="Y125" s="44"/>
      <c r="AA125" s="32"/>
    </row>
    <row r="126">
      <c r="A126" s="45"/>
      <c r="B126" s="44"/>
      <c r="D126" s="44"/>
      <c r="F126" s="44"/>
      <c r="H126" s="44"/>
      <c r="J126" s="44"/>
      <c r="K126" s="32"/>
      <c r="L126" s="44"/>
      <c r="M126" s="32"/>
      <c r="N126" s="44"/>
      <c r="O126" s="32"/>
      <c r="P126" s="32"/>
      <c r="Q126" s="44"/>
      <c r="S126" s="44"/>
      <c r="U126" s="44"/>
      <c r="V126" s="47"/>
      <c r="W126" s="44"/>
      <c r="Y126" s="44"/>
      <c r="AA126" s="32"/>
    </row>
    <row r="127">
      <c r="A127" s="45"/>
      <c r="B127" s="44"/>
      <c r="D127" s="44"/>
      <c r="F127" s="44"/>
      <c r="H127" s="44"/>
      <c r="J127" s="44"/>
      <c r="K127" s="32"/>
      <c r="L127" s="44"/>
      <c r="M127" s="32"/>
      <c r="N127" s="44"/>
      <c r="O127" s="32"/>
      <c r="P127" s="32"/>
      <c r="Q127" s="44"/>
      <c r="S127" s="44"/>
      <c r="U127" s="44"/>
      <c r="V127" s="47"/>
      <c r="W127" s="44"/>
      <c r="Y127" s="44"/>
      <c r="AA127" s="32"/>
    </row>
    <row r="128">
      <c r="A128" s="45"/>
      <c r="B128" s="44"/>
      <c r="D128" s="44"/>
      <c r="F128" s="44"/>
      <c r="H128" s="44"/>
      <c r="J128" s="44"/>
      <c r="K128" s="32"/>
      <c r="L128" s="44"/>
      <c r="M128" s="32"/>
      <c r="N128" s="44"/>
      <c r="O128" s="32"/>
      <c r="P128" s="32"/>
      <c r="Q128" s="44"/>
      <c r="S128" s="44"/>
      <c r="U128" s="44"/>
      <c r="V128" s="47"/>
      <c r="W128" s="44"/>
      <c r="Y128" s="44"/>
      <c r="AA128" s="32"/>
    </row>
    <row r="129">
      <c r="A129" s="45"/>
      <c r="B129" s="44"/>
      <c r="D129" s="44"/>
      <c r="F129" s="44"/>
      <c r="H129" s="44"/>
      <c r="J129" s="44"/>
      <c r="K129" s="32"/>
      <c r="L129" s="44"/>
      <c r="M129" s="32"/>
      <c r="N129" s="44"/>
      <c r="O129" s="32"/>
      <c r="P129" s="32"/>
      <c r="Q129" s="44"/>
      <c r="S129" s="44"/>
      <c r="U129" s="44"/>
      <c r="V129" s="47"/>
      <c r="W129" s="44"/>
      <c r="Y129" s="44"/>
      <c r="AA129" s="32"/>
    </row>
    <row r="130">
      <c r="A130" s="45"/>
      <c r="B130" s="44"/>
      <c r="D130" s="44"/>
      <c r="F130" s="44"/>
      <c r="H130" s="44"/>
      <c r="J130" s="44"/>
      <c r="K130" s="32"/>
      <c r="L130" s="44"/>
      <c r="M130" s="32"/>
      <c r="N130" s="44"/>
      <c r="O130" s="32"/>
      <c r="P130" s="32"/>
      <c r="Q130" s="44"/>
      <c r="S130" s="44"/>
      <c r="U130" s="44"/>
      <c r="V130" s="47"/>
      <c r="W130" s="44"/>
      <c r="Y130" s="44"/>
      <c r="AA130" s="32"/>
    </row>
    <row r="131">
      <c r="A131" s="45"/>
      <c r="B131" s="44"/>
      <c r="D131" s="44"/>
      <c r="F131" s="44"/>
      <c r="H131" s="44"/>
      <c r="J131" s="44"/>
      <c r="K131" s="32"/>
      <c r="L131" s="44"/>
      <c r="M131" s="32"/>
      <c r="N131" s="44"/>
      <c r="O131" s="32"/>
      <c r="P131" s="32"/>
      <c r="Q131" s="44"/>
      <c r="S131" s="44"/>
      <c r="U131" s="44"/>
      <c r="V131" s="47"/>
      <c r="W131" s="44"/>
      <c r="Y131" s="44"/>
      <c r="AA131" s="32"/>
    </row>
    <row r="132">
      <c r="A132" s="45"/>
      <c r="B132" s="44"/>
      <c r="D132" s="44"/>
      <c r="F132" s="44"/>
      <c r="H132" s="44"/>
      <c r="J132" s="44"/>
      <c r="K132" s="32"/>
      <c r="L132" s="44"/>
      <c r="M132" s="32"/>
      <c r="N132" s="44"/>
      <c r="O132" s="32"/>
      <c r="P132" s="32"/>
      <c r="Q132" s="44"/>
      <c r="S132" s="44"/>
      <c r="U132" s="44"/>
      <c r="V132" s="47"/>
      <c r="W132" s="44"/>
      <c r="Y132" s="44"/>
      <c r="AA132" s="32"/>
    </row>
    <row r="133">
      <c r="A133" s="45"/>
      <c r="B133" s="44"/>
      <c r="D133" s="44"/>
      <c r="F133" s="44"/>
      <c r="H133" s="44"/>
      <c r="J133" s="44"/>
      <c r="K133" s="32"/>
      <c r="L133" s="44"/>
      <c r="M133" s="32"/>
      <c r="N133" s="44"/>
      <c r="O133" s="32"/>
      <c r="P133" s="32"/>
      <c r="Q133" s="44"/>
      <c r="S133" s="44"/>
      <c r="U133" s="44"/>
      <c r="V133" s="47"/>
      <c r="W133" s="44"/>
      <c r="Y133" s="44"/>
      <c r="AA133" s="32"/>
    </row>
    <row r="134">
      <c r="A134" s="45"/>
      <c r="B134" s="44"/>
      <c r="D134" s="44"/>
      <c r="F134" s="44"/>
      <c r="H134" s="44"/>
      <c r="J134" s="44"/>
      <c r="K134" s="32"/>
      <c r="L134" s="44"/>
      <c r="M134" s="32"/>
      <c r="N134" s="44"/>
      <c r="O134" s="32"/>
      <c r="P134" s="32"/>
      <c r="Q134" s="44"/>
      <c r="S134" s="44"/>
      <c r="U134" s="44"/>
      <c r="V134" s="47"/>
      <c r="W134" s="44"/>
      <c r="Y134" s="44"/>
      <c r="AA134" s="32"/>
    </row>
    <row r="135">
      <c r="A135" s="45"/>
      <c r="B135" s="44"/>
      <c r="D135" s="44"/>
      <c r="F135" s="44"/>
      <c r="H135" s="44"/>
      <c r="J135" s="44"/>
      <c r="K135" s="32"/>
      <c r="L135" s="44"/>
      <c r="M135" s="32"/>
      <c r="N135" s="44"/>
      <c r="O135" s="32"/>
      <c r="P135" s="32"/>
      <c r="Q135" s="44"/>
      <c r="S135" s="44"/>
      <c r="U135" s="44"/>
      <c r="V135" s="47"/>
      <c r="W135" s="44"/>
      <c r="Y135" s="44"/>
      <c r="AA135" s="32"/>
    </row>
    <row r="136">
      <c r="A136" s="45"/>
      <c r="B136" s="44"/>
      <c r="D136" s="44"/>
      <c r="F136" s="44"/>
      <c r="H136" s="44"/>
      <c r="J136" s="44"/>
      <c r="K136" s="32"/>
      <c r="L136" s="44"/>
      <c r="M136" s="32"/>
      <c r="N136" s="44"/>
      <c r="O136" s="32"/>
      <c r="P136" s="32"/>
      <c r="Q136" s="44"/>
      <c r="S136" s="44"/>
      <c r="U136" s="44"/>
      <c r="V136" s="47"/>
      <c r="W136" s="44"/>
      <c r="Y136" s="44"/>
      <c r="AA136" s="32"/>
    </row>
    <row r="137">
      <c r="A137" s="45"/>
      <c r="B137" s="44"/>
      <c r="D137" s="44"/>
      <c r="F137" s="44"/>
      <c r="H137" s="44"/>
      <c r="J137" s="44"/>
      <c r="K137" s="32"/>
      <c r="L137" s="44"/>
      <c r="M137" s="32"/>
      <c r="N137" s="44"/>
      <c r="O137" s="32"/>
      <c r="P137" s="32"/>
      <c r="Q137" s="44"/>
      <c r="S137" s="44"/>
      <c r="U137" s="44"/>
      <c r="V137" s="47"/>
      <c r="W137" s="44"/>
      <c r="Y137" s="44"/>
      <c r="AA137" s="32"/>
    </row>
    <row r="138">
      <c r="A138" s="45"/>
      <c r="B138" s="44"/>
      <c r="D138" s="44"/>
      <c r="F138" s="44"/>
      <c r="H138" s="44"/>
      <c r="J138" s="44"/>
      <c r="K138" s="32"/>
      <c r="L138" s="44"/>
      <c r="M138" s="32"/>
      <c r="N138" s="44"/>
      <c r="O138" s="32"/>
      <c r="P138" s="32"/>
      <c r="Q138" s="44"/>
      <c r="S138" s="44"/>
      <c r="U138" s="44"/>
      <c r="V138" s="47"/>
      <c r="W138" s="44"/>
      <c r="Y138" s="44"/>
      <c r="AA138" s="32"/>
    </row>
    <row r="139">
      <c r="A139" s="45"/>
      <c r="B139" s="44"/>
      <c r="D139" s="44"/>
      <c r="F139" s="44"/>
      <c r="H139" s="44"/>
      <c r="J139" s="44"/>
      <c r="K139" s="32"/>
      <c r="L139" s="44"/>
      <c r="M139" s="32"/>
      <c r="N139" s="44"/>
      <c r="O139" s="32"/>
      <c r="P139" s="32"/>
      <c r="Q139" s="44"/>
      <c r="S139" s="44"/>
      <c r="U139" s="44"/>
      <c r="V139" s="47"/>
      <c r="W139" s="44"/>
      <c r="Y139" s="44"/>
      <c r="AA139" s="32"/>
    </row>
    <row r="140">
      <c r="A140" s="45"/>
      <c r="B140" s="44"/>
      <c r="D140" s="44"/>
      <c r="F140" s="44"/>
      <c r="H140" s="44"/>
      <c r="J140" s="44"/>
      <c r="K140" s="32"/>
      <c r="L140" s="44"/>
      <c r="M140" s="32"/>
      <c r="N140" s="44"/>
      <c r="O140" s="32"/>
      <c r="P140" s="32"/>
      <c r="Q140" s="44"/>
      <c r="S140" s="44"/>
      <c r="U140" s="44"/>
      <c r="V140" s="47"/>
      <c r="W140" s="44"/>
      <c r="Y140" s="44"/>
      <c r="AA140" s="32"/>
    </row>
    <row r="141">
      <c r="A141" s="45"/>
      <c r="B141" s="44"/>
      <c r="D141" s="44"/>
      <c r="F141" s="44"/>
      <c r="H141" s="44"/>
      <c r="J141" s="44"/>
      <c r="K141" s="32"/>
      <c r="L141" s="44"/>
      <c r="M141" s="32"/>
      <c r="N141" s="44"/>
      <c r="O141" s="32"/>
      <c r="P141" s="32"/>
      <c r="Q141" s="44"/>
      <c r="S141" s="44"/>
      <c r="U141" s="44"/>
      <c r="V141" s="47"/>
      <c r="W141" s="44"/>
      <c r="Y141" s="44"/>
      <c r="AA141" s="32"/>
    </row>
    <row r="142">
      <c r="A142" s="45"/>
      <c r="B142" s="44"/>
      <c r="D142" s="44"/>
      <c r="F142" s="44"/>
      <c r="H142" s="44"/>
      <c r="J142" s="44"/>
      <c r="K142" s="32"/>
      <c r="L142" s="44"/>
      <c r="M142" s="32"/>
      <c r="N142" s="44"/>
      <c r="O142" s="32"/>
      <c r="P142" s="32"/>
      <c r="Q142" s="44"/>
      <c r="S142" s="44"/>
      <c r="U142" s="44"/>
      <c r="V142" s="47"/>
      <c r="W142" s="44"/>
      <c r="Y142" s="44"/>
      <c r="AA142" s="32"/>
    </row>
    <row r="143">
      <c r="A143" s="45"/>
      <c r="B143" s="44"/>
      <c r="D143" s="44"/>
      <c r="F143" s="44"/>
      <c r="H143" s="44"/>
      <c r="J143" s="44"/>
      <c r="K143" s="32"/>
      <c r="L143" s="44"/>
      <c r="M143" s="32"/>
      <c r="N143" s="44"/>
      <c r="O143" s="32"/>
      <c r="P143" s="32"/>
      <c r="Q143" s="44"/>
      <c r="S143" s="44"/>
      <c r="U143" s="44"/>
      <c r="V143" s="47"/>
      <c r="W143" s="44"/>
      <c r="Y143" s="44"/>
      <c r="AA143" s="32"/>
    </row>
    <row r="144">
      <c r="A144" s="45"/>
      <c r="B144" s="44"/>
      <c r="D144" s="44"/>
      <c r="F144" s="44"/>
      <c r="H144" s="44"/>
      <c r="J144" s="44"/>
      <c r="K144" s="32"/>
      <c r="L144" s="44"/>
      <c r="M144" s="32"/>
      <c r="N144" s="44"/>
      <c r="O144" s="32"/>
      <c r="P144" s="32"/>
      <c r="Q144" s="44"/>
      <c r="S144" s="44"/>
      <c r="U144" s="44"/>
      <c r="V144" s="47"/>
      <c r="W144" s="44"/>
      <c r="Y144" s="44"/>
      <c r="AA144" s="32"/>
    </row>
    <row r="145">
      <c r="A145" s="45"/>
      <c r="B145" s="44"/>
      <c r="D145" s="44"/>
      <c r="F145" s="44"/>
      <c r="H145" s="44"/>
      <c r="J145" s="44"/>
      <c r="K145" s="32"/>
      <c r="L145" s="44"/>
      <c r="M145" s="32"/>
      <c r="N145" s="44"/>
      <c r="O145" s="32"/>
      <c r="P145" s="32"/>
      <c r="Q145" s="44"/>
      <c r="S145" s="44"/>
      <c r="U145" s="44"/>
      <c r="V145" s="47"/>
      <c r="W145" s="44"/>
      <c r="Y145" s="44"/>
      <c r="AA145" s="32"/>
    </row>
    <row r="146">
      <c r="A146" s="45"/>
      <c r="B146" s="44"/>
      <c r="D146" s="44"/>
      <c r="F146" s="44"/>
      <c r="H146" s="44"/>
      <c r="J146" s="44"/>
      <c r="K146" s="32"/>
      <c r="L146" s="44"/>
      <c r="M146" s="32"/>
      <c r="N146" s="44"/>
      <c r="O146" s="32"/>
      <c r="P146" s="32"/>
      <c r="Q146" s="44"/>
      <c r="S146" s="44"/>
      <c r="U146" s="44"/>
      <c r="V146" s="47"/>
      <c r="W146" s="44"/>
      <c r="Y146" s="44"/>
      <c r="AA146" s="32"/>
    </row>
    <row r="147">
      <c r="A147" s="45"/>
      <c r="B147" s="44"/>
      <c r="D147" s="44"/>
      <c r="F147" s="44"/>
      <c r="H147" s="44"/>
      <c r="J147" s="44"/>
      <c r="K147" s="32"/>
      <c r="L147" s="44"/>
      <c r="M147" s="32"/>
      <c r="N147" s="44"/>
      <c r="O147" s="32"/>
      <c r="P147" s="32"/>
      <c r="Q147" s="44"/>
      <c r="S147" s="44"/>
      <c r="U147" s="44"/>
      <c r="V147" s="47"/>
      <c r="W147" s="44"/>
      <c r="Y147" s="44"/>
      <c r="AA147" s="32"/>
    </row>
    <row r="148">
      <c r="A148" s="45"/>
      <c r="B148" s="44"/>
      <c r="D148" s="44"/>
      <c r="F148" s="44"/>
      <c r="H148" s="44"/>
      <c r="J148" s="44"/>
      <c r="K148" s="32"/>
      <c r="L148" s="44"/>
      <c r="M148" s="32"/>
      <c r="N148" s="44"/>
      <c r="O148" s="32"/>
      <c r="P148" s="32"/>
      <c r="Q148" s="44"/>
      <c r="S148" s="44"/>
      <c r="U148" s="44"/>
      <c r="V148" s="47"/>
      <c r="W148" s="44"/>
      <c r="Y148" s="44"/>
      <c r="AA148" s="32"/>
    </row>
    <row r="149">
      <c r="A149" s="45"/>
      <c r="B149" s="44"/>
      <c r="D149" s="44"/>
      <c r="F149" s="44"/>
      <c r="H149" s="44"/>
      <c r="J149" s="44"/>
      <c r="K149" s="32"/>
      <c r="L149" s="44"/>
      <c r="M149" s="32"/>
      <c r="N149" s="44"/>
      <c r="O149" s="32"/>
      <c r="P149" s="32"/>
      <c r="Q149" s="44"/>
      <c r="S149" s="44"/>
      <c r="U149" s="44"/>
      <c r="V149" s="47"/>
      <c r="W149" s="44"/>
      <c r="Y149" s="44"/>
      <c r="AA149" s="32"/>
    </row>
    <row r="150">
      <c r="A150" s="45"/>
      <c r="B150" s="44"/>
      <c r="D150" s="44"/>
      <c r="F150" s="44"/>
      <c r="H150" s="44"/>
      <c r="J150" s="44"/>
      <c r="K150" s="32"/>
      <c r="L150" s="44"/>
      <c r="M150" s="32"/>
      <c r="N150" s="44"/>
      <c r="O150" s="32"/>
      <c r="P150" s="32"/>
      <c r="Q150" s="44"/>
      <c r="S150" s="44"/>
      <c r="U150" s="44"/>
      <c r="V150" s="47"/>
      <c r="W150" s="44"/>
      <c r="Y150" s="44"/>
      <c r="AA150" s="32"/>
    </row>
    <row r="151">
      <c r="A151" s="45"/>
      <c r="B151" s="44"/>
      <c r="D151" s="44"/>
      <c r="F151" s="44"/>
      <c r="H151" s="44"/>
      <c r="J151" s="44"/>
      <c r="K151" s="32"/>
      <c r="L151" s="44"/>
      <c r="M151" s="32"/>
      <c r="N151" s="44"/>
      <c r="O151" s="32"/>
      <c r="P151" s="32"/>
      <c r="Q151" s="44"/>
      <c r="S151" s="44"/>
      <c r="U151" s="44"/>
      <c r="V151" s="47"/>
      <c r="W151" s="44"/>
      <c r="Y151" s="44"/>
      <c r="AA151" s="32"/>
    </row>
    <row r="152">
      <c r="A152" s="45"/>
      <c r="B152" s="44"/>
      <c r="D152" s="44"/>
      <c r="F152" s="44"/>
      <c r="H152" s="44"/>
      <c r="J152" s="44"/>
      <c r="K152" s="32"/>
      <c r="L152" s="44"/>
      <c r="M152" s="32"/>
      <c r="N152" s="44"/>
      <c r="O152" s="32"/>
      <c r="P152" s="32"/>
      <c r="Q152" s="44"/>
      <c r="S152" s="44"/>
      <c r="U152" s="44"/>
      <c r="V152" s="47"/>
      <c r="W152" s="44"/>
      <c r="Y152" s="44"/>
      <c r="AA152" s="32"/>
    </row>
    <row r="153">
      <c r="A153" s="45"/>
      <c r="B153" s="44"/>
      <c r="D153" s="44"/>
      <c r="F153" s="44"/>
      <c r="H153" s="44"/>
      <c r="J153" s="44"/>
      <c r="K153" s="32"/>
      <c r="L153" s="44"/>
      <c r="M153" s="32"/>
      <c r="N153" s="44"/>
      <c r="O153" s="32"/>
      <c r="P153" s="32"/>
      <c r="Q153" s="44"/>
      <c r="S153" s="44"/>
      <c r="U153" s="44"/>
      <c r="V153" s="47"/>
      <c r="W153" s="44"/>
      <c r="Y153" s="44"/>
      <c r="AA153" s="32"/>
    </row>
    <row r="154">
      <c r="A154" s="45"/>
      <c r="B154" s="44"/>
      <c r="D154" s="44"/>
      <c r="F154" s="44"/>
      <c r="H154" s="44"/>
      <c r="J154" s="44"/>
      <c r="K154" s="32"/>
      <c r="L154" s="44"/>
      <c r="M154" s="32"/>
      <c r="N154" s="44"/>
      <c r="O154" s="32"/>
      <c r="P154" s="32"/>
      <c r="Q154" s="44"/>
      <c r="S154" s="44"/>
      <c r="U154" s="44"/>
      <c r="V154" s="47"/>
      <c r="W154" s="44"/>
      <c r="Y154" s="44"/>
      <c r="AA154" s="32"/>
    </row>
    <row r="155">
      <c r="A155" s="45"/>
      <c r="B155" s="44"/>
      <c r="D155" s="44"/>
      <c r="F155" s="44"/>
      <c r="H155" s="44"/>
      <c r="J155" s="44"/>
      <c r="K155" s="32"/>
      <c r="L155" s="44"/>
      <c r="M155" s="32"/>
      <c r="N155" s="44"/>
      <c r="O155" s="32"/>
      <c r="P155" s="32"/>
      <c r="Q155" s="44"/>
      <c r="S155" s="44"/>
      <c r="U155" s="44"/>
      <c r="V155" s="47"/>
      <c r="W155" s="44"/>
      <c r="Y155" s="44"/>
      <c r="AA155" s="32"/>
    </row>
    <row r="156">
      <c r="A156" s="45"/>
      <c r="B156" s="44"/>
      <c r="D156" s="44"/>
      <c r="F156" s="44"/>
      <c r="H156" s="44"/>
      <c r="J156" s="44"/>
      <c r="K156" s="32"/>
      <c r="L156" s="44"/>
      <c r="M156" s="32"/>
      <c r="N156" s="44"/>
      <c r="O156" s="32"/>
      <c r="P156" s="32"/>
      <c r="Q156" s="44"/>
      <c r="S156" s="44"/>
      <c r="U156" s="44"/>
      <c r="V156" s="47"/>
      <c r="W156" s="44"/>
      <c r="Y156" s="44"/>
      <c r="AA156" s="32"/>
    </row>
    <row r="157">
      <c r="A157" s="45"/>
      <c r="B157" s="44"/>
      <c r="D157" s="44"/>
      <c r="F157" s="44"/>
      <c r="H157" s="44"/>
      <c r="J157" s="44"/>
      <c r="K157" s="32"/>
      <c r="L157" s="44"/>
      <c r="M157" s="32"/>
      <c r="N157" s="44"/>
      <c r="O157" s="32"/>
      <c r="P157" s="32"/>
      <c r="Q157" s="44"/>
      <c r="S157" s="44"/>
      <c r="U157" s="44"/>
      <c r="V157" s="47"/>
      <c r="W157" s="44"/>
      <c r="Y157" s="44"/>
      <c r="AA157" s="32"/>
    </row>
    <row r="158">
      <c r="A158" s="45"/>
      <c r="B158" s="44"/>
      <c r="D158" s="44"/>
      <c r="F158" s="44"/>
      <c r="H158" s="44"/>
      <c r="J158" s="44"/>
      <c r="K158" s="32"/>
      <c r="L158" s="44"/>
      <c r="M158" s="32"/>
      <c r="N158" s="44"/>
      <c r="O158" s="32"/>
      <c r="P158" s="32"/>
      <c r="Q158" s="44"/>
      <c r="S158" s="44"/>
      <c r="U158" s="44"/>
      <c r="V158" s="47"/>
      <c r="W158" s="44"/>
      <c r="Y158" s="44"/>
      <c r="AA158" s="32"/>
    </row>
    <row r="159">
      <c r="A159" s="45"/>
      <c r="B159" s="44"/>
      <c r="D159" s="44"/>
      <c r="F159" s="44"/>
      <c r="H159" s="44"/>
      <c r="J159" s="44"/>
      <c r="K159" s="32"/>
      <c r="L159" s="44"/>
      <c r="M159" s="32"/>
      <c r="N159" s="44"/>
      <c r="O159" s="32"/>
      <c r="P159" s="32"/>
      <c r="Q159" s="44"/>
      <c r="S159" s="44"/>
      <c r="U159" s="44"/>
      <c r="V159" s="47"/>
      <c r="W159" s="44"/>
      <c r="Y159" s="44"/>
      <c r="AA159" s="32"/>
    </row>
    <row r="160">
      <c r="A160" s="45"/>
      <c r="B160" s="44"/>
      <c r="D160" s="44"/>
      <c r="F160" s="44"/>
      <c r="H160" s="44"/>
      <c r="J160" s="44"/>
      <c r="K160" s="32"/>
      <c r="L160" s="44"/>
      <c r="M160" s="32"/>
      <c r="N160" s="44"/>
      <c r="O160" s="32"/>
      <c r="P160" s="32"/>
      <c r="Q160" s="44"/>
      <c r="S160" s="44"/>
      <c r="U160" s="44"/>
      <c r="V160" s="47"/>
      <c r="W160" s="44"/>
      <c r="Y160" s="44"/>
      <c r="AA160" s="32"/>
    </row>
    <row r="161">
      <c r="A161" s="45"/>
      <c r="B161" s="44"/>
      <c r="D161" s="44"/>
      <c r="F161" s="44"/>
      <c r="H161" s="44"/>
      <c r="J161" s="44"/>
      <c r="K161" s="32"/>
      <c r="L161" s="44"/>
      <c r="M161" s="32"/>
      <c r="N161" s="44"/>
      <c r="O161" s="32"/>
      <c r="P161" s="32"/>
      <c r="Q161" s="44"/>
      <c r="S161" s="44"/>
      <c r="U161" s="44"/>
      <c r="V161" s="47"/>
      <c r="W161" s="44"/>
      <c r="Y161" s="44"/>
      <c r="AA161" s="32"/>
    </row>
    <row r="162">
      <c r="A162" s="45"/>
      <c r="B162" s="44"/>
      <c r="D162" s="44"/>
      <c r="F162" s="44"/>
      <c r="H162" s="44"/>
      <c r="J162" s="44"/>
      <c r="K162" s="32"/>
      <c r="L162" s="44"/>
      <c r="M162" s="32"/>
      <c r="N162" s="44"/>
      <c r="O162" s="32"/>
      <c r="P162" s="32"/>
      <c r="Q162" s="44"/>
      <c r="S162" s="44"/>
      <c r="U162" s="44"/>
      <c r="V162" s="47"/>
      <c r="W162" s="44"/>
      <c r="Y162" s="44"/>
      <c r="AA162" s="32"/>
    </row>
    <row r="163">
      <c r="A163" s="45"/>
      <c r="B163" s="44"/>
      <c r="D163" s="44"/>
      <c r="F163" s="44"/>
      <c r="H163" s="44"/>
      <c r="J163" s="44"/>
      <c r="K163" s="32"/>
      <c r="L163" s="44"/>
      <c r="M163" s="32"/>
      <c r="N163" s="44"/>
      <c r="O163" s="32"/>
      <c r="P163" s="32"/>
      <c r="Q163" s="44"/>
      <c r="S163" s="44"/>
      <c r="U163" s="44"/>
      <c r="V163" s="47"/>
      <c r="W163" s="44"/>
      <c r="Y163" s="44"/>
      <c r="AA163" s="32"/>
    </row>
    <row r="164">
      <c r="A164" s="45"/>
      <c r="B164" s="44"/>
      <c r="D164" s="44"/>
      <c r="F164" s="44"/>
      <c r="H164" s="44"/>
      <c r="J164" s="44"/>
      <c r="K164" s="32"/>
      <c r="L164" s="44"/>
      <c r="M164" s="32"/>
      <c r="N164" s="44"/>
      <c r="O164" s="32"/>
      <c r="P164" s="32"/>
      <c r="Q164" s="44"/>
      <c r="S164" s="44"/>
      <c r="U164" s="44"/>
      <c r="V164" s="47"/>
      <c r="W164" s="44"/>
      <c r="Y164" s="44"/>
      <c r="AA164" s="32"/>
    </row>
    <row r="165">
      <c r="A165" s="45"/>
      <c r="B165" s="44"/>
      <c r="D165" s="44"/>
      <c r="F165" s="44"/>
      <c r="H165" s="44"/>
      <c r="J165" s="44"/>
      <c r="K165" s="32"/>
      <c r="L165" s="44"/>
      <c r="M165" s="32"/>
      <c r="N165" s="44"/>
      <c r="O165" s="32"/>
      <c r="P165" s="32"/>
      <c r="Q165" s="44"/>
      <c r="S165" s="44"/>
      <c r="U165" s="44"/>
      <c r="V165" s="47"/>
      <c r="W165" s="44"/>
      <c r="Y165" s="44"/>
      <c r="AA165" s="32"/>
    </row>
    <row r="166">
      <c r="A166" s="45"/>
      <c r="B166" s="44"/>
      <c r="D166" s="44"/>
      <c r="F166" s="44"/>
      <c r="H166" s="44"/>
      <c r="J166" s="44"/>
      <c r="K166" s="32"/>
      <c r="L166" s="44"/>
      <c r="M166" s="32"/>
      <c r="N166" s="44"/>
      <c r="O166" s="32"/>
      <c r="P166" s="32"/>
      <c r="Q166" s="44"/>
      <c r="S166" s="44"/>
      <c r="U166" s="44"/>
      <c r="V166" s="47"/>
      <c r="W166" s="44"/>
      <c r="Y166" s="44"/>
      <c r="AA166" s="32"/>
    </row>
    <row r="167">
      <c r="A167" s="45"/>
      <c r="B167" s="44"/>
      <c r="D167" s="44"/>
      <c r="F167" s="44"/>
      <c r="H167" s="44"/>
      <c r="J167" s="44"/>
      <c r="K167" s="32"/>
      <c r="L167" s="44"/>
      <c r="M167" s="32"/>
      <c r="N167" s="44"/>
      <c r="O167" s="32"/>
      <c r="P167" s="32"/>
      <c r="Q167" s="44"/>
      <c r="S167" s="44"/>
      <c r="U167" s="44"/>
      <c r="V167" s="47"/>
      <c r="W167" s="44"/>
      <c r="Y167" s="44"/>
      <c r="AA167" s="32"/>
    </row>
    <row r="168">
      <c r="A168" s="45"/>
      <c r="B168" s="44"/>
      <c r="D168" s="44"/>
      <c r="F168" s="44"/>
      <c r="H168" s="44"/>
      <c r="J168" s="44"/>
      <c r="K168" s="32"/>
      <c r="L168" s="44"/>
      <c r="M168" s="32"/>
      <c r="N168" s="44"/>
      <c r="O168" s="32"/>
      <c r="P168" s="32"/>
      <c r="Q168" s="44"/>
      <c r="S168" s="44"/>
      <c r="U168" s="44"/>
      <c r="V168" s="47"/>
      <c r="W168" s="44"/>
      <c r="Y168" s="44"/>
      <c r="AA168" s="32"/>
    </row>
    <row r="169">
      <c r="A169" s="45"/>
      <c r="B169" s="44"/>
      <c r="D169" s="44"/>
      <c r="F169" s="44"/>
      <c r="H169" s="44"/>
      <c r="J169" s="44"/>
      <c r="K169" s="32"/>
      <c r="L169" s="44"/>
      <c r="M169" s="32"/>
      <c r="N169" s="44"/>
      <c r="O169" s="32"/>
      <c r="P169" s="32"/>
      <c r="Q169" s="44"/>
      <c r="S169" s="44"/>
      <c r="U169" s="44"/>
      <c r="V169" s="47"/>
      <c r="W169" s="44"/>
      <c r="Y169" s="44"/>
      <c r="AA169" s="32"/>
    </row>
    <row r="170">
      <c r="A170" s="45"/>
      <c r="B170" s="44"/>
      <c r="D170" s="44"/>
      <c r="F170" s="44"/>
      <c r="H170" s="44"/>
      <c r="J170" s="44"/>
      <c r="K170" s="32"/>
      <c r="L170" s="44"/>
      <c r="M170" s="32"/>
      <c r="N170" s="44"/>
      <c r="O170" s="32"/>
      <c r="P170" s="32"/>
      <c r="Q170" s="44"/>
      <c r="S170" s="44"/>
      <c r="U170" s="44"/>
      <c r="V170" s="47"/>
      <c r="W170" s="44"/>
      <c r="Y170" s="44"/>
      <c r="AA170" s="32"/>
    </row>
    <row r="171">
      <c r="A171" s="45"/>
      <c r="B171" s="44"/>
      <c r="D171" s="44"/>
      <c r="F171" s="44"/>
      <c r="H171" s="44"/>
      <c r="J171" s="44"/>
      <c r="K171" s="32"/>
      <c r="L171" s="44"/>
      <c r="M171" s="32"/>
      <c r="N171" s="44"/>
      <c r="O171" s="32"/>
      <c r="P171" s="32"/>
      <c r="Q171" s="44"/>
      <c r="S171" s="44"/>
      <c r="U171" s="44"/>
      <c r="V171" s="47"/>
      <c r="W171" s="44"/>
      <c r="Y171" s="44"/>
      <c r="AA171" s="32"/>
    </row>
    <row r="172">
      <c r="A172" s="45"/>
      <c r="B172" s="44"/>
      <c r="D172" s="44"/>
      <c r="F172" s="44"/>
      <c r="H172" s="44"/>
      <c r="J172" s="44"/>
      <c r="K172" s="32"/>
      <c r="L172" s="44"/>
      <c r="M172" s="32"/>
      <c r="N172" s="44"/>
      <c r="O172" s="32"/>
      <c r="P172" s="32"/>
      <c r="Q172" s="44"/>
      <c r="S172" s="44"/>
      <c r="U172" s="44"/>
      <c r="V172" s="47"/>
      <c r="W172" s="44"/>
      <c r="Y172" s="44"/>
      <c r="AA172" s="32"/>
    </row>
    <row r="173">
      <c r="A173" s="45"/>
      <c r="B173" s="44"/>
      <c r="D173" s="44"/>
      <c r="F173" s="44"/>
      <c r="H173" s="44"/>
      <c r="J173" s="44"/>
      <c r="K173" s="32"/>
      <c r="L173" s="44"/>
      <c r="M173" s="32"/>
      <c r="N173" s="44"/>
      <c r="O173" s="32"/>
      <c r="P173" s="32"/>
      <c r="Q173" s="44"/>
      <c r="S173" s="44"/>
      <c r="U173" s="44"/>
      <c r="V173" s="47"/>
      <c r="W173" s="44"/>
      <c r="Y173" s="44"/>
      <c r="AA173" s="32"/>
    </row>
    <row r="174">
      <c r="A174" s="45"/>
      <c r="B174" s="44"/>
      <c r="D174" s="44"/>
      <c r="F174" s="44"/>
      <c r="H174" s="44"/>
      <c r="J174" s="44"/>
      <c r="K174" s="32"/>
      <c r="L174" s="44"/>
      <c r="M174" s="32"/>
      <c r="N174" s="44"/>
      <c r="O174" s="32"/>
      <c r="P174" s="32"/>
      <c r="Q174" s="44"/>
      <c r="S174" s="44"/>
      <c r="U174" s="44"/>
      <c r="V174" s="47"/>
      <c r="W174" s="44"/>
      <c r="Y174" s="44"/>
      <c r="AA174" s="32"/>
    </row>
    <row r="175">
      <c r="A175" s="45"/>
      <c r="B175" s="44"/>
      <c r="D175" s="44"/>
      <c r="F175" s="44"/>
      <c r="H175" s="44"/>
      <c r="J175" s="44"/>
      <c r="K175" s="32"/>
      <c r="L175" s="44"/>
      <c r="M175" s="32"/>
      <c r="N175" s="44"/>
      <c r="O175" s="32"/>
      <c r="P175" s="32"/>
      <c r="Q175" s="44"/>
      <c r="S175" s="44"/>
      <c r="U175" s="44"/>
      <c r="V175" s="47"/>
      <c r="W175" s="44"/>
      <c r="Y175" s="44"/>
      <c r="AA175" s="32"/>
    </row>
    <row r="176">
      <c r="A176" s="45"/>
      <c r="B176" s="44"/>
      <c r="D176" s="44"/>
      <c r="F176" s="44"/>
      <c r="H176" s="44"/>
      <c r="J176" s="44"/>
      <c r="K176" s="32"/>
      <c r="L176" s="44"/>
      <c r="M176" s="32"/>
      <c r="N176" s="44"/>
      <c r="O176" s="32"/>
      <c r="P176" s="32"/>
      <c r="Q176" s="44"/>
      <c r="S176" s="44"/>
      <c r="U176" s="44"/>
      <c r="V176" s="47"/>
      <c r="W176" s="44"/>
      <c r="Y176" s="44"/>
      <c r="AA176" s="32"/>
    </row>
    <row r="177">
      <c r="A177" s="45"/>
      <c r="B177" s="44"/>
      <c r="D177" s="44"/>
      <c r="F177" s="44"/>
      <c r="H177" s="44"/>
      <c r="J177" s="44"/>
      <c r="K177" s="32"/>
      <c r="L177" s="44"/>
      <c r="M177" s="32"/>
      <c r="N177" s="44"/>
      <c r="O177" s="32"/>
      <c r="P177" s="32"/>
      <c r="Q177" s="44"/>
      <c r="S177" s="44"/>
      <c r="U177" s="44"/>
      <c r="V177" s="47"/>
      <c r="W177" s="44"/>
      <c r="Y177" s="44"/>
      <c r="AA177" s="32"/>
    </row>
    <row r="178">
      <c r="A178" s="45"/>
      <c r="B178" s="44"/>
      <c r="D178" s="44"/>
      <c r="F178" s="44"/>
      <c r="H178" s="44"/>
      <c r="J178" s="44"/>
      <c r="K178" s="32"/>
      <c r="L178" s="44"/>
      <c r="M178" s="32"/>
      <c r="N178" s="44"/>
      <c r="O178" s="32"/>
      <c r="P178" s="32"/>
      <c r="Q178" s="44"/>
      <c r="S178" s="44"/>
      <c r="U178" s="44"/>
      <c r="V178" s="47"/>
      <c r="W178" s="44"/>
      <c r="Y178" s="44"/>
      <c r="AA178" s="32"/>
    </row>
    <row r="179">
      <c r="A179" s="45"/>
      <c r="B179" s="44"/>
      <c r="D179" s="44"/>
      <c r="F179" s="44"/>
      <c r="H179" s="44"/>
      <c r="J179" s="44"/>
      <c r="K179" s="32"/>
      <c r="L179" s="44"/>
      <c r="M179" s="32"/>
      <c r="N179" s="44"/>
      <c r="O179" s="32"/>
      <c r="P179" s="32"/>
      <c r="Q179" s="44"/>
      <c r="S179" s="44"/>
      <c r="U179" s="44"/>
      <c r="V179" s="47"/>
      <c r="W179" s="44"/>
      <c r="Y179" s="44"/>
      <c r="AA179" s="32"/>
    </row>
    <row r="180">
      <c r="A180" s="45"/>
      <c r="B180" s="44"/>
      <c r="D180" s="44"/>
      <c r="F180" s="44"/>
      <c r="H180" s="44"/>
      <c r="J180" s="44"/>
      <c r="K180" s="32"/>
      <c r="L180" s="44"/>
      <c r="M180" s="32"/>
      <c r="N180" s="44"/>
      <c r="O180" s="32"/>
      <c r="P180" s="32"/>
      <c r="Q180" s="44"/>
      <c r="S180" s="44"/>
      <c r="U180" s="44"/>
      <c r="V180" s="47"/>
      <c r="W180" s="44"/>
      <c r="Y180" s="44"/>
      <c r="AA180" s="32"/>
    </row>
    <row r="181">
      <c r="A181" s="45"/>
      <c r="B181" s="44"/>
      <c r="D181" s="44"/>
      <c r="F181" s="44"/>
      <c r="H181" s="44"/>
      <c r="J181" s="44"/>
      <c r="K181" s="32"/>
      <c r="L181" s="44"/>
      <c r="M181" s="32"/>
      <c r="N181" s="44"/>
      <c r="O181" s="32"/>
      <c r="P181" s="32"/>
      <c r="Q181" s="44"/>
      <c r="S181" s="44"/>
      <c r="U181" s="44"/>
      <c r="V181" s="47"/>
      <c r="W181" s="44"/>
      <c r="Y181" s="44"/>
      <c r="AA181" s="32"/>
    </row>
    <row r="182">
      <c r="A182" s="45"/>
      <c r="B182" s="44"/>
      <c r="D182" s="44"/>
      <c r="F182" s="44"/>
      <c r="H182" s="44"/>
      <c r="J182" s="44"/>
      <c r="K182" s="32"/>
      <c r="L182" s="44"/>
      <c r="M182" s="32"/>
      <c r="N182" s="44"/>
      <c r="O182" s="32"/>
      <c r="P182" s="32"/>
      <c r="Q182" s="44"/>
      <c r="S182" s="44"/>
      <c r="U182" s="44"/>
      <c r="V182" s="47"/>
      <c r="W182" s="44"/>
      <c r="Y182" s="44"/>
      <c r="AA182" s="32"/>
    </row>
    <row r="183">
      <c r="A183" s="45"/>
      <c r="B183" s="44"/>
      <c r="D183" s="44"/>
      <c r="F183" s="44"/>
      <c r="H183" s="44"/>
      <c r="J183" s="44"/>
      <c r="K183" s="32"/>
      <c r="L183" s="44"/>
      <c r="M183" s="32"/>
      <c r="N183" s="44"/>
      <c r="O183" s="32"/>
      <c r="P183" s="32"/>
      <c r="Q183" s="44"/>
      <c r="S183" s="44"/>
      <c r="U183" s="44"/>
      <c r="V183" s="47"/>
      <c r="W183" s="44"/>
      <c r="Y183" s="44"/>
      <c r="AA183" s="32"/>
    </row>
    <row r="184">
      <c r="A184" s="45"/>
      <c r="B184" s="44"/>
      <c r="D184" s="44"/>
      <c r="F184" s="44"/>
      <c r="H184" s="44"/>
      <c r="J184" s="44"/>
      <c r="K184" s="32"/>
      <c r="L184" s="44"/>
      <c r="M184" s="32"/>
      <c r="N184" s="44"/>
      <c r="O184" s="32"/>
      <c r="P184" s="32"/>
      <c r="Q184" s="44"/>
      <c r="S184" s="44"/>
      <c r="U184" s="44"/>
      <c r="V184" s="47"/>
      <c r="W184" s="44"/>
      <c r="Y184" s="44"/>
      <c r="AA184" s="32"/>
    </row>
    <row r="185">
      <c r="A185" s="45"/>
      <c r="B185" s="44"/>
      <c r="D185" s="44"/>
      <c r="F185" s="44"/>
      <c r="H185" s="44"/>
      <c r="J185" s="44"/>
      <c r="K185" s="32"/>
      <c r="L185" s="44"/>
      <c r="M185" s="32"/>
      <c r="N185" s="44"/>
      <c r="O185" s="32"/>
      <c r="P185" s="32"/>
      <c r="Q185" s="44"/>
      <c r="S185" s="44"/>
      <c r="U185" s="44"/>
      <c r="V185" s="47"/>
      <c r="W185" s="44"/>
      <c r="Y185" s="44"/>
      <c r="AA185" s="32"/>
    </row>
    <row r="186">
      <c r="A186" s="45"/>
      <c r="B186" s="44"/>
      <c r="D186" s="44"/>
      <c r="F186" s="44"/>
      <c r="H186" s="44"/>
      <c r="J186" s="44"/>
      <c r="K186" s="32"/>
      <c r="L186" s="44"/>
      <c r="M186" s="32"/>
      <c r="N186" s="44"/>
      <c r="O186" s="32"/>
      <c r="P186" s="32"/>
      <c r="Q186" s="44"/>
      <c r="S186" s="44"/>
      <c r="U186" s="44"/>
      <c r="V186" s="47"/>
      <c r="W186" s="44"/>
      <c r="Y186" s="44"/>
      <c r="AA186" s="32"/>
    </row>
    <row r="187">
      <c r="A187" s="45"/>
      <c r="B187" s="44"/>
      <c r="D187" s="44"/>
      <c r="F187" s="44"/>
      <c r="H187" s="44"/>
      <c r="J187" s="44"/>
      <c r="K187" s="32"/>
      <c r="L187" s="44"/>
      <c r="M187" s="32"/>
      <c r="N187" s="44"/>
      <c r="O187" s="32"/>
      <c r="P187" s="32"/>
      <c r="Q187" s="44"/>
      <c r="S187" s="44"/>
      <c r="U187" s="44"/>
      <c r="V187" s="47"/>
      <c r="W187" s="44"/>
      <c r="Y187" s="44"/>
      <c r="AA187" s="32"/>
    </row>
    <row r="188">
      <c r="A188" s="45"/>
      <c r="B188" s="44"/>
      <c r="D188" s="44"/>
      <c r="F188" s="44"/>
      <c r="H188" s="44"/>
      <c r="J188" s="44"/>
      <c r="K188" s="32"/>
      <c r="L188" s="44"/>
      <c r="M188" s="32"/>
      <c r="N188" s="44"/>
      <c r="O188" s="32"/>
      <c r="P188" s="32"/>
      <c r="Q188" s="44"/>
      <c r="S188" s="44"/>
      <c r="U188" s="44"/>
      <c r="V188" s="47"/>
      <c r="W188" s="44"/>
      <c r="Y188" s="44"/>
      <c r="AA188" s="32"/>
    </row>
    <row r="189">
      <c r="A189" s="45"/>
      <c r="B189" s="44"/>
      <c r="D189" s="44"/>
      <c r="F189" s="44"/>
      <c r="H189" s="44"/>
      <c r="J189" s="44"/>
      <c r="K189" s="32"/>
      <c r="L189" s="44"/>
      <c r="M189" s="32"/>
      <c r="N189" s="44"/>
      <c r="O189" s="32"/>
      <c r="P189" s="32"/>
      <c r="Q189" s="44"/>
      <c r="S189" s="44"/>
      <c r="U189" s="44"/>
      <c r="V189" s="47"/>
      <c r="W189" s="44"/>
      <c r="Y189" s="44"/>
      <c r="AA189" s="32"/>
    </row>
    <row r="190">
      <c r="A190" s="45"/>
      <c r="B190" s="44"/>
      <c r="D190" s="44"/>
      <c r="F190" s="44"/>
      <c r="H190" s="44"/>
      <c r="J190" s="44"/>
      <c r="K190" s="32"/>
      <c r="L190" s="44"/>
      <c r="M190" s="32"/>
      <c r="N190" s="44"/>
      <c r="O190" s="32"/>
      <c r="P190" s="32"/>
      <c r="Q190" s="44"/>
      <c r="S190" s="44"/>
      <c r="U190" s="44"/>
      <c r="V190" s="47"/>
      <c r="W190" s="44"/>
      <c r="Y190" s="44"/>
      <c r="AA190" s="32"/>
    </row>
    <row r="191">
      <c r="A191" s="45"/>
      <c r="B191" s="44"/>
      <c r="D191" s="44"/>
      <c r="F191" s="44"/>
      <c r="H191" s="44"/>
      <c r="J191" s="44"/>
      <c r="K191" s="32"/>
      <c r="L191" s="44"/>
      <c r="M191" s="32"/>
      <c r="N191" s="44"/>
      <c r="O191" s="32"/>
      <c r="P191" s="32"/>
      <c r="Q191" s="44"/>
      <c r="S191" s="44"/>
      <c r="U191" s="44"/>
      <c r="V191" s="47"/>
      <c r="W191" s="44"/>
      <c r="Y191" s="44"/>
      <c r="AA191" s="32"/>
    </row>
    <row r="192">
      <c r="A192" s="45"/>
      <c r="B192" s="44"/>
      <c r="D192" s="44"/>
      <c r="F192" s="44"/>
      <c r="H192" s="44"/>
      <c r="J192" s="44"/>
      <c r="K192" s="32"/>
      <c r="L192" s="44"/>
      <c r="M192" s="32"/>
      <c r="N192" s="44"/>
      <c r="O192" s="32"/>
      <c r="P192" s="32"/>
      <c r="Q192" s="44"/>
      <c r="S192" s="44"/>
      <c r="U192" s="44"/>
      <c r="V192" s="47"/>
      <c r="W192" s="44"/>
      <c r="Y192" s="44"/>
      <c r="AA192" s="32"/>
    </row>
    <row r="193">
      <c r="A193" s="45"/>
      <c r="B193" s="44"/>
      <c r="D193" s="44"/>
      <c r="F193" s="44"/>
      <c r="H193" s="44"/>
      <c r="J193" s="44"/>
      <c r="K193" s="32"/>
      <c r="L193" s="44"/>
      <c r="M193" s="32"/>
      <c r="N193" s="44"/>
      <c r="O193" s="32"/>
      <c r="P193" s="32"/>
      <c r="Q193" s="44"/>
      <c r="S193" s="44"/>
      <c r="U193" s="44"/>
      <c r="V193" s="47"/>
      <c r="W193" s="44"/>
      <c r="Y193" s="44"/>
      <c r="AA193" s="32"/>
    </row>
    <row r="194">
      <c r="A194" s="45"/>
      <c r="B194" s="44"/>
      <c r="D194" s="44"/>
      <c r="F194" s="44"/>
      <c r="H194" s="44"/>
      <c r="J194" s="44"/>
      <c r="K194" s="32"/>
      <c r="L194" s="44"/>
      <c r="M194" s="32"/>
      <c r="N194" s="44"/>
      <c r="O194" s="32"/>
      <c r="P194" s="32"/>
      <c r="Q194" s="44"/>
      <c r="S194" s="44"/>
      <c r="U194" s="44"/>
      <c r="V194" s="47"/>
      <c r="W194" s="44"/>
      <c r="Y194" s="44"/>
      <c r="AA194" s="32"/>
    </row>
    <row r="195">
      <c r="A195" s="45"/>
      <c r="B195" s="44"/>
      <c r="D195" s="44"/>
      <c r="F195" s="44"/>
      <c r="H195" s="44"/>
      <c r="J195" s="44"/>
      <c r="K195" s="32"/>
      <c r="L195" s="44"/>
      <c r="M195" s="32"/>
      <c r="N195" s="44"/>
      <c r="O195" s="32"/>
      <c r="P195" s="32"/>
      <c r="Q195" s="44"/>
      <c r="S195" s="44"/>
      <c r="U195" s="44"/>
      <c r="V195" s="47"/>
      <c r="W195" s="44"/>
      <c r="Y195" s="44"/>
      <c r="AA195" s="32"/>
    </row>
    <row r="196">
      <c r="A196" s="45"/>
      <c r="B196" s="44"/>
      <c r="D196" s="44"/>
      <c r="F196" s="44"/>
      <c r="H196" s="44"/>
      <c r="J196" s="44"/>
      <c r="K196" s="32"/>
      <c r="L196" s="44"/>
      <c r="M196" s="32"/>
      <c r="N196" s="44"/>
      <c r="O196" s="32"/>
      <c r="P196" s="32"/>
      <c r="Q196" s="44"/>
      <c r="S196" s="44"/>
      <c r="U196" s="44"/>
      <c r="V196" s="47"/>
      <c r="W196" s="44"/>
      <c r="Y196" s="44"/>
      <c r="AA196" s="32"/>
    </row>
    <row r="197">
      <c r="A197" s="45"/>
      <c r="B197" s="44"/>
      <c r="D197" s="44"/>
      <c r="F197" s="44"/>
      <c r="H197" s="44"/>
      <c r="J197" s="44"/>
      <c r="K197" s="32"/>
      <c r="L197" s="44"/>
      <c r="M197" s="32"/>
      <c r="N197" s="44"/>
      <c r="O197" s="32"/>
      <c r="P197" s="32"/>
      <c r="Q197" s="44"/>
      <c r="S197" s="44"/>
      <c r="U197" s="44"/>
      <c r="V197" s="47"/>
      <c r="W197" s="44"/>
      <c r="Y197" s="44"/>
      <c r="AA197" s="32"/>
    </row>
    <row r="198">
      <c r="A198" s="45"/>
      <c r="B198" s="44"/>
      <c r="D198" s="44"/>
      <c r="F198" s="44"/>
      <c r="H198" s="44"/>
      <c r="J198" s="44"/>
      <c r="K198" s="32"/>
      <c r="L198" s="44"/>
      <c r="M198" s="32"/>
      <c r="N198" s="44"/>
      <c r="O198" s="32"/>
      <c r="P198" s="32"/>
      <c r="Q198" s="44"/>
      <c r="S198" s="44"/>
      <c r="U198" s="44"/>
      <c r="V198" s="47"/>
      <c r="W198" s="44"/>
      <c r="Y198" s="44"/>
      <c r="AA198" s="32"/>
    </row>
    <row r="199">
      <c r="A199" s="45"/>
      <c r="B199" s="44"/>
      <c r="D199" s="44"/>
      <c r="F199" s="44"/>
      <c r="H199" s="44"/>
      <c r="J199" s="44"/>
      <c r="K199" s="32"/>
      <c r="L199" s="44"/>
      <c r="M199" s="32"/>
      <c r="N199" s="44"/>
      <c r="O199" s="32"/>
      <c r="P199" s="32"/>
      <c r="Q199" s="44"/>
      <c r="S199" s="44"/>
      <c r="U199" s="44"/>
      <c r="V199" s="47"/>
      <c r="W199" s="44"/>
      <c r="Y199" s="44"/>
      <c r="AA199" s="32"/>
    </row>
    <row r="200">
      <c r="A200" s="45"/>
      <c r="B200" s="44"/>
      <c r="D200" s="44"/>
      <c r="F200" s="44"/>
      <c r="H200" s="44"/>
      <c r="J200" s="44"/>
      <c r="K200" s="32"/>
      <c r="L200" s="44"/>
      <c r="M200" s="32"/>
      <c r="N200" s="44"/>
      <c r="O200" s="32"/>
      <c r="P200" s="32"/>
      <c r="Q200" s="44"/>
      <c r="S200" s="44"/>
      <c r="U200" s="44"/>
      <c r="V200" s="47"/>
      <c r="W200" s="44"/>
      <c r="Y200" s="44"/>
      <c r="AA200" s="32"/>
    </row>
    <row r="201">
      <c r="A201" s="45"/>
      <c r="B201" s="44"/>
      <c r="D201" s="44"/>
      <c r="F201" s="44"/>
      <c r="H201" s="44"/>
      <c r="J201" s="44"/>
      <c r="K201" s="32"/>
      <c r="L201" s="44"/>
      <c r="M201" s="32"/>
      <c r="N201" s="44"/>
      <c r="O201" s="32"/>
      <c r="P201" s="32"/>
      <c r="Q201" s="44"/>
      <c r="S201" s="44"/>
      <c r="U201" s="44"/>
      <c r="V201" s="47"/>
      <c r="W201" s="44"/>
      <c r="Y201" s="44"/>
      <c r="AA201" s="32"/>
    </row>
    <row r="202">
      <c r="A202" s="45"/>
      <c r="B202" s="44"/>
      <c r="D202" s="44"/>
      <c r="F202" s="44"/>
      <c r="H202" s="44"/>
      <c r="J202" s="44"/>
      <c r="K202" s="32"/>
      <c r="L202" s="44"/>
      <c r="M202" s="32"/>
      <c r="N202" s="44"/>
      <c r="O202" s="32"/>
      <c r="P202" s="32"/>
      <c r="Q202" s="44"/>
      <c r="S202" s="44"/>
      <c r="U202" s="44"/>
      <c r="V202" s="47"/>
      <c r="W202" s="44"/>
      <c r="Y202" s="44"/>
      <c r="AA202" s="32"/>
    </row>
    <row r="203">
      <c r="A203" s="45"/>
      <c r="B203" s="44"/>
      <c r="D203" s="44"/>
      <c r="F203" s="44"/>
      <c r="H203" s="44"/>
      <c r="J203" s="44"/>
      <c r="K203" s="32"/>
      <c r="L203" s="44"/>
      <c r="M203" s="32"/>
      <c r="N203" s="44"/>
      <c r="O203" s="32"/>
      <c r="P203" s="32"/>
      <c r="Q203" s="44"/>
      <c r="S203" s="44"/>
      <c r="U203" s="44"/>
      <c r="V203" s="47"/>
      <c r="W203" s="44"/>
      <c r="Y203" s="44"/>
      <c r="AA203" s="32"/>
    </row>
    <row r="204">
      <c r="A204" s="45"/>
      <c r="B204" s="44"/>
      <c r="D204" s="44"/>
      <c r="F204" s="44"/>
      <c r="H204" s="44"/>
      <c r="J204" s="44"/>
      <c r="K204" s="32"/>
      <c r="L204" s="44"/>
      <c r="M204" s="32"/>
      <c r="N204" s="44"/>
      <c r="O204" s="32"/>
      <c r="P204" s="32"/>
      <c r="Q204" s="44"/>
      <c r="S204" s="44"/>
      <c r="U204" s="44"/>
      <c r="V204" s="47"/>
      <c r="W204" s="44"/>
      <c r="Y204" s="44"/>
      <c r="AA204" s="32"/>
    </row>
    <row r="205">
      <c r="A205" s="45"/>
      <c r="B205" s="44"/>
      <c r="D205" s="44"/>
      <c r="F205" s="44"/>
      <c r="H205" s="44"/>
      <c r="J205" s="44"/>
      <c r="K205" s="32"/>
      <c r="L205" s="44"/>
      <c r="M205" s="32"/>
      <c r="N205" s="44"/>
      <c r="O205" s="32"/>
      <c r="P205" s="32"/>
      <c r="Q205" s="44"/>
      <c r="S205" s="44"/>
      <c r="U205" s="44"/>
      <c r="V205" s="47"/>
      <c r="W205" s="44"/>
      <c r="Y205" s="44"/>
      <c r="AA205" s="32"/>
    </row>
    <row r="206">
      <c r="A206" s="45"/>
      <c r="B206" s="44"/>
      <c r="D206" s="44"/>
      <c r="F206" s="44"/>
      <c r="H206" s="44"/>
      <c r="J206" s="44"/>
      <c r="K206" s="32"/>
      <c r="L206" s="44"/>
      <c r="M206" s="32"/>
      <c r="N206" s="44"/>
      <c r="O206" s="32"/>
      <c r="P206" s="32"/>
      <c r="Q206" s="44"/>
      <c r="S206" s="44"/>
      <c r="U206" s="44"/>
      <c r="V206" s="47"/>
      <c r="W206" s="44"/>
      <c r="Y206" s="44"/>
      <c r="AA206" s="32"/>
    </row>
    <row r="207">
      <c r="A207" s="45"/>
      <c r="B207" s="44"/>
      <c r="D207" s="44"/>
      <c r="F207" s="44"/>
      <c r="H207" s="44"/>
      <c r="J207" s="44"/>
      <c r="K207" s="32"/>
      <c r="L207" s="44"/>
      <c r="M207" s="32"/>
      <c r="N207" s="44"/>
      <c r="O207" s="32"/>
      <c r="P207" s="32"/>
      <c r="Q207" s="44"/>
      <c r="S207" s="44"/>
      <c r="U207" s="44"/>
      <c r="V207" s="47"/>
      <c r="W207" s="44"/>
      <c r="Y207" s="44"/>
      <c r="AA207" s="32"/>
    </row>
    <row r="208">
      <c r="A208" s="45"/>
      <c r="B208" s="44"/>
      <c r="D208" s="44"/>
      <c r="F208" s="44"/>
      <c r="H208" s="44"/>
      <c r="J208" s="44"/>
      <c r="K208" s="32"/>
      <c r="L208" s="44"/>
      <c r="M208" s="32"/>
      <c r="N208" s="44"/>
      <c r="O208" s="32"/>
      <c r="P208" s="32"/>
      <c r="Q208" s="44"/>
      <c r="S208" s="44"/>
      <c r="U208" s="44"/>
      <c r="V208" s="47"/>
      <c r="W208" s="44"/>
      <c r="Y208" s="44"/>
      <c r="AA208" s="32"/>
    </row>
    <row r="209">
      <c r="A209" s="45"/>
      <c r="B209" s="44"/>
      <c r="D209" s="44"/>
      <c r="F209" s="44"/>
      <c r="H209" s="44"/>
      <c r="J209" s="44"/>
      <c r="K209" s="32"/>
      <c r="L209" s="44"/>
      <c r="M209" s="32"/>
      <c r="N209" s="44"/>
      <c r="O209" s="32"/>
      <c r="P209" s="32"/>
      <c r="Q209" s="44"/>
      <c r="S209" s="44"/>
      <c r="U209" s="44"/>
      <c r="V209" s="47"/>
      <c r="W209" s="44"/>
      <c r="Y209" s="44"/>
      <c r="AA209" s="32"/>
    </row>
    <row r="210">
      <c r="A210" s="45"/>
      <c r="B210" s="44"/>
      <c r="D210" s="44"/>
      <c r="F210" s="44"/>
      <c r="H210" s="44"/>
      <c r="J210" s="44"/>
      <c r="K210" s="32"/>
      <c r="L210" s="44"/>
      <c r="M210" s="32"/>
      <c r="N210" s="44"/>
      <c r="O210" s="32"/>
      <c r="P210" s="32"/>
      <c r="Q210" s="44"/>
      <c r="S210" s="44"/>
      <c r="U210" s="44"/>
      <c r="V210" s="47"/>
      <c r="W210" s="44"/>
      <c r="Y210" s="44"/>
      <c r="AA210" s="32"/>
    </row>
    <row r="211">
      <c r="A211" s="45"/>
      <c r="B211" s="44"/>
      <c r="D211" s="44"/>
      <c r="F211" s="44"/>
      <c r="H211" s="44"/>
      <c r="J211" s="44"/>
      <c r="K211" s="32"/>
      <c r="L211" s="44"/>
      <c r="M211" s="32"/>
      <c r="N211" s="44"/>
      <c r="O211" s="32"/>
      <c r="P211" s="32"/>
      <c r="Q211" s="44"/>
      <c r="S211" s="44"/>
      <c r="U211" s="44"/>
      <c r="V211" s="47"/>
      <c r="W211" s="44"/>
      <c r="Y211" s="44"/>
      <c r="AA211" s="32"/>
    </row>
    <row r="212">
      <c r="A212" s="45"/>
      <c r="B212" s="44"/>
      <c r="D212" s="44"/>
      <c r="F212" s="44"/>
      <c r="H212" s="44"/>
      <c r="J212" s="44"/>
      <c r="K212" s="32"/>
      <c r="L212" s="44"/>
      <c r="M212" s="32"/>
      <c r="N212" s="44"/>
      <c r="O212" s="32"/>
      <c r="P212" s="32"/>
      <c r="Q212" s="44"/>
      <c r="S212" s="44"/>
      <c r="U212" s="44"/>
      <c r="V212" s="47"/>
      <c r="W212" s="44"/>
      <c r="Y212" s="44"/>
      <c r="AA212" s="32"/>
    </row>
    <row r="213">
      <c r="A213" s="45"/>
      <c r="B213" s="44"/>
      <c r="D213" s="44"/>
      <c r="F213" s="44"/>
      <c r="H213" s="44"/>
      <c r="J213" s="44"/>
      <c r="K213" s="32"/>
      <c r="L213" s="44"/>
      <c r="M213" s="32"/>
      <c r="N213" s="44"/>
      <c r="O213" s="32"/>
      <c r="P213" s="32"/>
      <c r="Q213" s="44"/>
      <c r="S213" s="44"/>
      <c r="U213" s="44"/>
      <c r="V213" s="47"/>
      <c r="W213" s="44"/>
      <c r="Y213" s="44"/>
      <c r="AA213" s="32"/>
    </row>
    <row r="214">
      <c r="A214" s="45"/>
      <c r="B214" s="44"/>
      <c r="D214" s="44"/>
      <c r="F214" s="44"/>
      <c r="H214" s="44"/>
      <c r="J214" s="44"/>
      <c r="K214" s="32"/>
      <c r="L214" s="44"/>
      <c r="M214" s="32"/>
      <c r="N214" s="44"/>
      <c r="O214" s="32"/>
      <c r="P214" s="32"/>
      <c r="Q214" s="44"/>
      <c r="S214" s="44"/>
      <c r="U214" s="44"/>
      <c r="V214" s="47"/>
      <c r="W214" s="44"/>
      <c r="Y214" s="44"/>
      <c r="AA214" s="32"/>
    </row>
    <row r="215">
      <c r="A215" s="45"/>
      <c r="B215" s="44"/>
      <c r="D215" s="44"/>
      <c r="F215" s="44"/>
      <c r="H215" s="44"/>
      <c r="J215" s="44"/>
      <c r="K215" s="32"/>
      <c r="L215" s="44"/>
      <c r="M215" s="32"/>
      <c r="N215" s="44"/>
      <c r="O215" s="32"/>
      <c r="P215" s="32"/>
      <c r="Q215" s="44"/>
      <c r="S215" s="44"/>
      <c r="U215" s="44"/>
      <c r="V215" s="47"/>
      <c r="W215" s="44"/>
      <c r="Y215" s="44"/>
      <c r="AA215" s="32"/>
    </row>
    <row r="216">
      <c r="A216" s="45"/>
      <c r="B216" s="44"/>
      <c r="D216" s="44"/>
      <c r="F216" s="44"/>
      <c r="H216" s="44"/>
      <c r="J216" s="44"/>
      <c r="K216" s="32"/>
      <c r="L216" s="44"/>
      <c r="M216" s="32"/>
      <c r="N216" s="44"/>
      <c r="O216" s="32"/>
      <c r="P216" s="32"/>
      <c r="Q216" s="44"/>
      <c r="S216" s="44"/>
      <c r="U216" s="44"/>
      <c r="V216" s="47"/>
      <c r="W216" s="44"/>
      <c r="Y216" s="44"/>
      <c r="AA216" s="32"/>
    </row>
    <row r="217">
      <c r="A217" s="45"/>
      <c r="B217" s="44"/>
      <c r="D217" s="44"/>
      <c r="F217" s="44"/>
      <c r="H217" s="44"/>
      <c r="J217" s="44"/>
      <c r="K217" s="32"/>
      <c r="L217" s="44"/>
      <c r="M217" s="32"/>
      <c r="N217" s="44"/>
      <c r="O217" s="32"/>
      <c r="P217" s="32"/>
      <c r="Q217" s="44"/>
      <c r="S217" s="44"/>
      <c r="U217" s="44"/>
      <c r="V217" s="47"/>
      <c r="W217" s="44"/>
      <c r="Y217" s="44"/>
      <c r="AA217" s="32"/>
    </row>
    <row r="218">
      <c r="A218" s="45"/>
      <c r="B218" s="44"/>
      <c r="D218" s="44"/>
      <c r="F218" s="44"/>
      <c r="H218" s="44"/>
      <c r="J218" s="44"/>
      <c r="K218" s="32"/>
      <c r="L218" s="44"/>
      <c r="M218" s="32"/>
      <c r="N218" s="44"/>
      <c r="O218" s="32"/>
      <c r="P218" s="32"/>
      <c r="Q218" s="44"/>
      <c r="S218" s="44"/>
      <c r="U218" s="44"/>
      <c r="V218" s="47"/>
      <c r="W218" s="44"/>
      <c r="Y218" s="44"/>
      <c r="AA218" s="32"/>
    </row>
    <row r="219">
      <c r="A219" s="45"/>
      <c r="B219" s="44"/>
      <c r="D219" s="44"/>
      <c r="F219" s="44"/>
      <c r="H219" s="44"/>
      <c r="J219" s="44"/>
      <c r="K219" s="32"/>
      <c r="L219" s="44"/>
      <c r="M219" s="32"/>
      <c r="N219" s="44"/>
      <c r="O219" s="32"/>
      <c r="P219" s="32"/>
      <c r="Q219" s="44"/>
      <c r="S219" s="44"/>
      <c r="U219" s="44"/>
      <c r="V219" s="47"/>
      <c r="W219" s="44"/>
      <c r="Y219" s="44"/>
      <c r="AA219" s="32"/>
    </row>
    <row r="220">
      <c r="A220" s="45"/>
      <c r="B220" s="44"/>
      <c r="D220" s="44"/>
      <c r="F220" s="44"/>
      <c r="H220" s="44"/>
      <c r="J220" s="44"/>
      <c r="K220" s="32"/>
      <c r="L220" s="44"/>
      <c r="M220" s="32"/>
      <c r="N220" s="44"/>
      <c r="O220" s="32"/>
      <c r="P220" s="32"/>
      <c r="Q220" s="44"/>
      <c r="S220" s="44"/>
      <c r="U220" s="44"/>
      <c r="V220" s="47"/>
      <c r="W220" s="44"/>
      <c r="Y220" s="44"/>
      <c r="AA220" s="32"/>
    </row>
    <row r="221">
      <c r="A221" s="45"/>
      <c r="B221" s="44"/>
      <c r="D221" s="44"/>
      <c r="F221" s="44"/>
      <c r="H221" s="44"/>
      <c r="J221" s="44"/>
      <c r="K221" s="32"/>
      <c r="L221" s="44"/>
      <c r="M221" s="32"/>
      <c r="N221" s="44"/>
      <c r="O221" s="32"/>
      <c r="P221" s="32"/>
      <c r="Q221" s="44"/>
      <c r="S221" s="44"/>
      <c r="U221" s="44"/>
      <c r="V221" s="47"/>
      <c r="W221" s="44"/>
      <c r="Y221" s="44"/>
      <c r="AA221" s="32"/>
    </row>
    <row r="222">
      <c r="A222" s="45"/>
      <c r="B222" s="44"/>
      <c r="D222" s="44"/>
      <c r="F222" s="44"/>
      <c r="H222" s="44"/>
      <c r="J222" s="44"/>
      <c r="K222" s="32"/>
      <c r="L222" s="44"/>
      <c r="M222" s="32"/>
      <c r="N222" s="44"/>
      <c r="O222" s="32"/>
      <c r="P222" s="32"/>
      <c r="Q222" s="44"/>
      <c r="S222" s="44"/>
      <c r="U222" s="44"/>
      <c r="V222" s="47"/>
      <c r="W222" s="44"/>
      <c r="Y222" s="44"/>
      <c r="AA222" s="32"/>
    </row>
    <row r="223">
      <c r="A223" s="45"/>
      <c r="B223" s="44"/>
      <c r="D223" s="44"/>
      <c r="F223" s="44"/>
      <c r="H223" s="44"/>
      <c r="J223" s="44"/>
      <c r="K223" s="32"/>
      <c r="L223" s="44"/>
      <c r="M223" s="32"/>
      <c r="N223" s="44"/>
      <c r="O223" s="32"/>
      <c r="P223" s="32"/>
      <c r="Q223" s="44"/>
      <c r="S223" s="44"/>
      <c r="U223" s="44"/>
      <c r="V223" s="47"/>
      <c r="W223" s="44"/>
      <c r="Y223" s="44"/>
      <c r="AA223" s="32"/>
    </row>
    <row r="224">
      <c r="A224" s="45"/>
      <c r="B224" s="44"/>
      <c r="D224" s="44"/>
      <c r="F224" s="44"/>
      <c r="H224" s="44"/>
      <c r="J224" s="44"/>
      <c r="K224" s="32"/>
      <c r="L224" s="44"/>
      <c r="M224" s="32"/>
      <c r="N224" s="44"/>
      <c r="O224" s="32"/>
      <c r="P224" s="32"/>
      <c r="Q224" s="44"/>
      <c r="S224" s="44"/>
      <c r="U224" s="44"/>
      <c r="V224" s="47"/>
      <c r="W224" s="44"/>
      <c r="Y224" s="44"/>
      <c r="AA224" s="32"/>
    </row>
    <row r="225">
      <c r="A225" s="45"/>
      <c r="B225" s="44"/>
      <c r="D225" s="44"/>
      <c r="F225" s="44"/>
      <c r="H225" s="44"/>
      <c r="J225" s="44"/>
      <c r="K225" s="32"/>
      <c r="L225" s="44"/>
      <c r="M225" s="32"/>
      <c r="N225" s="44"/>
      <c r="O225" s="32"/>
      <c r="P225" s="32"/>
      <c r="Q225" s="44"/>
      <c r="S225" s="44"/>
      <c r="U225" s="44"/>
      <c r="V225" s="47"/>
      <c r="W225" s="44"/>
      <c r="Y225" s="44"/>
      <c r="AA225" s="32"/>
    </row>
    <row r="226">
      <c r="A226" s="45"/>
      <c r="B226" s="44"/>
      <c r="D226" s="44"/>
      <c r="F226" s="44"/>
      <c r="H226" s="44"/>
      <c r="J226" s="44"/>
      <c r="K226" s="32"/>
      <c r="L226" s="44"/>
      <c r="M226" s="32"/>
      <c r="N226" s="44"/>
      <c r="O226" s="32"/>
      <c r="P226" s="32"/>
      <c r="Q226" s="44"/>
      <c r="S226" s="44"/>
      <c r="U226" s="44"/>
      <c r="V226" s="47"/>
      <c r="W226" s="44"/>
      <c r="Y226" s="44"/>
      <c r="AA226" s="32"/>
    </row>
    <row r="227">
      <c r="A227" s="45"/>
      <c r="B227" s="44"/>
      <c r="D227" s="44"/>
      <c r="F227" s="44"/>
      <c r="H227" s="44"/>
      <c r="J227" s="44"/>
      <c r="K227" s="32"/>
      <c r="L227" s="44"/>
      <c r="M227" s="32"/>
      <c r="N227" s="44"/>
      <c r="O227" s="32"/>
      <c r="P227" s="32"/>
      <c r="Q227" s="44"/>
      <c r="S227" s="44"/>
      <c r="U227" s="44"/>
      <c r="V227" s="47"/>
      <c r="W227" s="44"/>
      <c r="Y227" s="44"/>
      <c r="AA227" s="32"/>
    </row>
    <row r="228">
      <c r="A228" s="45"/>
      <c r="B228" s="44"/>
      <c r="D228" s="44"/>
      <c r="F228" s="44"/>
      <c r="H228" s="44"/>
      <c r="J228" s="44"/>
      <c r="K228" s="32"/>
      <c r="L228" s="44"/>
      <c r="M228" s="32"/>
      <c r="N228" s="44"/>
      <c r="O228" s="32"/>
      <c r="P228" s="32"/>
      <c r="Q228" s="44"/>
      <c r="S228" s="44"/>
      <c r="U228" s="44"/>
      <c r="V228" s="47"/>
      <c r="W228" s="44"/>
      <c r="Y228" s="44"/>
      <c r="AA228" s="32"/>
    </row>
    <row r="229">
      <c r="A229" s="45"/>
      <c r="B229" s="44"/>
      <c r="D229" s="44"/>
      <c r="F229" s="44"/>
      <c r="H229" s="44"/>
      <c r="J229" s="44"/>
      <c r="K229" s="32"/>
      <c r="L229" s="44"/>
      <c r="M229" s="32"/>
      <c r="N229" s="44"/>
      <c r="O229" s="32"/>
      <c r="P229" s="32"/>
      <c r="Q229" s="44"/>
      <c r="S229" s="44"/>
      <c r="U229" s="44"/>
      <c r="V229" s="47"/>
      <c r="W229" s="44"/>
      <c r="Y229" s="44"/>
      <c r="AA229" s="32"/>
    </row>
    <row r="230">
      <c r="A230" s="45"/>
      <c r="B230" s="44"/>
      <c r="D230" s="44"/>
      <c r="F230" s="44"/>
      <c r="H230" s="44"/>
      <c r="J230" s="44"/>
      <c r="K230" s="32"/>
      <c r="L230" s="44"/>
      <c r="M230" s="32"/>
      <c r="N230" s="44"/>
      <c r="O230" s="32"/>
      <c r="P230" s="32"/>
      <c r="Q230" s="44"/>
      <c r="S230" s="44"/>
      <c r="U230" s="44"/>
      <c r="V230" s="47"/>
      <c r="W230" s="44"/>
      <c r="Y230" s="44"/>
      <c r="AA230" s="32"/>
    </row>
    <row r="231">
      <c r="A231" s="45"/>
      <c r="B231" s="44"/>
      <c r="D231" s="44"/>
      <c r="F231" s="44"/>
      <c r="H231" s="44"/>
      <c r="J231" s="44"/>
      <c r="K231" s="32"/>
      <c r="L231" s="44"/>
      <c r="M231" s="32"/>
      <c r="N231" s="44"/>
      <c r="O231" s="32"/>
      <c r="P231" s="32"/>
      <c r="Q231" s="44"/>
      <c r="S231" s="44"/>
      <c r="U231" s="44"/>
      <c r="V231" s="47"/>
      <c r="W231" s="44"/>
      <c r="Y231" s="44"/>
      <c r="AA231" s="32"/>
    </row>
    <row r="232">
      <c r="A232" s="45"/>
      <c r="B232" s="44"/>
      <c r="D232" s="44"/>
      <c r="F232" s="44"/>
      <c r="H232" s="44"/>
      <c r="J232" s="44"/>
      <c r="K232" s="32"/>
      <c r="L232" s="44"/>
      <c r="M232" s="32"/>
      <c r="N232" s="44"/>
      <c r="O232" s="32"/>
      <c r="P232" s="32"/>
      <c r="Q232" s="44"/>
      <c r="S232" s="44"/>
      <c r="U232" s="44"/>
      <c r="V232" s="47"/>
      <c r="W232" s="44"/>
      <c r="Y232" s="44"/>
      <c r="AA232" s="32"/>
    </row>
    <row r="233">
      <c r="A233" s="45"/>
      <c r="B233" s="44"/>
      <c r="D233" s="44"/>
      <c r="F233" s="44"/>
      <c r="H233" s="44"/>
      <c r="J233" s="44"/>
      <c r="K233" s="32"/>
      <c r="L233" s="44"/>
      <c r="M233" s="32"/>
      <c r="N233" s="44"/>
      <c r="O233" s="32"/>
      <c r="P233" s="32"/>
      <c r="Q233" s="44"/>
      <c r="S233" s="44"/>
      <c r="U233" s="44"/>
      <c r="V233" s="47"/>
      <c r="W233" s="44"/>
      <c r="Y233" s="44"/>
      <c r="AA233" s="32"/>
    </row>
    <row r="234">
      <c r="A234" s="45"/>
      <c r="B234" s="44"/>
      <c r="D234" s="44"/>
      <c r="F234" s="44"/>
      <c r="H234" s="44"/>
      <c r="J234" s="44"/>
      <c r="K234" s="32"/>
      <c r="L234" s="44"/>
      <c r="M234" s="32"/>
      <c r="N234" s="44"/>
      <c r="O234" s="32"/>
      <c r="P234" s="32"/>
      <c r="Q234" s="44"/>
      <c r="S234" s="44"/>
      <c r="U234" s="44"/>
      <c r="V234" s="47"/>
      <c r="W234" s="44"/>
      <c r="Y234" s="44"/>
      <c r="AA234" s="32"/>
    </row>
    <row r="235">
      <c r="A235" s="45"/>
      <c r="B235" s="44"/>
      <c r="D235" s="44"/>
      <c r="F235" s="44"/>
      <c r="H235" s="44"/>
      <c r="J235" s="44"/>
      <c r="K235" s="32"/>
      <c r="L235" s="44"/>
      <c r="M235" s="32"/>
      <c r="N235" s="44"/>
      <c r="O235" s="32"/>
      <c r="P235" s="32"/>
      <c r="Q235" s="44"/>
      <c r="S235" s="44"/>
      <c r="U235" s="44"/>
      <c r="V235" s="47"/>
      <c r="W235" s="44"/>
      <c r="Y235" s="44"/>
      <c r="AA235" s="32"/>
    </row>
    <row r="236">
      <c r="A236" s="45"/>
      <c r="B236" s="44"/>
      <c r="D236" s="44"/>
      <c r="F236" s="44"/>
      <c r="H236" s="44"/>
      <c r="J236" s="44"/>
      <c r="K236" s="32"/>
      <c r="L236" s="44"/>
      <c r="M236" s="32"/>
      <c r="N236" s="44"/>
      <c r="O236" s="32"/>
      <c r="P236" s="32"/>
      <c r="Q236" s="44"/>
      <c r="S236" s="44"/>
      <c r="U236" s="44"/>
      <c r="V236" s="47"/>
      <c r="W236" s="44"/>
      <c r="Y236" s="44"/>
      <c r="AA236" s="32"/>
    </row>
    <row r="237">
      <c r="A237" s="45"/>
      <c r="B237" s="44"/>
      <c r="D237" s="44"/>
      <c r="F237" s="44"/>
      <c r="H237" s="44"/>
      <c r="J237" s="44"/>
      <c r="K237" s="32"/>
      <c r="L237" s="44"/>
      <c r="M237" s="32"/>
      <c r="N237" s="44"/>
      <c r="O237" s="32"/>
      <c r="P237" s="32"/>
      <c r="Q237" s="44"/>
      <c r="S237" s="44"/>
      <c r="U237" s="44"/>
      <c r="V237" s="47"/>
      <c r="W237" s="44"/>
      <c r="Y237" s="44"/>
      <c r="AA237" s="32"/>
    </row>
    <row r="238">
      <c r="A238" s="45"/>
      <c r="B238" s="44"/>
      <c r="D238" s="44"/>
      <c r="F238" s="44"/>
      <c r="H238" s="44"/>
      <c r="J238" s="44"/>
      <c r="K238" s="32"/>
      <c r="L238" s="44"/>
      <c r="M238" s="32"/>
      <c r="N238" s="44"/>
      <c r="O238" s="32"/>
      <c r="P238" s="32"/>
      <c r="Q238" s="44"/>
      <c r="S238" s="44"/>
      <c r="U238" s="44"/>
      <c r="V238" s="47"/>
      <c r="W238" s="44"/>
      <c r="Y238" s="44"/>
      <c r="AA238" s="32"/>
    </row>
    <row r="239">
      <c r="A239" s="45"/>
      <c r="B239" s="44"/>
      <c r="D239" s="44"/>
      <c r="F239" s="44"/>
      <c r="H239" s="44"/>
      <c r="J239" s="44"/>
      <c r="K239" s="32"/>
      <c r="L239" s="44"/>
      <c r="M239" s="32"/>
      <c r="N239" s="44"/>
      <c r="O239" s="32"/>
      <c r="P239" s="32"/>
      <c r="Q239" s="44"/>
      <c r="S239" s="44"/>
      <c r="U239" s="44"/>
      <c r="V239" s="47"/>
      <c r="W239" s="44"/>
      <c r="Y239" s="44"/>
      <c r="AA239" s="32"/>
    </row>
    <row r="240">
      <c r="A240" s="45"/>
      <c r="B240" s="44"/>
      <c r="D240" s="44"/>
      <c r="F240" s="44"/>
      <c r="H240" s="44"/>
      <c r="J240" s="44"/>
      <c r="K240" s="32"/>
      <c r="L240" s="44"/>
      <c r="M240" s="32"/>
      <c r="N240" s="44"/>
      <c r="O240" s="32"/>
      <c r="P240" s="32"/>
      <c r="Q240" s="44"/>
      <c r="S240" s="44"/>
      <c r="U240" s="44"/>
      <c r="V240" s="47"/>
      <c r="W240" s="44"/>
      <c r="Y240" s="44"/>
      <c r="AA240" s="32"/>
    </row>
    <row r="241">
      <c r="A241" s="45"/>
      <c r="B241" s="44"/>
      <c r="D241" s="44"/>
      <c r="F241" s="44"/>
      <c r="H241" s="44"/>
      <c r="J241" s="44"/>
      <c r="K241" s="32"/>
      <c r="L241" s="44"/>
      <c r="M241" s="32"/>
      <c r="N241" s="44"/>
      <c r="O241" s="32"/>
      <c r="P241" s="32"/>
      <c r="Q241" s="44"/>
      <c r="S241" s="44"/>
      <c r="U241" s="44"/>
      <c r="V241" s="47"/>
      <c r="W241" s="44"/>
      <c r="Y241" s="44"/>
      <c r="AA241" s="32"/>
    </row>
    <row r="242">
      <c r="A242" s="45"/>
      <c r="B242" s="44"/>
      <c r="D242" s="44"/>
      <c r="F242" s="44"/>
      <c r="H242" s="44"/>
      <c r="J242" s="44"/>
      <c r="K242" s="32"/>
      <c r="L242" s="44"/>
      <c r="M242" s="32"/>
      <c r="N242" s="44"/>
      <c r="O242" s="32"/>
      <c r="P242" s="32"/>
      <c r="Q242" s="44"/>
      <c r="S242" s="44"/>
      <c r="U242" s="44"/>
      <c r="V242" s="47"/>
      <c r="W242" s="44"/>
      <c r="Y242" s="44"/>
      <c r="AA242" s="32"/>
    </row>
    <row r="243">
      <c r="A243" s="45"/>
      <c r="B243" s="44"/>
      <c r="D243" s="44"/>
      <c r="F243" s="44"/>
      <c r="H243" s="44"/>
      <c r="J243" s="44"/>
      <c r="K243" s="32"/>
      <c r="L243" s="44"/>
      <c r="M243" s="32"/>
      <c r="N243" s="44"/>
      <c r="O243" s="32"/>
      <c r="P243" s="32"/>
      <c r="Q243" s="44"/>
      <c r="S243" s="44"/>
      <c r="U243" s="44"/>
      <c r="V243" s="47"/>
      <c r="W243" s="44"/>
      <c r="Y243" s="44"/>
      <c r="AA243" s="32"/>
    </row>
    <row r="244">
      <c r="A244" s="45"/>
      <c r="B244" s="44"/>
      <c r="D244" s="44"/>
      <c r="F244" s="44"/>
      <c r="H244" s="44"/>
      <c r="J244" s="44"/>
      <c r="K244" s="32"/>
      <c r="L244" s="44"/>
      <c r="M244" s="32"/>
      <c r="N244" s="44"/>
      <c r="O244" s="32"/>
      <c r="P244" s="32"/>
      <c r="Q244" s="44"/>
      <c r="S244" s="44"/>
      <c r="U244" s="44"/>
      <c r="V244" s="47"/>
      <c r="W244" s="44"/>
      <c r="Y244" s="44"/>
      <c r="AA244" s="32"/>
    </row>
    <row r="245">
      <c r="A245" s="45"/>
      <c r="B245" s="44"/>
      <c r="D245" s="44"/>
      <c r="F245" s="44"/>
      <c r="H245" s="44"/>
      <c r="J245" s="44"/>
      <c r="K245" s="32"/>
      <c r="L245" s="44"/>
      <c r="M245" s="32"/>
      <c r="N245" s="44"/>
      <c r="O245" s="32"/>
      <c r="P245" s="32"/>
      <c r="Q245" s="44"/>
      <c r="S245" s="44"/>
      <c r="U245" s="44"/>
      <c r="V245" s="47"/>
      <c r="W245" s="44"/>
      <c r="Y245" s="44"/>
      <c r="AA245" s="32"/>
    </row>
    <row r="246">
      <c r="A246" s="45"/>
      <c r="B246" s="44"/>
      <c r="D246" s="44"/>
      <c r="F246" s="44"/>
      <c r="H246" s="44"/>
      <c r="J246" s="44"/>
      <c r="K246" s="32"/>
      <c r="L246" s="44"/>
      <c r="M246" s="32"/>
      <c r="N246" s="44"/>
      <c r="O246" s="32"/>
      <c r="P246" s="32"/>
      <c r="Q246" s="44"/>
      <c r="S246" s="44"/>
      <c r="U246" s="44"/>
      <c r="V246" s="47"/>
      <c r="W246" s="44"/>
      <c r="Y246" s="44"/>
      <c r="AA246" s="32"/>
    </row>
    <row r="247">
      <c r="A247" s="45"/>
      <c r="B247" s="44"/>
      <c r="D247" s="44"/>
      <c r="F247" s="44"/>
      <c r="H247" s="44"/>
      <c r="J247" s="44"/>
      <c r="K247" s="32"/>
      <c r="L247" s="44"/>
      <c r="M247" s="32"/>
      <c r="N247" s="44"/>
      <c r="O247" s="32"/>
      <c r="P247" s="32"/>
      <c r="Q247" s="44"/>
      <c r="S247" s="44"/>
      <c r="U247" s="44"/>
      <c r="V247" s="47"/>
      <c r="W247" s="44"/>
      <c r="Y247" s="44"/>
      <c r="AA247" s="32"/>
    </row>
    <row r="248">
      <c r="A248" s="45"/>
      <c r="B248" s="44"/>
      <c r="D248" s="44"/>
      <c r="F248" s="44"/>
      <c r="H248" s="44"/>
      <c r="J248" s="44"/>
      <c r="K248" s="32"/>
      <c r="L248" s="44"/>
      <c r="M248" s="32"/>
      <c r="N248" s="44"/>
      <c r="O248" s="32"/>
      <c r="P248" s="32"/>
      <c r="Q248" s="44"/>
      <c r="S248" s="44"/>
      <c r="U248" s="44"/>
      <c r="V248" s="47"/>
      <c r="W248" s="44"/>
      <c r="Y248" s="44"/>
      <c r="AA248" s="32"/>
    </row>
    <row r="249">
      <c r="A249" s="45"/>
      <c r="B249" s="44"/>
      <c r="D249" s="44"/>
      <c r="F249" s="44"/>
      <c r="H249" s="44"/>
      <c r="J249" s="44"/>
      <c r="K249" s="32"/>
      <c r="L249" s="44"/>
      <c r="M249" s="32"/>
      <c r="N249" s="44"/>
      <c r="O249" s="32"/>
      <c r="P249" s="32"/>
      <c r="Q249" s="44"/>
      <c r="S249" s="44"/>
      <c r="U249" s="44"/>
      <c r="V249" s="47"/>
      <c r="W249" s="44"/>
      <c r="Y249" s="44"/>
      <c r="AA249" s="32"/>
    </row>
    <row r="250">
      <c r="A250" s="45"/>
      <c r="B250" s="44"/>
      <c r="D250" s="44"/>
      <c r="F250" s="44"/>
      <c r="H250" s="44"/>
      <c r="J250" s="44"/>
      <c r="K250" s="32"/>
      <c r="L250" s="44"/>
      <c r="M250" s="32"/>
      <c r="N250" s="44"/>
      <c r="O250" s="32"/>
      <c r="P250" s="32"/>
      <c r="Q250" s="44"/>
      <c r="S250" s="44"/>
      <c r="U250" s="44"/>
      <c r="V250" s="47"/>
      <c r="W250" s="44"/>
      <c r="Y250" s="44"/>
      <c r="AA250" s="32"/>
    </row>
    <row r="251">
      <c r="A251" s="45"/>
      <c r="B251" s="44"/>
      <c r="D251" s="44"/>
      <c r="F251" s="44"/>
      <c r="H251" s="44"/>
      <c r="J251" s="44"/>
      <c r="K251" s="32"/>
      <c r="L251" s="44"/>
      <c r="M251" s="32"/>
      <c r="N251" s="44"/>
      <c r="O251" s="32"/>
      <c r="P251" s="32"/>
      <c r="Q251" s="44"/>
      <c r="S251" s="44"/>
      <c r="U251" s="44"/>
      <c r="V251" s="47"/>
      <c r="W251" s="44"/>
      <c r="Y251" s="44"/>
      <c r="AA251" s="32"/>
    </row>
    <row r="252">
      <c r="A252" s="45"/>
      <c r="B252" s="44"/>
      <c r="D252" s="44"/>
      <c r="F252" s="44"/>
      <c r="H252" s="44"/>
      <c r="J252" s="44"/>
      <c r="K252" s="32"/>
      <c r="L252" s="44"/>
      <c r="M252" s="32"/>
      <c r="N252" s="44"/>
      <c r="O252" s="32"/>
      <c r="P252" s="32"/>
      <c r="Q252" s="44"/>
      <c r="S252" s="44"/>
      <c r="U252" s="44"/>
      <c r="V252" s="47"/>
      <c r="W252" s="44"/>
      <c r="Y252" s="44"/>
      <c r="AA252" s="32"/>
    </row>
    <row r="253">
      <c r="A253" s="45"/>
      <c r="B253" s="44"/>
      <c r="D253" s="44"/>
      <c r="F253" s="44"/>
      <c r="H253" s="44"/>
      <c r="J253" s="44"/>
      <c r="K253" s="32"/>
      <c r="L253" s="44"/>
      <c r="M253" s="32"/>
      <c r="N253" s="44"/>
      <c r="O253" s="32"/>
      <c r="P253" s="32"/>
      <c r="Q253" s="44"/>
      <c r="S253" s="44"/>
      <c r="U253" s="44"/>
      <c r="V253" s="47"/>
      <c r="W253" s="44"/>
      <c r="Y253" s="44"/>
      <c r="AA253" s="32"/>
    </row>
    <row r="254">
      <c r="A254" s="45"/>
      <c r="B254" s="44"/>
      <c r="D254" s="44"/>
      <c r="F254" s="44"/>
      <c r="H254" s="44"/>
      <c r="J254" s="44"/>
      <c r="K254" s="32"/>
      <c r="L254" s="44"/>
      <c r="M254" s="32"/>
      <c r="N254" s="44"/>
      <c r="O254" s="32"/>
      <c r="P254" s="32"/>
      <c r="Q254" s="44"/>
      <c r="S254" s="44"/>
      <c r="U254" s="44"/>
      <c r="V254" s="47"/>
      <c r="W254" s="44"/>
      <c r="Y254" s="44"/>
      <c r="AA254" s="32"/>
    </row>
    <row r="255">
      <c r="A255" s="45"/>
      <c r="B255" s="44"/>
      <c r="D255" s="44"/>
      <c r="F255" s="44"/>
      <c r="H255" s="44"/>
      <c r="J255" s="44"/>
      <c r="K255" s="32"/>
      <c r="L255" s="44"/>
      <c r="M255" s="32"/>
      <c r="N255" s="44"/>
      <c r="O255" s="32"/>
      <c r="P255" s="32"/>
      <c r="Q255" s="44"/>
      <c r="S255" s="44"/>
      <c r="U255" s="44"/>
      <c r="V255" s="47"/>
      <c r="W255" s="44"/>
      <c r="Y255" s="44"/>
      <c r="AA255" s="32"/>
    </row>
    <row r="256">
      <c r="A256" s="45"/>
      <c r="B256" s="44"/>
      <c r="D256" s="44"/>
      <c r="F256" s="44"/>
      <c r="H256" s="44"/>
      <c r="J256" s="44"/>
      <c r="K256" s="32"/>
      <c r="L256" s="44"/>
      <c r="M256" s="32"/>
      <c r="N256" s="44"/>
      <c r="O256" s="32"/>
      <c r="P256" s="32"/>
      <c r="Q256" s="44"/>
      <c r="S256" s="44"/>
      <c r="U256" s="44"/>
      <c r="V256" s="47"/>
      <c r="W256" s="44"/>
      <c r="Y256" s="44"/>
      <c r="AA256" s="32"/>
    </row>
    <row r="257">
      <c r="A257" s="45"/>
      <c r="B257" s="44"/>
      <c r="D257" s="44"/>
      <c r="F257" s="44"/>
      <c r="H257" s="44"/>
      <c r="J257" s="44"/>
      <c r="K257" s="32"/>
      <c r="L257" s="44"/>
      <c r="M257" s="32"/>
      <c r="N257" s="44"/>
      <c r="O257" s="32"/>
      <c r="P257" s="32"/>
      <c r="Q257" s="44"/>
      <c r="S257" s="44"/>
      <c r="U257" s="44"/>
      <c r="V257" s="47"/>
      <c r="W257" s="44"/>
      <c r="Y257" s="44"/>
      <c r="AA257" s="32"/>
    </row>
    <row r="258">
      <c r="A258" s="45"/>
      <c r="B258" s="44"/>
      <c r="D258" s="44"/>
      <c r="F258" s="44"/>
      <c r="H258" s="44"/>
      <c r="J258" s="44"/>
      <c r="K258" s="32"/>
      <c r="L258" s="44"/>
      <c r="M258" s="32"/>
      <c r="N258" s="44"/>
      <c r="O258" s="32"/>
      <c r="P258" s="32"/>
      <c r="Q258" s="44"/>
      <c r="S258" s="44"/>
      <c r="U258" s="44"/>
      <c r="V258" s="47"/>
      <c r="W258" s="44"/>
      <c r="Y258" s="44"/>
      <c r="AA258" s="32"/>
    </row>
    <row r="259">
      <c r="A259" s="45"/>
      <c r="B259" s="44"/>
      <c r="D259" s="44"/>
      <c r="F259" s="44"/>
      <c r="H259" s="44"/>
      <c r="J259" s="44"/>
      <c r="K259" s="32"/>
      <c r="L259" s="44"/>
      <c r="M259" s="32"/>
      <c r="N259" s="44"/>
      <c r="O259" s="32"/>
      <c r="P259" s="32"/>
      <c r="Q259" s="44"/>
      <c r="S259" s="44"/>
      <c r="U259" s="44"/>
      <c r="V259" s="47"/>
      <c r="W259" s="44"/>
      <c r="Y259" s="44"/>
      <c r="AA259" s="32"/>
    </row>
    <row r="260">
      <c r="A260" s="45"/>
      <c r="B260" s="44"/>
      <c r="D260" s="44"/>
      <c r="F260" s="44"/>
      <c r="H260" s="44"/>
      <c r="J260" s="44"/>
      <c r="K260" s="32"/>
      <c r="L260" s="44"/>
      <c r="M260" s="32"/>
      <c r="N260" s="44"/>
      <c r="O260" s="32"/>
      <c r="P260" s="32"/>
      <c r="Q260" s="44"/>
      <c r="S260" s="44"/>
      <c r="U260" s="44"/>
      <c r="V260" s="47"/>
      <c r="W260" s="44"/>
      <c r="Y260" s="44"/>
      <c r="AA260" s="32"/>
    </row>
    <row r="261">
      <c r="A261" s="45"/>
      <c r="B261" s="44"/>
      <c r="D261" s="44"/>
      <c r="F261" s="44"/>
      <c r="H261" s="44"/>
      <c r="J261" s="44"/>
      <c r="K261" s="32"/>
      <c r="L261" s="44"/>
      <c r="M261" s="32"/>
      <c r="N261" s="44"/>
      <c r="O261" s="32"/>
      <c r="P261" s="32"/>
      <c r="Q261" s="44"/>
      <c r="S261" s="44"/>
      <c r="U261" s="44"/>
      <c r="V261" s="47"/>
      <c r="W261" s="44"/>
      <c r="Y261" s="44"/>
      <c r="AA261" s="32"/>
    </row>
    <row r="262">
      <c r="A262" s="45"/>
      <c r="B262" s="44"/>
      <c r="D262" s="44"/>
      <c r="F262" s="44"/>
      <c r="H262" s="44"/>
      <c r="J262" s="44"/>
      <c r="K262" s="32"/>
      <c r="L262" s="44"/>
      <c r="M262" s="32"/>
      <c r="N262" s="44"/>
      <c r="O262" s="32"/>
      <c r="P262" s="32"/>
      <c r="Q262" s="44"/>
      <c r="S262" s="44"/>
      <c r="U262" s="44"/>
      <c r="V262" s="47"/>
      <c r="W262" s="44"/>
      <c r="Y262" s="44"/>
      <c r="AA262" s="32"/>
    </row>
    <row r="263">
      <c r="A263" s="45"/>
      <c r="B263" s="44"/>
      <c r="D263" s="44"/>
      <c r="F263" s="44"/>
      <c r="H263" s="44"/>
      <c r="J263" s="44"/>
      <c r="K263" s="32"/>
      <c r="L263" s="44"/>
      <c r="M263" s="32"/>
      <c r="N263" s="44"/>
      <c r="O263" s="32"/>
      <c r="P263" s="32"/>
      <c r="Q263" s="44"/>
      <c r="S263" s="44"/>
      <c r="U263" s="44"/>
      <c r="V263" s="47"/>
      <c r="W263" s="44"/>
      <c r="Y263" s="44"/>
      <c r="AA263" s="32"/>
    </row>
    <row r="264">
      <c r="A264" s="45"/>
      <c r="B264" s="44"/>
      <c r="D264" s="44"/>
      <c r="F264" s="44"/>
      <c r="H264" s="44"/>
      <c r="J264" s="44"/>
      <c r="K264" s="32"/>
      <c r="L264" s="44"/>
      <c r="M264" s="32"/>
      <c r="N264" s="44"/>
      <c r="O264" s="32"/>
      <c r="P264" s="32"/>
      <c r="Q264" s="44"/>
      <c r="S264" s="44"/>
      <c r="U264" s="44"/>
      <c r="V264" s="47"/>
      <c r="W264" s="44"/>
      <c r="Y264" s="44"/>
      <c r="AA264" s="32"/>
    </row>
    <row r="265">
      <c r="A265" s="45"/>
      <c r="B265" s="44"/>
      <c r="D265" s="44"/>
      <c r="F265" s="44"/>
      <c r="H265" s="44"/>
      <c r="J265" s="44"/>
      <c r="K265" s="32"/>
      <c r="L265" s="44"/>
      <c r="M265" s="32"/>
      <c r="N265" s="44"/>
      <c r="O265" s="32"/>
      <c r="P265" s="32"/>
      <c r="Q265" s="44"/>
      <c r="S265" s="44"/>
      <c r="U265" s="44"/>
      <c r="V265" s="47"/>
      <c r="W265" s="44"/>
      <c r="Y265" s="44"/>
      <c r="AA265" s="32"/>
    </row>
    <row r="266">
      <c r="A266" s="45"/>
      <c r="B266" s="44"/>
      <c r="D266" s="44"/>
      <c r="F266" s="44"/>
      <c r="H266" s="44"/>
      <c r="J266" s="44"/>
      <c r="K266" s="32"/>
      <c r="L266" s="44"/>
      <c r="M266" s="32"/>
      <c r="N266" s="44"/>
      <c r="O266" s="32"/>
      <c r="P266" s="32"/>
      <c r="Q266" s="44"/>
      <c r="S266" s="44"/>
      <c r="U266" s="44"/>
      <c r="V266" s="47"/>
      <c r="W266" s="44"/>
      <c r="Y266" s="44"/>
      <c r="AA266" s="32"/>
    </row>
    <row r="267">
      <c r="A267" s="45"/>
      <c r="B267" s="44"/>
      <c r="D267" s="44"/>
      <c r="F267" s="44"/>
      <c r="H267" s="44"/>
      <c r="J267" s="44"/>
      <c r="K267" s="32"/>
      <c r="L267" s="44"/>
      <c r="M267" s="32"/>
      <c r="N267" s="44"/>
      <c r="O267" s="32"/>
      <c r="P267" s="32"/>
      <c r="Q267" s="44"/>
      <c r="S267" s="44"/>
      <c r="U267" s="44"/>
      <c r="V267" s="47"/>
      <c r="W267" s="44"/>
      <c r="Y267" s="44"/>
      <c r="AA267" s="32"/>
    </row>
    <row r="268">
      <c r="A268" s="45"/>
      <c r="B268" s="44"/>
      <c r="D268" s="44"/>
      <c r="F268" s="44"/>
      <c r="H268" s="44"/>
      <c r="J268" s="44"/>
      <c r="K268" s="32"/>
      <c r="L268" s="44"/>
      <c r="M268" s="32"/>
      <c r="N268" s="44"/>
      <c r="O268" s="32"/>
      <c r="P268" s="32"/>
      <c r="Q268" s="44"/>
      <c r="S268" s="44"/>
      <c r="U268" s="44"/>
      <c r="V268" s="47"/>
      <c r="W268" s="44"/>
      <c r="Y268" s="44"/>
      <c r="AA268" s="32"/>
    </row>
    <row r="269">
      <c r="A269" s="45"/>
      <c r="B269" s="44"/>
      <c r="D269" s="44"/>
      <c r="F269" s="44"/>
      <c r="H269" s="44"/>
      <c r="J269" s="44"/>
      <c r="K269" s="32"/>
      <c r="L269" s="44"/>
      <c r="M269" s="32"/>
      <c r="N269" s="44"/>
      <c r="O269" s="32"/>
      <c r="P269" s="32"/>
      <c r="Q269" s="44"/>
      <c r="S269" s="44"/>
      <c r="U269" s="44"/>
      <c r="V269" s="47"/>
      <c r="W269" s="44"/>
      <c r="Y269" s="44"/>
      <c r="AA269" s="32"/>
    </row>
    <row r="270">
      <c r="A270" s="45"/>
      <c r="B270" s="44"/>
      <c r="D270" s="44"/>
      <c r="F270" s="44"/>
      <c r="H270" s="44"/>
      <c r="J270" s="44"/>
      <c r="K270" s="32"/>
      <c r="L270" s="44"/>
      <c r="M270" s="32"/>
      <c r="N270" s="44"/>
      <c r="O270" s="32"/>
      <c r="P270" s="32"/>
      <c r="Q270" s="44"/>
      <c r="S270" s="44"/>
      <c r="U270" s="44"/>
      <c r="V270" s="47"/>
      <c r="W270" s="44"/>
      <c r="Y270" s="44"/>
      <c r="AA270" s="32"/>
    </row>
    <row r="271">
      <c r="A271" s="45"/>
      <c r="B271" s="44"/>
      <c r="D271" s="44"/>
      <c r="F271" s="44"/>
      <c r="H271" s="44"/>
      <c r="J271" s="44"/>
      <c r="K271" s="32"/>
      <c r="L271" s="44"/>
      <c r="M271" s="32"/>
      <c r="N271" s="44"/>
      <c r="O271" s="32"/>
      <c r="P271" s="32"/>
      <c r="Q271" s="44"/>
      <c r="S271" s="44"/>
      <c r="U271" s="44"/>
      <c r="V271" s="47"/>
      <c r="W271" s="44"/>
      <c r="Y271" s="44"/>
      <c r="AA271" s="32"/>
    </row>
    <row r="272">
      <c r="A272" s="45"/>
      <c r="B272" s="44"/>
      <c r="D272" s="44"/>
      <c r="F272" s="44"/>
      <c r="H272" s="44"/>
      <c r="J272" s="44"/>
      <c r="K272" s="32"/>
      <c r="L272" s="44"/>
      <c r="M272" s="32"/>
      <c r="N272" s="44"/>
      <c r="O272" s="32"/>
      <c r="P272" s="32"/>
      <c r="Q272" s="44"/>
      <c r="S272" s="44"/>
      <c r="U272" s="44"/>
      <c r="V272" s="47"/>
      <c r="W272" s="44"/>
      <c r="Y272" s="44"/>
      <c r="AA272" s="32"/>
    </row>
    <row r="273">
      <c r="A273" s="45"/>
      <c r="B273" s="44"/>
      <c r="D273" s="44"/>
      <c r="F273" s="44"/>
      <c r="H273" s="44"/>
      <c r="J273" s="44"/>
      <c r="K273" s="32"/>
      <c r="L273" s="44"/>
      <c r="M273" s="32"/>
      <c r="N273" s="44"/>
      <c r="O273" s="32"/>
      <c r="P273" s="32"/>
      <c r="Q273" s="44"/>
      <c r="S273" s="44"/>
      <c r="U273" s="44"/>
      <c r="V273" s="47"/>
      <c r="W273" s="44"/>
      <c r="Y273" s="44"/>
      <c r="AA273" s="32"/>
    </row>
    <row r="274">
      <c r="A274" s="45"/>
      <c r="B274" s="44"/>
      <c r="D274" s="44"/>
      <c r="F274" s="44"/>
      <c r="H274" s="44"/>
      <c r="J274" s="44"/>
      <c r="K274" s="32"/>
      <c r="L274" s="44"/>
      <c r="M274" s="32"/>
      <c r="N274" s="44"/>
      <c r="O274" s="32"/>
      <c r="P274" s="32"/>
      <c r="Q274" s="44"/>
      <c r="S274" s="44"/>
      <c r="U274" s="44"/>
      <c r="V274" s="47"/>
      <c r="W274" s="44"/>
      <c r="Y274" s="44"/>
      <c r="AA274" s="32"/>
    </row>
    <row r="275">
      <c r="A275" s="45"/>
      <c r="B275" s="44"/>
      <c r="D275" s="44"/>
      <c r="F275" s="44"/>
      <c r="H275" s="44"/>
      <c r="J275" s="44"/>
      <c r="K275" s="32"/>
      <c r="L275" s="44"/>
      <c r="M275" s="32"/>
      <c r="N275" s="44"/>
      <c r="O275" s="32"/>
      <c r="P275" s="32"/>
      <c r="Q275" s="44"/>
      <c r="S275" s="44"/>
      <c r="U275" s="44"/>
      <c r="V275" s="47"/>
      <c r="W275" s="44"/>
      <c r="Y275" s="44"/>
      <c r="AA275" s="32"/>
    </row>
    <row r="276">
      <c r="A276" s="45"/>
      <c r="B276" s="44"/>
      <c r="D276" s="44"/>
      <c r="F276" s="44"/>
      <c r="H276" s="44"/>
      <c r="J276" s="44"/>
      <c r="K276" s="32"/>
      <c r="L276" s="44"/>
      <c r="M276" s="32"/>
      <c r="N276" s="44"/>
      <c r="O276" s="32"/>
      <c r="P276" s="32"/>
      <c r="Q276" s="44"/>
      <c r="S276" s="44"/>
      <c r="U276" s="44"/>
      <c r="V276" s="47"/>
      <c r="W276" s="44"/>
      <c r="Y276" s="44"/>
      <c r="AA276" s="32"/>
    </row>
    <row r="277">
      <c r="A277" s="45"/>
      <c r="B277" s="44"/>
      <c r="D277" s="44"/>
      <c r="F277" s="44"/>
      <c r="H277" s="44"/>
      <c r="J277" s="44"/>
      <c r="K277" s="32"/>
      <c r="L277" s="44"/>
      <c r="M277" s="32"/>
      <c r="N277" s="44"/>
      <c r="O277" s="32"/>
      <c r="P277" s="32"/>
      <c r="Q277" s="44"/>
      <c r="S277" s="44"/>
      <c r="U277" s="44"/>
      <c r="V277" s="47"/>
      <c r="W277" s="44"/>
      <c r="Y277" s="44"/>
      <c r="AA277" s="32"/>
    </row>
    <row r="278">
      <c r="A278" s="45"/>
      <c r="B278" s="44"/>
      <c r="D278" s="44"/>
      <c r="F278" s="44"/>
      <c r="H278" s="44"/>
      <c r="J278" s="44"/>
      <c r="K278" s="32"/>
      <c r="L278" s="44"/>
      <c r="M278" s="32"/>
      <c r="N278" s="44"/>
      <c r="O278" s="32"/>
      <c r="P278" s="32"/>
      <c r="Q278" s="44"/>
      <c r="S278" s="44"/>
      <c r="U278" s="44"/>
      <c r="V278" s="47"/>
      <c r="W278" s="44"/>
      <c r="Y278" s="44"/>
      <c r="AA278" s="32"/>
    </row>
    <row r="279">
      <c r="A279" s="45"/>
      <c r="B279" s="44"/>
      <c r="D279" s="44"/>
      <c r="F279" s="44"/>
      <c r="H279" s="44"/>
      <c r="J279" s="44"/>
      <c r="K279" s="32"/>
      <c r="L279" s="44"/>
      <c r="M279" s="32"/>
      <c r="N279" s="44"/>
      <c r="O279" s="32"/>
      <c r="P279" s="32"/>
      <c r="Q279" s="44"/>
      <c r="S279" s="44"/>
      <c r="U279" s="44"/>
      <c r="V279" s="47"/>
      <c r="W279" s="44"/>
      <c r="Y279" s="44"/>
      <c r="AA279" s="32"/>
    </row>
    <row r="280">
      <c r="A280" s="45"/>
      <c r="B280" s="44"/>
      <c r="D280" s="44"/>
      <c r="F280" s="44"/>
      <c r="H280" s="44"/>
      <c r="J280" s="44"/>
      <c r="K280" s="32"/>
      <c r="L280" s="44"/>
      <c r="M280" s="32"/>
      <c r="N280" s="44"/>
      <c r="O280" s="32"/>
      <c r="P280" s="32"/>
      <c r="Q280" s="44"/>
      <c r="S280" s="44"/>
      <c r="U280" s="44"/>
      <c r="V280" s="47"/>
      <c r="W280" s="44"/>
      <c r="Y280" s="44"/>
      <c r="AA280" s="32"/>
    </row>
    <row r="281">
      <c r="A281" s="45"/>
      <c r="B281" s="44"/>
      <c r="D281" s="44"/>
      <c r="F281" s="44"/>
      <c r="H281" s="44"/>
      <c r="J281" s="44"/>
      <c r="K281" s="32"/>
      <c r="L281" s="44"/>
      <c r="M281" s="32"/>
      <c r="N281" s="44"/>
      <c r="O281" s="32"/>
      <c r="P281" s="32"/>
      <c r="Q281" s="44"/>
      <c r="S281" s="44"/>
      <c r="U281" s="44"/>
      <c r="V281" s="47"/>
      <c r="W281" s="44"/>
      <c r="Y281" s="44"/>
      <c r="AA281" s="32"/>
    </row>
    <row r="282">
      <c r="A282" s="45"/>
      <c r="B282" s="44"/>
      <c r="D282" s="44"/>
      <c r="F282" s="44"/>
      <c r="H282" s="44"/>
      <c r="J282" s="44"/>
      <c r="K282" s="32"/>
      <c r="L282" s="44"/>
      <c r="M282" s="32"/>
      <c r="N282" s="44"/>
      <c r="O282" s="32"/>
      <c r="P282" s="32"/>
      <c r="Q282" s="44"/>
      <c r="S282" s="44"/>
      <c r="U282" s="44"/>
      <c r="V282" s="47"/>
      <c r="W282" s="44"/>
      <c r="Y282" s="44"/>
      <c r="AA282" s="32"/>
    </row>
    <row r="283">
      <c r="A283" s="45"/>
      <c r="B283" s="44"/>
      <c r="D283" s="44"/>
      <c r="F283" s="44"/>
      <c r="H283" s="44"/>
      <c r="J283" s="44"/>
      <c r="K283" s="32"/>
      <c r="L283" s="44"/>
      <c r="M283" s="32"/>
      <c r="N283" s="44"/>
      <c r="O283" s="32"/>
      <c r="P283" s="32"/>
      <c r="Q283" s="44"/>
      <c r="S283" s="44"/>
      <c r="U283" s="44"/>
      <c r="V283" s="47"/>
      <c r="W283" s="44"/>
      <c r="Y283" s="44"/>
      <c r="AA283" s="32"/>
    </row>
    <row r="284">
      <c r="A284" s="45"/>
      <c r="B284" s="44"/>
      <c r="D284" s="44"/>
      <c r="F284" s="44"/>
      <c r="H284" s="44"/>
      <c r="J284" s="44"/>
      <c r="K284" s="32"/>
      <c r="L284" s="44"/>
      <c r="M284" s="32"/>
      <c r="N284" s="44"/>
      <c r="O284" s="32"/>
      <c r="P284" s="32"/>
      <c r="Q284" s="44"/>
      <c r="S284" s="44"/>
      <c r="U284" s="44"/>
      <c r="V284" s="47"/>
      <c r="W284" s="44"/>
      <c r="Y284" s="44"/>
      <c r="AA284" s="32"/>
    </row>
    <row r="285">
      <c r="A285" s="45"/>
      <c r="B285" s="44"/>
      <c r="D285" s="44"/>
      <c r="F285" s="44"/>
      <c r="H285" s="44"/>
      <c r="J285" s="44"/>
      <c r="K285" s="32"/>
      <c r="L285" s="44"/>
      <c r="M285" s="32"/>
      <c r="N285" s="44"/>
      <c r="O285" s="32"/>
      <c r="P285" s="32"/>
      <c r="Q285" s="44"/>
      <c r="S285" s="44"/>
      <c r="U285" s="44"/>
      <c r="V285" s="47"/>
      <c r="W285" s="44"/>
      <c r="Y285" s="44"/>
      <c r="AA285" s="32"/>
    </row>
    <row r="286">
      <c r="A286" s="45"/>
      <c r="B286" s="44"/>
      <c r="D286" s="44"/>
      <c r="F286" s="44"/>
      <c r="H286" s="44"/>
      <c r="J286" s="44"/>
      <c r="K286" s="32"/>
      <c r="L286" s="44"/>
      <c r="M286" s="32"/>
      <c r="N286" s="44"/>
      <c r="O286" s="32"/>
      <c r="P286" s="32"/>
      <c r="Q286" s="44"/>
      <c r="S286" s="44"/>
      <c r="U286" s="44"/>
      <c r="V286" s="47"/>
      <c r="W286" s="44"/>
      <c r="Y286" s="44"/>
      <c r="AA286" s="32"/>
    </row>
    <row r="287">
      <c r="A287" s="45"/>
      <c r="B287" s="44"/>
      <c r="D287" s="44"/>
      <c r="F287" s="44"/>
      <c r="H287" s="44"/>
      <c r="J287" s="44"/>
      <c r="K287" s="32"/>
      <c r="L287" s="44"/>
      <c r="M287" s="32"/>
      <c r="N287" s="44"/>
      <c r="O287" s="32"/>
      <c r="P287" s="32"/>
      <c r="Q287" s="44"/>
      <c r="S287" s="44"/>
      <c r="U287" s="44"/>
      <c r="V287" s="47"/>
      <c r="W287" s="44"/>
      <c r="Y287" s="44"/>
      <c r="AA287" s="32"/>
    </row>
    <row r="288">
      <c r="A288" s="45"/>
      <c r="B288" s="44"/>
      <c r="D288" s="44"/>
      <c r="F288" s="44"/>
      <c r="H288" s="44"/>
      <c r="J288" s="44"/>
      <c r="K288" s="32"/>
      <c r="L288" s="44"/>
      <c r="M288" s="32"/>
      <c r="N288" s="44"/>
      <c r="O288" s="32"/>
      <c r="P288" s="32"/>
      <c r="Q288" s="44"/>
      <c r="S288" s="44"/>
      <c r="U288" s="44"/>
      <c r="V288" s="47"/>
      <c r="W288" s="44"/>
      <c r="Y288" s="44"/>
      <c r="AA288" s="32"/>
    </row>
    <row r="289">
      <c r="A289" s="45"/>
      <c r="B289" s="44"/>
      <c r="D289" s="44"/>
      <c r="F289" s="44"/>
      <c r="H289" s="44"/>
      <c r="J289" s="44"/>
      <c r="K289" s="32"/>
      <c r="L289" s="44"/>
      <c r="M289" s="32"/>
      <c r="N289" s="44"/>
      <c r="O289" s="32"/>
      <c r="P289" s="32"/>
      <c r="Q289" s="44"/>
      <c r="S289" s="44"/>
      <c r="U289" s="44"/>
      <c r="V289" s="47"/>
      <c r="W289" s="44"/>
      <c r="Y289" s="44"/>
      <c r="AA289" s="32"/>
    </row>
    <row r="290">
      <c r="A290" s="45"/>
      <c r="B290" s="44"/>
      <c r="D290" s="44"/>
      <c r="F290" s="44"/>
      <c r="H290" s="44"/>
      <c r="J290" s="44"/>
      <c r="K290" s="32"/>
      <c r="L290" s="44"/>
      <c r="M290" s="32"/>
      <c r="N290" s="44"/>
      <c r="O290" s="32"/>
      <c r="P290" s="32"/>
      <c r="Q290" s="44"/>
      <c r="S290" s="44"/>
      <c r="U290" s="44"/>
      <c r="V290" s="47"/>
      <c r="W290" s="44"/>
      <c r="Y290" s="44"/>
      <c r="AA290" s="32"/>
    </row>
    <row r="291">
      <c r="A291" s="45"/>
      <c r="B291" s="44"/>
      <c r="D291" s="44"/>
      <c r="F291" s="44"/>
      <c r="H291" s="44"/>
      <c r="J291" s="44"/>
      <c r="K291" s="32"/>
      <c r="L291" s="44"/>
      <c r="M291" s="32"/>
      <c r="N291" s="44"/>
      <c r="O291" s="32"/>
      <c r="P291" s="32"/>
      <c r="Q291" s="44"/>
      <c r="S291" s="44"/>
      <c r="U291" s="44"/>
      <c r="V291" s="47"/>
      <c r="W291" s="44"/>
      <c r="Y291" s="44"/>
      <c r="AA291" s="32"/>
    </row>
    <row r="292">
      <c r="A292" s="45"/>
      <c r="B292" s="44"/>
      <c r="D292" s="44"/>
      <c r="F292" s="44"/>
      <c r="H292" s="44"/>
      <c r="J292" s="44"/>
      <c r="K292" s="32"/>
      <c r="L292" s="44"/>
      <c r="M292" s="32"/>
      <c r="N292" s="44"/>
      <c r="O292" s="32"/>
      <c r="P292" s="32"/>
      <c r="Q292" s="44"/>
      <c r="S292" s="44"/>
      <c r="U292" s="44"/>
      <c r="V292" s="47"/>
      <c r="W292" s="44"/>
      <c r="Y292" s="44"/>
      <c r="AA292" s="32"/>
    </row>
    <row r="293">
      <c r="A293" s="45"/>
      <c r="B293" s="44"/>
      <c r="D293" s="44"/>
      <c r="F293" s="44"/>
      <c r="H293" s="44"/>
      <c r="J293" s="44"/>
      <c r="K293" s="32"/>
      <c r="L293" s="44"/>
      <c r="M293" s="32"/>
      <c r="N293" s="44"/>
      <c r="O293" s="32"/>
      <c r="P293" s="32"/>
      <c r="Q293" s="44"/>
      <c r="S293" s="44"/>
      <c r="U293" s="44"/>
      <c r="V293" s="47"/>
      <c r="W293" s="44"/>
      <c r="Y293" s="44"/>
      <c r="AA293" s="32"/>
    </row>
    <row r="294">
      <c r="A294" s="45"/>
      <c r="B294" s="44"/>
      <c r="D294" s="44"/>
      <c r="F294" s="44"/>
      <c r="H294" s="44"/>
      <c r="J294" s="44"/>
      <c r="K294" s="32"/>
      <c r="L294" s="44"/>
      <c r="M294" s="32"/>
      <c r="N294" s="44"/>
      <c r="O294" s="32"/>
      <c r="P294" s="32"/>
      <c r="Q294" s="44"/>
      <c r="S294" s="44"/>
      <c r="U294" s="44"/>
      <c r="V294" s="47"/>
      <c r="W294" s="44"/>
      <c r="Y294" s="44"/>
      <c r="AA294" s="32"/>
    </row>
    <row r="295">
      <c r="A295" s="45"/>
      <c r="B295" s="44"/>
      <c r="D295" s="44"/>
      <c r="F295" s="44"/>
      <c r="H295" s="44"/>
      <c r="J295" s="44"/>
      <c r="K295" s="32"/>
      <c r="L295" s="44"/>
      <c r="M295" s="32"/>
      <c r="N295" s="44"/>
      <c r="O295" s="32"/>
      <c r="P295" s="32"/>
      <c r="Q295" s="44"/>
      <c r="S295" s="44"/>
      <c r="U295" s="44"/>
      <c r="V295" s="47"/>
      <c r="W295" s="44"/>
      <c r="Y295" s="44"/>
      <c r="AA295" s="32"/>
    </row>
    <row r="296">
      <c r="A296" s="45"/>
      <c r="B296" s="44"/>
      <c r="D296" s="44"/>
      <c r="F296" s="44"/>
      <c r="H296" s="44"/>
      <c r="J296" s="44"/>
      <c r="K296" s="32"/>
      <c r="L296" s="44"/>
      <c r="M296" s="32"/>
      <c r="N296" s="44"/>
      <c r="O296" s="32"/>
      <c r="P296" s="32"/>
      <c r="Q296" s="44"/>
      <c r="S296" s="44"/>
      <c r="U296" s="44"/>
      <c r="V296" s="47"/>
      <c r="W296" s="44"/>
      <c r="Y296" s="44"/>
      <c r="AA296" s="32"/>
    </row>
    <row r="297">
      <c r="A297" s="45"/>
      <c r="B297" s="44"/>
      <c r="D297" s="44"/>
      <c r="F297" s="44"/>
      <c r="H297" s="44"/>
      <c r="J297" s="44"/>
      <c r="K297" s="32"/>
      <c r="L297" s="44"/>
      <c r="M297" s="32"/>
      <c r="N297" s="44"/>
      <c r="O297" s="32"/>
      <c r="P297" s="32"/>
      <c r="Q297" s="44"/>
      <c r="S297" s="44"/>
      <c r="U297" s="44"/>
      <c r="V297" s="47"/>
      <c r="W297" s="44"/>
      <c r="Y297" s="44"/>
      <c r="AA297" s="32"/>
    </row>
    <row r="298">
      <c r="A298" s="45"/>
      <c r="B298" s="44"/>
      <c r="D298" s="44"/>
      <c r="F298" s="44"/>
      <c r="H298" s="44"/>
      <c r="J298" s="44"/>
      <c r="K298" s="32"/>
      <c r="L298" s="44"/>
      <c r="M298" s="32"/>
      <c r="N298" s="44"/>
      <c r="O298" s="32"/>
      <c r="P298" s="32"/>
      <c r="Q298" s="44"/>
      <c r="S298" s="44"/>
      <c r="U298" s="44"/>
      <c r="V298" s="47"/>
      <c r="W298" s="44"/>
      <c r="Y298" s="44"/>
      <c r="AA298" s="32"/>
    </row>
    <row r="299">
      <c r="A299" s="45"/>
      <c r="B299" s="44"/>
      <c r="D299" s="44"/>
      <c r="F299" s="44"/>
      <c r="H299" s="44"/>
      <c r="J299" s="44"/>
      <c r="K299" s="32"/>
      <c r="L299" s="44"/>
      <c r="M299" s="32"/>
      <c r="N299" s="44"/>
      <c r="O299" s="32"/>
      <c r="P299" s="32"/>
      <c r="Q299" s="44"/>
      <c r="S299" s="44"/>
      <c r="U299" s="44"/>
      <c r="V299" s="47"/>
      <c r="W299" s="44"/>
      <c r="Y299" s="44"/>
      <c r="AA299" s="32"/>
    </row>
    <row r="300">
      <c r="A300" s="45"/>
      <c r="B300" s="44"/>
      <c r="D300" s="44"/>
      <c r="F300" s="44"/>
      <c r="H300" s="44"/>
      <c r="J300" s="44"/>
      <c r="K300" s="32"/>
      <c r="L300" s="44"/>
      <c r="M300" s="32"/>
      <c r="N300" s="44"/>
      <c r="O300" s="32"/>
      <c r="P300" s="32"/>
      <c r="Q300" s="44"/>
      <c r="S300" s="44"/>
      <c r="U300" s="44"/>
      <c r="V300" s="47"/>
      <c r="W300" s="44"/>
      <c r="Y300" s="44"/>
      <c r="AA300" s="32"/>
    </row>
    <row r="301">
      <c r="A301" s="45"/>
      <c r="B301" s="44"/>
      <c r="D301" s="44"/>
      <c r="F301" s="44"/>
      <c r="H301" s="44"/>
      <c r="J301" s="44"/>
      <c r="K301" s="32"/>
      <c r="L301" s="44"/>
      <c r="M301" s="32"/>
      <c r="N301" s="44"/>
      <c r="O301" s="32"/>
      <c r="P301" s="32"/>
      <c r="Q301" s="44"/>
      <c r="S301" s="44"/>
      <c r="U301" s="44"/>
      <c r="V301" s="47"/>
      <c r="W301" s="44"/>
      <c r="Y301" s="44"/>
      <c r="AA301" s="32"/>
    </row>
    <row r="302">
      <c r="A302" s="45"/>
      <c r="B302" s="44"/>
      <c r="D302" s="44"/>
      <c r="F302" s="44"/>
      <c r="H302" s="44"/>
      <c r="J302" s="44"/>
      <c r="K302" s="32"/>
      <c r="L302" s="44"/>
      <c r="M302" s="32"/>
      <c r="N302" s="44"/>
      <c r="O302" s="32"/>
      <c r="P302" s="32"/>
      <c r="Q302" s="44"/>
      <c r="S302" s="44"/>
      <c r="U302" s="44"/>
      <c r="V302" s="47"/>
      <c r="W302" s="44"/>
      <c r="Y302" s="44"/>
      <c r="AA302" s="32"/>
    </row>
    <row r="303">
      <c r="A303" s="45"/>
      <c r="B303" s="44"/>
      <c r="D303" s="44"/>
      <c r="F303" s="44"/>
      <c r="H303" s="44"/>
      <c r="J303" s="44"/>
      <c r="K303" s="32"/>
      <c r="L303" s="44"/>
      <c r="M303" s="32"/>
      <c r="N303" s="44"/>
      <c r="O303" s="32"/>
      <c r="P303" s="32"/>
      <c r="Q303" s="44"/>
      <c r="S303" s="44"/>
      <c r="U303" s="44"/>
      <c r="V303" s="47"/>
      <c r="W303" s="44"/>
      <c r="Y303" s="44"/>
      <c r="AA303" s="32"/>
    </row>
    <row r="304">
      <c r="A304" s="45"/>
      <c r="B304" s="44"/>
      <c r="D304" s="44"/>
      <c r="F304" s="44"/>
      <c r="H304" s="44"/>
      <c r="J304" s="44"/>
      <c r="K304" s="32"/>
      <c r="L304" s="44"/>
      <c r="M304" s="32"/>
      <c r="N304" s="44"/>
      <c r="O304" s="32"/>
      <c r="P304" s="32"/>
      <c r="Q304" s="44"/>
      <c r="S304" s="44"/>
      <c r="U304" s="44"/>
      <c r="V304" s="47"/>
      <c r="W304" s="44"/>
      <c r="Y304" s="44"/>
      <c r="AA304" s="32"/>
    </row>
    <row r="305">
      <c r="A305" s="45"/>
      <c r="B305" s="44"/>
      <c r="D305" s="44"/>
      <c r="F305" s="44"/>
      <c r="H305" s="44"/>
      <c r="J305" s="44"/>
      <c r="K305" s="32"/>
      <c r="L305" s="44"/>
      <c r="M305" s="32"/>
      <c r="N305" s="44"/>
      <c r="O305" s="32"/>
      <c r="P305" s="32"/>
      <c r="Q305" s="44"/>
      <c r="S305" s="44"/>
      <c r="U305" s="44"/>
      <c r="V305" s="47"/>
      <c r="W305" s="44"/>
      <c r="Y305" s="44"/>
      <c r="AA305" s="32"/>
    </row>
    <row r="306">
      <c r="A306" s="45"/>
      <c r="B306" s="44"/>
      <c r="D306" s="44"/>
      <c r="F306" s="44"/>
      <c r="H306" s="44"/>
      <c r="J306" s="44"/>
      <c r="K306" s="32"/>
      <c r="L306" s="44"/>
      <c r="M306" s="32"/>
      <c r="N306" s="44"/>
      <c r="O306" s="32"/>
      <c r="P306" s="32"/>
      <c r="Q306" s="44"/>
      <c r="S306" s="44"/>
      <c r="U306" s="44"/>
      <c r="V306" s="47"/>
      <c r="W306" s="44"/>
      <c r="Y306" s="44"/>
      <c r="AA306" s="32"/>
    </row>
    <row r="307">
      <c r="A307" s="45"/>
      <c r="B307" s="44"/>
      <c r="D307" s="44"/>
      <c r="F307" s="44"/>
      <c r="H307" s="44"/>
      <c r="J307" s="44"/>
      <c r="K307" s="32"/>
      <c r="L307" s="44"/>
      <c r="M307" s="32"/>
      <c r="N307" s="44"/>
      <c r="O307" s="32"/>
      <c r="P307" s="32"/>
      <c r="Q307" s="44"/>
      <c r="S307" s="44"/>
      <c r="U307" s="44"/>
      <c r="V307" s="47"/>
      <c r="W307" s="44"/>
      <c r="Y307" s="44"/>
      <c r="AA307" s="32"/>
    </row>
    <row r="308">
      <c r="A308" s="45"/>
      <c r="B308" s="44"/>
      <c r="D308" s="44"/>
      <c r="F308" s="44"/>
      <c r="H308" s="44"/>
      <c r="J308" s="44"/>
      <c r="K308" s="32"/>
      <c r="L308" s="44"/>
      <c r="M308" s="32"/>
      <c r="N308" s="44"/>
      <c r="O308" s="32"/>
      <c r="P308" s="32"/>
      <c r="Q308" s="44"/>
      <c r="S308" s="44"/>
      <c r="U308" s="44"/>
      <c r="V308" s="47"/>
      <c r="W308" s="44"/>
      <c r="Y308" s="44"/>
      <c r="AA308" s="32"/>
    </row>
    <row r="309">
      <c r="A309" s="45"/>
      <c r="B309" s="44"/>
      <c r="D309" s="44"/>
      <c r="F309" s="44"/>
      <c r="H309" s="44"/>
      <c r="J309" s="44"/>
      <c r="K309" s="32"/>
      <c r="L309" s="44"/>
      <c r="M309" s="32"/>
      <c r="N309" s="44"/>
      <c r="O309" s="32"/>
      <c r="P309" s="32"/>
      <c r="Q309" s="44"/>
      <c r="S309" s="44"/>
      <c r="U309" s="44"/>
      <c r="V309" s="47"/>
      <c r="W309" s="44"/>
      <c r="Y309" s="44"/>
      <c r="AA309" s="32"/>
    </row>
    <row r="310">
      <c r="A310" s="45"/>
      <c r="B310" s="44"/>
      <c r="D310" s="44"/>
      <c r="F310" s="44"/>
      <c r="H310" s="44"/>
      <c r="J310" s="44"/>
      <c r="K310" s="32"/>
      <c r="L310" s="44"/>
      <c r="M310" s="32"/>
      <c r="N310" s="44"/>
      <c r="O310" s="32"/>
      <c r="P310" s="32"/>
      <c r="Q310" s="44"/>
      <c r="S310" s="44"/>
      <c r="U310" s="44"/>
      <c r="V310" s="47"/>
      <c r="W310" s="44"/>
      <c r="Y310" s="44"/>
      <c r="AA310" s="32"/>
    </row>
    <row r="311">
      <c r="A311" s="45"/>
      <c r="B311" s="44"/>
      <c r="D311" s="44"/>
      <c r="F311" s="44"/>
      <c r="H311" s="44"/>
      <c r="J311" s="44"/>
      <c r="K311" s="32"/>
      <c r="L311" s="44"/>
      <c r="M311" s="32"/>
      <c r="N311" s="44"/>
      <c r="O311" s="32"/>
      <c r="P311" s="32"/>
      <c r="Q311" s="44"/>
      <c r="S311" s="44"/>
      <c r="U311" s="44"/>
      <c r="V311" s="47"/>
      <c r="W311" s="44"/>
      <c r="Y311" s="44"/>
      <c r="AA311" s="32"/>
    </row>
    <row r="312">
      <c r="A312" s="45"/>
      <c r="B312" s="44"/>
      <c r="D312" s="44"/>
      <c r="F312" s="44"/>
      <c r="H312" s="44"/>
      <c r="J312" s="44"/>
      <c r="K312" s="32"/>
      <c r="L312" s="44"/>
      <c r="M312" s="32"/>
      <c r="N312" s="44"/>
      <c r="O312" s="32"/>
      <c r="P312" s="32"/>
      <c r="Q312" s="44"/>
      <c r="S312" s="44"/>
      <c r="U312" s="44"/>
      <c r="V312" s="47"/>
      <c r="W312" s="44"/>
      <c r="Y312" s="44"/>
      <c r="AA312" s="32"/>
    </row>
    <row r="313">
      <c r="A313" s="45"/>
      <c r="B313" s="44"/>
      <c r="D313" s="44"/>
      <c r="F313" s="44"/>
      <c r="H313" s="44"/>
      <c r="J313" s="44"/>
      <c r="K313" s="32"/>
      <c r="L313" s="44"/>
      <c r="M313" s="32"/>
      <c r="N313" s="44"/>
      <c r="O313" s="32"/>
      <c r="P313" s="32"/>
      <c r="Q313" s="44"/>
      <c r="S313" s="44"/>
      <c r="U313" s="44"/>
      <c r="V313" s="47"/>
      <c r="W313" s="44"/>
      <c r="Y313" s="44"/>
      <c r="AA313" s="32"/>
    </row>
    <row r="314">
      <c r="A314" s="45"/>
      <c r="B314" s="44"/>
      <c r="D314" s="44"/>
      <c r="F314" s="44"/>
      <c r="H314" s="44"/>
      <c r="J314" s="44"/>
      <c r="K314" s="32"/>
      <c r="L314" s="44"/>
      <c r="M314" s="32"/>
      <c r="N314" s="44"/>
      <c r="O314" s="32"/>
      <c r="P314" s="32"/>
      <c r="Q314" s="44"/>
      <c r="S314" s="44"/>
      <c r="U314" s="44"/>
      <c r="V314" s="47"/>
      <c r="W314" s="44"/>
      <c r="Y314" s="44"/>
      <c r="AA314" s="32"/>
    </row>
    <row r="315">
      <c r="A315" s="45"/>
      <c r="B315" s="44"/>
      <c r="D315" s="44"/>
      <c r="F315" s="44"/>
      <c r="H315" s="44"/>
      <c r="J315" s="44"/>
      <c r="K315" s="32"/>
      <c r="L315" s="44"/>
      <c r="M315" s="32"/>
      <c r="N315" s="44"/>
      <c r="O315" s="32"/>
      <c r="P315" s="32"/>
      <c r="Q315" s="44"/>
      <c r="S315" s="44"/>
      <c r="U315" s="44"/>
      <c r="V315" s="47"/>
      <c r="W315" s="44"/>
      <c r="Y315" s="44"/>
      <c r="AA315" s="32"/>
    </row>
    <row r="316">
      <c r="A316" s="45"/>
      <c r="B316" s="44"/>
      <c r="D316" s="44"/>
      <c r="F316" s="44"/>
      <c r="H316" s="44"/>
      <c r="J316" s="44"/>
      <c r="K316" s="32"/>
      <c r="L316" s="44"/>
      <c r="M316" s="32"/>
      <c r="N316" s="44"/>
      <c r="O316" s="32"/>
      <c r="P316" s="32"/>
      <c r="Q316" s="44"/>
      <c r="S316" s="44"/>
      <c r="U316" s="44"/>
      <c r="V316" s="47"/>
      <c r="W316" s="44"/>
      <c r="Y316" s="44"/>
      <c r="AA316" s="32"/>
    </row>
    <row r="317">
      <c r="A317" s="45"/>
      <c r="B317" s="44"/>
      <c r="D317" s="44"/>
      <c r="F317" s="44"/>
      <c r="H317" s="44"/>
      <c r="J317" s="44"/>
      <c r="K317" s="32"/>
      <c r="L317" s="44"/>
      <c r="M317" s="32"/>
      <c r="N317" s="44"/>
      <c r="O317" s="32"/>
      <c r="P317" s="32"/>
      <c r="Q317" s="44"/>
      <c r="S317" s="44"/>
      <c r="U317" s="44"/>
      <c r="V317" s="47"/>
      <c r="W317" s="44"/>
      <c r="Y317" s="44"/>
      <c r="AA317" s="32"/>
    </row>
    <row r="318">
      <c r="A318" s="45"/>
      <c r="B318" s="44"/>
      <c r="D318" s="44"/>
      <c r="F318" s="44"/>
      <c r="H318" s="44"/>
      <c r="J318" s="44"/>
      <c r="K318" s="32"/>
      <c r="L318" s="44"/>
      <c r="M318" s="32"/>
      <c r="N318" s="44"/>
      <c r="O318" s="32"/>
      <c r="P318" s="32"/>
      <c r="Q318" s="44"/>
      <c r="S318" s="44"/>
      <c r="U318" s="44"/>
      <c r="V318" s="47"/>
      <c r="W318" s="44"/>
      <c r="Y318" s="44"/>
      <c r="AA318" s="32"/>
    </row>
    <row r="319">
      <c r="A319" s="45"/>
      <c r="B319" s="44"/>
      <c r="D319" s="44"/>
      <c r="F319" s="44"/>
      <c r="H319" s="44"/>
      <c r="J319" s="44"/>
      <c r="K319" s="32"/>
      <c r="L319" s="44"/>
      <c r="M319" s="32"/>
      <c r="N319" s="44"/>
      <c r="O319" s="32"/>
      <c r="P319" s="32"/>
      <c r="Q319" s="44"/>
      <c r="S319" s="44"/>
      <c r="U319" s="44"/>
      <c r="V319" s="47"/>
      <c r="W319" s="44"/>
      <c r="Y319" s="44"/>
      <c r="AA319" s="32"/>
    </row>
    <row r="320">
      <c r="A320" s="45"/>
      <c r="B320" s="44"/>
      <c r="D320" s="44"/>
      <c r="F320" s="44"/>
      <c r="H320" s="44"/>
      <c r="J320" s="44"/>
      <c r="K320" s="32"/>
      <c r="L320" s="44"/>
      <c r="M320" s="32"/>
      <c r="N320" s="44"/>
      <c r="O320" s="32"/>
      <c r="P320" s="32"/>
      <c r="Q320" s="44"/>
      <c r="S320" s="44"/>
      <c r="U320" s="44"/>
      <c r="V320" s="47"/>
      <c r="W320" s="44"/>
      <c r="Y320" s="44"/>
      <c r="AA320" s="32"/>
    </row>
    <row r="321">
      <c r="A321" s="45"/>
      <c r="B321" s="44"/>
      <c r="D321" s="44"/>
      <c r="F321" s="44"/>
      <c r="H321" s="44"/>
      <c r="J321" s="44"/>
      <c r="K321" s="32"/>
      <c r="L321" s="44"/>
      <c r="M321" s="32"/>
      <c r="N321" s="44"/>
      <c r="O321" s="32"/>
      <c r="P321" s="32"/>
      <c r="Q321" s="44"/>
      <c r="S321" s="44"/>
      <c r="U321" s="44"/>
      <c r="V321" s="47"/>
      <c r="W321" s="44"/>
      <c r="Y321" s="44"/>
      <c r="AA321" s="32"/>
    </row>
    <row r="322">
      <c r="A322" s="45"/>
      <c r="B322" s="44"/>
      <c r="D322" s="44"/>
      <c r="F322" s="44"/>
      <c r="H322" s="44"/>
      <c r="J322" s="44"/>
      <c r="K322" s="32"/>
      <c r="L322" s="44"/>
      <c r="M322" s="32"/>
      <c r="N322" s="44"/>
      <c r="O322" s="32"/>
      <c r="P322" s="32"/>
      <c r="Q322" s="44"/>
      <c r="S322" s="44"/>
      <c r="U322" s="44"/>
      <c r="V322" s="47"/>
      <c r="W322" s="44"/>
      <c r="Y322" s="44"/>
      <c r="AA322" s="32"/>
    </row>
    <row r="323">
      <c r="A323" s="45"/>
      <c r="B323" s="44"/>
      <c r="D323" s="44"/>
      <c r="F323" s="44"/>
      <c r="H323" s="44"/>
      <c r="J323" s="44"/>
      <c r="K323" s="32"/>
      <c r="L323" s="44"/>
      <c r="M323" s="32"/>
      <c r="N323" s="44"/>
      <c r="O323" s="32"/>
      <c r="P323" s="32"/>
      <c r="Q323" s="44"/>
      <c r="S323" s="44"/>
      <c r="U323" s="44"/>
      <c r="V323" s="47"/>
      <c r="W323" s="44"/>
      <c r="Y323" s="44"/>
      <c r="AA323" s="32"/>
    </row>
    <row r="324">
      <c r="A324" s="45"/>
      <c r="B324" s="44"/>
      <c r="D324" s="44"/>
      <c r="F324" s="44"/>
      <c r="H324" s="44"/>
      <c r="J324" s="44"/>
      <c r="K324" s="32"/>
      <c r="L324" s="44"/>
      <c r="M324" s="32"/>
      <c r="N324" s="44"/>
      <c r="O324" s="32"/>
      <c r="P324" s="32"/>
      <c r="Q324" s="44"/>
      <c r="S324" s="44"/>
      <c r="U324" s="44"/>
      <c r="V324" s="47"/>
      <c r="W324" s="44"/>
      <c r="Y324" s="44"/>
      <c r="AA324" s="32"/>
    </row>
    <row r="325">
      <c r="A325" s="45"/>
      <c r="B325" s="44"/>
      <c r="D325" s="44"/>
      <c r="F325" s="44"/>
      <c r="H325" s="44"/>
      <c r="J325" s="44"/>
      <c r="K325" s="32"/>
      <c r="L325" s="44"/>
      <c r="M325" s="32"/>
      <c r="N325" s="44"/>
      <c r="O325" s="32"/>
      <c r="P325" s="32"/>
      <c r="Q325" s="44"/>
      <c r="S325" s="44"/>
      <c r="U325" s="44"/>
      <c r="V325" s="47"/>
      <c r="W325" s="44"/>
      <c r="Y325" s="44"/>
      <c r="AA325" s="32"/>
    </row>
    <row r="326">
      <c r="A326" s="45"/>
      <c r="B326" s="44"/>
      <c r="D326" s="44"/>
      <c r="F326" s="44"/>
      <c r="H326" s="44"/>
      <c r="J326" s="44"/>
      <c r="K326" s="32"/>
      <c r="L326" s="44"/>
      <c r="M326" s="32"/>
      <c r="N326" s="44"/>
      <c r="O326" s="32"/>
      <c r="P326" s="32"/>
      <c r="Q326" s="44"/>
      <c r="S326" s="44"/>
      <c r="U326" s="44"/>
      <c r="V326" s="47"/>
      <c r="W326" s="44"/>
      <c r="Y326" s="44"/>
      <c r="AA326" s="32"/>
    </row>
    <row r="327">
      <c r="A327" s="45"/>
      <c r="B327" s="44"/>
      <c r="D327" s="44"/>
      <c r="F327" s="44"/>
      <c r="H327" s="44"/>
      <c r="J327" s="44"/>
      <c r="K327" s="32"/>
      <c r="L327" s="44"/>
      <c r="M327" s="32"/>
      <c r="N327" s="44"/>
      <c r="O327" s="32"/>
      <c r="P327" s="32"/>
      <c r="Q327" s="44"/>
      <c r="S327" s="44"/>
      <c r="U327" s="44"/>
      <c r="V327" s="47"/>
      <c r="W327" s="44"/>
      <c r="Y327" s="44"/>
      <c r="AA327" s="32"/>
    </row>
    <row r="328">
      <c r="A328" s="45"/>
      <c r="B328" s="44"/>
      <c r="D328" s="44"/>
      <c r="F328" s="44"/>
      <c r="H328" s="44"/>
      <c r="J328" s="44"/>
      <c r="K328" s="32"/>
      <c r="L328" s="44"/>
      <c r="M328" s="32"/>
      <c r="N328" s="44"/>
      <c r="O328" s="32"/>
      <c r="P328" s="32"/>
      <c r="Q328" s="44"/>
      <c r="S328" s="44"/>
      <c r="U328" s="44"/>
      <c r="V328" s="47"/>
      <c r="W328" s="44"/>
      <c r="Y328" s="44"/>
      <c r="AA328" s="32"/>
    </row>
    <row r="329">
      <c r="A329" s="45"/>
      <c r="B329" s="44"/>
      <c r="D329" s="44"/>
      <c r="F329" s="44"/>
      <c r="H329" s="44"/>
      <c r="J329" s="44"/>
      <c r="K329" s="32"/>
      <c r="L329" s="44"/>
      <c r="M329" s="32"/>
      <c r="N329" s="44"/>
      <c r="O329" s="32"/>
      <c r="P329" s="32"/>
      <c r="Q329" s="44"/>
      <c r="S329" s="44"/>
      <c r="U329" s="44"/>
      <c r="V329" s="47"/>
      <c r="W329" s="44"/>
      <c r="Y329" s="44"/>
      <c r="AA329" s="32"/>
    </row>
    <row r="330">
      <c r="A330" s="45"/>
      <c r="B330" s="44"/>
      <c r="D330" s="44"/>
      <c r="F330" s="44"/>
      <c r="H330" s="44"/>
      <c r="J330" s="44"/>
      <c r="K330" s="32"/>
      <c r="L330" s="44"/>
      <c r="M330" s="32"/>
      <c r="N330" s="44"/>
      <c r="O330" s="32"/>
      <c r="P330" s="32"/>
      <c r="Q330" s="44"/>
      <c r="S330" s="44"/>
      <c r="U330" s="44"/>
      <c r="V330" s="47"/>
      <c r="W330" s="44"/>
      <c r="Y330" s="44"/>
      <c r="AA330" s="32"/>
    </row>
    <row r="331">
      <c r="A331" s="45"/>
      <c r="B331" s="44"/>
      <c r="D331" s="44"/>
      <c r="F331" s="44"/>
      <c r="H331" s="44"/>
      <c r="J331" s="44"/>
      <c r="K331" s="32"/>
      <c r="L331" s="44"/>
      <c r="M331" s="32"/>
      <c r="N331" s="44"/>
      <c r="O331" s="32"/>
      <c r="P331" s="32"/>
      <c r="Q331" s="44"/>
      <c r="S331" s="44"/>
      <c r="U331" s="44"/>
      <c r="V331" s="47"/>
      <c r="W331" s="44"/>
      <c r="Y331" s="44"/>
      <c r="AA331" s="32"/>
    </row>
    <row r="332">
      <c r="A332" s="45"/>
      <c r="B332" s="44"/>
      <c r="D332" s="44"/>
      <c r="F332" s="44"/>
      <c r="H332" s="44"/>
      <c r="J332" s="44"/>
      <c r="K332" s="32"/>
      <c r="L332" s="44"/>
      <c r="M332" s="32"/>
      <c r="N332" s="44"/>
      <c r="O332" s="32"/>
      <c r="P332" s="32"/>
      <c r="Q332" s="44"/>
      <c r="S332" s="44"/>
      <c r="U332" s="44"/>
      <c r="V332" s="47"/>
      <c r="W332" s="44"/>
      <c r="Y332" s="44"/>
      <c r="AA332" s="32"/>
    </row>
    <row r="333">
      <c r="A333" s="45"/>
      <c r="B333" s="44"/>
      <c r="D333" s="44"/>
      <c r="F333" s="44"/>
      <c r="H333" s="44"/>
      <c r="J333" s="44"/>
      <c r="K333" s="32"/>
      <c r="L333" s="44"/>
      <c r="M333" s="32"/>
      <c r="N333" s="44"/>
      <c r="O333" s="32"/>
      <c r="P333" s="32"/>
      <c r="Q333" s="44"/>
      <c r="S333" s="44"/>
      <c r="U333" s="44"/>
      <c r="V333" s="47"/>
      <c r="W333" s="44"/>
      <c r="Y333" s="44"/>
      <c r="AA333" s="32"/>
    </row>
    <row r="334">
      <c r="A334" s="45"/>
      <c r="B334" s="44"/>
      <c r="D334" s="44"/>
      <c r="F334" s="44"/>
      <c r="H334" s="44"/>
      <c r="J334" s="44"/>
      <c r="K334" s="32"/>
      <c r="L334" s="44"/>
      <c r="M334" s="32"/>
      <c r="N334" s="44"/>
      <c r="O334" s="32"/>
      <c r="P334" s="32"/>
      <c r="Q334" s="44"/>
      <c r="S334" s="44"/>
      <c r="U334" s="44"/>
      <c r="V334" s="47"/>
      <c r="W334" s="44"/>
      <c r="Y334" s="44"/>
      <c r="AA334" s="32"/>
    </row>
    <row r="335">
      <c r="A335" s="45"/>
      <c r="B335" s="44"/>
      <c r="D335" s="44"/>
      <c r="F335" s="44"/>
      <c r="H335" s="44"/>
      <c r="J335" s="44"/>
      <c r="K335" s="32"/>
      <c r="L335" s="44"/>
      <c r="M335" s="32"/>
      <c r="N335" s="44"/>
      <c r="O335" s="32"/>
      <c r="P335" s="32"/>
      <c r="Q335" s="44"/>
      <c r="S335" s="44"/>
      <c r="U335" s="44"/>
      <c r="V335" s="47"/>
      <c r="W335" s="44"/>
      <c r="Y335" s="44"/>
      <c r="AA335" s="32"/>
    </row>
    <row r="336">
      <c r="A336" s="45"/>
      <c r="B336" s="44"/>
      <c r="D336" s="44"/>
      <c r="F336" s="44"/>
      <c r="H336" s="44"/>
      <c r="J336" s="44"/>
      <c r="K336" s="32"/>
      <c r="L336" s="44"/>
      <c r="M336" s="32"/>
      <c r="N336" s="44"/>
      <c r="O336" s="32"/>
      <c r="P336" s="32"/>
      <c r="Q336" s="44"/>
      <c r="S336" s="44"/>
      <c r="U336" s="44"/>
      <c r="V336" s="47"/>
      <c r="W336" s="44"/>
      <c r="Y336" s="44"/>
      <c r="AA336" s="32"/>
    </row>
    <row r="337">
      <c r="A337" s="45"/>
      <c r="B337" s="44"/>
      <c r="D337" s="44"/>
      <c r="F337" s="44"/>
      <c r="H337" s="44"/>
      <c r="J337" s="44"/>
      <c r="K337" s="32"/>
      <c r="L337" s="44"/>
      <c r="M337" s="32"/>
      <c r="N337" s="44"/>
      <c r="O337" s="32"/>
      <c r="P337" s="32"/>
      <c r="Q337" s="44"/>
      <c r="S337" s="44"/>
      <c r="U337" s="44"/>
      <c r="V337" s="47"/>
      <c r="W337" s="44"/>
      <c r="Y337" s="44"/>
      <c r="AA337" s="32"/>
    </row>
    <row r="338">
      <c r="A338" s="45"/>
      <c r="B338" s="44"/>
      <c r="D338" s="44"/>
      <c r="F338" s="44"/>
      <c r="H338" s="44"/>
      <c r="J338" s="44"/>
      <c r="K338" s="32"/>
      <c r="L338" s="44"/>
      <c r="M338" s="32"/>
      <c r="N338" s="44"/>
      <c r="O338" s="32"/>
      <c r="P338" s="32"/>
      <c r="Q338" s="44"/>
      <c r="S338" s="44"/>
      <c r="U338" s="44"/>
      <c r="V338" s="47"/>
      <c r="W338" s="44"/>
      <c r="Y338" s="44"/>
      <c r="AA338" s="32"/>
    </row>
    <row r="339">
      <c r="A339" s="45"/>
      <c r="B339" s="44"/>
      <c r="D339" s="44"/>
      <c r="F339" s="44"/>
      <c r="H339" s="44"/>
      <c r="J339" s="44"/>
      <c r="K339" s="32"/>
      <c r="L339" s="44"/>
      <c r="M339" s="32"/>
      <c r="N339" s="44"/>
      <c r="O339" s="32"/>
      <c r="P339" s="32"/>
      <c r="Q339" s="44"/>
      <c r="S339" s="44"/>
      <c r="U339" s="44"/>
      <c r="V339" s="47"/>
      <c r="W339" s="44"/>
      <c r="Y339" s="44"/>
      <c r="AA339" s="32"/>
    </row>
    <row r="340">
      <c r="A340" s="45"/>
      <c r="B340" s="44"/>
      <c r="D340" s="44"/>
      <c r="F340" s="44"/>
      <c r="H340" s="44"/>
      <c r="J340" s="44"/>
      <c r="K340" s="32"/>
      <c r="L340" s="44"/>
      <c r="M340" s="32"/>
      <c r="N340" s="44"/>
      <c r="O340" s="32"/>
      <c r="P340" s="32"/>
      <c r="Q340" s="44"/>
      <c r="S340" s="44"/>
      <c r="U340" s="44"/>
      <c r="V340" s="47"/>
      <c r="W340" s="44"/>
      <c r="Y340" s="44"/>
      <c r="AA340" s="32"/>
    </row>
    <row r="341">
      <c r="A341" s="45"/>
      <c r="B341" s="44"/>
      <c r="D341" s="44"/>
      <c r="F341" s="44"/>
      <c r="H341" s="44"/>
      <c r="J341" s="44"/>
      <c r="K341" s="32"/>
      <c r="L341" s="44"/>
      <c r="M341" s="32"/>
      <c r="N341" s="44"/>
      <c r="O341" s="32"/>
      <c r="P341" s="32"/>
      <c r="Q341" s="44"/>
      <c r="S341" s="44"/>
      <c r="U341" s="44"/>
      <c r="V341" s="47"/>
      <c r="W341" s="44"/>
      <c r="Y341" s="44"/>
      <c r="AA341" s="32"/>
    </row>
    <row r="342">
      <c r="A342" s="45"/>
      <c r="B342" s="44"/>
      <c r="D342" s="44"/>
      <c r="F342" s="44"/>
      <c r="H342" s="44"/>
      <c r="J342" s="44"/>
      <c r="K342" s="32"/>
      <c r="L342" s="44"/>
      <c r="M342" s="32"/>
      <c r="N342" s="44"/>
      <c r="O342" s="32"/>
      <c r="P342" s="32"/>
      <c r="Q342" s="44"/>
      <c r="S342" s="44"/>
      <c r="U342" s="44"/>
      <c r="V342" s="47"/>
      <c r="W342" s="44"/>
      <c r="Y342" s="44"/>
      <c r="AA342" s="32"/>
    </row>
    <row r="343">
      <c r="A343" s="45"/>
      <c r="B343" s="44"/>
      <c r="D343" s="44"/>
      <c r="F343" s="44"/>
      <c r="H343" s="44"/>
      <c r="J343" s="44"/>
      <c r="K343" s="32"/>
      <c r="L343" s="44"/>
      <c r="M343" s="32"/>
      <c r="N343" s="44"/>
      <c r="O343" s="32"/>
      <c r="P343" s="32"/>
      <c r="Q343" s="44"/>
      <c r="S343" s="44"/>
      <c r="U343" s="44"/>
      <c r="V343" s="47"/>
      <c r="W343" s="44"/>
      <c r="Y343" s="44"/>
      <c r="AA343" s="32"/>
    </row>
    <row r="344">
      <c r="A344" s="45"/>
      <c r="B344" s="44"/>
      <c r="D344" s="44"/>
      <c r="F344" s="44"/>
      <c r="H344" s="44"/>
      <c r="J344" s="44"/>
      <c r="K344" s="32"/>
      <c r="L344" s="44"/>
      <c r="M344" s="32"/>
      <c r="N344" s="44"/>
      <c r="O344" s="32"/>
      <c r="P344" s="32"/>
      <c r="Q344" s="44"/>
      <c r="S344" s="44"/>
      <c r="U344" s="44"/>
      <c r="V344" s="47"/>
      <c r="W344" s="44"/>
      <c r="Y344" s="44"/>
      <c r="AA344" s="32"/>
    </row>
    <row r="345">
      <c r="A345" s="45"/>
      <c r="B345" s="44"/>
      <c r="D345" s="44"/>
      <c r="F345" s="44"/>
      <c r="H345" s="44"/>
      <c r="J345" s="44"/>
      <c r="K345" s="32"/>
      <c r="L345" s="44"/>
      <c r="M345" s="32"/>
      <c r="N345" s="44"/>
      <c r="O345" s="32"/>
      <c r="P345" s="32"/>
      <c r="Q345" s="44"/>
      <c r="S345" s="44"/>
      <c r="U345" s="44"/>
      <c r="V345" s="47"/>
      <c r="W345" s="44"/>
      <c r="Y345" s="44"/>
      <c r="AA345" s="32"/>
    </row>
    <row r="346">
      <c r="A346" s="45"/>
      <c r="B346" s="44"/>
      <c r="D346" s="44"/>
      <c r="F346" s="44"/>
      <c r="H346" s="44"/>
      <c r="J346" s="44"/>
      <c r="K346" s="32"/>
      <c r="L346" s="44"/>
      <c r="M346" s="32"/>
      <c r="N346" s="44"/>
      <c r="O346" s="32"/>
      <c r="P346" s="32"/>
      <c r="Q346" s="44"/>
      <c r="S346" s="44"/>
      <c r="U346" s="44"/>
      <c r="V346" s="47"/>
      <c r="W346" s="44"/>
      <c r="Y346" s="44"/>
      <c r="AA346" s="32"/>
    </row>
    <row r="347">
      <c r="A347" s="45"/>
      <c r="B347" s="44"/>
      <c r="D347" s="44"/>
      <c r="F347" s="44"/>
      <c r="H347" s="44"/>
      <c r="J347" s="44"/>
      <c r="K347" s="32"/>
      <c r="L347" s="44"/>
      <c r="M347" s="32"/>
      <c r="N347" s="44"/>
      <c r="O347" s="32"/>
      <c r="P347" s="32"/>
      <c r="Q347" s="44"/>
      <c r="S347" s="44"/>
      <c r="U347" s="44"/>
      <c r="V347" s="47"/>
      <c r="W347" s="44"/>
      <c r="Y347" s="44"/>
      <c r="AA347" s="32"/>
    </row>
    <row r="348">
      <c r="A348" s="45"/>
      <c r="B348" s="44"/>
      <c r="D348" s="44"/>
      <c r="F348" s="44"/>
      <c r="H348" s="44"/>
      <c r="J348" s="44"/>
      <c r="K348" s="32"/>
      <c r="L348" s="44"/>
      <c r="M348" s="32"/>
      <c r="N348" s="44"/>
      <c r="O348" s="32"/>
      <c r="P348" s="32"/>
      <c r="Q348" s="44"/>
      <c r="S348" s="44"/>
      <c r="U348" s="44"/>
      <c r="V348" s="47"/>
      <c r="W348" s="44"/>
      <c r="Y348" s="44"/>
      <c r="AA348" s="32"/>
    </row>
    <row r="349">
      <c r="A349" s="45"/>
      <c r="B349" s="44"/>
      <c r="D349" s="44"/>
      <c r="F349" s="44"/>
      <c r="H349" s="44"/>
      <c r="J349" s="44"/>
      <c r="K349" s="32"/>
      <c r="L349" s="44"/>
      <c r="M349" s="32"/>
      <c r="N349" s="44"/>
      <c r="O349" s="32"/>
      <c r="P349" s="32"/>
      <c r="Q349" s="44"/>
      <c r="S349" s="44"/>
      <c r="U349" s="44"/>
      <c r="V349" s="47"/>
      <c r="W349" s="44"/>
      <c r="Y349" s="44"/>
      <c r="AA349" s="32"/>
    </row>
    <row r="350">
      <c r="A350" s="45"/>
      <c r="B350" s="44"/>
      <c r="D350" s="44"/>
      <c r="F350" s="44"/>
      <c r="H350" s="44"/>
      <c r="J350" s="44"/>
      <c r="K350" s="32"/>
      <c r="L350" s="44"/>
      <c r="M350" s="32"/>
      <c r="N350" s="44"/>
      <c r="O350" s="32"/>
      <c r="P350" s="32"/>
      <c r="Q350" s="44"/>
      <c r="S350" s="44"/>
      <c r="U350" s="44"/>
      <c r="V350" s="47"/>
      <c r="W350" s="44"/>
      <c r="Y350" s="44"/>
      <c r="AA350" s="32"/>
    </row>
    <row r="351">
      <c r="A351" s="45"/>
      <c r="B351" s="44"/>
      <c r="D351" s="44"/>
      <c r="F351" s="44"/>
      <c r="H351" s="44"/>
      <c r="J351" s="44"/>
      <c r="K351" s="32"/>
      <c r="L351" s="44"/>
      <c r="M351" s="32"/>
      <c r="N351" s="44"/>
      <c r="O351" s="32"/>
      <c r="P351" s="32"/>
      <c r="Q351" s="44"/>
      <c r="S351" s="44"/>
      <c r="U351" s="44"/>
      <c r="V351" s="47"/>
      <c r="W351" s="44"/>
      <c r="Y351" s="44"/>
      <c r="AA351" s="32"/>
    </row>
    <row r="352">
      <c r="A352" s="45"/>
      <c r="B352" s="44"/>
      <c r="D352" s="44"/>
      <c r="F352" s="44"/>
      <c r="H352" s="44"/>
      <c r="J352" s="44"/>
      <c r="K352" s="32"/>
      <c r="L352" s="44"/>
      <c r="M352" s="32"/>
      <c r="N352" s="44"/>
      <c r="O352" s="32"/>
      <c r="P352" s="32"/>
      <c r="Q352" s="44"/>
      <c r="S352" s="44"/>
      <c r="U352" s="44"/>
      <c r="V352" s="47"/>
      <c r="W352" s="44"/>
      <c r="Y352" s="44"/>
      <c r="AA352" s="32"/>
    </row>
    <row r="353">
      <c r="A353" s="45"/>
      <c r="B353" s="44"/>
      <c r="D353" s="44"/>
      <c r="F353" s="44"/>
      <c r="H353" s="44"/>
      <c r="J353" s="44"/>
      <c r="K353" s="32"/>
      <c r="L353" s="44"/>
      <c r="M353" s="32"/>
      <c r="N353" s="44"/>
      <c r="O353" s="32"/>
      <c r="P353" s="32"/>
      <c r="Q353" s="44"/>
      <c r="S353" s="44"/>
      <c r="U353" s="44"/>
      <c r="V353" s="47"/>
      <c r="W353" s="44"/>
      <c r="Y353" s="44"/>
      <c r="AA353" s="32"/>
    </row>
    <row r="354">
      <c r="A354" s="45"/>
      <c r="B354" s="44"/>
      <c r="D354" s="44"/>
      <c r="F354" s="44"/>
      <c r="H354" s="44"/>
      <c r="J354" s="44"/>
      <c r="K354" s="32"/>
      <c r="L354" s="44"/>
      <c r="M354" s="32"/>
      <c r="N354" s="44"/>
      <c r="O354" s="32"/>
      <c r="P354" s="32"/>
      <c r="Q354" s="44"/>
      <c r="S354" s="44"/>
      <c r="U354" s="44"/>
      <c r="V354" s="47"/>
      <c r="W354" s="44"/>
      <c r="Y354" s="44"/>
      <c r="AA354" s="32"/>
    </row>
    <row r="355">
      <c r="A355" s="45"/>
      <c r="B355" s="44"/>
      <c r="D355" s="44"/>
      <c r="F355" s="44"/>
      <c r="H355" s="44"/>
      <c r="J355" s="44"/>
      <c r="K355" s="32"/>
      <c r="L355" s="44"/>
      <c r="M355" s="32"/>
      <c r="N355" s="44"/>
      <c r="O355" s="32"/>
      <c r="P355" s="32"/>
      <c r="Q355" s="44"/>
      <c r="S355" s="44"/>
      <c r="U355" s="44"/>
      <c r="V355" s="47"/>
      <c r="W355" s="44"/>
      <c r="Y355" s="44"/>
      <c r="AA355" s="32"/>
    </row>
    <row r="356">
      <c r="A356" s="45"/>
      <c r="B356" s="44"/>
      <c r="D356" s="44"/>
      <c r="F356" s="44"/>
      <c r="H356" s="44"/>
      <c r="J356" s="44"/>
      <c r="K356" s="32"/>
      <c r="L356" s="44"/>
      <c r="M356" s="32"/>
      <c r="N356" s="44"/>
      <c r="O356" s="32"/>
      <c r="P356" s="32"/>
      <c r="Q356" s="44"/>
      <c r="S356" s="44"/>
      <c r="U356" s="44"/>
      <c r="V356" s="47"/>
      <c r="W356" s="44"/>
      <c r="Y356" s="44"/>
      <c r="AA356" s="32"/>
    </row>
    <row r="357">
      <c r="A357" s="45"/>
      <c r="B357" s="44"/>
      <c r="D357" s="44"/>
      <c r="F357" s="44"/>
      <c r="H357" s="44"/>
      <c r="J357" s="44"/>
      <c r="K357" s="32"/>
      <c r="L357" s="44"/>
      <c r="M357" s="32"/>
      <c r="N357" s="44"/>
      <c r="O357" s="32"/>
      <c r="P357" s="32"/>
      <c r="Q357" s="44"/>
      <c r="S357" s="44"/>
      <c r="U357" s="44"/>
      <c r="V357" s="47"/>
      <c r="W357" s="44"/>
      <c r="Y357" s="44"/>
      <c r="AA357" s="32"/>
    </row>
    <row r="358">
      <c r="A358" s="45"/>
      <c r="B358" s="44"/>
      <c r="D358" s="44"/>
      <c r="F358" s="44"/>
      <c r="H358" s="44"/>
      <c r="J358" s="44"/>
      <c r="K358" s="32"/>
      <c r="L358" s="44"/>
      <c r="M358" s="32"/>
      <c r="N358" s="44"/>
      <c r="O358" s="32"/>
      <c r="P358" s="32"/>
      <c r="Q358" s="44"/>
      <c r="S358" s="44"/>
      <c r="U358" s="44"/>
      <c r="V358" s="47"/>
      <c r="W358" s="44"/>
      <c r="Y358" s="44"/>
      <c r="AA358" s="32"/>
    </row>
    <row r="359">
      <c r="A359" s="45"/>
      <c r="B359" s="44"/>
      <c r="D359" s="44"/>
      <c r="F359" s="44"/>
      <c r="H359" s="44"/>
      <c r="J359" s="44"/>
      <c r="K359" s="32"/>
      <c r="L359" s="44"/>
      <c r="M359" s="32"/>
      <c r="N359" s="44"/>
      <c r="O359" s="32"/>
      <c r="P359" s="32"/>
      <c r="Q359" s="44"/>
      <c r="S359" s="44"/>
      <c r="U359" s="44"/>
      <c r="V359" s="47"/>
      <c r="W359" s="44"/>
      <c r="Y359" s="44"/>
      <c r="AA359" s="32"/>
    </row>
    <row r="360">
      <c r="A360" s="45"/>
      <c r="B360" s="44"/>
      <c r="D360" s="44"/>
      <c r="F360" s="44"/>
      <c r="H360" s="44"/>
      <c r="J360" s="44"/>
      <c r="K360" s="32"/>
      <c r="L360" s="44"/>
      <c r="M360" s="32"/>
      <c r="N360" s="44"/>
      <c r="O360" s="32"/>
      <c r="P360" s="32"/>
      <c r="Q360" s="44"/>
      <c r="S360" s="44"/>
      <c r="U360" s="44"/>
      <c r="V360" s="47"/>
      <c r="W360" s="44"/>
      <c r="Y360" s="44"/>
      <c r="AA360" s="32"/>
    </row>
    <row r="361">
      <c r="A361" s="45"/>
      <c r="B361" s="44"/>
      <c r="D361" s="44"/>
      <c r="F361" s="44"/>
      <c r="H361" s="44"/>
      <c r="J361" s="44"/>
      <c r="K361" s="32"/>
      <c r="L361" s="44"/>
      <c r="M361" s="32"/>
      <c r="N361" s="44"/>
      <c r="O361" s="32"/>
      <c r="P361" s="32"/>
      <c r="Q361" s="44"/>
      <c r="S361" s="44"/>
      <c r="U361" s="44"/>
      <c r="V361" s="47"/>
      <c r="W361" s="44"/>
      <c r="Y361" s="44"/>
      <c r="AA361" s="32"/>
    </row>
    <row r="362">
      <c r="A362" s="45"/>
      <c r="B362" s="44"/>
      <c r="D362" s="44"/>
      <c r="F362" s="44"/>
      <c r="H362" s="44"/>
      <c r="J362" s="44"/>
      <c r="K362" s="32"/>
      <c r="L362" s="44"/>
      <c r="M362" s="32"/>
      <c r="N362" s="44"/>
      <c r="O362" s="32"/>
      <c r="P362" s="32"/>
      <c r="Q362" s="44"/>
      <c r="S362" s="44"/>
      <c r="U362" s="44"/>
      <c r="V362" s="47"/>
      <c r="W362" s="44"/>
      <c r="Y362" s="44"/>
      <c r="AA362" s="32"/>
    </row>
    <row r="363">
      <c r="A363" s="45"/>
      <c r="B363" s="44"/>
      <c r="D363" s="44"/>
      <c r="F363" s="44"/>
      <c r="H363" s="44"/>
      <c r="J363" s="44"/>
      <c r="K363" s="32"/>
      <c r="L363" s="44"/>
      <c r="M363" s="32"/>
      <c r="N363" s="44"/>
      <c r="O363" s="32"/>
      <c r="P363" s="32"/>
      <c r="Q363" s="44"/>
      <c r="S363" s="44"/>
      <c r="U363" s="44"/>
      <c r="V363" s="47"/>
      <c r="W363" s="44"/>
      <c r="Y363" s="44"/>
      <c r="AA363" s="32"/>
    </row>
    <row r="364">
      <c r="A364" s="45"/>
      <c r="B364" s="44"/>
      <c r="D364" s="44"/>
      <c r="F364" s="44"/>
      <c r="H364" s="44"/>
      <c r="J364" s="44"/>
      <c r="K364" s="32"/>
      <c r="L364" s="44"/>
      <c r="M364" s="32"/>
      <c r="N364" s="44"/>
      <c r="O364" s="32"/>
      <c r="P364" s="32"/>
      <c r="Q364" s="44"/>
      <c r="S364" s="44"/>
      <c r="U364" s="44"/>
      <c r="V364" s="47"/>
      <c r="W364" s="44"/>
      <c r="Y364" s="44"/>
      <c r="AA364" s="32"/>
    </row>
    <row r="365">
      <c r="A365" s="45"/>
      <c r="B365" s="44"/>
      <c r="D365" s="44"/>
      <c r="F365" s="44"/>
      <c r="H365" s="44"/>
      <c r="J365" s="44"/>
      <c r="K365" s="32"/>
      <c r="L365" s="44"/>
      <c r="M365" s="32"/>
      <c r="N365" s="44"/>
      <c r="O365" s="32"/>
      <c r="P365" s="32"/>
      <c r="Q365" s="44"/>
      <c r="S365" s="44"/>
      <c r="U365" s="44"/>
      <c r="V365" s="47"/>
      <c r="W365" s="44"/>
      <c r="Y365" s="44"/>
      <c r="AA365" s="32"/>
    </row>
    <row r="366">
      <c r="A366" s="45"/>
      <c r="B366" s="44"/>
      <c r="D366" s="44"/>
      <c r="F366" s="44"/>
      <c r="H366" s="44"/>
      <c r="J366" s="44"/>
      <c r="K366" s="32"/>
      <c r="L366" s="44"/>
      <c r="M366" s="32"/>
      <c r="N366" s="44"/>
      <c r="O366" s="32"/>
      <c r="P366" s="32"/>
      <c r="Q366" s="44"/>
      <c r="S366" s="44"/>
      <c r="U366" s="44"/>
      <c r="V366" s="47"/>
      <c r="W366" s="44"/>
      <c r="Y366" s="44"/>
      <c r="AA366" s="32"/>
    </row>
    <row r="367">
      <c r="A367" s="45"/>
      <c r="B367" s="44"/>
      <c r="D367" s="44"/>
      <c r="F367" s="44"/>
      <c r="H367" s="44"/>
      <c r="J367" s="44"/>
      <c r="K367" s="32"/>
      <c r="L367" s="44"/>
      <c r="M367" s="32"/>
      <c r="N367" s="44"/>
      <c r="O367" s="32"/>
      <c r="P367" s="32"/>
      <c r="Q367" s="44"/>
      <c r="S367" s="44"/>
      <c r="U367" s="44"/>
      <c r="V367" s="47"/>
      <c r="W367" s="44"/>
      <c r="Y367" s="44"/>
      <c r="AA367" s="32"/>
    </row>
    <row r="368">
      <c r="A368" s="45"/>
      <c r="B368" s="44"/>
      <c r="D368" s="44"/>
      <c r="F368" s="44"/>
      <c r="H368" s="44"/>
      <c r="J368" s="44"/>
      <c r="K368" s="32"/>
      <c r="L368" s="44"/>
      <c r="M368" s="32"/>
      <c r="N368" s="44"/>
      <c r="O368" s="32"/>
      <c r="P368" s="32"/>
      <c r="Q368" s="44"/>
      <c r="S368" s="44"/>
      <c r="U368" s="44"/>
      <c r="V368" s="47"/>
      <c r="W368" s="44"/>
      <c r="Y368" s="44"/>
      <c r="AA368" s="32"/>
    </row>
    <row r="369">
      <c r="A369" s="45"/>
      <c r="B369" s="44"/>
      <c r="D369" s="44"/>
      <c r="F369" s="44"/>
      <c r="H369" s="44"/>
      <c r="J369" s="44"/>
      <c r="K369" s="32"/>
      <c r="L369" s="44"/>
      <c r="M369" s="32"/>
      <c r="N369" s="44"/>
      <c r="O369" s="32"/>
      <c r="P369" s="32"/>
      <c r="Q369" s="44"/>
      <c r="S369" s="44"/>
      <c r="U369" s="44"/>
      <c r="V369" s="47"/>
      <c r="W369" s="44"/>
      <c r="Y369" s="44"/>
      <c r="AA369" s="32"/>
    </row>
    <row r="370">
      <c r="A370" s="45"/>
      <c r="B370" s="44"/>
      <c r="D370" s="44"/>
      <c r="F370" s="44"/>
      <c r="H370" s="44"/>
      <c r="J370" s="44"/>
      <c r="K370" s="32"/>
      <c r="L370" s="44"/>
      <c r="M370" s="32"/>
      <c r="N370" s="44"/>
      <c r="O370" s="32"/>
      <c r="P370" s="32"/>
      <c r="Q370" s="44"/>
      <c r="S370" s="44"/>
      <c r="U370" s="44"/>
      <c r="V370" s="47"/>
      <c r="W370" s="44"/>
      <c r="Y370" s="44"/>
      <c r="AA370" s="32"/>
    </row>
    <row r="371">
      <c r="A371" s="45"/>
      <c r="B371" s="44"/>
      <c r="D371" s="44"/>
      <c r="F371" s="44"/>
      <c r="H371" s="44"/>
      <c r="J371" s="44"/>
      <c r="K371" s="32"/>
      <c r="L371" s="44"/>
      <c r="M371" s="32"/>
      <c r="N371" s="44"/>
      <c r="O371" s="32"/>
      <c r="P371" s="32"/>
      <c r="Q371" s="44"/>
      <c r="S371" s="44"/>
      <c r="U371" s="44"/>
      <c r="V371" s="47"/>
      <c r="W371" s="44"/>
      <c r="Y371" s="44"/>
      <c r="AA371" s="32"/>
    </row>
    <row r="372">
      <c r="A372" s="45"/>
      <c r="B372" s="44"/>
      <c r="D372" s="44"/>
      <c r="F372" s="44"/>
      <c r="H372" s="44"/>
      <c r="J372" s="44"/>
      <c r="K372" s="32"/>
      <c r="L372" s="44"/>
      <c r="M372" s="32"/>
      <c r="N372" s="44"/>
      <c r="O372" s="32"/>
      <c r="P372" s="32"/>
      <c r="Q372" s="44"/>
      <c r="S372" s="44"/>
      <c r="U372" s="44"/>
      <c r="V372" s="47"/>
      <c r="W372" s="44"/>
      <c r="Y372" s="44"/>
      <c r="AA372" s="32"/>
    </row>
    <row r="373">
      <c r="A373" s="45"/>
      <c r="B373" s="44"/>
      <c r="D373" s="44"/>
      <c r="F373" s="44"/>
      <c r="H373" s="44"/>
      <c r="J373" s="44"/>
      <c r="K373" s="32"/>
      <c r="L373" s="44"/>
      <c r="M373" s="32"/>
      <c r="N373" s="44"/>
      <c r="O373" s="32"/>
      <c r="P373" s="32"/>
      <c r="Q373" s="44"/>
      <c r="S373" s="44"/>
      <c r="U373" s="44"/>
      <c r="V373" s="47"/>
      <c r="W373" s="44"/>
      <c r="Y373" s="44"/>
      <c r="AA373" s="32"/>
    </row>
    <row r="374">
      <c r="A374" s="45"/>
      <c r="B374" s="44"/>
      <c r="D374" s="44"/>
      <c r="F374" s="44"/>
      <c r="H374" s="44"/>
      <c r="J374" s="44"/>
      <c r="K374" s="32"/>
      <c r="L374" s="44"/>
      <c r="M374" s="32"/>
      <c r="N374" s="44"/>
      <c r="O374" s="32"/>
      <c r="P374" s="32"/>
      <c r="Q374" s="44"/>
      <c r="S374" s="44"/>
      <c r="U374" s="44"/>
      <c r="V374" s="47"/>
      <c r="W374" s="44"/>
      <c r="Y374" s="44"/>
      <c r="AA374" s="32"/>
    </row>
    <row r="375">
      <c r="A375" s="45"/>
      <c r="B375" s="44"/>
      <c r="D375" s="44"/>
      <c r="F375" s="44"/>
      <c r="H375" s="44"/>
      <c r="J375" s="44"/>
      <c r="K375" s="32"/>
      <c r="L375" s="44"/>
      <c r="M375" s="32"/>
      <c r="N375" s="44"/>
      <c r="O375" s="32"/>
      <c r="P375" s="32"/>
      <c r="Q375" s="44"/>
      <c r="S375" s="44"/>
      <c r="U375" s="44"/>
      <c r="V375" s="47"/>
      <c r="W375" s="44"/>
      <c r="Y375" s="44"/>
      <c r="AA375" s="32"/>
    </row>
    <row r="376">
      <c r="A376" s="45"/>
      <c r="B376" s="44"/>
      <c r="D376" s="44"/>
      <c r="F376" s="44"/>
      <c r="H376" s="44"/>
      <c r="J376" s="44"/>
      <c r="K376" s="32"/>
      <c r="L376" s="44"/>
      <c r="M376" s="32"/>
      <c r="N376" s="44"/>
      <c r="O376" s="32"/>
      <c r="P376" s="32"/>
      <c r="Q376" s="44"/>
      <c r="S376" s="44"/>
      <c r="U376" s="44"/>
      <c r="V376" s="47"/>
      <c r="W376" s="44"/>
      <c r="Y376" s="44"/>
      <c r="AA376" s="32"/>
    </row>
    <row r="377">
      <c r="A377" s="45"/>
      <c r="B377" s="44"/>
      <c r="D377" s="44"/>
      <c r="F377" s="44"/>
      <c r="H377" s="44"/>
      <c r="J377" s="44"/>
      <c r="K377" s="32"/>
      <c r="L377" s="44"/>
      <c r="M377" s="32"/>
      <c r="N377" s="44"/>
      <c r="O377" s="32"/>
      <c r="P377" s="32"/>
      <c r="Q377" s="44"/>
      <c r="S377" s="44"/>
      <c r="U377" s="44"/>
      <c r="V377" s="47"/>
      <c r="W377" s="44"/>
      <c r="Y377" s="44"/>
      <c r="AA377" s="32"/>
    </row>
    <row r="378">
      <c r="A378" s="45"/>
      <c r="B378" s="44"/>
      <c r="D378" s="44"/>
      <c r="F378" s="44"/>
      <c r="H378" s="44"/>
      <c r="J378" s="44"/>
      <c r="K378" s="32"/>
      <c r="L378" s="44"/>
      <c r="M378" s="32"/>
      <c r="N378" s="44"/>
      <c r="O378" s="32"/>
      <c r="P378" s="32"/>
      <c r="Q378" s="44"/>
      <c r="S378" s="44"/>
      <c r="U378" s="44"/>
      <c r="V378" s="47"/>
      <c r="W378" s="44"/>
      <c r="Y378" s="44"/>
      <c r="AA378" s="32"/>
    </row>
    <row r="379">
      <c r="A379" s="45"/>
      <c r="B379" s="44"/>
      <c r="D379" s="44"/>
      <c r="F379" s="44"/>
      <c r="H379" s="44"/>
      <c r="J379" s="44"/>
      <c r="K379" s="32"/>
      <c r="L379" s="44"/>
      <c r="M379" s="32"/>
      <c r="N379" s="44"/>
      <c r="O379" s="32"/>
      <c r="P379" s="32"/>
      <c r="Q379" s="44"/>
      <c r="S379" s="44"/>
      <c r="U379" s="44"/>
      <c r="V379" s="47"/>
      <c r="W379" s="44"/>
      <c r="Y379" s="44"/>
      <c r="AA379" s="32"/>
    </row>
    <row r="380">
      <c r="A380" s="45"/>
      <c r="B380" s="44"/>
      <c r="D380" s="44"/>
      <c r="F380" s="44"/>
      <c r="H380" s="44"/>
      <c r="J380" s="44"/>
      <c r="K380" s="32"/>
      <c r="L380" s="44"/>
      <c r="M380" s="32"/>
      <c r="N380" s="44"/>
      <c r="O380" s="32"/>
      <c r="P380" s="32"/>
      <c r="Q380" s="44"/>
      <c r="S380" s="44"/>
      <c r="U380" s="44"/>
      <c r="V380" s="47"/>
      <c r="W380" s="44"/>
      <c r="Y380" s="44"/>
      <c r="AA380" s="32"/>
    </row>
    <row r="381">
      <c r="A381" s="45"/>
      <c r="B381" s="44"/>
      <c r="D381" s="44"/>
      <c r="F381" s="44"/>
      <c r="H381" s="44"/>
      <c r="J381" s="44"/>
      <c r="K381" s="32"/>
      <c r="L381" s="44"/>
      <c r="M381" s="32"/>
      <c r="N381" s="44"/>
      <c r="O381" s="32"/>
      <c r="P381" s="32"/>
      <c r="Q381" s="44"/>
      <c r="S381" s="44"/>
      <c r="U381" s="44"/>
      <c r="V381" s="47"/>
      <c r="W381" s="44"/>
      <c r="Y381" s="44"/>
      <c r="AA381" s="32"/>
    </row>
    <row r="382">
      <c r="A382" s="45"/>
      <c r="B382" s="44"/>
      <c r="D382" s="44"/>
      <c r="F382" s="44"/>
      <c r="H382" s="44"/>
      <c r="J382" s="44"/>
      <c r="K382" s="32"/>
      <c r="L382" s="44"/>
      <c r="M382" s="32"/>
      <c r="N382" s="44"/>
      <c r="O382" s="32"/>
      <c r="P382" s="32"/>
      <c r="Q382" s="44"/>
      <c r="S382" s="44"/>
      <c r="U382" s="44"/>
      <c r="V382" s="47"/>
      <c r="W382" s="44"/>
      <c r="Y382" s="44"/>
      <c r="AA382" s="32"/>
    </row>
    <row r="383">
      <c r="A383" s="45"/>
      <c r="B383" s="44"/>
      <c r="D383" s="44"/>
      <c r="F383" s="44"/>
      <c r="H383" s="44"/>
      <c r="J383" s="44"/>
      <c r="K383" s="32"/>
      <c r="L383" s="44"/>
      <c r="M383" s="32"/>
      <c r="N383" s="44"/>
      <c r="O383" s="32"/>
      <c r="P383" s="32"/>
      <c r="Q383" s="44"/>
      <c r="S383" s="44"/>
      <c r="U383" s="44"/>
      <c r="V383" s="47"/>
      <c r="W383" s="44"/>
      <c r="Y383" s="44"/>
      <c r="AA383" s="32"/>
    </row>
    <row r="384">
      <c r="A384" s="45"/>
      <c r="B384" s="44"/>
      <c r="D384" s="44"/>
      <c r="F384" s="44"/>
      <c r="H384" s="44"/>
      <c r="J384" s="44"/>
      <c r="K384" s="32"/>
      <c r="L384" s="44"/>
      <c r="M384" s="32"/>
      <c r="N384" s="44"/>
      <c r="O384" s="32"/>
      <c r="P384" s="32"/>
      <c r="Q384" s="44"/>
      <c r="S384" s="44"/>
      <c r="U384" s="44"/>
      <c r="V384" s="47"/>
      <c r="W384" s="44"/>
      <c r="Y384" s="44"/>
      <c r="AA384" s="32"/>
    </row>
    <row r="385">
      <c r="A385" s="45"/>
      <c r="B385" s="44"/>
      <c r="D385" s="44"/>
      <c r="F385" s="44"/>
      <c r="H385" s="44"/>
      <c r="J385" s="44"/>
      <c r="K385" s="32"/>
      <c r="L385" s="44"/>
      <c r="M385" s="32"/>
      <c r="N385" s="44"/>
      <c r="O385" s="32"/>
      <c r="P385" s="32"/>
      <c r="Q385" s="44"/>
      <c r="S385" s="44"/>
      <c r="U385" s="44"/>
      <c r="V385" s="47"/>
      <c r="W385" s="44"/>
      <c r="Y385" s="44"/>
      <c r="AA385" s="32"/>
    </row>
    <row r="386">
      <c r="A386" s="45"/>
      <c r="B386" s="44"/>
      <c r="D386" s="44"/>
      <c r="F386" s="44"/>
      <c r="H386" s="44"/>
      <c r="J386" s="44"/>
      <c r="K386" s="32"/>
      <c r="L386" s="44"/>
      <c r="M386" s="32"/>
      <c r="N386" s="44"/>
      <c r="O386" s="32"/>
      <c r="P386" s="32"/>
      <c r="Q386" s="44"/>
      <c r="S386" s="44"/>
      <c r="U386" s="44"/>
      <c r="V386" s="47"/>
      <c r="W386" s="44"/>
      <c r="Y386" s="44"/>
      <c r="AA386" s="32"/>
    </row>
    <row r="387">
      <c r="A387" s="45"/>
      <c r="B387" s="44"/>
      <c r="D387" s="44"/>
      <c r="F387" s="44"/>
      <c r="H387" s="44"/>
      <c r="J387" s="44"/>
      <c r="K387" s="32"/>
      <c r="L387" s="44"/>
      <c r="M387" s="32"/>
      <c r="N387" s="44"/>
      <c r="O387" s="32"/>
      <c r="P387" s="32"/>
      <c r="Q387" s="44"/>
      <c r="S387" s="44"/>
      <c r="U387" s="44"/>
      <c r="V387" s="47"/>
      <c r="W387" s="44"/>
      <c r="Y387" s="44"/>
      <c r="AA387" s="32"/>
    </row>
    <row r="388">
      <c r="A388" s="45"/>
      <c r="B388" s="44"/>
      <c r="D388" s="44"/>
      <c r="F388" s="44"/>
      <c r="H388" s="44"/>
      <c r="J388" s="44"/>
      <c r="K388" s="32"/>
      <c r="L388" s="44"/>
      <c r="M388" s="32"/>
      <c r="N388" s="44"/>
      <c r="O388" s="32"/>
      <c r="P388" s="32"/>
      <c r="Q388" s="44"/>
      <c r="S388" s="44"/>
      <c r="U388" s="44"/>
      <c r="V388" s="47"/>
      <c r="W388" s="44"/>
      <c r="Y388" s="44"/>
      <c r="AA388" s="32"/>
    </row>
    <row r="389">
      <c r="A389" s="45"/>
      <c r="B389" s="44"/>
      <c r="D389" s="44"/>
      <c r="F389" s="44"/>
      <c r="H389" s="44"/>
      <c r="J389" s="44"/>
      <c r="K389" s="32"/>
      <c r="L389" s="44"/>
      <c r="M389" s="32"/>
      <c r="N389" s="44"/>
      <c r="O389" s="32"/>
      <c r="P389" s="32"/>
      <c r="Q389" s="44"/>
      <c r="S389" s="44"/>
      <c r="U389" s="44"/>
      <c r="V389" s="47"/>
      <c r="W389" s="44"/>
      <c r="Y389" s="44"/>
      <c r="AA389" s="32"/>
    </row>
    <row r="390">
      <c r="A390" s="45"/>
      <c r="B390" s="44"/>
      <c r="D390" s="44"/>
      <c r="F390" s="44"/>
      <c r="H390" s="44"/>
      <c r="J390" s="44"/>
      <c r="K390" s="32"/>
      <c r="L390" s="44"/>
      <c r="M390" s="32"/>
      <c r="N390" s="44"/>
      <c r="O390" s="32"/>
      <c r="P390" s="32"/>
      <c r="Q390" s="44"/>
      <c r="S390" s="44"/>
      <c r="U390" s="44"/>
      <c r="V390" s="47"/>
      <c r="W390" s="44"/>
      <c r="Y390" s="44"/>
      <c r="AA390" s="32"/>
    </row>
    <row r="391">
      <c r="A391" s="45"/>
      <c r="B391" s="44"/>
      <c r="D391" s="44"/>
      <c r="F391" s="44"/>
      <c r="H391" s="44"/>
      <c r="J391" s="44"/>
      <c r="K391" s="32"/>
      <c r="L391" s="44"/>
      <c r="M391" s="32"/>
      <c r="N391" s="44"/>
      <c r="O391" s="32"/>
      <c r="P391" s="32"/>
      <c r="Q391" s="44"/>
      <c r="S391" s="44"/>
      <c r="U391" s="44"/>
      <c r="V391" s="47"/>
      <c r="W391" s="44"/>
      <c r="Y391" s="44"/>
      <c r="AA391" s="32"/>
    </row>
    <row r="392">
      <c r="A392" s="45"/>
      <c r="B392" s="44"/>
      <c r="D392" s="44"/>
      <c r="F392" s="44"/>
      <c r="H392" s="44"/>
      <c r="J392" s="44"/>
      <c r="K392" s="32"/>
      <c r="L392" s="44"/>
      <c r="M392" s="32"/>
      <c r="N392" s="44"/>
      <c r="O392" s="32"/>
      <c r="P392" s="32"/>
      <c r="Q392" s="44"/>
      <c r="S392" s="44"/>
      <c r="U392" s="44"/>
      <c r="V392" s="47"/>
      <c r="W392" s="44"/>
      <c r="Y392" s="44"/>
      <c r="AA392" s="32"/>
    </row>
    <row r="393">
      <c r="A393" s="45"/>
      <c r="B393" s="44"/>
      <c r="D393" s="44"/>
      <c r="F393" s="44"/>
      <c r="H393" s="44"/>
      <c r="J393" s="44"/>
      <c r="K393" s="32"/>
      <c r="L393" s="44"/>
      <c r="M393" s="32"/>
      <c r="N393" s="44"/>
      <c r="O393" s="32"/>
      <c r="P393" s="32"/>
      <c r="Q393" s="44"/>
      <c r="S393" s="44"/>
      <c r="U393" s="44"/>
      <c r="V393" s="47"/>
      <c r="W393" s="44"/>
      <c r="Y393" s="44"/>
      <c r="AA393" s="32"/>
    </row>
    <row r="394">
      <c r="A394" s="45"/>
      <c r="B394" s="44"/>
      <c r="D394" s="44"/>
      <c r="F394" s="44"/>
      <c r="H394" s="44"/>
      <c r="J394" s="44"/>
      <c r="K394" s="32"/>
      <c r="L394" s="44"/>
      <c r="M394" s="32"/>
      <c r="N394" s="44"/>
      <c r="O394" s="32"/>
      <c r="P394" s="32"/>
      <c r="Q394" s="44"/>
      <c r="S394" s="44"/>
      <c r="U394" s="44"/>
      <c r="V394" s="47"/>
      <c r="W394" s="44"/>
      <c r="Y394" s="44"/>
      <c r="AA394" s="32"/>
    </row>
    <row r="395">
      <c r="A395" s="45"/>
      <c r="B395" s="44"/>
      <c r="D395" s="44"/>
      <c r="F395" s="44"/>
      <c r="H395" s="44"/>
      <c r="J395" s="44"/>
      <c r="K395" s="32"/>
      <c r="L395" s="44"/>
      <c r="M395" s="32"/>
      <c r="N395" s="44"/>
      <c r="O395" s="32"/>
      <c r="P395" s="32"/>
      <c r="Q395" s="44"/>
      <c r="S395" s="44"/>
      <c r="U395" s="44"/>
      <c r="V395" s="47"/>
      <c r="W395" s="44"/>
      <c r="Y395" s="44"/>
      <c r="AA395" s="32"/>
    </row>
    <row r="396">
      <c r="A396" s="45"/>
      <c r="B396" s="44"/>
      <c r="D396" s="44"/>
      <c r="F396" s="44"/>
      <c r="H396" s="44"/>
      <c r="J396" s="44"/>
      <c r="K396" s="32"/>
      <c r="L396" s="44"/>
      <c r="M396" s="32"/>
      <c r="N396" s="44"/>
      <c r="O396" s="32"/>
      <c r="P396" s="32"/>
      <c r="Q396" s="44"/>
      <c r="S396" s="44"/>
      <c r="U396" s="44"/>
      <c r="V396" s="47"/>
      <c r="W396" s="44"/>
      <c r="Y396" s="44"/>
      <c r="AA396" s="32"/>
    </row>
    <row r="397">
      <c r="A397" s="45"/>
      <c r="B397" s="44"/>
      <c r="D397" s="44"/>
      <c r="F397" s="44"/>
      <c r="H397" s="44"/>
      <c r="J397" s="44"/>
      <c r="K397" s="32"/>
      <c r="L397" s="44"/>
      <c r="M397" s="32"/>
      <c r="N397" s="44"/>
      <c r="O397" s="32"/>
      <c r="P397" s="32"/>
      <c r="Q397" s="44"/>
      <c r="S397" s="44"/>
      <c r="U397" s="44"/>
      <c r="V397" s="47"/>
      <c r="W397" s="44"/>
      <c r="Y397" s="44"/>
      <c r="AA397" s="32"/>
    </row>
    <row r="398">
      <c r="A398" s="45"/>
      <c r="B398" s="44"/>
      <c r="D398" s="44"/>
      <c r="F398" s="44"/>
      <c r="H398" s="44"/>
      <c r="J398" s="44"/>
      <c r="K398" s="32"/>
      <c r="L398" s="44"/>
      <c r="M398" s="32"/>
      <c r="N398" s="44"/>
      <c r="O398" s="32"/>
      <c r="P398" s="32"/>
      <c r="Q398" s="44"/>
      <c r="S398" s="44"/>
      <c r="U398" s="44"/>
      <c r="V398" s="47"/>
      <c r="W398" s="44"/>
      <c r="Y398" s="44"/>
      <c r="AA398" s="32"/>
    </row>
    <row r="399">
      <c r="A399" s="45"/>
      <c r="B399" s="44"/>
      <c r="D399" s="44"/>
      <c r="F399" s="44"/>
      <c r="H399" s="44"/>
      <c r="J399" s="44"/>
      <c r="K399" s="32"/>
      <c r="L399" s="44"/>
      <c r="M399" s="32"/>
      <c r="N399" s="44"/>
      <c r="O399" s="32"/>
      <c r="P399" s="32"/>
      <c r="Q399" s="44"/>
      <c r="S399" s="44"/>
      <c r="U399" s="44"/>
      <c r="V399" s="47"/>
      <c r="W399" s="44"/>
      <c r="Y399" s="44"/>
      <c r="AA399" s="32"/>
    </row>
    <row r="400">
      <c r="A400" s="45"/>
      <c r="B400" s="44"/>
      <c r="D400" s="44"/>
      <c r="F400" s="44"/>
      <c r="H400" s="44"/>
      <c r="J400" s="44"/>
      <c r="K400" s="32"/>
      <c r="L400" s="44"/>
      <c r="M400" s="32"/>
      <c r="N400" s="44"/>
      <c r="O400" s="32"/>
      <c r="P400" s="32"/>
      <c r="Q400" s="44"/>
      <c r="S400" s="44"/>
      <c r="U400" s="44"/>
      <c r="V400" s="47"/>
      <c r="W400" s="44"/>
      <c r="Y400" s="44"/>
      <c r="AA400" s="32"/>
    </row>
    <row r="401">
      <c r="A401" s="45"/>
      <c r="B401" s="44"/>
      <c r="D401" s="44"/>
      <c r="F401" s="44"/>
      <c r="H401" s="44"/>
      <c r="J401" s="44"/>
      <c r="K401" s="32"/>
      <c r="L401" s="44"/>
      <c r="M401" s="32"/>
      <c r="N401" s="44"/>
      <c r="O401" s="32"/>
      <c r="P401" s="32"/>
      <c r="Q401" s="44"/>
      <c r="S401" s="44"/>
      <c r="U401" s="44"/>
      <c r="V401" s="47"/>
      <c r="W401" s="44"/>
      <c r="Y401" s="44"/>
      <c r="AA401" s="32"/>
    </row>
    <row r="402">
      <c r="A402" s="45"/>
      <c r="B402" s="44"/>
      <c r="D402" s="44"/>
      <c r="F402" s="44"/>
      <c r="H402" s="44"/>
      <c r="J402" s="44"/>
      <c r="K402" s="32"/>
      <c r="L402" s="44"/>
      <c r="M402" s="32"/>
      <c r="N402" s="44"/>
      <c r="O402" s="32"/>
      <c r="P402" s="32"/>
      <c r="Q402" s="44"/>
      <c r="S402" s="44"/>
      <c r="U402" s="44"/>
      <c r="V402" s="47"/>
      <c r="W402" s="44"/>
      <c r="Y402" s="44"/>
      <c r="AA402" s="32"/>
    </row>
    <row r="403">
      <c r="A403" s="45"/>
      <c r="B403" s="44"/>
      <c r="D403" s="44"/>
      <c r="F403" s="44"/>
      <c r="H403" s="44"/>
      <c r="J403" s="44"/>
      <c r="K403" s="32"/>
      <c r="L403" s="44"/>
      <c r="M403" s="32"/>
      <c r="N403" s="44"/>
      <c r="O403" s="32"/>
      <c r="P403" s="32"/>
      <c r="Q403" s="44"/>
      <c r="S403" s="44"/>
      <c r="U403" s="44"/>
      <c r="V403" s="47"/>
      <c r="W403" s="44"/>
      <c r="Y403" s="44"/>
      <c r="AA403" s="32"/>
    </row>
    <row r="404">
      <c r="A404" s="45"/>
      <c r="B404" s="44"/>
      <c r="D404" s="44"/>
      <c r="F404" s="44"/>
      <c r="H404" s="44"/>
      <c r="J404" s="44"/>
      <c r="K404" s="32"/>
      <c r="L404" s="44"/>
      <c r="M404" s="32"/>
      <c r="N404" s="44"/>
      <c r="O404" s="32"/>
      <c r="P404" s="32"/>
      <c r="Q404" s="44"/>
      <c r="S404" s="44"/>
      <c r="U404" s="44"/>
      <c r="V404" s="47"/>
      <c r="W404" s="44"/>
      <c r="Y404" s="44"/>
      <c r="AA404" s="32"/>
    </row>
    <row r="405">
      <c r="A405" s="45"/>
      <c r="B405" s="44"/>
      <c r="D405" s="44"/>
      <c r="F405" s="44"/>
      <c r="H405" s="44"/>
      <c r="J405" s="44"/>
      <c r="K405" s="32"/>
      <c r="L405" s="44"/>
      <c r="M405" s="32"/>
      <c r="N405" s="44"/>
      <c r="O405" s="32"/>
      <c r="P405" s="32"/>
      <c r="Q405" s="44"/>
      <c r="S405" s="44"/>
      <c r="U405" s="44"/>
      <c r="V405" s="47"/>
      <c r="W405" s="44"/>
      <c r="Y405" s="44"/>
      <c r="AA405" s="32"/>
    </row>
    <row r="406">
      <c r="A406" s="45"/>
      <c r="B406" s="44"/>
      <c r="D406" s="44"/>
      <c r="F406" s="44"/>
      <c r="H406" s="44"/>
      <c r="J406" s="44"/>
      <c r="K406" s="32"/>
      <c r="L406" s="44"/>
      <c r="M406" s="32"/>
      <c r="N406" s="44"/>
      <c r="O406" s="32"/>
      <c r="P406" s="32"/>
      <c r="Q406" s="44"/>
      <c r="S406" s="44"/>
      <c r="U406" s="44"/>
      <c r="V406" s="47"/>
      <c r="W406" s="44"/>
      <c r="Y406" s="44"/>
      <c r="AA406" s="32"/>
    </row>
    <row r="407">
      <c r="A407" s="45"/>
      <c r="B407" s="44"/>
      <c r="D407" s="44"/>
      <c r="F407" s="44"/>
      <c r="H407" s="44"/>
      <c r="J407" s="44"/>
      <c r="K407" s="32"/>
      <c r="L407" s="44"/>
      <c r="M407" s="32"/>
      <c r="N407" s="44"/>
      <c r="O407" s="32"/>
      <c r="P407" s="32"/>
      <c r="Q407" s="44"/>
      <c r="S407" s="44"/>
      <c r="U407" s="44"/>
      <c r="V407" s="47"/>
      <c r="W407" s="44"/>
      <c r="Y407" s="44"/>
      <c r="AA407" s="32"/>
    </row>
    <row r="408">
      <c r="A408" s="45"/>
      <c r="B408" s="44"/>
      <c r="D408" s="44"/>
      <c r="F408" s="44"/>
      <c r="H408" s="44"/>
      <c r="J408" s="44"/>
      <c r="K408" s="32"/>
      <c r="L408" s="44"/>
      <c r="M408" s="32"/>
      <c r="N408" s="44"/>
      <c r="O408" s="32"/>
      <c r="P408" s="32"/>
      <c r="Q408" s="44"/>
      <c r="S408" s="44"/>
      <c r="U408" s="44"/>
      <c r="V408" s="47"/>
      <c r="W408" s="44"/>
      <c r="Y408" s="44"/>
      <c r="AA408" s="32"/>
    </row>
    <row r="409">
      <c r="A409" s="45"/>
      <c r="B409" s="44"/>
      <c r="D409" s="44"/>
      <c r="F409" s="44"/>
      <c r="H409" s="44"/>
      <c r="J409" s="44"/>
      <c r="K409" s="32"/>
      <c r="L409" s="44"/>
      <c r="M409" s="32"/>
      <c r="N409" s="44"/>
      <c r="O409" s="32"/>
      <c r="P409" s="32"/>
      <c r="Q409" s="44"/>
      <c r="S409" s="44"/>
      <c r="U409" s="44"/>
      <c r="V409" s="47"/>
      <c r="W409" s="44"/>
      <c r="Y409" s="44"/>
      <c r="AA409" s="32"/>
    </row>
    <row r="410">
      <c r="A410" s="45"/>
      <c r="B410" s="44"/>
      <c r="D410" s="44"/>
      <c r="F410" s="44"/>
      <c r="H410" s="44"/>
      <c r="J410" s="44"/>
      <c r="K410" s="32"/>
      <c r="L410" s="44"/>
      <c r="M410" s="32"/>
      <c r="N410" s="44"/>
      <c r="O410" s="32"/>
      <c r="P410" s="32"/>
      <c r="Q410" s="44"/>
      <c r="S410" s="44"/>
      <c r="U410" s="44"/>
      <c r="V410" s="47"/>
      <c r="W410" s="44"/>
      <c r="Y410" s="44"/>
      <c r="AA410" s="32"/>
    </row>
    <row r="411">
      <c r="A411" s="45"/>
      <c r="B411" s="44"/>
      <c r="D411" s="44"/>
      <c r="F411" s="44"/>
      <c r="H411" s="44"/>
      <c r="J411" s="44"/>
      <c r="K411" s="32"/>
      <c r="L411" s="44"/>
      <c r="M411" s="32"/>
      <c r="N411" s="44"/>
      <c r="O411" s="32"/>
      <c r="P411" s="32"/>
      <c r="Q411" s="44"/>
      <c r="S411" s="44"/>
      <c r="U411" s="44"/>
      <c r="V411" s="47"/>
      <c r="W411" s="44"/>
      <c r="Y411" s="44"/>
      <c r="AA411" s="32"/>
    </row>
    <row r="412">
      <c r="A412" s="45"/>
      <c r="B412" s="44"/>
      <c r="D412" s="44"/>
      <c r="F412" s="44"/>
      <c r="H412" s="44"/>
      <c r="J412" s="44"/>
      <c r="K412" s="32"/>
      <c r="L412" s="44"/>
      <c r="M412" s="32"/>
      <c r="N412" s="44"/>
      <c r="O412" s="32"/>
      <c r="P412" s="32"/>
      <c r="Q412" s="44"/>
      <c r="S412" s="44"/>
      <c r="U412" s="44"/>
      <c r="V412" s="47"/>
      <c r="W412" s="44"/>
      <c r="Y412" s="44"/>
      <c r="AA412" s="32"/>
    </row>
    <row r="413">
      <c r="A413" s="45"/>
      <c r="B413" s="44"/>
      <c r="D413" s="44"/>
      <c r="F413" s="44"/>
      <c r="H413" s="44"/>
      <c r="J413" s="44"/>
      <c r="K413" s="32"/>
      <c r="L413" s="44"/>
      <c r="M413" s="32"/>
      <c r="N413" s="44"/>
      <c r="O413" s="32"/>
      <c r="P413" s="32"/>
      <c r="Q413" s="44"/>
      <c r="S413" s="44"/>
      <c r="U413" s="44"/>
      <c r="V413" s="47"/>
      <c r="W413" s="44"/>
      <c r="Y413" s="44"/>
      <c r="AA413" s="32"/>
    </row>
    <row r="414">
      <c r="A414" s="45"/>
      <c r="B414" s="44"/>
      <c r="D414" s="44"/>
      <c r="F414" s="44"/>
      <c r="H414" s="44"/>
      <c r="J414" s="44"/>
      <c r="K414" s="32"/>
      <c r="L414" s="44"/>
      <c r="M414" s="32"/>
      <c r="N414" s="44"/>
      <c r="O414" s="32"/>
      <c r="P414" s="32"/>
      <c r="Q414" s="44"/>
      <c r="S414" s="44"/>
      <c r="U414" s="44"/>
      <c r="V414" s="47"/>
      <c r="W414" s="44"/>
      <c r="Y414" s="44"/>
      <c r="AA414" s="32"/>
    </row>
    <row r="415">
      <c r="A415" s="45"/>
      <c r="B415" s="44"/>
      <c r="D415" s="44"/>
      <c r="F415" s="44"/>
      <c r="H415" s="44"/>
      <c r="J415" s="44"/>
      <c r="K415" s="32"/>
      <c r="L415" s="44"/>
      <c r="M415" s="32"/>
      <c r="N415" s="44"/>
      <c r="O415" s="32"/>
      <c r="P415" s="32"/>
      <c r="Q415" s="44"/>
      <c r="S415" s="44"/>
      <c r="U415" s="44"/>
      <c r="V415" s="47"/>
      <c r="W415" s="44"/>
      <c r="Y415" s="44"/>
      <c r="AA415" s="32"/>
    </row>
    <row r="416">
      <c r="A416" s="45"/>
      <c r="B416" s="44"/>
      <c r="D416" s="44"/>
      <c r="F416" s="44"/>
      <c r="H416" s="44"/>
      <c r="J416" s="44"/>
      <c r="K416" s="32"/>
      <c r="L416" s="44"/>
      <c r="M416" s="32"/>
      <c r="N416" s="44"/>
      <c r="O416" s="32"/>
      <c r="P416" s="32"/>
      <c r="Q416" s="44"/>
      <c r="S416" s="44"/>
      <c r="U416" s="44"/>
      <c r="V416" s="47"/>
      <c r="W416" s="44"/>
      <c r="Y416" s="44"/>
      <c r="AA416" s="32"/>
    </row>
    <row r="417">
      <c r="A417" s="45"/>
      <c r="B417" s="44"/>
      <c r="D417" s="44"/>
      <c r="F417" s="44"/>
      <c r="H417" s="44"/>
      <c r="J417" s="44"/>
      <c r="K417" s="32"/>
      <c r="L417" s="44"/>
      <c r="M417" s="32"/>
      <c r="N417" s="44"/>
      <c r="O417" s="32"/>
      <c r="P417" s="32"/>
      <c r="Q417" s="44"/>
      <c r="S417" s="44"/>
      <c r="U417" s="44"/>
      <c r="V417" s="47"/>
      <c r="W417" s="44"/>
      <c r="Y417" s="44"/>
      <c r="AA417" s="32"/>
    </row>
    <row r="418">
      <c r="A418" s="45"/>
      <c r="B418" s="44"/>
      <c r="D418" s="44"/>
      <c r="F418" s="44"/>
      <c r="H418" s="44"/>
      <c r="J418" s="44"/>
      <c r="K418" s="32"/>
      <c r="L418" s="44"/>
      <c r="M418" s="32"/>
      <c r="N418" s="44"/>
      <c r="O418" s="32"/>
      <c r="P418" s="32"/>
      <c r="Q418" s="44"/>
      <c r="S418" s="44"/>
      <c r="U418" s="44"/>
      <c r="V418" s="47"/>
      <c r="W418" s="44"/>
      <c r="Y418" s="44"/>
      <c r="AA418" s="32"/>
    </row>
    <row r="419">
      <c r="A419" s="45"/>
      <c r="B419" s="44"/>
      <c r="D419" s="44"/>
      <c r="F419" s="44"/>
      <c r="H419" s="44"/>
      <c r="J419" s="44"/>
      <c r="K419" s="32"/>
      <c r="L419" s="44"/>
      <c r="M419" s="32"/>
      <c r="N419" s="44"/>
      <c r="O419" s="32"/>
      <c r="P419" s="32"/>
      <c r="Q419" s="44"/>
      <c r="S419" s="44"/>
      <c r="U419" s="44"/>
      <c r="V419" s="47"/>
      <c r="W419" s="44"/>
      <c r="Y419" s="44"/>
      <c r="AA419" s="32"/>
    </row>
    <row r="420">
      <c r="A420" s="45"/>
      <c r="B420" s="44"/>
      <c r="D420" s="44"/>
      <c r="F420" s="44"/>
      <c r="H420" s="44"/>
      <c r="J420" s="44"/>
      <c r="K420" s="32"/>
      <c r="L420" s="44"/>
      <c r="M420" s="32"/>
      <c r="N420" s="44"/>
      <c r="O420" s="32"/>
      <c r="P420" s="32"/>
      <c r="Q420" s="44"/>
      <c r="S420" s="44"/>
      <c r="U420" s="44"/>
      <c r="V420" s="47"/>
      <c r="W420" s="44"/>
      <c r="Y420" s="44"/>
      <c r="AA420" s="32"/>
    </row>
    <row r="421">
      <c r="A421" s="45"/>
      <c r="B421" s="44"/>
      <c r="D421" s="44"/>
      <c r="F421" s="44"/>
      <c r="H421" s="44"/>
      <c r="J421" s="44"/>
      <c r="K421" s="32"/>
      <c r="L421" s="44"/>
      <c r="M421" s="32"/>
      <c r="N421" s="44"/>
      <c r="O421" s="32"/>
      <c r="P421" s="32"/>
      <c r="Q421" s="44"/>
      <c r="S421" s="44"/>
      <c r="U421" s="44"/>
      <c r="V421" s="47"/>
      <c r="W421" s="44"/>
      <c r="Y421" s="44"/>
      <c r="AA421" s="32"/>
    </row>
    <row r="422">
      <c r="A422" s="45"/>
      <c r="B422" s="44"/>
      <c r="D422" s="44"/>
      <c r="F422" s="44"/>
      <c r="H422" s="44"/>
      <c r="J422" s="44"/>
      <c r="K422" s="32"/>
      <c r="L422" s="44"/>
      <c r="M422" s="32"/>
      <c r="N422" s="44"/>
      <c r="O422" s="32"/>
      <c r="P422" s="32"/>
      <c r="Q422" s="44"/>
      <c r="S422" s="44"/>
      <c r="U422" s="44"/>
      <c r="V422" s="47"/>
      <c r="W422" s="44"/>
      <c r="Y422" s="44"/>
      <c r="AA422" s="32"/>
    </row>
    <row r="423">
      <c r="A423" s="45"/>
      <c r="B423" s="44"/>
      <c r="D423" s="44"/>
      <c r="F423" s="44"/>
      <c r="H423" s="44"/>
      <c r="J423" s="44"/>
      <c r="K423" s="32"/>
      <c r="L423" s="44"/>
      <c r="M423" s="32"/>
      <c r="N423" s="44"/>
      <c r="O423" s="32"/>
      <c r="P423" s="32"/>
      <c r="Q423" s="44"/>
      <c r="S423" s="44"/>
      <c r="U423" s="44"/>
      <c r="V423" s="47"/>
      <c r="W423" s="44"/>
      <c r="Y423" s="44"/>
      <c r="AA423" s="32"/>
    </row>
    <row r="424">
      <c r="A424" s="45"/>
      <c r="B424" s="44"/>
      <c r="D424" s="44"/>
      <c r="F424" s="44"/>
      <c r="H424" s="44"/>
      <c r="J424" s="44"/>
      <c r="K424" s="32"/>
      <c r="L424" s="44"/>
      <c r="M424" s="32"/>
      <c r="N424" s="44"/>
      <c r="O424" s="32"/>
      <c r="P424" s="32"/>
      <c r="Q424" s="44"/>
      <c r="S424" s="44"/>
      <c r="U424" s="44"/>
      <c r="V424" s="47"/>
      <c r="W424" s="44"/>
      <c r="Y424" s="44"/>
      <c r="AA424" s="32"/>
    </row>
    <row r="425">
      <c r="A425" s="45"/>
      <c r="B425" s="44"/>
      <c r="D425" s="44"/>
      <c r="F425" s="44"/>
      <c r="H425" s="44"/>
      <c r="J425" s="44"/>
      <c r="K425" s="32"/>
      <c r="L425" s="44"/>
      <c r="M425" s="32"/>
      <c r="N425" s="44"/>
      <c r="O425" s="32"/>
      <c r="P425" s="32"/>
      <c r="Q425" s="44"/>
      <c r="S425" s="44"/>
      <c r="U425" s="44"/>
      <c r="V425" s="47"/>
      <c r="W425" s="44"/>
      <c r="Y425" s="44"/>
      <c r="AA425" s="32"/>
    </row>
    <row r="426">
      <c r="A426" s="45"/>
      <c r="B426" s="44"/>
      <c r="D426" s="44"/>
      <c r="F426" s="44"/>
      <c r="H426" s="44"/>
      <c r="J426" s="44"/>
      <c r="K426" s="32"/>
      <c r="L426" s="44"/>
      <c r="M426" s="32"/>
      <c r="N426" s="44"/>
      <c r="O426" s="32"/>
      <c r="P426" s="32"/>
      <c r="Q426" s="44"/>
      <c r="S426" s="44"/>
      <c r="U426" s="44"/>
      <c r="V426" s="47"/>
      <c r="W426" s="44"/>
      <c r="Y426" s="44"/>
      <c r="AA426" s="32"/>
    </row>
    <row r="427">
      <c r="A427" s="45"/>
      <c r="B427" s="44"/>
      <c r="D427" s="44"/>
      <c r="F427" s="44"/>
      <c r="H427" s="44"/>
      <c r="J427" s="44"/>
      <c r="K427" s="32"/>
      <c r="L427" s="44"/>
      <c r="M427" s="32"/>
      <c r="N427" s="44"/>
      <c r="O427" s="32"/>
      <c r="P427" s="32"/>
      <c r="Q427" s="44"/>
      <c r="S427" s="44"/>
      <c r="U427" s="44"/>
      <c r="V427" s="47"/>
      <c r="W427" s="44"/>
      <c r="Y427" s="44"/>
      <c r="AA427" s="32"/>
    </row>
    <row r="428">
      <c r="A428" s="45"/>
      <c r="B428" s="44"/>
      <c r="D428" s="44"/>
      <c r="F428" s="44"/>
      <c r="H428" s="44"/>
      <c r="J428" s="44"/>
      <c r="K428" s="32"/>
      <c r="L428" s="44"/>
      <c r="M428" s="32"/>
      <c r="N428" s="44"/>
      <c r="O428" s="32"/>
      <c r="P428" s="32"/>
      <c r="Q428" s="44"/>
      <c r="S428" s="44"/>
      <c r="U428" s="44"/>
      <c r="V428" s="47"/>
      <c r="W428" s="44"/>
      <c r="Y428" s="44"/>
      <c r="AA428" s="32"/>
    </row>
    <row r="429">
      <c r="A429" s="45"/>
      <c r="B429" s="44"/>
      <c r="D429" s="44"/>
      <c r="F429" s="44"/>
      <c r="H429" s="44"/>
      <c r="J429" s="44"/>
      <c r="K429" s="32"/>
      <c r="L429" s="44"/>
      <c r="M429" s="32"/>
      <c r="N429" s="44"/>
      <c r="O429" s="32"/>
      <c r="P429" s="32"/>
      <c r="Q429" s="44"/>
      <c r="S429" s="44"/>
      <c r="U429" s="44"/>
      <c r="V429" s="47"/>
      <c r="W429" s="44"/>
      <c r="Y429" s="44"/>
      <c r="AA429" s="32"/>
    </row>
    <row r="430">
      <c r="A430" s="45"/>
      <c r="B430" s="44"/>
      <c r="D430" s="44"/>
      <c r="F430" s="44"/>
      <c r="H430" s="44"/>
      <c r="J430" s="44"/>
      <c r="K430" s="32"/>
      <c r="L430" s="44"/>
      <c r="M430" s="32"/>
      <c r="N430" s="44"/>
      <c r="O430" s="32"/>
      <c r="P430" s="32"/>
      <c r="Q430" s="44"/>
      <c r="S430" s="44"/>
      <c r="U430" s="44"/>
      <c r="V430" s="47"/>
      <c r="W430" s="44"/>
      <c r="Y430" s="44"/>
      <c r="AA430" s="32"/>
    </row>
    <row r="431">
      <c r="A431" s="45"/>
      <c r="B431" s="44"/>
      <c r="D431" s="44"/>
      <c r="F431" s="44"/>
      <c r="H431" s="44"/>
      <c r="J431" s="44"/>
      <c r="K431" s="32"/>
      <c r="L431" s="44"/>
      <c r="M431" s="32"/>
      <c r="N431" s="44"/>
      <c r="O431" s="32"/>
      <c r="P431" s="32"/>
      <c r="Q431" s="44"/>
      <c r="S431" s="44"/>
      <c r="U431" s="44"/>
      <c r="V431" s="47"/>
      <c r="W431" s="44"/>
      <c r="Y431" s="44"/>
      <c r="AA431" s="32"/>
    </row>
    <row r="432">
      <c r="A432" s="45"/>
      <c r="B432" s="44"/>
      <c r="D432" s="44"/>
      <c r="F432" s="44"/>
      <c r="H432" s="44"/>
      <c r="J432" s="44"/>
      <c r="K432" s="32"/>
      <c r="L432" s="44"/>
      <c r="M432" s="32"/>
      <c r="N432" s="44"/>
      <c r="O432" s="32"/>
      <c r="P432" s="32"/>
      <c r="Q432" s="44"/>
      <c r="S432" s="44"/>
      <c r="U432" s="44"/>
      <c r="V432" s="47"/>
      <c r="W432" s="44"/>
      <c r="Y432" s="44"/>
      <c r="AA432" s="32"/>
    </row>
    <row r="433">
      <c r="A433" s="45"/>
      <c r="B433" s="44"/>
      <c r="D433" s="44"/>
      <c r="F433" s="44"/>
      <c r="H433" s="44"/>
      <c r="J433" s="44"/>
      <c r="K433" s="32"/>
      <c r="L433" s="44"/>
      <c r="M433" s="32"/>
      <c r="N433" s="44"/>
      <c r="O433" s="32"/>
      <c r="P433" s="32"/>
      <c r="Q433" s="44"/>
      <c r="S433" s="44"/>
      <c r="U433" s="44"/>
      <c r="V433" s="47"/>
      <c r="W433" s="44"/>
      <c r="Y433" s="44"/>
      <c r="AA433" s="32"/>
    </row>
    <row r="434">
      <c r="A434" s="45"/>
      <c r="B434" s="44"/>
      <c r="D434" s="44"/>
      <c r="F434" s="44"/>
      <c r="H434" s="44"/>
      <c r="J434" s="44"/>
      <c r="K434" s="32"/>
      <c r="L434" s="44"/>
      <c r="M434" s="32"/>
      <c r="N434" s="44"/>
      <c r="O434" s="32"/>
      <c r="P434" s="32"/>
      <c r="Q434" s="44"/>
      <c r="S434" s="44"/>
      <c r="U434" s="44"/>
      <c r="V434" s="47"/>
      <c r="W434" s="44"/>
      <c r="Y434" s="44"/>
      <c r="AA434" s="32"/>
    </row>
    <row r="435">
      <c r="A435" s="45"/>
      <c r="B435" s="44"/>
      <c r="D435" s="44"/>
      <c r="F435" s="44"/>
      <c r="H435" s="44"/>
      <c r="J435" s="44"/>
      <c r="K435" s="32"/>
      <c r="L435" s="44"/>
      <c r="M435" s="32"/>
      <c r="N435" s="44"/>
      <c r="O435" s="32"/>
      <c r="P435" s="32"/>
      <c r="Q435" s="44"/>
      <c r="S435" s="44"/>
      <c r="U435" s="44"/>
      <c r="V435" s="47"/>
      <c r="W435" s="44"/>
      <c r="Y435" s="44"/>
      <c r="AA435" s="32"/>
    </row>
    <row r="436">
      <c r="A436" s="45"/>
      <c r="B436" s="44"/>
      <c r="D436" s="44"/>
      <c r="F436" s="44"/>
      <c r="H436" s="44"/>
      <c r="J436" s="44"/>
      <c r="K436" s="32"/>
      <c r="L436" s="44"/>
      <c r="M436" s="32"/>
      <c r="N436" s="44"/>
      <c r="O436" s="32"/>
      <c r="P436" s="32"/>
      <c r="Q436" s="44"/>
      <c r="S436" s="44"/>
      <c r="U436" s="44"/>
      <c r="V436" s="47"/>
      <c r="W436" s="44"/>
      <c r="Y436" s="44"/>
      <c r="AA436" s="32"/>
    </row>
    <row r="437">
      <c r="A437" s="45"/>
      <c r="B437" s="44"/>
      <c r="D437" s="44"/>
      <c r="F437" s="44"/>
      <c r="H437" s="44"/>
      <c r="J437" s="44"/>
      <c r="K437" s="32"/>
      <c r="L437" s="44"/>
      <c r="M437" s="32"/>
      <c r="N437" s="44"/>
      <c r="O437" s="32"/>
      <c r="P437" s="32"/>
      <c r="Q437" s="44"/>
      <c r="S437" s="44"/>
      <c r="U437" s="44"/>
      <c r="V437" s="47"/>
      <c r="W437" s="44"/>
      <c r="Y437" s="44"/>
      <c r="AA437" s="32"/>
    </row>
    <row r="438">
      <c r="A438" s="45"/>
      <c r="B438" s="44"/>
      <c r="D438" s="44"/>
      <c r="F438" s="44"/>
      <c r="H438" s="44"/>
      <c r="J438" s="44"/>
      <c r="K438" s="32"/>
      <c r="L438" s="44"/>
      <c r="M438" s="32"/>
      <c r="N438" s="44"/>
      <c r="O438" s="32"/>
      <c r="P438" s="32"/>
      <c r="Q438" s="44"/>
      <c r="S438" s="44"/>
      <c r="U438" s="44"/>
      <c r="V438" s="47"/>
      <c r="W438" s="44"/>
      <c r="Y438" s="44"/>
      <c r="AA438" s="32"/>
    </row>
    <row r="439">
      <c r="A439" s="45"/>
      <c r="B439" s="44"/>
      <c r="D439" s="44"/>
      <c r="F439" s="44"/>
      <c r="H439" s="44"/>
      <c r="J439" s="44"/>
      <c r="K439" s="32"/>
      <c r="L439" s="44"/>
      <c r="M439" s="32"/>
      <c r="N439" s="44"/>
      <c r="O439" s="32"/>
      <c r="P439" s="32"/>
      <c r="Q439" s="44"/>
      <c r="S439" s="44"/>
      <c r="U439" s="44"/>
      <c r="V439" s="47"/>
      <c r="W439" s="44"/>
      <c r="Y439" s="44"/>
      <c r="AA439" s="32"/>
    </row>
    <row r="440">
      <c r="A440" s="45"/>
      <c r="B440" s="44"/>
      <c r="D440" s="44"/>
      <c r="F440" s="44"/>
      <c r="H440" s="44"/>
      <c r="J440" s="44"/>
      <c r="K440" s="32"/>
      <c r="L440" s="44"/>
      <c r="M440" s="32"/>
      <c r="N440" s="44"/>
      <c r="O440" s="32"/>
      <c r="P440" s="32"/>
      <c r="Q440" s="44"/>
      <c r="S440" s="44"/>
      <c r="U440" s="44"/>
      <c r="V440" s="47"/>
      <c r="W440" s="44"/>
      <c r="Y440" s="44"/>
      <c r="AA440" s="32"/>
    </row>
    <row r="441">
      <c r="A441" s="45"/>
      <c r="B441" s="44"/>
      <c r="D441" s="44"/>
      <c r="F441" s="44"/>
      <c r="H441" s="44"/>
      <c r="J441" s="44"/>
      <c r="K441" s="32"/>
      <c r="L441" s="44"/>
      <c r="M441" s="32"/>
      <c r="N441" s="44"/>
      <c r="O441" s="32"/>
      <c r="P441" s="32"/>
      <c r="Q441" s="44"/>
      <c r="S441" s="44"/>
      <c r="U441" s="44"/>
      <c r="V441" s="47"/>
      <c r="W441" s="44"/>
      <c r="Y441" s="44"/>
      <c r="AA441" s="32"/>
    </row>
    <row r="442">
      <c r="A442" s="45"/>
      <c r="B442" s="44"/>
      <c r="D442" s="44"/>
      <c r="F442" s="44"/>
      <c r="H442" s="44"/>
      <c r="J442" s="44"/>
      <c r="K442" s="32"/>
      <c r="L442" s="44"/>
      <c r="M442" s="32"/>
      <c r="N442" s="44"/>
      <c r="O442" s="32"/>
      <c r="P442" s="32"/>
      <c r="Q442" s="44"/>
      <c r="S442" s="44"/>
      <c r="U442" s="44"/>
      <c r="V442" s="47"/>
      <c r="W442" s="44"/>
      <c r="Y442" s="44"/>
      <c r="AA442" s="32"/>
    </row>
    <row r="443">
      <c r="A443" s="45"/>
      <c r="B443" s="44"/>
      <c r="D443" s="44"/>
      <c r="F443" s="44"/>
      <c r="H443" s="44"/>
      <c r="J443" s="44"/>
      <c r="K443" s="32"/>
      <c r="L443" s="44"/>
      <c r="M443" s="32"/>
      <c r="N443" s="44"/>
      <c r="O443" s="32"/>
      <c r="P443" s="32"/>
      <c r="Q443" s="44"/>
      <c r="S443" s="44"/>
      <c r="U443" s="44"/>
      <c r="V443" s="47"/>
      <c r="W443" s="44"/>
      <c r="Y443" s="44"/>
      <c r="AA443" s="32"/>
    </row>
    <row r="444">
      <c r="A444" s="45"/>
      <c r="B444" s="44"/>
      <c r="D444" s="44"/>
      <c r="F444" s="44"/>
      <c r="H444" s="44"/>
      <c r="J444" s="44"/>
      <c r="K444" s="32"/>
      <c r="L444" s="44"/>
      <c r="M444" s="32"/>
      <c r="N444" s="44"/>
      <c r="O444" s="32"/>
      <c r="P444" s="32"/>
      <c r="Q444" s="44"/>
      <c r="S444" s="44"/>
      <c r="U444" s="44"/>
      <c r="V444" s="47"/>
      <c r="W444" s="44"/>
      <c r="Y444" s="44"/>
      <c r="AA444" s="32"/>
    </row>
    <row r="445">
      <c r="A445" s="45"/>
      <c r="B445" s="44"/>
      <c r="D445" s="44"/>
      <c r="F445" s="44"/>
      <c r="H445" s="44"/>
      <c r="J445" s="44"/>
      <c r="K445" s="32"/>
      <c r="L445" s="44"/>
      <c r="M445" s="32"/>
      <c r="N445" s="44"/>
      <c r="O445" s="32"/>
      <c r="P445" s="32"/>
      <c r="Q445" s="44"/>
      <c r="S445" s="44"/>
      <c r="U445" s="44"/>
      <c r="V445" s="47"/>
      <c r="W445" s="44"/>
      <c r="Y445" s="44"/>
      <c r="AA445" s="32"/>
    </row>
    <row r="446">
      <c r="A446" s="45"/>
      <c r="B446" s="44"/>
      <c r="D446" s="44"/>
      <c r="F446" s="44"/>
      <c r="H446" s="44"/>
      <c r="J446" s="44"/>
      <c r="K446" s="32"/>
      <c r="L446" s="44"/>
      <c r="M446" s="32"/>
      <c r="N446" s="44"/>
      <c r="O446" s="32"/>
      <c r="P446" s="32"/>
      <c r="Q446" s="44"/>
      <c r="S446" s="44"/>
      <c r="U446" s="44"/>
      <c r="V446" s="47"/>
      <c r="W446" s="44"/>
      <c r="Y446" s="44"/>
      <c r="AA446" s="32"/>
    </row>
    <row r="447">
      <c r="A447" s="45"/>
      <c r="B447" s="44"/>
      <c r="D447" s="44"/>
      <c r="F447" s="44"/>
      <c r="H447" s="44"/>
      <c r="J447" s="44"/>
      <c r="K447" s="32"/>
      <c r="L447" s="44"/>
      <c r="M447" s="32"/>
      <c r="N447" s="44"/>
      <c r="O447" s="32"/>
      <c r="P447" s="32"/>
      <c r="Q447" s="44"/>
      <c r="S447" s="44"/>
      <c r="U447" s="44"/>
      <c r="V447" s="47"/>
      <c r="W447" s="44"/>
      <c r="Y447" s="44"/>
      <c r="AA447" s="32"/>
    </row>
    <row r="448">
      <c r="A448" s="45"/>
      <c r="B448" s="44"/>
      <c r="D448" s="44"/>
      <c r="F448" s="44"/>
      <c r="H448" s="44"/>
      <c r="J448" s="44"/>
      <c r="K448" s="32"/>
      <c r="L448" s="44"/>
      <c r="M448" s="32"/>
      <c r="N448" s="44"/>
      <c r="O448" s="32"/>
      <c r="P448" s="32"/>
      <c r="Q448" s="44"/>
      <c r="S448" s="44"/>
      <c r="U448" s="44"/>
      <c r="V448" s="47"/>
      <c r="W448" s="44"/>
      <c r="Y448" s="44"/>
      <c r="AA448" s="32"/>
    </row>
    <row r="449">
      <c r="A449" s="45"/>
      <c r="B449" s="44"/>
      <c r="D449" s="44"/>
      <c r="F449" s="44"/>
      <c r="H449" s="44"/>
      <c r="J449" s="44"/>
      <c r="K449" s="32"/>
      <c r="L449" s="44"/>
      <c r="M449" s="32"/>
      <c r="N449" s="44"/>
      <c r="O449" s="32"/>
      <c r="P449" s="32"/>
      <c r="Q449" s="44"/>
      <c r="S449" s="44"/>
      <c r="U449" s="44"/>
      <c r="V449" s="47"/>
      <c r="W449" s="44"/>
      <c r="Y449" s="44"/>
      <c r="AA449" s="32"/>
    </row>
    <row r="450">
      <c r="A450" s="45"/>
      <c r="B450" s="44"/>
      <c r="D450" s="44"/>
      <c r="F450" s="44"/>
      <c r="H450" s="44"/>
      <c r="J450" s="44"/>
      <c r="K450" s="32"/>
      <c r="L450" s="44"/>
      <c r="M450" s="32"/>
      <c r="N450" s="44"/>
      <c r="O450" s="32"/>
      <c r="P450" s="32"/>
      <c r="Q450" s="44"/>
      <c r="S450" s="44"/>
      <c r="U450" s="44"/>
      <c r="V450" s="47"/>
      <c r="W450" s="44"/>
      <c r="Y450" s="44"/>
      <c r="AA450" s="32"/>
    </row>
    <row r="451">
      <c r="A451" s="45"/>
      <c r="B451" s="44"/>
      <c r="D451" s="44"/>
      <c r="F451" s="44"/>
      <c r="H451" s="44"/>
      <c r="J451" s="44"/>
      <c r="K451" s="32"/>
      <c r="L451" s="44"/>
      <c r="M451" s="32"/>
      <c r="N451" s="44"/>
      <c r="O451" s="32"/>
      <c r="P451" s="32"/>
      <c r="Q451" s="44"/>
      <c r="S451" s="44"/>
      <c r="U451" s="44"/>
      <c r="V451" s="47"/>
      <c r="W451" s="44"/>
      <c r="Y451" s="44"/>
      <c r="AA451" s="32"/>
    </row>
    <row r="452">
      <c r="A452" s="45"/>
      <c r="B452" s="44"/>
      <c r="D452" s="44"/>
      <c r="F452" s="44"/>
      <c r="H452" s="44"/>
      <c r="J452" s="44"/>
      <c r="K452" s="32"/>
      <c r="L452" s="44"/>
      <c r="M452" s="32"/>
      <c r="N452" s="44"/>
      <c r="O452" s="32"/>
      <c r="P452" s="32"/>
      <c r="Q452" s="44"/>
      <c r="S452" s="44"/>
      <c r="U452" s="44"/>
      <c r="V452" s="47"/>
      <c r="W452" s="44"/>
      <c r="Y452" s="44"/>
      <c r="AA452" s="32"/>
    </row>
    <row r="453">
      <c r="A453" s="45"/>
      <c r="B453" s="44"/>
      <c r="D453" s="44"/>
      <c r="F453" s="44"/>
      <c r="H453" s="44"/>
      <c r="J453" s="44"/>
      <c r="K453" s="32"/>
      <c r="L453" s="44"/>
      <c r="M453" s="32"/>
      <c r="N453" s="44"/>
      <c r="O453" s="32"/>
      <c r="P453" s="32"/>
      <c r="Q453" s="44"/>
      <c r="S453" s="44"/>
      <c r="U453" s="44"/>
      <c r="V453" s="47"/>
      <c r="W453" s="44"/>
      <c r="Y453" s="44"/>
      <c r="AA453" s="32"/>
    </row>
    <row r="454">
      <c r="A454" s="45"/>
      <c r="B454" s="44"/>
      <c r="D454" s="44"/>
      <c r="F454" s="44"/>
      <c r="H454" s="44"/>
      <c r="J454" s="44"/>
      <c r="K454" s="32"/>
      <c r="L454" s="44"/>
      <c r="M454" s="32"/>
      <c r="N454" s="44"/>
      <c r="O454" s="32"/>
      <c r="P454" s="32"/>
      <c r="Q454" s="44"/>
      <c r="S454" s="44"/>
      <c r="U454" s="44"/>
      <c r="V454" s="47"/>
      <c r="W454" s="44"/>
      <c r="Y454" s="44"/>
      <c r="AA454" s="32"/>
    </row>
    <row r="455">
      <c r="A455" s="45"/>
      <c r="B455" s="44"/>
      <c r="D455" s="44"/>
      <c r="F455" s="44"/>
      <c r="H455" s="44"/>
      <c r="J455" s="44"/>
      <c r="K455" s="32"/>
      <c r="L455" s="44"/>
      <c r="M455" s="32"/>
      <c r="N455" s="44"/>
      <c r="O455" s="32"/>
      <c r="P455" s="32"/>
      <c r="Q455" s="44"/>
      <c r="S455" s="44"/>
      <c r="U455" s="44"/>
      <c r="V455" s="47"/>
      <c r="W455" s="44"/>
      <c r="Y455" s="44"/>
      <c r="AA455" s="32"/>
    </row>
    <row r="456">
      <c r="A456" s="45"/>
      <c r="B456" s="44"/>
      <c r="D456" s="44"/>
      <c r="F456" s="44"/>
      <c r="H456" s="44"/>
      <c r="J456" s="44"/>
      <c r="K456" s="32"/>
      <c r="L456" s="44"/>
      <c r="M456" s="32"/>
      <c r="N456" s="44"/>
      <c r="O456" s="32"/>
      <c r="P456" s="32"/>
      <c r="Q456" s="44"/>
      <c r="S456" s="44"/>
      <c r="U456" s="44"/>
      <c r="V456" s="47"/>
      <c r="W456" s="44"/>
      <c r="Y456" s="44"/>
      <c r="AA456" s="32"/>
    </row>
    <row r="457">
      <c r="A457" s="45"/>
      <c r="B457" s="44"/>
      <c r="D457" s="44"/>
      <c r="F457" s="44"/>
      <c r="H457" s="44"/>
      <c r="J457" s="44"/>
      <c r="K457" s="32"/>
      <c r="L457" s="44"/>
      <c r="M457" s="32"/>
      <c r="N457" s="44"/>
      <c r="O457" s="32"/>
      <c r="P457" s="32"/>
      <c r="Q457" s="44"/>
      <c r="S457" s="44"/>
      <c r="U457" s="44"/>
      <c r="V457" s="47"/>
      <c r="W457" s="44"/>
      <c r="Y457" s="44"/>
      <c r="AA457" s="32"/>
    </row>
    <row r="458">
      <c r="A458" s="45"/>
      <c r="B458" s="44"/>
      <c r="D458" s="44"/>
      <c r="F458" s="44"/>
      <c r="H458" s="44"/>
      <c r="J458" s="44"/>
      <c r="K458" s="32"/>
      <c r="L458" s="44"/>
      <c r="M458" s="32"/>
      <c r="N458" s="44"/>
      <c r="O458" s="32"/>
      <c r="P458" s="32"/>
      <c r="Q458" s="44"/>
      <c r="S458" s="44"/>
      <c r="U458" s="44"/>
      <c r="V458" s="47"/>
      <c r="W458" s="44"/>
      <c r="Y458" s="44"/>
      <c r="AA458" s="32"/>
    </row>
    <row r="459">
      <c r="A459" s="45"/>
      <c r="B459" s="44"/>
      <c r="D459" s="44"/>
      <c r="F459" s="44"/>
      <c r="H459" s="44"/>
      <c r="J459" s="44"/>
      <c r="K459" s="32"/>
      <c r="L459" s="44"/>
      <c r="M459" s="32"/>
      <c r="N459" s="44"/>
      <c r="O459" s="32"/>
      <c r="P459" s="32"/>
      <c r="Q459" s="44"/>
      <c r="S459" s="44"/>
      <c r="U459" s="44"/>
      <c r="V459" s="47"/>
      <c r="W459" s="44"/>
      <c r="Y459" s="44"/>
      <c r="AA459" s="32"/>
    </row>
    <row r="460">
      <c r="A460" s="45"/>
      <c r="B460" s="44"/>
      <c r="D460" s="44"/>
      <c r="F460" s="44"/>
      <c r="H460" s="44"/>
      <c r="J460" s="44"/>
      <c r="K460" s="32"/>
      <c r="L460" s="44"/>
      <c r="M460" s="32"/>
      <c r="N460" s="44"/>
      <c r="O460" s="32"/>
      <c r="P460" s="32"/>
      <c r="Q460" s="44"/>
      <c r="S460" s="44"/>
      <c r="U460" s="44"/>
      <c r="V460" s="47"/>
      <c r="W460" s="44"/>
      <c r="Y460" s="44"/>
      <c r="AA460" s="32"/>
    </row>
    <row r="461">
      <c r="A461" s="45"/>
      <c r="B461" s="44"/>
      <c r="D461" s="44"/>
      <c r="F461" s="44"/>
      <c r="H461" s="44"/>
      <c r="J461" s="44"/>
      <c r="K461" s="32"/>
      <c r="L461" s="44"/>
      <c r="M461" s="32"/>
      <c r="N461" s="44"/>
      <c r="O461" s="32"/>
      <c r="P461" s="32"/>
      <c r="Q461" s="44"/>
      <c r="S461" s="44"/>
      <c r="U461" s="44"/>
      <c r="V461" s="47"/>
      <c r="W461" s="44"/>
      <c r="Y461" s="44"/>
      <c r="AA461" s="32"/>
    </row>
    <row r="462">
      <c r="A462" s="45"/>
      <c r="B462" s="44"/>
      <c r="D462" s="44"/>
      <c r="F462" s="44"/>
      <c r="H462" s="44"/>
      <c r="J462" s="44"/>
      <c r="K462" s="32"/>
      <c r="L462" s="44"/>
      <c r="M462" s="32"/>
      <c r="N462" s="44"/>
      <c r="O462" s="32"/>
      <c r="P462" s="32"/>
      <c r="Q462" s="44"/>
      <c r="S462" s="44"/>
      <c r="U462" s="44"/>
      <c r="V462" s="47"/>
      <c r="W462" s="44"/>
      <c r="Y462" s="44"/>
      <c r="AA462" s="32"/>
    </row>
    <row r="463">
      <c r="A463" s="45"/>
      <c r="B463" s="44"/>
      <c r="D463" s="44"/>
      <c r="F463" s="44"/>
      <c r="H463" s="44"/>
      <c r="J463" s="44"/>
      <c r="K463" s="32"/>
      <c r="L463" s="44"/>
      <c r="M463" s="32"/>
      <c r="N463" s="44"/>
      <c r="O463" s="32"/>
      <c r="P463" s="32"/>
      <c r="Q463" s="44"/>
      <c r="S463" s="44"/>
      <c r="U463" s="44"/>
      <c r="V463" s="47"/>
      <c r="W463" s="44"/>
      <c r="Y463" s="44"/>
      <c r="AA463" s="32"/>
    </row>
    <row r="464">
      <c r="A464" s="45"/>
      <c r="B464" s="44"/>
      <c r="D464" s="44"/>
      <c r="F464" s="44"/>
      <c r="H464" s="44"/>
      <c r="J464" s="44"/>
      <c r="K464" s="32"/>
      <c r="L464" s="44"/>
      <c r="M464" s="32"/>
      <c r="N464" s="44"/>
      <c r="O464" s="32"/>
      <c r="P464" s="32"/>
      <c r="Q464" s="44"/>
      <c r="S464" s="44"/>
      <c r="U464" s="44"/>
      <c r="V464" s="47"/>
      <c r="W464" s="44"/>
      <c r="Y464" s="44"/>
      <c r="AA464" s="32"/>
    </row>
    <row r="465">
      <c r="A465" s="45"/>
      <c r="B465" s="44"/>
      <c r="D465" s="44"/>
      <c r="F465" s="44"/>
      <c r="H465" s="44"/>
      <c r="J465" s="44"/>
      <c r="K465" s="32"/>
      <c r="L465" s="44"/>
      <c r="M465" s="32"/>
      <c r="N465" s="44"/>
      <c r="O465" s="32"/>
      <c r="P465" s="32"/>
      <c r="Q465" s="44"/>
      <c r="S465" s="44"/>
      <c r="U465" s="44"/>
      <c r="V465" s="47"/>
      <c r="W465" s="44"/>
      <c r="Y465" s="44"/>
      <c r="AA465" s="32"/>
    </row>
    <row r="466">
      <c r="A466" s="45"/>
      <c r="B466" s="44"/>
      <c r="D466" s="44"/>
      <c r="F466" s="44"/>
      <c r="H466" s="44"/>
      <c r="J466" s="44"/>
      <c r="K466" s="32"/>
      <c r="L466" s="44"/>
      <c r="M466" s="32"/>
      <c r="N466" s="44"/>
      <c r="O466" s="32"/>
      <c r="P466" s="32"/>
      <c r="Q466" s="44"/>
      <c r="S466" s="44"/>
      <c r="U466" s="44"/>
      <c r="V466" s="47"/>
      <c r="W466" s="44"/>
      <c r="Y466" s="44"/>
      <c r="AA466" s="32"/>
    </row>
    <row r="467">
      <c r="A467" s="45"/>
      <c r="B467" s="44"/>
      <c r="D467" s="44"/>
      <c r="F467" s="44"/>
      <c r="H467" s="44"/>
      <c r="J467" s="44"/>
      <c r="K467" s="32"/>
      <c r="L467" s="44"/>
      <c r="M467" s="32"/>
      <c r="N467" s="44"/>
      <c r="O467" s="32"/>
      <c r="P467" s="32"/>
      <c r="Q467" s="44"/>
      <c r="S467" s="44"/>
      <c r="U467" s="44"/>
      <c r="V467" s="47"/>
      <c r="W467" s="44"/>
      <c r="Y467" s="44"/>
      <c r="AA467" s="32"/>
    </row>
    <row r="468">
      <c r="A468" s="45"/>
      <c r="B468" s="44"/>
      <c r="D468" s="44"/>
      <c r="F468" s="44"/>
      <c r="H468" s="44"/>
      <c r="J468" s="44"/>
      <c r="K468" s="32"/>
      <c r="L468" s="44"/>
      <c r="M468" s="32"/>
      <c r="N468" s="44"/>
      <c r="O468" s="32"/>
      <c r="P468" s="32"/>
      <c r="Q468" s="44"/>
      <c r="S468" s="44"/>
      <c r="U468" s="44"/>
      <c r="V468" s="47"/>
      <c r="W468" s="44"/>
      <c r="Y468" s="44"/>
      <c r="AA468" s="32"/>
    </row>
    <row r="469">
      <c r="A469" s="45"/>
      <c r="B469" s="44"/>
      <c r="D469" s="44"/>
      <c r="F469" s="44"/>
      <c r="H469" s="44"/>
      <c r="J469" s="44"/>
      <c r="K469" s="32"/>
      <c r="L469" s="44"/>
      <c r="M469" s="32"/>
      <c r="N469" s="44"/>
      <c r="O469" s="32"/>
      <c r="P469" s="32"/>
      <c r="Q469" s="44"/>
      <c r="S469" s="44"/>
      <c r="U469" s="44"/>
      <c r="V469" s="47"/>
      <c r="W469" s="44"/>
      <c r="Y469" s="44"/>
      <c r="AA469" s="32"/>
    </row>
    <row r="470">
      <c r="A470" s="45"/>
      <c r="B470" s="44"/>
      <c r="D470" s="44"/>
      <c r="F470" s="44"/>
      <c r="H470" s="44"/>
      <c r="J470" s="44"/>
      <c r="K470" s="32"/>
      <c r="L470" s="44"/>
      <c r="M470" s="32"/>
      <c r="N470" s="44"/>
      <c r="O470" s="32"/>
      <c r="P470" s="32"/>
      <c r="Q470" s="44"/>
      <c r="S470" s="44"/>
      <c r="U470" s="44"/>
      <c r="V470" s="47"/>
      <c r="W470" s="44"/>
      <c r="Y470" s="44"/>
      <c r="AA470" s="32"/>
    </row>
    <row r="471">
      <c r="A471" s="45"/>
      <c r="B471" s="44"/>
      <c r="D471" s="44"/>
      <c r="F471" s="44"/>
      <c r="H471" s="44"/>
      <c r="J471" s="44"/>
      <c r="K471" s="32"/>
      <c r="L471" s="44"/>
      <c r="M471" s="32"/>
      <c r="N471" s="44"/>
      <c r="O471" s="32"/>
      <c r="P471" s="32"/>
      <c r="Q471" s="44"/>
      <c r="S471" s="44"/>
      <c r="U471" s="44"/>
      <c r="V471" s="47"/>
      <c r="W471" s="44"/>
      <c r="Y471" s="44"/>
      <c r="AA471" s="32"/>
    </row>
    <row r="472">
      <c r="A472" s="45"/>
      <c r="B472" s="44"/>
      <c r="D472" s="44"/>
      <c r="F472" s="44"/>
      <c r="H472" s="44"/>
      <c r="J472" s="44"/>
      <c r="K472" s="32"/>
      <c r="L472" s="44"/>
      <c r="M472" s="32"/>
      <c r="N472" s="44"/>
      <c r="O472" s="32"/>
      <c r="P472" s="32"/>
      <c r="Q472" s="44"/>
      <c r="S472" s="44"/>
      <c r="U472" s="44"/>
      <c r="V472" s="47"/>
      <c r="W472" s="44"/>
      <c r="Y472" s="44"/>
      <c r="AA472" s="32"/>
    </row>
    <row r="473">
      <c r="A473" s="45"/>
      <c r="B473" s="44"/>
      <c r="D473" s="44"/>
      <c r="F473" s="44"/>
      <c r="H473" s="44"/>
      <c r="J473" s="44"/>
      <c r="K473" s="32"/>
      <c r="L473" s="44"/>
      <c r="M473" s="32"/>
      <c r="N473" s="44"/>
      <c r="O473" s="32"/>
      <c r="P473" s="32"/>
      <c r="Q473" s="44"/>
      <c r="S473" s="44"/>
      <c r="U473" s="44"/>
      <c r="V473" s="47"/>
      <c r="W473" s="44"/>
      <c r="Y473" s="44"/>
      <c r="AA473" s="32"/>
    </row>
    <row r="474">
      <c r="A474" s="45"/>
      <c r="B474" s="44"/>
      <c r="D474" s="44"/>
      <c r="F474" s="44"/>
      <c r="H474" s="44"/>
      <c r="J474" s="44"/>
      <c r="K474" s="32"/>
      <c r="L474" s="44"/>
      <c r="M474" s="32"/>
      <c r="N474" s="44"/>
      <c r="O474" s="32"/>
      <c r="P474" s="32"/>
      <c r="Q474" s="44"/>
      <c r="S474" s="44"/>
      <c r="U474" s="44"/>
      <c r="V474" s="47"/>
      <c r="W474" s="44"/>
      <c r="Y474" s="44"/>
      <c r="AA474" s="32"/>
    </row>
    <row r="475">
      <c r="A475" s="45"/>
      <c r="B475" s="44"/>
      <c r="D475" s="44"/>
      <c r="F475" s="44"/>
      <c r="H475" s="44"/>
      <c r="J475" s="44"/>
      <c r="K475" s="32"/>
      <c r="L475" s="44"/>
      <c r="M475" s="32"/>
      <c r="N475" s="44"/>
      <c r="O475" s="32"/>
      <c r="P475" s="32"/>
      <c r="Q475" s="44"/>
      <c r="S475" s="44"/>
      <c r="U475" s="44"/>
      <c r="V475" s="47"/>
      <c r="W475" s="44"/>
      <c r="Y475" s="44"/>
      <c r="AA475" s="32"/>
    </row>
    <row r="476">
      <c r="A476" s="45"/>
      <c r="B476" s="44"/>
      <c r="D476" s="44"/>
      <c r="F476" s="44"/>
      <c r="H476" s="44"/>
      <c r="J476" s="44"/>
      <c r="K476" s="32"/>
      <c r="L476" s="44"/>
      <c r="M476" s="32"/>
      <c r="N476" s="44"/>
      <c r="O476" s="32"/>
      <c r="P476" s="32"/>
      <c r="Q476" s="44"/>
      <c r="S476" s="44"/>
      <c r="U476" s="44"/>
      <c r="V476" s="47"/>
      <c r="W476" s="44"/>
      <c r="Y476" s="44"/>
      <c r="AA476" s="32"/>
    </row>
    <row r="477">
      <c r="A477" s="45"/>
      <c r="B477" s="44"/>
      <c r="D477" s="44"/>
      <c r="F477" s="44"/>
      <c r="H477" s="44"/>
      <c r="J477" s="44"/>
      <c r="K477" s="32"/>
      <c r="L477" s="44"/>
      <c r="M477" s="32"/>
      <c r="N477" s="44"/>
      <c r="O477" s="32"/>
      <c r="P477" s="32"/>
      <c r="Q477" s="44"/>
      <c r="S477" s="44"/>
      <c r="U477" s="44"/>
      <c r="V477" s="47"/>
      <c r="W477" s="44"/>
      <c r="Y477" s="44"/>
      <c r="AA477" s="32"/>
    </row>
    <row r="478">
      <c r="A478" s="45"/>
      <c r="B478" s="44"/>
      <c r="D478" s="44"/>
      <c r="F478" s="44"/>
      <c r="H478" s="44"/>
      <c r="J478" s="44"/>
      <c r="K478" s="32"/>
      <c r="L478" s="44"/>
      <c r="M478" s="32"/>
      <c r="N478" s="44"/>
      <c r="O478" s="32"/>
      <c r="P478" s="32"/>
      <c r="Q478" s="44"/>
      <c r="S478" s="44"/>
      <c r="U478" s="44"/>
      <c r="V478" s="47"/>
      <c r="W478" s="44"/>
      <c r="Y478" s="44"/>
      <c r="AA478" s="32"/>
    </row>
    <row r="479">
      <c r="A479" s="45"/>
      <c r="B479" s="44"/>
      <c r="D479" s="44"/>
      <c r="F479" s="44"/>
      <c r="H479" s="44"/>
      <c r="J479" s="44"/>
      <c r="K479" s="32"/>
      <c r="L479" s="44"/>
      <c r="M479" s="32"/>
      <c r="N479" s="44"/>
      <c r="O479" s="32"/>
      <c r="P479" s="32"/>
      <c r="Q479" s="44"/>
      <c r="S479" s="44"/>
      <c r="U479" s="44"/>
      <c r="V479" s="47"/>
      <c r="W479" s="44"/>
      <c r="Y479" s="44"/>
      <c r="AA479" s="32"/>
    </row>
    <row r="480">
      <c r="A480" s="45"/>
      <c r="B480" s="44"/>
      <c r="D480" s="44"/>
      <c r="F480" s="44"/>
      <c r="H480" s="44"/>
      <c r="J480" s="44"/>
      <c r="K480" s="32"/>
      <c r="L480" s="44"/>
      <c r="M480" s="32"/>
      <c r="N480" s="44"/>
      <c r="O480" s="32"/>
      <c r="P480" s="32"/>
      <c r="Q480" s="44"/>
      <c r="S480" s="44"/>
      <c r="U480" s="44"/>
      <c r="V480" s="47"/>
      <c r="W480" s="44"/>
      <c r="Y480" s="44"/>
      <c r="AA480" s="32"/>
    </row>
    <row r="481">
      <c r="A481" s="45"/>
      <c r="B481" s="44"/>
      <c r="D481" s="44"/>
      <c r="F481" s="44"/>
      <c r="H481" s="44"/>
      <c r="J481" s="44"/>
      <c r="K481" s="32"/>
      <c r="L481" s="44"/>
      <c r="M481" s="32"/>
      <c r="N481" s="44"/>
      <c r="O481" s="32"/>
      <c r="P481" s="32"/>
      <c r="Q481" s="44"/>
      <c r="S481" s="44"/>
      <c r="U481" s="44"/>
      <c r="V481" s="47"/>
      <c r="W481" s="44"/>
      <c r="Y481" s="44"/>
      <c r="AA481" s="32"/>
    </row>
    <row r="482">
      <c r="A482" s="45"/>
      <c r="B482" s="44"/>
      <c r="D482" s="44"/>
      <c r="F482" s="44"/>
      <c r="H482" s="44"/>
      <c r="J482" s="44"/>
      <c r="K482" s="32"/>
      <c r="L482" s="44"/>
      <c r="M482" s="32"/>
      <c r="N482" s="44"/>
      <c r="O482" s="32"/>
      <c r="P482" s="32"/>
      <c r="Q482" s="44"/>
      <c r="S482" s="44"/>
      <c r="U482" s="44"/>
      <c r="V482" s="47"/>
      <c r="W482" s="44"/>
      <c r="Y482" s="44"/>
      <c r="AA482" s="32"/>
    </row>
    <row r="483">
      <c r="A483" s="45"/>
      <c r="B483" s="44"/>
      <c r="D483" s="44"/>
      <c r="F483" s="44"/>
      <c r="H483" s="44"/>
      <c r="J483" s="44"/>
      <c r="K483" s="32"/>
      <c r="L483" s="44"/>
      <c r="M483" s="32"/>
      <c r="N483" s="44"/>
      <c r="O483" s="32"/>
      <c r="P483" s="32"/>
      <c r="Q483" s="44"/>
      <c r="S483" s="44"/>
      <c r="U483" s="44"/>
      <c r="V483" s="47"/>
      <c r="W483" s="44"/>
      <c r="Y483" s="44"/>
      <c r="AA483" s="32"/>
    </row>
    <row r="484">
      <c r="A484" s="45"/>
      <c r="B484" s="44"/>
      <c r="D484" s="44"/>
      <c r="F484" s="44"/>
      <c r="H484" s="44"/>
      <c r="J484" s="44"/>
      <c r="K484" s="32"/>
      <c r="L484" s="44"/>
      <c r="M484" s="32"/>
      <c r="N484" s="44"/>
      <c r="O484" s="32"/>
      <c r="P484" s="32"/>
      <c r="Q484" s="44"/>
      <c r="S484" s="44"/>
      <c r="U484" s="44"/>
      <c r="V484" s="47"/>
      <c r="W484" s="44"/>
      <c r="Y484" s="44"/>
      <c r="AA484" s="32"/>
    </row>
    <row r="485">
      <c r="A485" s="45"/>
      <c r="B485" s="44"/>
      <c r="D485" s="44"/>
      <c r="F485" s="44"/>
      <c r="H485" s="44"/>
      <c r="J485" s="44"/>
      <c r="K485" s="32"/>
      <c r="L485" s="44"/>
      <c r="M485" s="32"/>
      <c r="N485" s="44"/>
      <c r="O485" s="32"/>
      <c r="P485" s="32"/>
      <c r="Q485" s="44"/>
      <c r="S485" s="44"/>
      <c r="U485" s="44"/>
      <c r="V485" s="47"/>
      <c r="W485" s="44"/>
      <c r="Y485" s="44"/>
      <c r="AA485" s="32"/>
    </row>
    <row r="486">
      <c r="A486" s="45"/>
      <c r="B486" s="44"/>
      <c r="D486" s="44"/>
      <c r="F486" s="44"/>
      <c r="H486" s="44"/>
      <c r="J486" s="44"/>
      <c r="K486" s="32"/>
      <c r="L486" s="44"/>
      <c r="M486" s="32"/>
      <c r="N486" s="44"/>
      <c r="O486" s="32"/>
      <c r="P486" s="32"/>
      <c r="Q486" s="44"/>
      <c r="S486" s="44"/>
      <c r="U486" s="44"/>
      <c r="V486" s="47"/>
      <c r="W486" s="44"/>
      <c r="Y486" s="44"/>
      <c r="AA486" s="32"/>
    </row>
    <row r="487">
      <c r="A487" s="45"/>
      <c r="B487" s="44"/>
      <c r="D487" s="44"/>
      <c r="F487" s="44"/>
      <c r="H487" s="44"/>
      <c r="J487" s="44"/>
      <c r="K487" s="32"/>
      <c r="L487" s="44"/>
      <c r="M487" s="32"/>
      <c r="N487" s="44"/>
      <c r="O487" s="32"/>
      <c r="P487" s="32"/>
      <c r="Q487" s="44"/>
      <c r="S487" s="44"/>
      <c r="U487" s="44"/>
      <c r="V487" s="47"/>
      <c r="W487" s="44"/>
      <c r="Y487" s="44"/>
      <c r="AA487" s="32"/>
    </row>
    <row r="488">
      <c r="A488" s="45"/>
      <c r="B488" s="44"/>
      <c r="D488" s="44"/>
      <c r="F488" s="44"/>
      <c r="H488" s="44"/>
      <c r="J488" s="44"/>
      <c r="K488" s="32"/>
      <c r="L488" s="44"/>
      <c r="M488" s="32"/>
      <c r="N488" s="44"/>
      <c r="O488" s="32"/>
      <c r="P488" s="32"/>
      <c r="Q488" s="44"/>
      <c r="S488" s="44"/>
      <c r="U488" s="44"/>
      <c r="V488" s="47"/>
      <c r="W488" s="44"/>
      <c r="Y488" s="44"/>
      <c r="AA488" s="32"/>
    </row>
    <row r="489">
      <c r="A489" s="45"/>
      <c r="B489" s="44"/>
      <c r="D489" s="44"/>
      <c r="F489" s="44"/>
      <c r="H489" s="44"/>
      <c r="J489" s="44"/>
      <c r="K489" s="32"/>
      <c r="L489" s="44"/>
      <c r="M489" s="32"/>
      <c r="N489" s="44"/>
      <c r="O489" s="32"/>
      <c r="P489" s="32"/>
      <c r="Q489" s="44"/>
      <c r="S489" s="44"/>
      <c r="U489" s="44"/>
      <c r="V489" s="47"/>
      <c r="W489" s="44"/>
      <c r="Y489" s="44"/>
      <c r="AA489" s="32"/>
    </row>
    <row r="490">
      <c r="A490" s="45"/>
      <c r="B490" s="44"/>
      <c r="D490" s="44"/>
      <c r="F490" s="44"/>
      <c r="H490" s="44"/>
      <c r="J490" s="44"/>
      <c r="K490" s="32"/>
      <c r="L490" s="44"/>
      <c r="M490" s="32"/>
      <c r="N490" s="44"/>
      <c r="O490" s="32"/>
      <c r="P490" s="32"/>
      <c r="Q490" s="44"/>
      <c r="S490" s="44"/>
      <c r="U490" s="44"/>
      <c r="V490" s="47"/>
      <c r="W490" s="44"/>
      <c r="Y490" s="44"/>
      <c r="AA490" s="32"/>
    </row>
    <row r="491">
      <c r="A491" s="45"/>
      <c r="B491" s="44"/>
      <c r="D491" s="44"/>
      <c r="F491" s="44"/>
      <c r="H491" s="44"/>
      <c r="J491" s="44"/>
      <c r="K491" s="32"/>
      <c r="L491" s="44"/>
      <c r="M491" s="32"/>
      <c r="N491" s="44"/>
      <c r="O491" s="32"/>
      <c r="P491" s="32"/>
      <c r="Q491" s="44"/>
      <c r="S491" s="44"/>
      <c r="U491" s="44"/>
      <c r="V491" s="47"/>
      <c r="W491" s="44"/>
      <c r="Y491" s="44"/>
      <c r="AA491" s="32"/>
    </row>
    <row r="492">
      <c r="A492" s="45"/>
      <c r="B492" s="44"/>
      <c r="D492" s="44"/>
      <c r="F492" s="44"/>
      <c r="H492" s="44"/>
      <c r="J492" s="44"/>
      <c r="K492" s="32"/>
      <c r="L492" s="44"/>
      <c r="M492" s="32"/>
      <c r="N492" s="44"/>
      <c r="O492" s="32"/>
      <c r="P492" s="32"/>
      <c r="Q492" s="44"/>
      <c r="S492" s="44"/>
      <c r="U492" s="44"/>
      <c r="V492" s="47"/>
      <c r="W492" s="44"/>
      <c r="Y492" s="44"/>
      <c r="AA492" s="32"/>
    </row>
    <row r="493">
      <c r="A493" s="45"/>
      <c r="B493" s="44"/>
      <c r="D493" s="44"/>
      <c r="F493" s="44"/>
      <c r="H493" s="44"/>
      <c r="J493" s="44"/>
      <c r="K493" s="32"/>
      <c r="L493" s="44"/>
      <c r="M493" s="32"/>
      <c r="N493" s="44"/>
      <c r="O493" s="32"/>
      <c r="P493" s="32"/>
      <c r="Q493" s="44"/>
      <c r="S493" s="44"/>
      <c r="U493" s="44"/>
      <c r="V493" s="47"/>
      <c r="W493" s="44"/>
      <c r="Y493" s="44"/>
      <c r="AA493" s="32"/>
    </row>
    <row r="494">
      <c r="A494" s="45"/>
      <c r="B494" s="44"/>
      <c r="D494" s="44"/>
      <c r="F494" s="44"/>
      <c r="H494" s="44"/>
      <c r="J494" s="44"/>
      <c r="K494" s="32"/>
      <c r="L494" s="44"/>
      <c r="M494" s="32"/>
      <c r="N494" s="44"/>
      <c r="O494" s="32"/>
      <c r="P494" s="32"/>
      <c r="Q494" s="44"/>
      <c r="S494" s="44"/>
      <c r="U494" s="44"/>
      <c r="V494" s="47"/>
      <c r="W494" s="44"/>
      <c r="Y494" s="44"/>
      <c r="AA494" s="32"/>
    </row>
    <row r="495">
      <c r="A495" s="45"/>
      <c r="B495" s="44"/>
      <c r="D495" s="44"/>
      <c r="F495" s="44"/>
      <c r="H495" s="44"/>
      <c r="J495" s="44"/>
      <c r="K495" s="32"/>
      <c r="L495" s="44"/>
      <c r="M495" s="32"/>
      <c r="N495" s="44"/>
      <c r="O495" s="32"/>
      <c r="P495" s="32"/>
      <c r="Q495" s="44"/>
      <c r="S495" s="44"/>
      <c r="U495" s="44"/>
      <c r="V495" s="47"/>
      <c r="W495" s="44"/>
      <c r="Y495" s="44"/>
      <c r="AA495" s="32"/>
    </row>
    <row r="496">
      <c r="A496" s="45"/>
      <c r="B496" s="44"/>
      <c r="D496" s="44"/>
      <c r="F496" s="44"/>
      <c r="H496" s="44"/>
      <c r="J496" s="44"/>
      <c r="K496" s="32"/>
      <c r="L496" s="44"/>
      <c r="M496" s="32"/>
      <c r="N496" s="44"/>
      <c r="O496" s="32"/>
      <c r="P496" s="32"/>
      <c r="Q496" s="44"/>
      <c r="S496" s="44"/>
      <c r="U496" s="44"/>
      <c r="V496" s="47"/>
      <c r="W496" s="44"/>
      <c r="Y496" s="44"/>
      <c r="AA496" s="32"/>
    </row>
    <row r="497">
      <c r="A497" s="45"/>
      <c r="B497" s="44"/>
      <c r="D497" s="44"/>
      <c r="F497" s="44"/>
      <c r="H497" s="44"/>
      <c r="J497" s="44"/>
      <c r="K497" s="32"/>
      <c r="L497" s="44"/>
      <c r="M497" s="32"/>
      <c r="N497" s="44"/>
      <c r="O497" s="32"/>
      <c r="P497" s="32"/>
      <c r="Q497" s="44"/>
      <c r="S497" s="44"/>
      <c r="U497" s="44"/>
      <c r="V497" s="47"/>
      <c r="W497" s="44"/>
      <c r="Y497" s="44"/>
      <c r="AA497" s="32"/>
    </row>
    <row r="498">
      <c r="A498" s="45"/>
      <c r="B498" s="44"/>
      <c r="D498" s="44"/>
      <c r="F498" s="44"/>
      <c r="H498" s="44"/>
      <c r="J498" s="44"/>
      <c r="K498" s="32"/>
      <c r="L498" s="44"/>
      <c r="M498" s="32"/>
      <c r="N498" s="44"/>
      <c r="O498" s="32"/>
      <c r="P498" s="32"/>
      <c r="Q498" s="44"/>
      <c r="S498" s="44"/>
      <c r="U498" s="44"/>
      <c r="V498" s="47"/>
      <c r="W498" s="44"/>
      <c r="Y498" s="44"/>
      <c r="AA498" s="32"/>
    </row>
    <row r="499">
      <c r="A499" s="45"/>
      <c r="B499" s="44"/>
      <c r="D499" s="44"/>
      <c r="F499" s="44"/>
      <c r="H499" s="44"/>
      <c r="J499" s="44"/>
      <c r="K499" s="32"/>
      <c r="L499" s="44"/>
      <c r="M499" s="32"/>
      <c r="N499" s="44"/>
      <c r="O499" s="32"/>
      <c r="P499" s="32"/>
      <c r="Q499" s="44"/>
      <c r="S499" s="44"/>
      <c r="U499" s="44"/>
      <c r="V499" s="47"/>
      <c r="W499" s="44"/>
      <c r="Y499" s="44"/>
      <c r="AA499" s="32"/>
    </row>
    <row r="500">
      <c r="A500" s="45"/>
      <c r="B500" s="44"/>
      <c r="D500" s="44"/>
      <c r="F500" s="44"/>
      <c r="H500" s="44"/>
      <c r="J500" s="44"/>
      <c r="K500" s="32"/>
      <c r="L500" s="44"/>
      <c r="M500" s="32"/>
      <c r="N500" s="44"/>
      <c r="O500" s="32"/>
      <c r="P500" s="32"/>
      <c r="Q500" s="44"/>
      <c r="S500" s="44"/>
      <c r="U500" s="44"/>
      <c r="V500" s="47"/>
      <c r="W500" s="44"/>
      <c r="Y500" s="44"/>
      <c r="AA500" s="32"/>
    </row>
    <row r="501">
      <c r="A501" s="45"/>
      <c r="B501" s="44"/>
      <c r="D501" s="44"/>
      <c r="F501" s="44"/>
      <c r="H501" s="44"/>
      <c r="J501" s="44"/>
      <c r="K501" s="32"/>
      <c r="L501" s="44"/>
      <c r="M501" s="32"/>
      <c r="N501" s="44"/>
      <c r="O501" s="32"/>
      <c r="P501" s="32"/>
      <c r="Q501" s="44"/>
      <c r="S501" s="44"/>
      <c r="U501" s="44"/>
      <c r="V501" s="47"/>
      <c r="W501" s="44"/>
      <c r="Y501" s="44"/>
      <c r="AA501" s="32"/>
    </row>
    <row r="502">
      <c r="A502" s="45"/>
      <c r="B502" s="44"/>
      <c r="D502" s="44"/>
      <c r="F502" s="44"/>
      <c r="H502" s="44"/>
      <c r="J502" s="44"/>
      <c r="K502" s="32"/>
      <c r="L502" s="44"/>
      <c r="M502" s="32"/>
      <c r="N502" s="44"/>
      <c r="O502" s="32"/>
      <c r="P502" s="32"/>
      <c r="Q502" s="44"/>
      <c r="S502" s="44"/>
      <c r="U502" s="44"/>
      <c r="V502" s="47"/>
      <c r="W502" s="44"/>
      <c r="Y502" s="44"/>
      <c r="AA502" s="32"/>
    </row>
    <row r="503">
      <c r="A503" s="45"/>
      <c r="B503" s="44"/>
      <c r="D503" s="44"/>
      <c r="F503" s="44"/>
      <c r="H503" s="44"/>
      <c r="J503" s="44"/>
      <c r="K503" s="32"/>
      <c r="L503" s="44"/>
      <c r="M503" s="32"/>
      <c r="N503" s="44"/>
      <c r="O503" s="32"/>
      <c r="P503" s="32"/>
      <c r="Q503" s="44"/>
      <c r="S503" s="44"/>
      <c r="U503" s="44"/>
      <c r="V503" s="47"/>
      <c r="W503" s="44"/>
      <c r="Y503" s="44"/>
      <c r="AA503" s="32"/>
    </row>
    <row r="504">
      <c r="A504" s="45"/>
      <c r="B504" s="44"/>
      <c r="D504" s="44"/>
      <c r="F504" s="44"/>
      <c r="H504" s="44"/>
      <c r="J504" s="44"/>
      <c r="K504" s="32"/>
      <c r="L504" s="44"/>
      <c r="M504" s="32"/>
      <c r="N504" s="44"/>
      <c r="O504" s="32"/>
      <c r="P504" s="32"/>
      <c r="Q504" s="44"/>
      <c r="S504" s="44"/>
      <c r="U504" s="44"/>
      <c r="V504" s="47"/>
      <c r="W504" s="44"/>
      <c r="Y504" s="44"/>
      <c r="AA504" s="32"/>
    </row>
    <row r="505">
      <c r="A505" s="45"/>
      <c r="B505" s="44"/>
      <c r="D505" s="44"/>
      <c r="F505" s="44"/>
      <c r="H505" s="44"/>
      <c r="J505" s="44"/>
      <c r="K505" s="32"/>
      <c r="L505" s="44"/>
      <c r="M505" s="32"/>
      <c r="N505" s="44"/>
      <c r="O505" s="32"/>
      <c r="P505" s="32"/>
      <c r="Q505" s="44"/>
      <c r="S505" s="44"/>
      <c r="U505" s="44"/>
      <c r="V505" s="47"/>
      <c r="W505" s="44"/>
      <c r="Y505" s="44"/>
      <c r="AA505" s="32"/>
    </row>
    <row r="506">
      <c r="A506" s="45"/>
      <c r="B506" s="44"/>
      <c r="D506" s="44"/>
      <c r="F506" s="44"/>
      <c r="H506" s="44"/>
      <c r="J506" s="44"/>
      <c r="K506" s="32"/>
      <c r="L506" s="44"/>
      <c r="M506" s="32"/>
      <c r="N506" s="44"/>
      <c r="O506" s="32"/>
      <c r="P506" s="32"/>
      <c r="Q506" s="44"/>
      <c r="S506" s="44"/>
      <c r="U506" s="44"/>
      <c r="V506" s="47"/>
      <c r="W506" s="44"/>
      <c r="Y506" s="44"/>
      <c r="AA506" s="32"/>
    </row>
    <row r="507">
      <c r="A507" s="45"/>
      <c r="B507" s="44"/>
      <c r="D507" s="44"/>
      <c r="F507" s="44"/>
      <c r="H507" s="44"/>
      <c r="J507" s="44"/>
      <c r="K507" s="32"/>
      <c r="L507" s="44"/>
      <c r="M507" s="32"/>
      <c r="N507" s="44"/>
      <c r="O507" s="32"/>
      <c r="P507" s="32"/>
      <c r="Q507" s="44"/>
      <c r="S507" s="44"/>
      <c r="U507" s="44"/>
      <c r="V507" s="47"/>
      <c r="W507" s="44"/>
      <c r="Y507" s="44"/>
      <c r="AA507" s="32"/>
    </row>
    <row r="508">
      <c r="A508" s="45"/>
      <c r="B508" s="44"/>
      <c r="D508" s="44"/>
      <c r="F508" s="44"/>
      <c r="H508" s="44"/>
      <c r="J508" s="44"/>
      <c r="K508" s="32"/>
      <c r="L508" s="44"/>
      <c r="M508" s="32"/>
      <c r="N508" s="44"/>
      <c r="O508" s="32"/>
      <c r="P508" s="32"/>
      <c r="Q508" s="44"/>
      <c r="S508" s="44"/>
      <c r="U508" s="44"/>
      <c r="V508" s="47"/>
      <c r="W508" s="44"/>
      <c r="Y508" s="44"/>
      <c r="AA508" s="32"/>
    </row>
    <row r="509">
      <c r="A509" s="45"/>
      <c r="B509" s="44"/>
      <c r="D509" s="44"/>
      <c r="F509" s="44"/>
      <c r="H509" s="44"/>
      <c r="J509" s="44"/>
      <c r="K509" s="32"/>
      <c r="L509" s="44"/>
      <c r="M509" s="32"/>
      <c r="N509" s="44"/>
      <c r="O509" s="32"/>
      <c r="P509" s="32"/>
      <c r="Q509" s="44"/>
      <c r="S509" s="44"/>
      <c r="U509" s="44"/>
      <c r="V509" s="47"/>
      <c r="W509" s="44"/>
      <c r="Y509" s="44"/>
      <c r="AA509" s="32"/>
    </row>
    <row r="510">
      <c r="A510" s="45"/>
      <c r="B510" s="44"/>
      <c r="D510" s="44"/>
      <c r="F510" s="44"/>
      <c r="H510" s="44"/>
      <c r="J510" s="44"/>
      <c r="K510" s="32"/>
      <c r="L510" s="44"/>
      <c r="M510" s="32"/>
      <c r="N510" s="44"/>
      <c r="O510" s="32"/>
      <c r="P510" s="32"/>
      <c r="Q510" s="44"/>
      <c r="S510" s="44"/>
      <c r="U510" s="44"/>
      <c r="V510" s="47"/>
      <c r="W510" s="44"/>
      <c r="Y510" s="44"/>
      <c r="AA510" s="32"/>
    </row>
    <row r="511">
      <c r="A511" s="45"/>
      <c r="B511" s="44"/>
      <c r="D511" s="44"/>
      <c r="F511" s="44"/>
      <c r="H511" s="44"/>
      <c r="J511" s="44"/>
      <c r="K511" s="32"/>
      <c r="L511" s="44"/>
      <c r="M511" s="32"/>
      <c r="N511" s="44"/>
      <c r="O511" s="32"/>
      <c r="P511" s="32"/>
      <c r="Q511" s="44"/>
      <c r="S511" s="44"/>
      <c r="U511" s="44"/>
      <c r="V511" s="47"/>
      <c r="W511" s="44"/>
      <c r="Y511" s="44"/>
      <c r="AA511" s="32"/>
    </row>
    <row r="512">
      <c r="A512" s="45"/>
      <c r="B512" s="44"/>
      <c r="D512" s="44"/>
      <c r="F512" s="44"/>
      <c r="H512" s="44"/>
      <c r="J512" s="44"/>
      <c r="K512" s="32"/>
      <c r="L512" s="44"/>
      <c r="M512" s="32"/>
      <c r="N512" s="44"/>
      <c r="O512" s="32"/>
      <c r="P512" s="32"/>
      <c r="Q512" s="44"/>
      <c r="S512" s="44"/>
      <c r="U512" s="44"/>
      <c r="V512" s="47"/>
      <c r="W512" s="44"/>
      <c r="Y512" s="44"/>
      <c r="AA512" s="32"/>
    </row>
    <row r="513">
      <c r="A513" s="45"/>
      <c r="B513" s="44"/>
      <c r="D513" s="44"/>
      <c r="F513" s="44"/>
      <c r="H513" s="44"/>
      <c r="J513" s="44"/>
      <c r="K513" s="32"/>
      <c r="L513" s="44"/>
      <c r="M513" s="32"/>
      <c r="N513" s="44"/>
      <c r="O513" s="32"/>
      <c r="P513" s="32"/>
      <c r="Q513" s="44"/>
      <c r="S513" s="44"/>
      <c r="U513" s="44"/>
      <c r="V513" s="47"/>
      <c r="W513" s="44"/>
      <c r="Y513" s="44"/>
      <c r="AA513" s="32"/>
    </row>
    <row r="514">
      <c r="A514" s="45"/>
      <c r="B514" s="44"/>
      <c r="D514" s="44"/>
      <c r="F514" s="44"/>
      <c r="H514" s="44"/>
      <c r="J514" s="44"/>
      <c r="K514" s="32"/>
      <c r="L514" s="44"/>
      <c r="M514" s="32"/>
      <c r="N514" s="44"/>
      <c r="O514" s="32"/>
      <c r="P514" s="32"/>
      <c r="Q514" s="44"/>
      <c r="S514" s="44"/>
      <c r="U514" s="44"/>
      <c r="V514" s="47"/>
      <c r="W514" s="44"/>
      <c r="Y514" s="44"/>
      <c r="AA514" s="32"/>
    </row>
    <row r="515">
      <c r="A515" s="45"/>
      <c r="B515" s="44"/>
      <c r="D515" s="44"/>
      <c r="F515" s="44"/>
      <c r="H515" s="44"/>
      <c r="J515" s="44"/>
      <c r="K515" s="32"/>
      <c r="L515" s="44"/>
      <c r="M515" s="32"/>
      <c r="N515" s="44"/>
      <c r="O515" s="32"/>
      <c r="P515" s="32"/>
      <c r="Q515" s="44"/>
      <c r="S515" s="44"/>
      <c r="U515" s="44"/>
      <c r="V515" s="47"/>
      <c r="W515" s="44"/>
      <c r="Y515" s="44"/>
      <c r="AA515" s="32"/>
    </row>
    <row r="516">
      <c r="A516" s="45"/>
      <c r="B516" s="44"/>
      <c r="D516" s="44"/>
      <c r="F516" s="44"/>
      <c r="H516" s="44"/>
      <c r="J516" s="44"/>
      <c r="K516" s="32"/>
      <c r="L516" s="44"/>
      <c r="M516" s="32"/>
      <c r="N516" s="44"/>
      <c r="O516" s="32"/>
      <c r="P516" s="32"/>
      <c r="Q516" s="44"/>
      <c r="S516" s="44"/>
      <c r="U516" s="44"/>
      <c r="V516" s="47"/>
      <c r="W516" s="44"/>
      <c r="Y516" s="44"/>
      <c r="AA516" s="32"/>
    </row>
    <row r="517">
      <c r="A517" s="45"/>
      <c r="B517" s="44"/>
      <c r="D517" s="44"/>
      <c r="F517" s="44"/>
      <c r="H517" s="44"/>
      <c r="J517" s="44"/>
      <c r="K517" s="32"/>
      <c r="L517" s="44"/>
      <c r="M517" s="32"/>
      <c r="N517" s="44"/>
      <c r="O517" s="32"/>
      <c r="P517" s="32"/>
      <c r="Q517" s="44"/>
      <c r="S517" s="44"/>
      <c r="U517" s="44"/>
      <c r="V517" s="47"/>
      <c r="W517" s="44"/>
      <c r="Y517" s="44"/>
      <c r="AA517" s="32"/>
    </row>
    <row r="518">
      <c r="A518" s="45"/>
      <c r="B518" s="44"/>
      <c r="D518" s="44"/>
      <c r="F518" s="44"/>
      <c r="H518" s="44"/>
      <c r="J518" s="44"/>
      <c r="K518" s="32"/>
      <c r="L518" s="44"/>
      <c r="M518" s="32"/>
      <c r="N518" s="44"/>
      <c r="O518" s="32"/>
      <c r="P518" s="32"/>
      <c r="Q518" s="44"/>
      <c r="S518" s="44"/>
      <c r="U518" s="44"/>
      <c r="V518" s="47"/>
      <c r="W518" s="44"/>
      <c r="Y518" s="44"/>
      <c r="AA518" s="32"/>
    </row>
    <row r="519">
      <c r="A519" s="45"/>
      <c r="B519" s="44"/>
      <c r="D519" s="44"/>
      <c r="F519" s="44"/>
      <c r="H519" s="44"/>
      <c r="J519" s="44"/>
      <c r="K519" s="32"/>
      <c r="L519" s="44"/>
      <c r="M519" s="32"/>
      <c r="N519" s="44"/>
      <c r="O519" s="32"/>
      <c r="P519" s="32"/>
      <c r="Q519" s="44"/>
      <c r="S519" s="44"/>
      <c r="U519" s="44"/>
      <c r="V519" s="47"/>
      <c r="W519" s="44"/>
      <c r="Y519" s="44"/>
      <c r="AA519" s="32"/>
    </row>
    <row r="520">
      <c r="A520" s="45"/>
      <c r="B520" s="44"/>
      <c r="D520" s="44"/>
      <c r="F520" s="44"/>
      <c r="H520" s="44"/>
      <c r="J520" s="44"/>
      <c r="K520" s="32"/>
      <c r="L520" s="44"/>
      <c r="M520" s="32"/>
      <c r="N520" s="44"/>
      <c r="O520" s="32"/>
      <c r="P520" s="32"/>
      <c r="Q520" s="44"/>
      <c r="S520" s="44"/>
      <c r="U520" s="44"/>
      <c r="V520" s="47"/>
      <c r="W520" s="44"/>
      <c r="Y520" s="44"/>
      <c r="AA520" s="32"/>
    </row>
    <row r="521">
      <c r="A521" s="45"/>
      <c r="B521" s="44"/>
      <c r="D521" s="44"/>
      <c r="F521" s="44"/>
      <c r="H521" s="44"/>
      <c r="J521" s="44"/>
      <c r="K521" s="32"/>
      <c r="L521" s="44"/>
      <c r="M521" s="32"/>
      <c r="N521" s="44"/>
      <c r="O521" s="32"/>
      <c r="P521" s="32"/>
      <c r="Q521" s="44"/>
      <c r="S521" s="44"/>
      <c r="U521" s="44"/>
      <c r="V521" s="47"/>
      <c r="W521" s="44"/>
      <c r="Y521" s="44"/>
      <c r="AA521" s="32"/>
    </row>
    <row r="522">
      <c r="A522" s="45"/>
      <c r="B522" s="44"/>
      <c r="D522" s="44"/>
      <c r="F522" s="44"/>
      <c r="H522" s="44"/>
      <c r="J522" s="44"/>
      <c r="K522" s="32"/>
      <c r="L522" s="44"/>
      <c r="M522" s="32"/>
      <c r="N522" s="44"/>
      <c r="O522" s="32"/>
      <c r="P522" s="32"/>
      <c r="Q522" s="44"/>
      <c r="S522" s="44"/>
      <c r="U522" s="44"/>
      <c r="V522" s="47"/>
      <c r="W522" s="44"/>
      <c r="Y522" s="44"/>
      <c r="AA522" s="32"/>
    </row>
    <row r="523">
      <c r="A523" s="45"/>
      <c r="B523" s="44"/>
      <c r="D523" s="44"/>
      <c r="F523" s="44"/>
      <c r="H523" s="44"/>
      <c r="J523" s="44"/>
      <c r="K523" s="32"/>
      <c r="L523" s="44"/>
      <c r="M523" s="32"/>
      <c r="N523" s="44"/>
      <c r="O523" s="32"/>
      <c r="P523" s="32"/>
      <c r="Q523" s="44"/>
      <c r="S523" s="44"/>
      <c r="U523" s="44"/>
      <c r="V523" s="47"/>
      <c r="W523" s="44"/>
      <c r="Y523" s="44"/>
      <c r="AA523" s="32"/>
    </row>
    <row r="524">
      <c r="A524" s="45"/>
      <c r="B524" s="44"/>
      <c r="D524" s="44"/>
      <c r="F524" s="44"/>
      <c r="H524" s="44"/>
      <c r="J524" s="44"/>
      <c r="K524" s="32"/>
      <c r="L524" s="44"/>
      <c r="M524" s="32"/>
      <c r="N524" s="44"/>
      <c r="O524" s="32"/>
      <c r="P524" s="32"/>
      <c r="Q524" s="44"/>
      <c r="S524" s="44"/>
      <c r="U524" s="44"/>
      <c r="V524" s="47"/>
      <c r="W524" s="44"/>
      <c r="Y524" s="44"/>
      <c r="AA524" s="32"/>
    </row>
    <row r="525">
      <c r="A525" s="45"/>
      <c r="B525" s="44"/>
      <c r="D525" s="44"/>
      <c r="F525" s="44"/>
      <c r="H525" s="44"/>
      <c r="J525" s="44"/>
      <c r="K525" s="32"/>
      <c r="L525" s="44"/>
      <c r="M525" s="32"/>
      <c r="N525" s="44"/>
      <c r="O525" s="32"/>
      <c r="P525" s="32"/>
      <c r="Q525" s="44"/>
      <c r="S525" s="44"/>
      <c r="U525" s="44"/>
      <c r="V525" s="47"/>
      <c r="W525" s="44"/>
      <c r="Y525" s="44"/>
      <c r="AA525" s="32"/>
    </row>
    <row r="526">
      <c r="A526" s="45"/>
      <c r="B526" s="44"/>
      <c r="D526" s="44"/>
      <c r="F526" s="44"/>
      <c r="H526" s="44"/>
      <c r="J526" s="44"/>
      <c r="K526" s="32"/>
      <c r="L526" s="44"/>
      <c r="M526" s="32"/>
      <c r="N526" s="44"/>
      <c r="O526" s="32"/>
      <c r="P526" s="32"/>
      <c r="Q526" s="44"/>
      <c r="S526" s="44"/>
      <c r="U526" s="44"/>
      <c r="V526" s="47"/>
      <c r="W526" s="44"/>
      <c r="Y526" s="44"/>
      <c r="AA526" s="32"/>
    </row>
    <row r="527">
      <c r="A527" s="45"/>
      <c r="B527" s="44"/>
      <c r="D527" s="44"/>
      <c r="F527" s="44"/>
      <c r="H527" s="44"/>
      <c r="J527" s="44"/>
      <c r="K527" s="32"/>
      <c r="L527" s="44"/>
      <c r="M527" s="32"/>
      <c r="N527" s="44"/>
      <c r="O527" s="32"/>
      <c r="P527" s="32"/>
      <c r="Q527" s="44"/>
      <c r="S527" s="44"/>
      <c r="U527" s="44"/>
      <c r="V527" s="47"/>
      <c r="W527" s="44"/>
      <c r="Y527" s="44"/>
      <c r="AA527" s="32"/>
    </row>
    <row r="528">
      <c r="A528" s="45"/>
      <c r="B528" s="44"/>
      <c r="D528" s="44"/>
      <c r="F528" s="44"/>
      <c r="H528" s="44"/>
      <c r="J528" s="44"/>
      <c r="K528" s="32"/>
      <c r="L528" s="44"/>
      <c r="M528" s="32"/>
      <c r="N528" s="44"/>
      <c r="O528" s="32"/>
      <c r="P528" s="32"/>
      <c r="Q528" s="44"/>
      <c r="S528" s="44"/>
      <c r="U528" s="44"/>
      <c r="V528" s="47"/>
      <c r="W528" s="44"/>
      <c r="Y528" s="44"/>
      <c r="AA528" s="32"/>
    </row>
    <row r="529">
      <c r="A529" s="45"/>
      <c r="B529" s="44"/>
      <c r="D529" s="44"/>
      <c r="F529" s="44"/>
      <c r="H529" s="44"/>
      <c r="J529" s="44"/>
      <c r="K529" s="32"/>
      <c r="L529" s="44"/>
      <c r="M529" s="32"/>
      <c r="N529" s="44"/>
      <c r="O529" s="32"/>
      <c r="P529" s="32"/>
      <c r="Q529" s="44"/>
      <c r="S529" s="44"/>
      <c r="U529" s="44"/>
      <c r="V529" s="47"/>
      <c r="W529" s="44"/>
      <c r="Y529" s="44"/>
      <c r="AA529" s="32"/>
    </row>
    <row r="530">
      <c r="A530" s="45"/>
      <c r="B530" s="44"/>
      <c r="D530" s="44"/>
      <c r="F530" s="44"/>
      <c r="H530" s="44"/>
      <c r="J530" s="44"/>
      <c r="K530" s="32"/>
      <c r="L530" s="44"/>
      <c r="M530" s="32"/>
      <c r="N530" s="44"/>
      <c r="O530" s="32"/>
      <c r="P530" s="32"/>
      <c r="Q530" s="44"/>
      <c r="S530" s="44"/>
      <c r="U530" s="44"/>
      <c r="V530" s="47"/>
      <c r="W530" s="44"/>
      <c r="Y530" s="44"/>
      <c r="AA530" s="32"/>
    </row>
    <row r="531">
      <c r="A531" s="45"/>
      <c r="B531" s="44"/>
      <c r="D531" s="44"/>
      <c r="F531" s="44"/>
      <c r="H531" s="44"/>
      <c r="J531" s="44"/>
      <c r="K531" s="32"/>
      <c r="L531" s="44"/>
      <c r="M531" s="32"/>
      <c r="N531" s="44"/>
      <c r="O531" s="32"/>
      <c r="P531" s="32"/>
      <c r="Q531" s="44"/>
      <c r="S531" s="44"/>
      <c r="U531" s="44"/>
      <c r="V531" s="47"/>
      <c r="W531" s="44"/>
      <c r="Y531" s="44"/>
      <c r="AA531" s="32"/>
    </row>
    <row r="532">
      <c r="A532" s="45"/>
      <c r="B532" s="44"/>
      <c r="D532" s="44"/>
      <c r="F532" s="44"/>
      <c r="H532" s="44"/>
      <c r="J532" s="44"/>
      <c r="K532" s="32"/>
      <c r="L532" s="44"/>
      <c r="M532" s="32"/>
      <c r="N532" s="44"/>
      <c r="O532" s="32"/>
      <c r="P532" s="32"/>
      <c r="Q532" s="44"/>
      <c r="S532" s="44"/>
      <c r="U532" s="44"/>
      <c r="V532" s="47"/>
      <c r="W532" s="44"/>
      <c r="Y532" s="44"/>
      <c r="AA532" s="32"/>
    </row>
    <row r="533">
      <c r="A533" s="45"/>
      <c r="B533" s="44"/>
      <c r="D533" s="44"/>
      <c r="F533" s="44"/>
      <c r="H533" s="44"/>
      <c r="J533" s="44"/>
      <c r="K533" s="32"/>
      <c r="L533" s="44"/>
      <c r="M533" s="32"/>
      <c r="N533" s="44"/>
      <c r="O533" s="32"/>
      <c r="P533" s="32"/>
      <c r="Q533" s="44"/>
      <c r="S533" s="44"/>
      <c r="U533" s="44"/>
      <c r="V533" s="47"/>
      <c r="W533" s="44"/>
      <c r="Y533" s="44"/>
      <c r="AA533" s="32"/>
    </row>
    <row r="534">
      <c r="A534" s="45"/>
      <c r="B534" s="44"/>
      <c r="D534" s="44"/>
      <c r="F534" s="44"/>
      <c r="H534" s="44"/>
      <c r="J534" s="44"/>
      <c r="K534" s="32"/>
      <c r="L534" s="44"/>
      <c r="M534" s="32"/>
      <c r="N534" s="44"/>
      <c r="O534" s="32"/>
      <c r="P534" s="32"/>
      <c r="Q534" s="44"/>
      <c r="S534" s="44"/>
      <c r="U534" s="44"/>
      <c r="V534" s="47"/>
      <c r="W534" s="44"/>
      <c r="Y534" s="44"/>
      <c r="AA534" s="32"/>
    </row>
    <row r="535">
      <c r="A535" s="45"/>
      <c r="B535" s="44"/>
      <c r="D535" s="44"/>
      <c r="F535" s="44"/>
      <c r="H535" s="44"/>
      <c r="J535" s="44"/>
      <c r="K535" s="32"/>
      <c r="L535" s="44"/>
      <c r="M535" s="32"/>
      <c r="N535" s="44"/>
      <c r="O535" s="32"/>
      <c r="P535" s="32"/>
      <c r="Q535" s="44"/>
      <c r="S535" s="44"/>
      <c r="U535" s="44"/>
      <c r="V535" s="47"/>
      <c r="W535" s="44"/>
      <c r="Y535" s="44"/>
      <c r="AA535" s="32"/>
    </row>
    <row r="536">
      <c r="A536" s="45"/>
      <c r="B536" s="44"/>
      <c r="D536" s="44"/>
      <c r="F536" s="44"/>
      <c r="H536" s="44"/>
      <c r="J536" s="44"/>
      <c r="K536" s="32"/>
      <c r="L536" s="44"/>
      <c r="M536" s="32"/>
      <c r="N536" s="44"/>
      <c r="O536" s="32"/>
      <c r="P536" s="32"/>
      <c r="Q536" s="44"/>
      <c r="S536" s="44"/>
      <c r="U536" s="44"/>
      <c r="V536" s="47"/>
      <c r="W536" s="44"/>
      <c r="Y536" s="44"/>
      <c r="AA536" s="32"/>
    </row>
    <row r="537">
      <c r="A537" s="45"/>
      <c r="B537" s="44"/>
      <c r="D537" s="44"/>
      <c r="F537" s="44"/>
      <c r="H537" s="44"/>
      <c r="J537" s="44"/>
      <c r="K537" s="32"/>
      <c r="L537" s="44"/>
      <c r="M537" s="32"/>
      <c r="N537" s="44"/>
      <c r="O537" s="32"/>
      <c r="P537" s="32"/>
      <c r="Q537" s="44"/>
      <c r="S537" s="44"/>
      <c r="U537" s="44"/>
      <c r="V537" s="47"/>
      <c r="W537" s="44"/>
      <c r="Y537" s="44"/>
      <c r="AA537" s="32"/>
    </row>
    <row r="538">
      <c r="A538" s="45"/>
      <c r="B538" s="44"/>
      <c r="D538" s="44"/>
      <c r="F538" s="44"/>
      <c r="H538" s="44"/>
      <c r="J538" s="44"/>
      <c r="K538" s="32"/>
      <c r="L538" s="44"/>
      <c r="M538" s="32"/>
      <c r="N538" s="44"/>
      <c r="O538" s="32"/>
      <c r="P538" s="32"/>
      <c r="Q538" s="44"/>
      <c r="S538" s="44"/>
      <c r="U538" s="44"/>
      <c r="V538" s="47"/>
      <c r="W538" s="44"/>
      <c r="Y538" s="44"/>
      <c r="AA538" s="32"/>
    </row>
    <row r="539">
      <c r="A539" s="45"/>
      <c r="B539" s="44"/>
      <c r="D539" s="44"/>
      <c r="F539" s="44"/>
      <c r="H539" s="44"/>
      <c r="J539" s="44"/>
      <c r="K539" s="32"/>
      <c r="L539" s="44"/>
      <c r="M539" s="32"/>
      <c r="N539" s="44"/>
      <c r="O539" s="32"/>
      <c r="P539" s="32"/>
      <c r="Q539" s="44"/>
      <c r="S539" s="44"/>
      <c r="U539" s="44"/>
      <c r="V539" s="47"/>
      <c r="W539" s="44"/>
      <c r="Y539" s="44"/>
      <c r="AA539" s="32"/>
    </row>
    <row r="540">
      <c r="A540" s="45"/>
      <c r="B540" s="44"/>
      <c r="D540" s="44"/>
      <c r="F540" s="44"/>
      <c r="H540" s="44"/>
      <c r="J540" s="44"/>
      <c r="K540" s="32"/>
      <c r="L540" s="44"/>
      <c r="M540" s="32"/>
      <c r="N540" s="44"/>
      <c r="O540" s="32"/>
      <c r="P540" s="32"/>
      <c r="Q540" s="44"/>
      <c r="S540" s="44"/>
      <c r="U540" s="44"/>
      <c r="V540" s="47"/>
      <c r="W540" s="44"/>
      <c r="Y540" s="44"/>
      <c r="AA540" s="32"/>
    </row>
    <row r="541">
      <c r="A541" s="45"/>
      <c r="B541" s="44"/>
      <c r="D541" s="44"/>
      <c r="F541" s="44"/>
      <c r="H541" s="44"/>
      <c r="J541" s="44"/>
      <c r="K541" s="32"/>
      <c r="L541" s="44"/>
      <c r="M541" s="32"/>
      <c r="N541" s="44"/>
      <c r="O541" s="32"/>
      <c r="P541" s="32"/>
      <c r="Q541" s="44"/>
      <c r="S541" s="44"/>
      <c r="U541" s="44"/>
      <c r="V541" s="47"/>
      <c r="W541" s="44"/>
      <c r="Y541" s="44"/>
      <c r="AA541" s="32"/>
    </row>
    <row r="542">
      <c r="A542" s="45"/>
      <c r="B542" s="44"/>
      <c r="D542" s="44"/>
      <c r="F542" s="44"/>
      <c r="H542" s="44"/>
      <c r="J542" s="44"/>
      <c r="K542" s="32"/>
      <c r="L542" s="44"/>
      <c r="M542" s="32"/>
      <c r="N542" s="44"/>
      <c r="O542" s="32"/>
      <c r="P542" s="32"/>
      <c r="Q542" s="44"/>
      <c r="S542" s="44"/>
      <c r="U542" s="44"/>
      <c r="V542" s="47"/>
      <c r="W542" s="44"/>
      <c r="Y542" s="44"/>
      <c r="AA542" s="32"/>
    </row>
    <row r="543">
      <c r="A543" s="45"/>
      <c r="B543" s="44"/>
      <c r="D543" s="44"/>
      <c r="F543" s="44"/>
      <c r="H543" s="44"/>
      <c r="J543" s="44"/>
      <c r="K543" s="32"/>
      <c r="L543" s="44"/>
      <c r="M543" s="32"/>
      <c r="N543" s="44"/>
      <c r="O543" s="32"/>
      <c r="P543" s="32"/>
      <c r="Q543" s="44"/>
      <c r="S543" s="44"/>
      <c r="U543" s="44"/>
      <c r="V543" s="47"/>
      <c r="W543" s="44"/>
      <c r="Y543" s="44"/>
      <c r="AA543" s="32"/>
    </row>
    <row r="544">
      <c r="A544" s="45"/>
      <c r="B544" s="44"/>
      <c r="D544" s="44"/>
      <c r="F544" s="44"/>
      <c r="H544" s="44"/>
      <c r="J544" s="44"/>
      <c r="K544" s="32"/>
      <c r="L544" s="44"/>
      <c r="M544" s="32"/>
      <c r="N544" s="44"/>
      <c r="O544" s="32"/>
      <c r="P544" s="32"/>
      <c r="Q544" s="44"/>
      <c r="S544" s="44"/>
      <c r="U544" s="44"/>
      <c r="V544" s="47"/>
      <c r="W544" s="44"/>
      <c r="Y544" s="44"/>
      <c r="AA544" s="32"/>
    </row>
    <row r="545">
      <c r="A545" s="45"/>
      <c r="B545" s="44"/>
      <c r="D545" s="44"/>
      <c r="F545" s="44"/>
      <c r="H545" s="44"/>
      <c r="J545" s="44"/>
      <c r="K545" s="32"/>
      <c r="L545" s="44"/>
      <c r="M545" s="32"/>
      <c r="N545" s="44"/>
      <c r="O545" s="32"/>
      <c r="P545" s="32"/>
      <c r="Q545" s="44"/>
      <c r="S545" s="44"/>
      <c r="U545" s="44"/>
      <c r="V545" s="47"/>
      <c r="W545" s="44"/>
      <c r="Y545" s="44"/>
      <c r="AA545" s="32"/>
    </row>
    <row r="546">
      <c r="A546" s="45"/>
      <c r="B546" s="44"/>
      <c r="D546" s="44"/>
      <c r="F546" s="44"/>
      <c r="H546" s="44"/>
      <c r="J546" s="44"/>
      <c r="K546" s="32"/>
      <c r="L546" s="44"/>
      <c r="M546" s="32"/>
      <c r="N546" s="44"/>
      <c r="O546" s="32"/>
      <c r="P546" s="32"/>
      <c r="Q546" s="44"/>
      <c r="S546" s="44"/>
      <c r="U546" s="44"/>
      <c r="V546" s="47"/>
      <c r="W546" s="44"/>
      <c r="Y546" s="44"/>
      <c r="AA546" s="32"/>
    </row>
    <row r="547">
      <c r="A547" s="45"/>
      <c r="B547" s="44"/>
      <c r="D547" s="44"/>
      <c r="F547" s="44"/>
      <c r="H547" s="44"/>
      <c r="J547" s="44"/>
      <c r="K547" s="32"/>
      <c r="L547" s="44"/>
      <c r="M547" s="32"/>
      <c r="N547" s="44"/>
      <c r="O547" s="32"/>
      <c r="P547" s="32"/>
      <c r="Q547" s="44"/>
      <c r="S547" s="44"/>
      <c r="U547" s="44"/>
      <c r="V547" s="47"/>
      <c r="W547" s="44"/>
      <c r="Y547" s="44"/>
      <c r="AA547" s="32"/>
    </row>
    <row r="548">
      <c r="A548" s="45"/>
      <c r="B548" s="44"/>
      <c r="D548" s="44"/>
      <c r="F548" s="44"/>
      <c r="H548" s="44"/>
      <c r="J548" s="44"/>
      <c r="K548" s="32"/>
      <c r="L548" s="44"/>
      <c r="M548" s="32"/>
      <c r="N548" s="44"/>
      <c r="O548" s="32"/>
      <c r="P548" s="32"/>
      <c r="Q548" s="44"/>
      <c r="S548" s="44"/>
      <c r="U548" s="44"/>
      <c r="V548" s="47"/>
      <c r="W548" s="44"/>
      <c r="Y548" s="44"/>
      <c r="AA548" s="32"/>
    </row>
    <row r="549">
      <c r="A549" s="45"/>
      <c r="B549" s="44"/>
      <c r="D549" s="44"/>
      <c r="F549" s="44"/>
      <c r="H549" s="44"/>
      <c r="J549" s="44"/>
      <c r="K549" s="32"/>
      <c r="L549" s="44"/>
      <c r="M549" s="32"/>
      <c r="N549" s="44"/>
      <c r="O549" s="32"/>
      <c r="P549" s="32"/>
      <c r="Q549" s="44"/>
      <c r="S549" s="44"/>
      <c r="U549" s="44"/>
      <c r="V549" s="47"/>
      <c r="W549" s="44"/>
      <c r="Y549" s="44"/>
      <c r="AA549" s="32"/>
    </row>
    <row r="550">
      <c r="A550" s="45"/>
      <c r="B550" s="44"/>
      <c r="D550" s="44"/>
      <c r="F550" s="44"/>
      <c r="H550" s="44"/>
      <c r="J550" s="44"/>
      <c r="K550" s="32"/>
      <c r="L550" s="44"/>
      <c r="M550" s="32"/>
      <c r="N550" s="44"/>
      <c r="O550" s="32"/>
      <c r="P550" s="32"/>
      <c r="Q550" s="44"/>
      <c r="S550" s="44"/>
      <c r="U550" s="44"/>
      <c r="V550" s="47"/>
      <c r="W550" s="44"/>
      <c r="Y550" s="44"/>
      <c r="AA550" s="32"/>
    </row>
    <row r="551">
      <c r="A551" s="45"/>
      <c r="B551" s="44"/>
      <c r="D551" s="44"/>
      <c r="F551" s="44"/>
      <c r="H551" s="44"/>
      <c r="J551" s="44"/>
      <c r="K551" s="32"/>
      <c r="L551" s="44"/>
      <c r="M551" s="32"/>
      <c r="N551" s="44"/>
      <c r="O551" s="32"/>
      <c r="P551" s="32"/>
      <c r="Q551" s="44"/>
      <c r="S551" s="44"/>
      <c r="U551" s="44"/>
      <c r="V551" s="47"/>
      <c r="W551" s="44"/>
      <c r="Y551" s="44"/>
      <c r="AA551" s="32"/>
    </row>
    <row r="552">
      <c r="A552" s="45"/>
      <c r="B552" s="44"/>
      <c r="D552" s="44"/>
      <c r="F552" s="44"/>
      <c r="H552" s="44"/>
      <c r="J552" s="44"/>
      <c r="K552" s="32"/>
      <c r="L552" s="44"/>
      <c r="M552" s="32"/>
      <c r="N552" s="44"/>
      <c r="O552" s="32"/>
      <c r="P552" s="32"/>
      <c r="Q552" s="44"/>
      <c r="S552" s="44"/>
      <c r="U552" s="44"/>
      <c r="V552" s="47"/>
      <c r="W552" s="44"/>
      <c r="Y552" s="44"/>
      <c r="AA552" s="32"/>
    </row>
    <row r="553">
      <c r="A553" s="45"/>
      <c r="B553" s="44"/>
      <c r="D553" s="44"/>
      <c r="F553" s="44"/>
      <c r="H553" s="44"/>
      <c r="J553" s="44"/>
      <c r="K553" s="32"/>
      <c r="L553" s="44"/>
      <c r="M553" s="32"/>
      <c r="N553" s="44"/>
      <c r="O553" s="32"/>
      <c r="P553" s="32"/>
      <c r="Q553" s="44"/>
      <c r="S553" s="44"/>
      <c r="U553" s="44"/>
      <c r="V553" s="47"/>
      <c r="W553" s="44"/>
      <c r="Y553" s="44"/>
      <c r="AA553" s="32"/>
    </row>
    <row r="554">
      <c r="A554" s="45"/>
      <c r="B554" s="44"/>
      <c r="D554" s="44"/>
      <c r="F554" s="44"/>
      <c r="H554" s="44"/>
      <c r="J554" s="44"/>
      <c r="K554" s="32"/>
      <c r="L554" s="44"/>
      <c r="M554" s="32"/>
      <c r="N554" s="44"/>
      <c r="O554" s="32"/>
      <c r="P554" s="32"/>
      <c r="Q554" s="44"/>
      <c r="S554" s="44"/>
      <c r="U554" s="44"/>
      <c r="V554" s="47"/>
      <c r="W554" s="44"/>
      <c r="Y554" s="44"/>
      <c r="AA554" s="32"/>
    </row>
    <row r="555">
      <c r="A555" s="45"/>
      <c r="B555" s="44"/>
      <c r="D555" s="44"/>
      <c r="F555" s="44"/>
      <c r="H555" s="44"/>
      <c r="J555" s="44"/>
      <c r="K555" s="32"/>
      <c r="L555" s="44"/>
      <c r="M555" s="32"/>
      <c r="N555" s="44"/>
      <c r="O555" s="32"/>
      <c r="P555" s="32"/>
      <c r="Q555" s="44"/>
      <c r="S555" s="44"/>
      <c r="U555" s="44"/>
      <c r="V555" s="47"/>
      <c r="W555" s="44"/>
      <c r="Y555" s="44"/>
      <c r="AA555" s="32"/>
    </row>
    <row r="556">
      <c r="A556" s="45"/>
      <c r="B556" s="44"/>
      <c r="D556" s="44"/>
      <c r="F556" s="44"/>
      <c r="H556" s="44"/>
      <c r="J556" s="44"/>
      <c r="K556" s="32"/>
      <c r="L556" s="44"/>
      <c r="M556" s="32"/>
      <c r="N556" s="44"/>
      <c r="O556" s="32"/>
      <c r="P556" s="32"/>
      <c r="Q556" s="44"/>
      <c r="S556" s="44"/>
      <c r="U556" s="44"/>
      <c r="V556" s="47"/>
      <c r="W556" s="44"/>
      <c r="Y556" s="44"/>
      <c r="AA556" s="32"/>
    </row>
    <row r="557">
      <c r="A557" s="45"/>
      <c r="B557" s="44"/>
      <c r="D557" s="44"/>
      <c r="F557" s="44"/>
      <c r="H557" s="44"/>
      <c r="J557" s="44"/>
      <c r="K557" s="32"/>
      <c r="L557" s="44"/>
      <c r="M557" s="32"/>
      <c r="N557" s="44"/>
      <c r="O557" s="32"/>
      <c r="P557" s="32"/>
      <c r="Q557" s="44"/>
      <c r="S557" s="44"/>
      <c r="U557" s="44"/>
      <c r="V557" s="47"/>
      <c r="W557" s="44"/>
      <c r="Y557" s="44"/>
      <c r="AA557" s="32"/>
    </row>
    <row r="558">
      <c r="A558" s="45"/>
      <c r="B558" s="44"/>
      <c r="D558" s="44"/>
      <c r="F558" s="44"/>
      <c r="H558" s="44"/>
      <c r="J558" s="44"/>
      <c r="K558" s="32"/>
      <c r="L558" s="44"/>
      <c r="M558" s="32"/>
      <c r="N558" s="44"/>
      <c r="O558" s="32"/>
      <c r="P558" s="32"/>
      <c r="Q558" s="44"/>
      <c r="S558" s="44"/>
      <c r="U558" s="44"/>
      <c r="V558" s="47"/>
      <c r="W558" s="44"/>
      <c r="Y558" s="44"/>
      <c r="AA558" s="32"/>
    </row>
    <row r="559">
      <c r="A559" s="45"/>
      <c r="B559" s="44"/>
      <c r="D559" s="44"/>
      <c r="F559" s="44"/>
      <c r="H559" s="44"/>
      <c r="J559" s="44"/>
      <c r="K559" s="32"/>
      <c r="L559" s="44"/>
      <c r="M559" s="32"/>
      <c r="N559" s="44"/>
      <c r="O559" s="32"/>
      <c r="P559" s="32"/>
      <c r="Q559" s="44"/>
      <c r="S559" s="44"/>
      <c r="U559" s="44"/>
      <c r="V559" s="47"/>
      <c r="W559" s="44"/>
      <c r="Y559" s="44"/>
      <c r="AA559" s="32"/>
    </row>
    <row r="560">
      <c r="A560" s="45"/>
      <c r="B560" s="44"/>
      <c r="D560" s="44"/>
      <c r="F560" s="44"/>
      <c r="H560" s="44"/>
      <c r="J560" s="44"/>
      <c r="K560" s="32"/>
      <c r="L560" s="44"/>
      <c r="M560" s="32"/>
      <c r="N560" s="44"/>
      <c r="O560" s="32"/>
      <c r="P560" s="32"/>
      <c r="Q560" s="44"/>
      <c r="S560" s="44"/>
      <c r="U560" s="44"/>
      <c r="V560" s="47"/>
      <c r="W560" s="44"/>
      <c r="Y560" s="44"/>
      <c r="AA560" s="32"/>
    </row>
    <row r="561">
      <c r="A561" s="45"/>
      <c r="B561" s="44"/>
      <c r="D561" s="44"/>
      <c r="F561" s="44"/>
      <c r="H561" s="44"/>
      <c r="J561" s="44"/>
      <c r="K561" s="32"/>
      <c r="L561" s="44"/>
      <c r="M561" s="32"/>
      <c r="N561" s="44"/>
      <c r="O561" s="32"/>
      <c r="P561" s="32"/>
      <c r="Q561" s="44"/>
      <c r="S561" s="44"/>
      <c r="U561" s="44"/>
      <c r="V561" s="47"/>
      <c r="W561" s="44"/>
      <c r="Y561" s="44"/>
      <c r="AA561" s="32"/>
    </row>
    <row r="562">
      <c r="A562" s="45"/>
      <c r="B562" s="44"/>
      <c r="D562" s="44"/>
      <c r="F562" s="44"/>
      <c r="H562" s="44"/>
      <c r="J562" s="44"/>
      <c r="K562" s="32"/>
      <c r="L562" s="44"/>
      <c r="M562" s="32"/>
      <c r="N562" s="44"/>
      <c r="O562" s="32"/>
      <c r="P562" s="32"/>
      <c r="Q562" s="44"/>
      <c r="S562" s="44"/>
      <c r="U562" s="44"/>
      <c r="V562" s="47"/>
      <c r="W562" s="44"/>
      <c r="Y562" s="44"/>
      <c r="AA562" s="32"/>
    </row>
    <row r="563">
      <c r="A563" s="45"/>
      <c r="B563" s="44"/>
      <c r="D563" s="44"/>
      <c r="F563" s="44"/>
      <c r="H563" s="44"/>
      <c r="J563" s="44"/>
      <c r="K563" s="32"/>
      <c r="L563" s="44"/>
      <c r="M563" s="32"/>
      <c r="N563" s="44"/>
      <c r="O563" s="32"/>
      <c r="P563" s="32"/>
      <c r="Q563" s="44"/>
      <c r="S563" s="44"/>
      <c r="U563" s="44"/>
      <c r="V563" s="47"/>
      <c r="W563" s="44"/>
      <c r="Y563" s="44"/>
      <c r="AA563" s="32"/>
    </row>
    <row r="564">
      <c r="A564" s="45"/>
      <c r="B564" s="44"/>
      <c r="D564" s="44"/>
      <c r="F564" s="44"/>
      <c r="H564" s="44"/>
      <c r="J564" s="44"/>
      <c r="K564" s="32"/>
      <c r="L564" s="44"/>
      <c r="M564" s="32"/>
      <c r="N564" s="44"/>
      <c r="O564" s="32"/>
      <c r="P564" s="32"/>
      <c r="Q564" s="44"/>
      <c r="S564" s="44"/>
      <c r="U564" s="44"/>
      <c r="V564" s="47"/>
      <c r="W564" s="44"/>
      <c r="Y564" s="44"/>
      <c r="AA564" s="32"/>
    </row>
    <row r="565">
      <c r="A565" s="45"/>
      <c r="B565" s="44"/>
      <c r="D565" s="44"/>
      <c r="F565" s="44"/>
      <c r="H565" s="44"/>
      <c r="J565" s="44"/>
      <c r="K565" s="32"/>
      <c r="L565" s="44"/>
      <c r="M565" s="32"/>
      <c r="N565" s="44"/>
      <c r="O565" s="32"/>
      <c r="P565" s="32"/>
      <c r="Q565" s="44"/>
      <c r="S565" s="44"/>
      <c r="U565" s="44"/>
      <c r="V565" s="47"/>
      <c r="W565" s="44"/>
      <c r="Y565" s="44"/>
      <c r="AA565" s="32"/>
    </row>
    <row r="566">
      <c r="A566" s="45"/>
      <c r="B566" s="44"/>
      <c r="D566" s="44"/>
      <c r="F566" s="44"/>
      <c r="H566" s="44"/>
      <c r="J566" s="44"/>
      <c r="K566" s="32"/>
      <c r="L566" s="44"/>
      <c r="M566" s="32"/>
      <c r="N566" s="44"/>
      <c r="O566" s="32"/>
      <c r="P566" s="32"/>
      <c r="Q566" s="44"/>
      <c r="S566" s="44"/>
      <c r="U566" s="44"/>
      <c r="V566" s="47"/>
      <c r="W566" s="44"/>
      <c r="Y566" s="44"/>
      <c r="AA566" s="32"/>
    </row>
    <row r="567">
      <c r="A567" s="45"/>
      <c r="B567" s="44"/>
      <c r="D567" s="44"/>
      <c r="F567" s="44"/>
      <c r="H567" s="44"/>
      <c r="J567" s="44"/>
      <c r="K567" s="32"/>
      <c r="L567" s="44"/>
      <c r="M567" s="32"/>
      <c r="N567" s="44"/>
      <c r="O567" s="32"/>
      <c r="P567" s="32"/>
      <c r="Q567" s="44"/>
      <c r="S567" s="44"/>
      <c r="U567" s="44"/>
      <c r="V567" s="47"/>
      <c r="W567" s="44"/>
      <c r="Y567" s="44"/>
      <c r="AA567" s="32"/>
    </row>
    <row r="568">
      <c r="A568" s="45"/>
      <c r="B568" s="44"/>
      <c r="D568" s="44"/>
      <c r="F568" s="44"/>
      <c r="H568" s="44"/>
      <c r="J568" s="44"/>
      <c r="K568" s="32"/>
      <c r="L568" s="44"/>
      <c r="M568" s="32"/>
      <c r="N568" s="44"/>
      <c r="O568" s="32"/>
      <c r="P568" s="32"/>
      <c r="Q568" s="44"/>
      <c r="S568" s="44"/>
      <c r="U568" s="44"/>
      <c r="V568" s="47"/>
      <c r="W568" s="44"/>
      <c r="Y568" s="44"/>
      <c r="AA568" s="32"/>
    </row>
    <row r="569">
      <c r="A569" s="45"/>
      <c r="B569" s="44"/>
      <c r="D569" s="44"/>
      <c r="F569" s="44"/>
      <c r="H569" s="44"/>
      <c r="J569" s="44"/>
      <c r="K569" s="32"/>
      <c r="L569" s="44"/>
      <c r="M569" s="32"/>
      <c r="N569" s="44"/>
      <c r="O569" s="32"/>
      <c r="P569" s="32"/>
      <c r="Q569" s="44"/>
      <c r="S569" s="44"/>
      <c r="U569" s="44"/>
      <c r="V569" s="47"/>
      <c r="W569" s="44"/>
      <c r="Y569" s="44"/>
      <c r="AA569" s="32"/>
    </row>
    <row r="570">
      <c r="A570" s="45"/>
      <c r="B570" s="44"/>
      <c r="D570" s="44"/>
      <c r="F570" s="44"/>
      <c r="H570" s="44"/>
      <c r="J570" s="44"/>
      <c r="K570" s="32"/>
      <c r="L570" s="44"/>
      <c r="M570" s="32"/>
      <c r="N570" s="44"/>
      <c r="O570" s="32"/>
      <c r="P570" s="32"/>
      <c r="Q570" s="44"/>
      <c r="S570" s="44"/>
      <c r="U570" s="44"/>
      <c r="V570" s="47"/>
      <c r="W570" s="44"/>
      <c r="Y570" s="44"/>
      <c r="AA570" s="32"/>
    </row>
    <row r="571">
      <c r="A571" s="45"/>
      <c r="B571" s="44"/>
      <c r="D571" s="44"/>
      <c r="F571" s="44"/>
      <c r="H571" s="44"/>
      <c r="J571" s="44"/>
      <c r="K571" s="32"/>
      <c r="L571" s="44"/>
      <c r="M571" s="32"/>
      <c r="N571" s="44"/>
      <c r="O571" s="32"/>
      <c r="P571" s="32"/>
      <c r="Q571" s="44"/>
      <c r="S571" s="44"/>
      <c r="U571" s="44"/>
      <c r="V571" s="47"/>
      <c r="W571" s="44"/>
      <c r="Y571" s="44"/>
      <c r="AA571" s="32"/>
    </row>
    <row r="572">
      <c r="A572" s="45"/>
      <c r="B572" s="44"/>
      <c r="D572" s="44"/>
      <c r="F572" s="44"/>
      <c r="H572" s="44"/>
      <c r="J572" s="44"/>
      <c r="K572" s="32"/>
      <c r="L572" s="44"/>
      <c r="M572" s="32"/>
      <c r="N572" s="44"/>
      <c r="O572" s="32"/>
      <c r="P572" s="32"/>
      <c r="Q572" s="44"/>
      <c r="S572" s="44"/>
      <c r="U572" s="44"/>
      <c r="V572" s="47"/>
      <c r="W572" s="44"/>
      <c r="Y572" s="44"/>
      <c r="AA572" s="32"/>
    </row>
    <row r="573">
      <c r="A573" s="45"/>
      <c r="B573" s="44"/>
      <c r="D573" s="44"/>
      <c r="F573" s="44"/>
      <c r="H573" s="44"/>
      <c r="J573" s="44"/>
      <c r="K573" s="32"/>
      <c r="L573" s="44"/>
      <c r="M573" s="32"/>
      <c r="N573" s="44"/>
      <c r="O573" s="32"/>
      <c r="P573" s="32"/>
      <c r="Q573" s="44"/>
      <c r="S573" s="44"/>
      <c r="U573" s="44"/>
      <c r="V573" s="47"/>
      <c r="W573" s="44"/>
      <c r="Y573" s="44"/>
      <c r="AA573" s="32"/>
    </row>
    <row r="574">
      <c r="A574" s="45"/>
      <c r="B574" s="44"/>
      <c r="D574" s="44"/>
      <c r="F574" s="44"/>
      <c r="H574" s="44"/>
      <c r="J574" s="44"/>
      <c r="K574" s="32"/>
      <c r="L574" s="44"/>
      <c r="M574" s="32"/>
      <c r="N574" s="44"/>
      <c r="O574" s="32"/>
      <c r="P574" s="32"/>
      <c r="Q574" s="44"/>
      <c r="S574" s="44"/>
      <c r="U574" s="44"/>
      <c r="V574" s="47"/>
      <c r="W574" s="44"/>
      <c r="Y574" s="44"/>
      <c r="AA574" s="32"/>
    </row>
    <row r="575">
      <c r="A575" s="45"/>
      <c r="B575" s="44"/>
      <c r="D575" s="44"/>
      <c r="F575" s="44"/>
      <c r="H575" s="44"/>
      <c r="J575" s="44"/>
      <c r="K575" s="32"/>
      <c r="L575" s="44"/>
      <c r="M575" s="32"/>
      <c r="N575" s="44"/>
      <c r="O575" s="32"/>
      <c r="P575" s="32"/>
      <c r="Q575" s="44"/>
      <c r="S575" s="44"/>
      <c r="U575" s="44"/>
      <c r="V575" s="47"/>
      <c r="W575" s="44"/>
      <c r="Y575" s="44"/>
      <c r="AA575" s="32"/>
    </row>
    <row r="576">
      <c r="A576" s="45"/>
      <c r="B576" s="44"/>
      <c r="D576" s="44"/>
      <c r="F576" s="44"/>
      <c r="H576" s="44"/>
      <c r="J576" s="44"/>
      <c r="K576" s="32"/>
      <c r="L576" s="44"/>
      <c r="M576" s="32"/>
      <c r="N576" s="44"/>
      <c r="O576" s="32"/>
      <c r="P576" s="32"/>
      <c r="Q576" s="44"/>
      <c r="S576" s="44"/>
      <c r="U576" s="44"/>
      <c r="V576" s="47"/>
      <c r="W576" s="44"/>
      <c r="Y576" s="44"/>
      <c r="AA576" s="32"/>
    </row>
    <row r="577">
      <c r="A577" s="45"/>
      <c r="B577" s="44"/>
      <c r="D577" s="44"/>
      <c r="F577" s="44"/>
      <c r="H577" s="44"/>
      <c r="J577" s="44"/>
      <c r="K577" s="32"/>
      <c r="L577" s="44"/>
      <c r="M577" s="32"/>
      <c r="N577" s="44"/>
      <c r="O577" s="32"/>
      <c r="P577" s="32"/>
      <c r="Q577" s="44"/>
      <c r="S577" s="44"/>
      <c r="U577" s="44"/>
      <c r="V577" s="47"/>
      <c r="W577" s="44"/>
      <c r="Y577" s="44"/>
      <c r="AA577" s="32"/>
    </row>
    <row r="578">
      <c r="A578" s="45"/>
      <c r="B578" s="44"/>
      <c r="D578" s="44"/>
      <c r="F578" s="44"/>
      <c r="H578" s="44"/>
      <c r="J578" s="44"/>
      <c r="K578" s="32"/>
      <c r="L578" s="44"/>
      <c r="M578" s="32"/>
      <c r="N578" s="44"/>
      <c r="O578" s="32"/>
      <c r="P578" s="32"/>
      <c r="Q578" s="44"/>
      <c r="S578" s="44"/>
      <c r="U578" s="44"/>
      <c r="V578" s="47"/>
      <c r="W578" s="44"/>
      <c r="Y578" s="44"/>
      <c r="AA578" s="32"/>
    </row>
    <row r="579">
      <c r="A579" s="45"/>
      <c r="B579" s="44"/>
      <c r="D579" s="44"/>
      <c r="F579" s="44"/>
      <c r="H579" s="44"/>
      <c r="J579" s="44"/>
      <c r="K579" s="32"/>
      <c r="L579" s="44"/>
      <c r="M579" s="32"/>
      <c r="N579" s="44"/>
      <c r="O579" s="32"/>
      <c r="P579" s="32"/>
      <c r="Q579" s="44"/>
      <c r="S579" s="44"/>
      <c r="U579" s="44"/>
      <c r="V579" s="47"/>
      <c r="W579" s="44"/>
      <c r="Y579" s="44"/>
      <c r="AA579" s="32"/>
    </row>
    <row r="580">
      <c r="A580" s="45"/>
      <c r="B580" s="44"/>
      <c r="D580" s="44"/>
      <c r="F580" s="44"/>
      <c r="H580" s="44"/>
      <c r="J580" s="44"/>
      <c r="K580" s="32"/>
      <c r="L580" s="44"/>
      <c r="M580" s="32"/>
      <c r="N580" s="44"/>
      <c r="O580" s="32"/>
      <c r="P580" s="32"/>
      <c r="Q580" s="44"/>
      <c r="S580" s="44"/>
      <c r="U580" s="44"/>
      <c r="V580" s="47"/>
      <c r="W580" s="44"/>
      <c r="Y580" s="44"/>
      <c r="AA580" s="32"/>
    </row>
    <row r="581">
      <c r="A581" s="45"/>
      <c r="B581" s="44"/>
      <c r="D581" s="44"/>
      <c r="F581" s="44"/>
      <c r="H581" s="44"/>
      <c r="J581" s="44"/>
      <c r="K581" s="32"/>
      <c r="L581" s="44"/>
      <c r="M581" s="32"/>
      <c r="N581" s="44"/>
      <c r="O581" s="32"/>
      <c r="P581" s="32"/>
      <c r="Q581" s="44"/>
      <c r="S581" s="44"/>
      <c r="U581" s="44"/>
      <c r="V581" s="47"/>
      <c r="W581" s="44"/>
      <c r="Y581" s="44"/>
      <c r="AA581" s="32"/>
    </row>
    <row r="582">
      <c r="A582" s="45"/>
      <c r="B582" s="44"/>
      <c r="D582" s="44"/>
      <c r="F582" s="44"/>
      <c r="H582" s="44"/>
      <c r="J582" s="44"/>
      <c r="K582" s="32"/>
      <c r="L582" s="44"/>
      <c r="M582" s="32"/>
      <c r="N582" s="44"/>
      <c r="O582" s="32"/>
      <c r="P582" s="32"/>
      <c r="Q582" s="44"/>
      <c r="S582" s="44"/>
      <c r="U582" s="44"/>
      <c r="V582" s="47"/>
      <c r="W582" s="44"/>
      <c r="Y582" s="44"/>
      <c r="AA582" s="32"/>
    </row>
    <row r="583">
      <c r="A583" s="45"/>
      <c r="B583" s="44"/>
      <c r="D583" s="44"/>
      <c r="F583" s="44"/>
      <c r="H583" s="44"/>
      <c r="J583" s="44"/>
      <c r="K583" s="32"/>
      <c r="L583" s="44"/>
      <c r="M583" s="32"/>
      <c r="N583" s="44"/>
      <c r="O583" s="32"/>
      <c r="P583" s="32"/>
      <c r="Q583" s="44"/>
      <c r="S583" s="44"/>
      <c r="U583" s="44"/>
      <c r="V583" s="47"/>
      <c r="W583" s="44"/>
      <c r="Y583" s="44"/>
      <c r="AA583" s="32"/>
    </row>
    <row r="584">
      <c r="A584" s="45"/>
      <c r="B584" s="44"/>
      <c r="D584" s="44"/>
      <c r="F584" s="44"/>
      <c r="H584" s="44"/>
      <c r="J584" s="44"/>
      <c r="K584" s="32"/>
      <c r="L584" s="44"/>
      <c r="M584" s="32"/>
      <c r="N584" s="44"/>
      <c r="O584" s="32"/>
      <c r="P584" s="32"/>
      <c r="Q584" s="44"/>
      <c r="S584" s="44"/>
      <c r="U584" s="44"/>
      <c r="V584" s="47"/>
      <c r="W584" s="44"/>
      <c r="Y584" s="44"/>
      <c r="AA584" s="32"/>
    </row>
    <row r="585">
      <c r="A585" s="45"/>
      <c r="B585" s="44"/>
      <c r="D585" s="44"/>
      <c r="F585" s="44"/>
      <c r="H585" s="44"/>
      <c r="J585" s="44"/>
      <c r="K585" s="32"/>
      <c r="L585" s="44"/>
      <c r="M585" s="32"/>
      <c r="N585" s="44"/>
      <c r="O585" s="32"/>
      <c r="P585" s="32"/>
      <c r="Q585" s="44"/>
      <c r="S585" s="44"/>
      <c r="U585" s="44"/>
      <c r="V585" s="47"/>
      <c r="W585" s="44"/>
      <c r="Y585" s="44"/>
      <c r="AA585" s="32"/>
    </row>
    <row r="586">
      <c r="A586" s="45"/>
      <c r="B586" s="44"/>
      <c r="D586" s="44"/>
      <c r="F586" s="44"/>
      <c r="H586" s="44"/>
      <c r="J586" s="44"/>
      <c r="K586" s="32"/>
      <c r="L586" s="44"/>
      <c r="M586" s="32"/>
      <c r="N586" s="44"/>
      <c r="O586" s="32"/>
      <c r="P586" s="32"/>
      <c r="Q586" s="44"/>
      <c r="S586" s="44"/>
      <c r="U586" s="44"/>
      <c r="V586" s="47"/>
      <c r="W586" s="44"/>
      <c r="Y586" s="44"/>
      <c r="AA586" s="32"/>
    </row>
    <row r="587">
      <c r="A587" s="45"/>
      <c r="B587" s="44"/>
      <c r="D587" s="44"/>
      <c r="F587" s="44"/>
      <c r="H587" s="44"/>
      <c r="J587" s="44"/>
      <c r="K587" s="32"/>
      <c r="L587" s="44"/>
      <c r="M587" s="32"/>
      <c r="N587" s="44"/>
      <c r="O587" s="32"/>
      <c r="P587" s="32"/>
      <c r="Q587" s="44"/>
      <c r="S587" s="44"/>
      <c r="U587" s="44"/>
      <c r="V587" s="47"/>
      <c r="W587" s="44"/>
      <c r="Y587" s="44"/>
      <c r="AA587" s="32"/>
    </row>
    <row r="588">
      <c r="A588" s="45"/>
      <c r="B588" s="44"/>
      <c r="D588" s="44"/>
      <c r="F588" s="44"/>
      <c r="H588" s="44"/>
      <c r="J588" s="44"/>
      <c r="K588" s="32"/>
      <c r="L588" s="44"/>
      <c r="M588" s="32"/>
      <c r="N588" s="44"/>
      <c r="O588" s="32"/>
      <c r="P588" s="32"/>
      <c r="Q588" s="44"/>
      <c r="S588" s="44"/>
      <c r="U588" s="44"/>
      <c r="V588" s="47"/>
      <c r="W588" s="44"/>
      <c r="Y588" s="44"/>
      <c r="AA588" s="32"/>
    </row>
    <row r="589">
      <c r="A589" s="45"/>
      <c r="B589" s="44"/>
      <c r="D589" s="44"/>
      <c r="F589" s="44"/>
      <c r="H589" s="44"/>
      <c r="J589" s="44"/>
      <c r="K589" s="32"/>
      <c r="L589" s="44"/>
      <c r="M589" s="32"/>
      <c r="N589" s="44"/>
      <c r="O589" s="32"/>
      <c r="P589" s="32"/>
      <c r="Q589" s="44"/>
      <c r="S589" s="44"/>
      <c r="U589" s="44"/>
      <c r="V589" s="47"/>
      <c r="W589" s="44"/>
      <c r="Y589" s="44"/>
      <c r="AA589" s="32"/>
    </row>
    <row r="590">
      <c r="A590" s="45"/>
      <c r="B590" s="44"/>
      <c r="D590" s="44"/>
      <c r="F590" s="44"/>
      <c r="H590" s="44"/>
      <c r="J590" s="44"/>
      <c r="K590" s="32"/>
      <c r="L590" s="44"/>
      <c r="M590" s="32"/>
      <c r="N590" s="44"/>
      <c r="O590" s="32"/>
      <c r="P590" s="32"/>
      <c r="Q590" s="44"/>
      <c r="S590" s="44"/>
      <c r="U590" s="44"/>
      <c r="V590" s="47"/>
      <c r="W590" s="44"/>
      <c r="Y590" s="44"/>
      <c r="AA590" s="32"/>
    </row>
    <row r="591">
      <c r="A591" s="45"/>
      <c r="B591" s="44"/>
      <c r="D591" s="44"/>
      <c r="F591" s="44"/>
      <c r="H591" s="44"/>
      <c r="J591" s="44"/>
      <c r="K591" s="32"/>
      <c r="L591" s="44"/>
      <c r="M591" s="32"/>
      <c r="N591" s="44"/>
      <c r="O591" s="32"/>
      <c r="P591" s="32"/>
      <c r="Q591" s="44"/>
      <c r="S591" s="44"/>
      <c r="U591" s="44"/>
      <c r="V591" s="47"/>
      <c r="W591" s="44"/>
      <c r="Y591" s="44"/>
      <c r="AA591" s="32"/>
    </row>
    <row r="592">
      <c r="A592" s="45"/>
      <c r="B592" s="44"/>
      <c r="D592" s="44"/>
      <c r="F592" s="44"/>
      <c r="H592" s="44"/>
      <c r="J592" s="44"/>
      <c r="K592" s="32"/>
      <c r="L592" s="44"/>
      <c r="M592" s="32"/>
      <c r="N592" s="44"/>
      <c r="O592" s="32"/>
      <c r="P592" s="32"/>
      <c r="Q592" s="44"/>
      <c r="S592" s="44"/>
      <c r="U592" s="44"/>
      <c r="V592" s="47"/>
      <c r="W592" s="44"/>
      <c r="Y592" s="44"/>
      <c r="AA592" s="32"/>
    </row>
    <row r="593">
      <c r="A593" s="45"/>
      <c r="B593" s="44"/>
      <c r="D593" s="44"/>
      <c r="F593" s="44"/>
      <c r="H593" s="44"/>
      <c r="J593" s="44"/>
      <c r="K593" s="32"/>
      <c r="L593" s="44"/>
      <c r="M593" s="32"/>
      <c r="N593" s="44"/>
      <c r="O593" s="32"/>
      <c r="P593" s="32"/>
      <c r="Q593" s="44"/>
      <c r="S593" s="44"/>
      <c r="U593" s="44"/>
      <c r="V593" s="47"/>
      <c r="W593" s="44"/>
      <c r="Y593" s="44"/>
      <c r="AA593" s="32"/>
    </row>
    <row r="594">
      <c r="A594" s="45"/>
      <c r="B594" s="44"/>
      <c r="D594" s="44"/>
      <c r="F594" s="44"/>
      <c r="H594" s="44"/>
      <c r="J594" s="44"/>
      <c r="K594" s="32"/>
      <c r="L594" s="44"/>
      <c r="M594" s="32"/>
      <c r="N594" s="44"/>
      <c r="O594" s="32"/>
      <c r="P594" s="32"/>
      <c r="Q594" s="44"/>
      <c r="S594" s="44"/>
      <c r="U594" s="44"/>
      <c r="V594" s="47"/>
      <c r="W594" s="44"/>
      <c r="Y594" s="44"/>
      <c r="AA594" s="32"/>
    </row>
    <row r="595">
      <c r="A595" s="45"/>
      <c r="B595" s="44"/>
      <c r="D595" s="44"/>
      <c r="F595" s="44"/>
      <c r="H595" s="44"/>
      <c r="J595" s="44"/>
      <c r="K595" s="32"/>
      <c r="L595" s="44"/>
      <c r="M595" s="32"/>
      <c r="N595" s="44"/>
      <c r="O595" s="32"/>
      <c r="P595" s="32"/>
      <c r="Q595" s="44"/>
      <c r="S595" s="44"/>
      <c r="U595" s="44"/>
      <c r="V595" s="47"/>
      <c r="W595" s="44"/>
      <c r="Y595" s="44"/>
      <c r="AA595" s="32"/>
    </row>
    <row r="596">
      <c r="A596" s="45"/>
      <c r="B596" s="44"/>
      <c r="D596" s="44"/>
      <c r="F596" s="44"/>
      <c r="H596" s="44"/>
      <c r="J596" s="44"/>
      <c r="K596" s="32"/>
      <c r="L596" s="44"/>
      <c r="M596" s="32"/>
      <c r="N596" s="44"/>
      <c r="O596" s="32"/>
      <c r="P596" s="32"/>
      <c r="Q596" s="44"/>
      <c r="S596" s="44"/>
      <c r="U596" s="44"/>
      <c r="V596" s="47"/>
      <c r="W596" s="44"/>
      <c r="Y596" s="44"/>
      <c r="AA596" s="32"/>
    </row>
    <row r="597">
      <c r="A597" s="45"/>
      <c r="B597" s="44"/>
      <c r="D597" s="44"/>
      <c r="F597" s="44"/>
      <c r="H597" s="44"/>
      <c r="J597" s="44"/>
      <c r="K597" s="32"/>
      <c r="L597" s="44"/>
      <c r="M597" s="32"/>
      <c r="N597" s="44"/>
      <c r="O597" s="32"/>
      <c r="P597" s="32"/>
      <c r="Q597" s="44"/>
      <c r="S597" s="44"/>
      <c r="U597" s="44"/>
      <c r="V597" s="47"/>
      <c r="W597" s="44"/>
      <c r="Y597" s="44"/>
      <c r="AA597" s="32"/>
    </row>
    <row r="598">
      <c r="A598" s="45"/>
      <c r="B598" s="44"/>
      <c r="D598" s="44"/>
      <c r="F598" s="44"/>
      <c r="H598" s="44"/>
      <c r="J598" s="44"/>
      <c r="K598" s="32"/>
      <c r="L598" s="44"/>
      <c r="M598" s="32"/>
      <c r="N598" s="44"/>
      <c r="O598" s="32"/>
      <c r="P598" s="32"/>
      <c r="Q598" s="44"/>
      <c r="S598" s="44"/>
      <c r="U598" s="44"/>
      <c r="V598" s="47"/>
      <c r="W598" s="44"/>
      <c r="Y598" s="44"/>
      <c r="AA598" s="32"/>
    </row>
    <row r="599">
      <c r="A599" s="45"/>
      <c r="B599" s="44"/>
      <c r="D599" s="44"/>
      <c r="F599" s="44"/>
      <c r="H599" s="44"/>
      <c r="J599" s="44"/>
      <c r="K599" s="32"/>
      <c r="L599" s="44"/>
      <c r="M599" s="32"/>
      <c r="N599" s="44"/>
      <c r="O599" s="32"/>
      <c r="P599" s="32"/>
      <c r="Q599" s="44"/>
      <c r="S599" s="44"/>
      <c r="U599" s="44"/>
      <c r="V599" s="47"/>
      <c r="W599" s="44"/>
      <c r="Y599" s="44"/>
      <c r="AA599" s="32"/>
    </row>
    <row r="600">
      <c r="A600" s="45"/>
      <c r="B600" s="44"/>
      <c r="D600" s="44"/>
      <c r="F600" s="44"/>
      <c r="H600" s="44"/>
      <c r="J600" s="44"/>
      <c r="K600" s="32"/>
      <c r="L600" s="44"/>
      <c r="M600" s="32"/>
      <c r="N600" s="44"/>
      <c r="O600" s="32"/>
      <c r="P600" s="32"/>
      <c r="Q600" s="44"/>
      <c r="S600" s="44"/>
      <c r="U600" s="44"/>
      <c r="V600" s="47"/>
      <c r="W600" s="44"/>
      <c r="Y600" s="44"/>
      <c r="AA600" s="32"/>
    </row>
    <row r="601">
      <c r="A601" s="45"/>
      <c r="B601" s="44"/>
      <c r="D601" s="44"/>
      <c r="F601" s="44"/>
      <c r="H601" s="44"/>
      <c r="J601" s="44"/>
      <c r="K601" s="32"/>
      <c r="L601" s="44"/>
      <c r="M601" s="32"/>
      <c r="N601" s="44"/>
      <c r="O601" s="32"/>
      <c r="P601" s="32"/>
      <c r="Q601" s="44"/>
      <c r="S601" s="44"/>
      <c r="U601" s="44"/>
      <c r="V601" s="47"/>
      <c r="W601" s="44"/>
      <c r="Y601" s="44"/>
      <c r="AA601" s="32"/>
    </row>
    <row r="602">
      <c r="A602" s="45"/>
      <c r="B602" s="44"/>
      <c r="D602" s="44"/>
      <c r="F602" s="44"/>
      <c r="H602" s="44"/>
      <c r="J602" s="44"/>
      <c r="K602" s="32"/>
      <c r="L602" s="44"/>
      <c r="M602" s="32"/>
      <c r="N602" s="44"/>
      <c r="O602" s="32"/>
      <c r="P602" s="32"/>
      <c r="Q602" s="44"/>
      <c r="S602" s="44"/>
      <c r="U602" s="44"/>
      <c r="V602" s="47"/>
      <c r="W602" s="44"/>
      <c r="Y602" s="44"/>
      <c r="AA602" s="32"/>
    </row>
    <row r="603">
      <c r="A603" s="45"/>
      <c r="B603" s="44"/>
      <c r="D603" s="44"/>
      <c r="F603" s="44"/>
      <c r="H603" s="44"/>
      <c r="J603" s="44"/>
      <c r="K603" s="32"/>
      <c r="L603" s="44"/>
      <c r="M603" s="32"/>
      <c r="N603" s="44"/>
      <c r="O603" s="32"/>
      <c r="P603" s="32"/>
      <c r="Q603" s="44"/>
      <c r="S603" s="44"/>
      <c r="U603" s="44"/>
      <c r="V603" s="47"/>
      <c r="W603" s="44"/>
      <c r="Y603" s="44"/>
      <c r="AA603" s="32"/>
    </row>
    <row r="604">
      <c r="A604" s="45"/>
      <c r="B604" s="44"/>
      <c r="D604" s="44"/>
      <c r="F604" s="44"/>
      <c r="H604" s="44"/>
      <c r="J604" s="44"/>
      <c r="K604" s="32"/>
      <c r="L604" s="44"/>
      <c r="M604" s="32"/>
      <c r="N604" s="44"/>
      <c r="O604" s="32"/>
      <c r="P604" s="32"/>
      <c r="Q604" s="44"/>
      <c r="S604" s="44"/>
      <c r="U604" s="44"/>
      <c r="V604" s="47"/>
      <c r="W604" s="44"/>
      <c r="Y604" s="44"/>
      <c r="AA604" s="32"/>
    </row>
    <row r="605">
      <c r="A605" s="45"/>
      <c r="B605" s="44"/>
      <c r="D605" s="44"/>
      <c r="F605" s="44"/>
      <c r="H605" s="44"/>
      <c r="J605" s="44"/>
      <c r="K605" s="32"/>
      <c r="L605" s="44"/>
      <c r="M605" s="32"/>
      <c r="N605" s="44"/>
      <c r="O605" s="32"/>
      <c r="P605" s="32"/>
      <c r="Q605" s="44"/>
      <c r="S605" s="44"/>
      <c r="U605" s="44"/>
      <c r="V605" s="47"/>
      <c r="W605" s="44"/>
      <c r="Y605" s="44"/>
      <c r="AA605" s="32"/>
    </row>
    <row r="606">
      <c r="A606" s="45"/>
      <c r="B606" s="44"/>
      <c r="D606" s="44"/>
      <c r="F606" s="44"/>
      <c r="H606" s="44"/>
      <c r="J606" s="44"/>
      <c r="K606" s="32"/>
      <c r="L606" s="44"/>
      <c r="M606" s="32"/>
      <c r="N606" s="44"/>
      <c r="O606" s="32"/>
      <c r="P606" s="32"/>
      <c r="Q606" s="44"/>
      <c r="S606" s="44"/>
      <c r="U606" s="44"/>
      <c r="V606" s="47"/>
      <c r="W606" s="44"/>
      <c r="Y606" s="44"/>
      <c r="AA606" s="32"/>
    </row>
    <row r="607">
      <c r="A607" s="45"/>
      <c r="B607" s="44"/>
      <c r="D607" s="44"/>
      <c r="F607" s="44"/>
      <c r="H607" s="44"/>
      <c r="J607" s="44"/>
      <c r="K607" s="32"/>
      <c r="L607" s="44"/>
      <c r="M607" s="32"/>
      <c r="N607" s="44"/>
      <c r="O607" s="32"/>
      <c r="P607" s="32"/>
      <c r="Q607" s="44"/>
      <c r="S607" s="44"/>
      <c r="U607" s="44"/>
      <c r="V607" s="47"/>
      <c r="W607" s="44"/>
      <c r="Y607" s="44"/>
      <c r="AA607" s="32"/>
    </row>
    <row r="608">
      <c r="A608" s="45"/>
      <c r="B608" s="44"/>
      <c r="D608" s="44"/>
      <c r="F608" s="44"/>
      <c r="H608" s="44"/>
      <c r="J608" s="44"/>
      <c r="K608" s="32"/>
      <c r="L608" s="44"/>
      <c r="M608" s="32"/>
      <c r="N608" s="44"/>
      <c r="O608" s="32"/>
      <c r="P608" s="32"/>
      <c r="Q608" s="44"/>
      <c r="S608" s="44"/>
      <c r="U608" s="44"/>
      <c r="V608" s="47"/>
      <c r="W608" s="44"/>
      <c r="Y608" s="44"/>
      <c r="AA608" s="32"/>
    </row>
    <row r="609">
      <c r="A609" s="45"/>
      <c r="B609" s="44"/>
      <c r="D609" s="44"/>
      <c r="F609" s="44"/>
      <c r="H609" s="44"/>
      <c r="J609" s="44"/>
      <c r="K609" s="32"/>
      <c r="L609" s="44"/>
      <c r="M609" s="32"/>
      <c r="N609" s="44"/>
      <c r="O609" s="32"/>
      <c r="P609" s="32"/>
      <c r="Q609" s="44"/>
      <c r="S609" s="44"/>
      <c r="U609" s="44"/>
      <c r="V609" s="47"/>
      <c r="W609" s="44"/>
      <c r="Y609" s="44"/>
      <c r="AA609" s="32"/>
    </row>
    <row r="610">
      <c r="A610" s="45"/>
      <c r="B610" s="44"/>
      <c r="D610" s="44"/>
      <c r="F610" s="44"/>
      <c r="H610" s="44"/>
      <c r="J610" s="44"/>
      <c r="K610" s="32"/>
      <c r="L610" s="44"/>
      <c r="M610" s="32"/>
      <c r="N610" s="44"/>
      <c r="O610" s="32"/>
      <c r="P610" s="32"/>
      <c r="Q610" s="44"/>
      <c r="S610" s="44"/>
      <c r="U610" s="44"/>
      <c r="V610" s="47"/>
      <c r="W610" s="44"/>
      <c r="Y610" s="44"/>
      <c r="AA610" s="32"/>
    </row>
    <row r="611">
      <c r="A611" s="45"/>
      <c r="B611" s="44"/>
      <c r="D611" s="44"/>
      <c r="F611" s="44"/>
      <c r="H611" s="44"/>
      <c r="J611" s="44"/>
      <c r="K611" s="32"/>
      <c r="L611" s="44"/>
      <c r="M611" s="32"/>
      <c r="N611" s="44"/>
      <c r="O611" s="32"/>
      <c r="P611" s="32"/>
      <c r="Q611" s="44"/>
      <c r="S611" s="44"/>
      <c r="U611" s="44"/>
      <c r="V611" s="47"/>
      <c r="W611" s="44"/>
      <c r="Y611" s="44"/>
      <c r="AA611" s="32"/>
    </row>
    <row r="612">
      <c r="A612" s="45"/>
      <c r="B612" s="44"/>
      <c r="D612" s="44"/>
      <c r="F612" s="44"/>
      <c r="H612" s="44"/>
      <c r="J612" s="44"/>
      <c r="K612" s="32"/>
      <c r="L612" s="44"/>
      <c r="M612" s="32"/>
      <c r="N612" s="44"/>
      <c r="O612" s="32"/>
      <c r="P612" s="32"/>
      <c r="Q612" s="44"/>
      <c r="S612" s="44"/>
      <c r="U612" s="44"/>
      <c r="V612" s="47"/>
      <c r="W612" s="44"/>
      <c r="Y612" s="44"/>
      <c r="AA612" s="32"/>
    </row>
    <row r="613">
      <c r="A613" s="45"/>
      <c r="B613" s="44"/>
      <c r="D613" s="44"/>
      <c r="F613" s="44"/>
      <c r="H613" s="44"/>
      <c r="J613" s="44"/>
      <c r="K613" s="32"/>
      <c r="L613" s="44"/>
      <c r="M613" s="32"/>
      <c r="N613" s="44"/>
      <c r="O613" s="32"/>
      <c r="P613" s="32"/>
      <c r="Q613" s="44"/>
      <c r="S613" s="44"/>
      <c r="U613" s="44"/>
      <c r="V613" s="47"/>
      <c r="W613" s="44"/>
      <c r="Y613" s="44"/>
      <c r="AA613" s="32"/>
    </row>
    <row r="614">
      <c r="A614" s="45"/>
      <c r="B614" s="44"/>
      <c r="D614" s="44"/>
      <c r="F614" s="44"/>
      <c r="H614" s="44"/>
      <c r="J614" s="44"/>
      <c r="K614" s="32"/>
      <c r="L614" s="44"/>
      <c r="M614" s="32"/>
      <c r="N614" s="44"/>
      <c r="O614" s="32"/>
      <c r="P614" s="32"/>
      <c r="Q614" s="44"/>
      <c r="S614" s="44"/>
      <c r="U614" s="44"/>
      <c r="V614" s="47"/>
      <c r="W614" s="44"/>
      <c r="Y614" s="44"/>
      <c r="AA614" s="32"/>
    </row>
    <row r="615">
      <c r="A615" s="45"/>
      <c r="B615" s="44"/>
      <c r="D615" s="44"/>
      <c r="F615" s="44"/>
      <c r="H615" s="44"/>
      <c r="J615" s="44"/>
      <c r="K615" s="32"/>
      <c r="L615" s="44"/>
      <c r="M615" s="32"/>
      <c r="N615" s="44"/>
      <c r="O615" s="32"/>
      <c r="P615" s="32"/>
      <c r="Q615" s="44"/>
      <c r="S615" s="44"/>
      <c r="U615" s="44"/>
      <c r="V615" s="47"/>
      <c r="W615" s="44"/>
      <c r="Y615" s="44"/>
      <c r="AA615" s="32"/>
    </row>
    <row r="616">
      <c r="A616" s="45"/>
      <c r="B616" s="44"/>
      <c r="D616" s="44"/>
      <c r="F616" s="44"/>
      <c r="H616" s="44"/>
      <c r="J616" s="44"/>
      <c r="K616" s="32"/>
      <c r="L616" s="44"/>
      <c r="M616" s="32"/>
      <c r="N616" s="44"/>
      <c r="O616" s="32"/>
      <c r="P616" s="32"/>
      <c r="Q616" s="44"/>
      <c r="S616" s="44"/>
      <c r="U616" s="44"/>
      <c r="V616" s="47"/>
      <c r="W616" s="44"/>
      <c r="Y616" s="44"/>
      <c r="AA616" s="32"/>
    </row>
    <row r="617">
      <c r="A617" s="45"/>
      <c r="B617" s="44"/>
      <c r="D617" s="44"/>
      <c r="F617" s="44"/>
      <c r="H617" s="44"/>
      <c r="J617" s="44"/>
      <c r="K617" s="32"/>
      <c r="L617" s="44"/>
      <c r="M617" s="32"/>
      <c r="N617" s="44"/>
      <c r="O617" s="32"/>
      <c r="P617" s="32"/>
      <c r="Q617" s="44"/>
      <c r="S617" s="44"/>
      <c r="U617" s="44"/>
      <c r="V617" s="47"/>
      <c r="W617" s="44"/>
      <c r="Y617" s="44"/>
      <c r="AA617" s="32"/>
    </row>
    <row r="618">
      <c r="A618" s="45"/>
      <c r="B618" s="44"/>
      <c r="D618" s="44"/>
      <c r="F618" s="44"/>
      <c r="H618" s="44"/>
      <c r="J618" s="44"/>
      <c r="K618" s="32"/>
      <c r="L618" s="44"/>
      <c r="M618" s="32"/>
      <c r="N618" s="44"/>
      <c r="O618" s="32"/>
      <c r="P618" s="32"/>
      <c r="Q618" s="44"/>
      <c r="S618" s="44"/>
      <c r="U618" s="44"/>
      <c r="V618" s="47"/>
      <c r="W618" s="44"/>
      <c r="Y618" s="44"/>
      <c r="AA618" s="32"/>
    </row>
    <row r="619">
      <c r="A619" s="45"/>
      <c r="B619" s="44"/>
      <c r="D619" s="44"/>
      <c r="F619" s="44"/>
      <c r="H619" s="44"/>
      <c r="J619" s="44"/>
      <c r="K619" s="32"/>
      <c r="L619" s="44"/>
      <c r="M619" s="32"/>
      <c r="N619" s="44"/>
      <c r="O619" s="32"/>
      <c r="P619" s="32"/>
      <c r="Q619" s="44"/>
      <c r="S619" s="44"/>
      <c r="U619" s="44"/>
      <c r="V619" s="47"/>
      <c r="W619" s="44"/>
      <c r="Y619" s="44"/>
      <c r="AA619" s="32"/>
    </row>
    <row r="620">
      <c r="A620" s="45"/>
      <c r="B620" s="44"/>
      <c r="D620" s="44"/>
      <c r="F620" s="44"/>
      <c r="H620" s="44"/>
      <c r="J620" s="44"/>
      <c r="K620" s="32"/>
      <c r="L620" s="44"/>
      <c r="M620" s="32"/>
      <c r="N620" s="44"/>
      <c r="O620" s="32"/>
      <c r="P620" s="32"/>
      <c r="Q620" s="44"/>
      <c r="S620" s="44"/>
      <c r="U620" s="44"/>
      <c r="V620" s="47"/>
      <c r="W620" s="44"/>
      <c r="Y620" s="44"/>
      <c r="AA620" s="32"/>
    </row>
    <row r="621">
      <c r="A621" s="45"/>
      <c r="B621" s="44"/>
      <c r="D621" s="44"/>
      <c r="F621" s="44"/>
      <c r="H621" s="44"/>
      <c r="J621" s="44"/>
      <c r="K621" s="32"/>
      <c r="L621" s="44"/>
      <c r="M621" s="32"/>
      <c r="N621" s="44"/>
      <c r="O621" s="32"/>
      <c r="P621" s="32"/>
      <c r="Q621" s="44"/>
      <c r="S621" s="44"/>
      <c r="U621" s="44"/>
      <c r="V621" s="47"/>
      <c r="W621" s="44"/>
      <c r="Y621" s="44"/>
      <c r="AA621" s="32"/>
    </row>
    <row r="622">
      <c r="A622" s="45"/>
      <c r="B622" s="44"/>
      <c r="D622" s="44"/>
      <c r="F622" s="44"/>
      <c r="H622" s="44"/>
      <c r="J622" s="44"/>
      <c r="K622" s="32"/>
      <c r="L622" s="44"/>
      <c r="M622" s="32"/>
      <c r="N622" s="44"/>
      <c r="O622" s="32"/>
      <c r="P622" s="32"/>
      <c r="Q622" s="44"/>
      <c r="S622" s="44"/>
      <c r="U622" s="44"/>
      <c r="V622" s="47"/>
      <c r="W622" s="44"/>
      <c r="Y622" s="44"/>
      <c r="AA622" s="32"/>
    </row>
    <row r="623">
      <c r="A623" s="45"/>
      <c r="B623" s="44"/>
      <c r="D623" s="44"/>
      <c r="F623" s="44"/>
      <c r="H623" s="44"/>
      <c r="J623" s="44"/>
      <c r="K623" s="32"/>
      <c r="L623" s="44"/>
      <c r="M623" s="32"/>
      <c r="N623" s="44"/>
      <c r="O623" s="32"/>
      <c r="P623" s="32"/>
      <c r="Q623" s="44"/>
      <c r="S623" s="44"/>
      <c r="U623" s="44"/>
      <c r="V623" s="47"/>
      <c r="W623" s="44"/>
      <c r="Y623" s="44"/>
      <c r="AA623" s="32"/>
    </row>
    <row r="624">
      <c r="A624" s="45"/>
      <c r="B624" s="44"/>
      <c r="D624" s="44"/>
      <c r="F624" s="44"/>
      <c r="H624" s="44"/>
      <c r="J624" s="44"/>
      <c r="K624" s="32"/>
      <c r="L624" s="44"/>
      <c r="M624" s="32"/>
      <c r="N624" s="44"/>
      <c r="O624" s="32"/>
      <c r="P624" s="32"/>
      <c r="Q624" s="44"/>
      <c r="S624" s="44"/>
      <c r="U624" s="44"/>
      <c r="V624" s="47"/>
      <c r="W624" s="44"/>
      <c r="Y624" s="44"/>
      <c r="AA624" s="32"/>
    </row>
    <row r="625">
      <c r="A625" s="45"/>
      <c r="B625" s="44"/>
      <c r="D625" s="44"/>
      <c r="F625" s="44"/>
      <c r="H625" s="44"/>
      <c r="J625" s="44"/>
      <c r="K625" s="32"/>
      <c r="L625" s="44"/>
      <c r="M625" s="32"/>
      <c r="N625" s="44"/>
      <c r="O625" s="32"/>
      <c r="P625" s="32"/>
      <c r="Q625" s="44"/>
      <c r="S625" s="44"/>
      <c r="U625" s="44"/>
      <c r="V625" s="47"/>
      <c r="W625" s="44"/>
      <c r="Y625" s="44"/>
      <c r="AA625" s="32"/>
    </row>
    <row r="626">
      <c r="A626" s="45"/>
      <c r="B626" s="44"/>
      <c r="D626" s="44"/>
      <c r="F626" s="44"/>
      <c r="H626" s="44"/>
      <c r="J626" s="44"/>
      <c r="K626" s="32"/>
      <c r="L626" s="44"/>
      <c r="M626" s="32"/>
      <c r="N626" s="44"/>
      <c r="O626" s="32"/>
      <c r="P626" s="32"/>
      <c r="Q626" s="44"/>
      <c r="S626" s="44"/>
      <c r="U626" s="44"/>
      <c r="V626" s="47"/>
      <c r="W626" s="44"/>
      <c r="Y626" s="44"/>
      <c r="AA626" s="32"/>
    </row>
    <row r="627">
      <c r="A627" s="45"/>
      <c r="B627" s="44"/>
      <c r="D627" s="44"/>
      <c r="F627" s="44"/>
      <c r="H627" s="44"/>
      <c r="J627" s="44"/>
      <c r="K627" s="32"/>
      <c r="L627" s="44"/>
      <c r="M627" s="32"/>
      <c r="N627" s="44"/>
      <c r="O627" s="32"/>
      <c r="P627" s="32"/>
      <c r="Q627" s="44"/>
      <c r="S627" s="44"/>
      <c r="U627" s="44"/>
      <c r="V627" s="47"/>
      <c r="W627" s="44"/>
      <c r="Y627" s="44"/>
      <c r="AA627" s="32"/>
    </row>
    <row r="628">
      <c r="A628" s="45"/>
      <c r="B628" s="44"/>
      <c r="D628" s="44"/>
      <c r="F628" s="44"/>
      <c r="H628" s="44"/>
      <c r="J628" s="44"/>
      <c r="K628" s="32"/>
      <c r="L628" s="44"/>
      <c r="M628" s="32"/>
      <c r="N628" s="44"/>
      <c r="O628" s="32"/>
      <c r="P628" s="32"/>
      <c r="Q628" s="44"/>
      <c r="S628" s="44"/>
      <c r="U628" s="44"/>
      <c r="V628" s="47"/>
      <c r="W628" s="44"/>
      <c r="Y628" s="44"/>
      <c r="AA628" s="32"/>
    </row>
    <row r="629">
      <c r="A629" s="45"/>
      <c r="B629" s="44"/>
      <c r="D629" s="44"/>
      <c r="F629" s="44"/>
      <c r="H629" s="44"/>
      <c r="J629" s="44"/>
      <c r="K629" s="32"/>
      <c r="L629" s="44"/>
      <c r="M629" s="32"/>
      <c r="N629" s="44"/>
      <c r="O629" s="32"/>
      <c r="P629" s="32"/>
      <c r="Q629" s="44"/>
      <c r="S629" s="44"/>
      <c r="U629" s="44"/>
      <c r="V629" s="47"/>
      <c r="W629" s="44"/>
      <c r="Y629" s="44"/>
      <c r="AA629" s="32"/>
    </row>
    <row r="630">
      <c r="A630" s="45"/>
      <c r="B630" s="44"/>
      <c r="D630" s="44"/>
      <c r="F630" s="44"/>
      <c r="H630" s="44"/>
      <c r="J630" s="44"/>
      <c r="K630" s="32"/>
      <c r="L630" s="44"/>
      <c r="M630" s="32"/>
      <c r="N630" s="44"/>
      <c r="O630" s="32"/>
      <c r="P630" s="32"/>
      <c r="Q630" s="44"/>
      <c r="S630" s="44"/>
      <c r="U630" s="44"/>
      <c r="V630" s="47"/>
      <c r="W630" s="44"/>
      <c r="Y630" s="44"/>
      <c r="AA630" s="32"/>
    </row>
    <row r="631">
      <c r="A631" s="45"/>
      <c r="B631" s="44"/>
      <c r="D631" s="44"/>
      <c r="F631" s="44"/>
      <c r="H631" s="44"/>
      <c r="J631" s="44"/>
      <c r="K631" s="32"/>
      <c r="L631" s="44"/>
      <c r="M631" s="32"/>
      <c r="N631" s="44"/>
      <c r="O631" s="32"/>
      <c r="P631" s="32"/>
      <c r="Q631" s="44"/>
      <c r="S631" s="44"/>
      <c r="U631" s="44"/>
      <c r="V631" s="47"/>
      <c r="W631" s="44"/>
      <c r="Y631" s="44"/>
      <c r="AA631" s="32"/>
    </row>
    <row r="632">
      <c r="A632" s="45"/>
      <c r="B632" s="44"/>
      <c r="D632" s="44"/>
      <c r="F632" s="44"/>
      <c r="H632" s="44"/>
      <c r="J632" s="44"/>
      <c r="K632" s="32"/>
      <c r="L632" s="44"/>
      <c r="M632" s="32"/>
      <c r="N632" s="44"/>
      <c r="O632" s="32"/>
      <c r="P632" s="32"/>
      <c r="Q632" s="44"/>
      <c r="S632" s="44"/>
      <c r="U632" s="44"/>
      <c r="V632" s="47"/>
      <c r="W632" s="44"/>
      <c r="Y632" s="44"/>
      <c r="AA632" s="32"/>
    </row>
    <row r="633">
      <c r="A633" s="45"/>
      <c r="B633" s="44"/>
      <c r="D633" s="44"/>
      <c r="F633" s="44"/>
      <c r="H633" s="44"/>
      <c r="J633" s="44"/>
      <c r="K633" s="32"/>
      <c r="L633" s="44"/>
      <c r="M633" s="32"/>
      <c r="N633" s="44"/>
      <c r="O633" s="32"/>
      <c r="P633" s="32"/>
      <c r="Q633" s="44"/>
      <c r="S633" s="44"/>
      <c r="U633" s="44"/>
      <c r="V633" s="47"/>
      <c r="W633" s="44"/>
      <c r="Y633" s="44"/>
      <c r="AA633" s="32"/>
    </row>
    <row r="634">
      <c r="A634" s="45"/>
      <c r="B634" s="44"/>
      <c r="D634" s="44"/>
      <c r="F634" s="44"/>
      <c r="H634" s="44"/>
      <c r="J634" s="44"/>
      <c r="K634" s="32"/>
      <c r="L634" s="44"/>
      <c r="M634" s="32"/>
      <c r="N634" s="44"/>
      <c r="O634" s="32"/>
      <c r="P634" s="32"/>
      <c r="Q634" s="44"/>
      <c r="S634" s="44"/>
      <c r="U634" s="44"/>
      <c r="V634" s="47"/>
      <c r="W634" s="44"/>
      <c r="Y634" s="44"/>
      <c r="AA634" s="32"/>
    </row>
    <row r="635">
      <c r="A635" s="45"/>
      <c r="B635" s="44"/>
      <c r="D635" s="44"/>
      <c r="F635" s="44"/>
      <c r="H635" s="44"/>
      <c r="J635" s="44"/>
      <c r="K635" s="32"/>
      <c r="L635" s="44"/>
      <c r="M635" s="32"/>
      <c r="N635" s="44"/>
      <c r="O635" s="32"/>
      <c r="P635" s="32"/>
      <c r="Q635" s="44"/>
      <c r="S635" s="44"/>
      <c r="U635" s="44"/>
      <c r="V635" s="47"/>
      <c r="W635" s="44"/>
      <c r="Y635" s="44"/>
      <c r="AA635" s="32"/>
    </row>
    <row r="636">
      <c r="A636" s="45"/>
      <c r="B636" s="44"/>
      <c r="D636" s="44"/>
      <c r="F636" s="44"/>
      <c r="H636" s="44"/>
      <c r="J636" s="44"/>
      <c r="K636" s="32"/>
      <c r="L636" s="44"/>
      <c r="M636" s="32"/>
      <c r="N636" s="44"/>
      <c r="O636" s="32"/>
      <c r="P636" s="32"/>
      <c r="Q636" s="44"/>
      <c r="S636" s="44"/>
      <c r="U636" s="44"/>
      <c r="V636" s="47"/>
      <c r="W636" s="44"/>
      <c r="Y636" s="44"/>
      <c r="AA636" s="32"/>
    </row>
    <row r="637">
      <c r="A637" s="45"/>
      <c r="B637" s="44"/>
      <c r="D637" s="44"/>
      <c r="F637" s="44"/>
      <c r="H637" s="44"/>
      <c r="J637" s="44"/>
      <c r="K637" s="32"/>
      <c r="L637" s="44"/>
      <c r="M637" s="32"/>
      <c r="N637" s="44"/>
      <c r="O637" s="32"/>
      <c r="P637" s="32"/>
      <c r="Q637" s="44"/>
      <c r="S637" s="44"/>
      <c r="U637" s="44"/>
      <c r="V637" s="47"/>
      <c r="W637" s="44"/>
      <c r="Y637" s="44"/>
      <c r="AA637" s="32"/>
    </row>
    <row r="638">
      <c r="A638" s="45"/>
      <c r="B638" s="44"/>
      <c r="D638" s="44"/>
      <c r="F638" s="44"/>
      <c r="H638" s="44"/>
      <c r="J638" s="44"/>
      <c r="K638" s="32"/>
      <c r="L638" s="44"/>
      <c r="M638" s="32"/>
      <c r="N638" s="44"/>
      <c r="O638" s="32"/>
      <c r="P638" s="32"/>
      <c r="Q638" s="44"/>
      <c r="S638" s="44"/>
      <c r="U638" s="44"/>
      <c r="V638" s="47"/>
      <c r="W638" s="44"/>
      <c r="Y638" s="44"/>
      <c r="AA638" s="32"/>
    </row>
    <row r="639">
      <c r="A639" s="45"/>
      <c r="B639" s="44"/>
      <c r="D639" s="44"/>
      <c r="F639" s="44"/>
      <c r="H639" s="44"/>
      <c r="J639" s="44"/>
      <c r="K639" s="32"/>
      <c r="L639" s="44"/>
      <c r="M639" s="32"/>
      <c r="N639" s="44"/>
      <c r="O639" s="32"/>
      <c r="P639" s="32"/>
      <c r="Q639" s="44"/>
      <c r="S639" s="44"/>
      <c r="U639" s="44"/>
      <c r="V639" s="47"/>
      <c r="W639" s="44"/>
      <c r="Y639" s="44"/>
      <c r="AA639" s="32"/>
    </row>
    <row r="640">
      <c r="A640" s="45"/>
      <c r="B640" s="44"/>
      <c r="D640" s="44"/>
      <c r="F640" s="44"/>
      <c r="H640" s="44"/>
      <c r="J640" s="44"/>
      <c r="K640" s="32"/>
      <c r="L640" s="44"/>
      <c r="M640" s="32"/>
      <c r="N640" s="44"/>
      <c r="O640" s="32"/>
      <c r="P640" s="32"/>
      <c r="Q640" s="44"/>
      <c r="S640" s="44"/>
      <c r="U640" s="44"/>
      <c r="V640" s="47"/>
      <c r="W640" s="44"/>
      <c r="Y640" s="44"/>
      <c r="AA640" s="32"/>
    </row>
    <row r="641">
      <c r="A641" s="45"/>
      <c r="B641" s="44"/>
      <c r="D641" s="44"/>
      <c r="F641" s="44"/>
      <c r="H641" s="44"/>
      <c r="J641" s="44"/>
      <c r="K641" s="32"/>
      <c r="L641" s="44"/>
      <c r="M641" s="32"/>
      <c r="N641" s="44"/>
      <c r="O641" s="32"/>
      <c r="P641" s="32"/>
      <c r="Q641" s="44"/>
      <c r="S641" s="44"/>
      <c r="U641" s="44"/>
      <c r="V641" s="47"/>
      <c r="W641" s="44"/>
      <c r="Y641" s="44"/>
      <c r="AA641" s="32"/>
    </row>
    <row r="642">
      <c r="A642" s="45"/>
      <c r="B642" s="44"/>
      <c r="D642" s="44"/>
      <c r="F642" s="44"/>
      <c r="H642" s="44"/>
      <c r="J642" s="44"/>
      <c r="K642" s="32"/>
      <c r="L642" s="44"/>
      <c r="M642" s="32"/>
      <c r="N642" s="44"/>
      <c r="O642" s="32"/>
      <c r="P642" s="32"/>
      <c r="Q642" s="44"/>
      <c r="S642" s="44"/>
      <c r="U642" s="44"/>
      <c r="V642" s="47"/>
      <c r="W642" s="44"/>
      <c r="Y642" s="44"/>
      <c r="AA642" s="32"/>
    </row>
    <row r="643">
      <c r="A643" s="45"/>
      <c r="B643" s="44"/>
      <c r="D643" s="44"/>
      <c r="F643" s="44"/>
      <c r="H643" s="44"/>
      <c r="J643" s="44"/>
      <c r="K643" s="32"/>
      <c r="L643" s="44"/>
      <c r="M643" s="32"/>
      <c r="N643" s="44"/>
      <c r="O643" s="32"/>
      <c r="P643" s="32"/>
      <c r="Q643" s="44"/>
      <c r="S643" s="44"/>
      <c r="U643" s="44"/>
      <c r="V643" s="47"/>
      <c r="W643" s="44"/>
      <c r="Y643" s="44"/>
      <c r="AA643" s="32"/>
    </row>
    <row r="644">
      <c r="A644" s="45"/>
      <c r="B644" s="44"/>
      <c r="D644" s="44"/>
      <c r="F644" s="44"/>
      <c r="H644" s="44"/>
      <c r="J644" s="44"/>
      <c r="K644" s="32"/>
      <c r="L644" s="44"/>
      <c r="M644" s="32"/>
      <c r="N644" s="44"/>
      <c r="O644" s="32"/>
      <c r="P644" s="32"/>
      <c r="Q644" s="44"/>
      <c r="S644" s="44"/>
      <c r="U644" s="44"/>
      <c r="V644" s="47"/>
      <c r="W644" s="44"/>
      <c r="Y644" s="44"/>
      <c r="AA644" s="32"/>
    </row>
    <row r="645">
      <c r="A645" s="45"/>
      <c r="B645" s="44"/>
      <c r="D645" s="44"/>
      <c r="F645" s="44"/>
      <c r="H645" s="44"/>
      <c r="J645" s="44"/>
      <c r="K645" s="32"/>
      <c r="L645" s="44"/>
      <c r="M645" s="32"/>
      <c r="N645" s="44"/>
      <c r="O645" s="32"/>
      <c r="P645" s="32"/>
      <c r="Q645" s="44"/>
      <c r="S645" s="44"/>
      <c r="U645" s="44"/>
      <c r="V645" s="47"/>
      <c r="W645" s="44"/>
      <c r="Y645" s="44"/>
      <c r="AA645" s="32"/>
    </row>
    <row r="646">
      <c r="A646" s="45"/>
      <c r="B646" s="44"/>
      <c r="D646" s="44"/>
      <c r="F646" s="44"/>
      <c r="H646" s="44"/>
      <c r="J646" s="44"/>
      <c r="K646" s="32"/>
      <c r="L646" s="44"/>
      <c r="M646" s="32"/>
      <c r="N646" s="44"/>
      <c r="O646" s="32"/>
      <c r="P646" s="32"/>
      <c r="Q646" s="44"/>
      <c r="S646" s="44"/>
      <c r="U646" s="44"/>
      <c r="V646" s="47"/>
      <c r="W646" s="44"/>
      <c r="Y646" s="44"/>
      <c r="AA646" s="32"/>
    </row>
    <row r="647">
      <c r="A647" s="45"/>
      <c r="B647" s="44"/>
      <c r="D647" s="44"/>
      <c r="F647" s="44"/>
      <c r="H647" s="44"/>
      <c r="J647" s="44"/>
      <c r="K647" s="32"/>
      <c r="L647" s="44"/>
      <c r="M647" s="32"/>
      <c r="N647" s="44"/>
      <c r="O647" s="32"/>
      <c r="P647" s="32"/>
      <c r="Q647" s="44"/>
      <c r="S647" s="44"/>
      <c r="U647" s="44"/>
      <c r="V647" s="47"/>
      <c r="W647" s="44"/>
      <c r="Y647" s="44"/>
      <c r="AA647" s="32"/>
    </row>
    <row r="648">
      <c r="A648" s="45"/>
      <c r="B648" s="44"/>
      <c r="D648" s="44"/>
      <c r="F648" s="44"/>
      <c r="H648" s="44"/>
      <c r="J648" s="44"/>
      <c r="K648" s="32"/>
      <c r="L648" s="44"/>
      <c r="M648" s="32"/>
      <c r="N648" s="44"/>
      <c r="O648" s="32"/>
      <c r="P648" s="32"/>
      <c r="Q648" s="44"/>
      <c r="S648" s="44"/>
      <c r="U648" s="44"/>
      <c r="V648" s="47"/>
      <c r="W648" s="44"/>
      <c r="Y648" s="44"/>
      <c r="AA648" s="32"/>
    </row>
    <row r="649">
      <c r="A649" s="45"/>
      <c r="B649" s="44"/>
      <c r="D649" s="44"/>
      <c r="F649" s="44"/>
      <c r="H649" s="44"/>
      <c r="J649" s="44"/>
      <c r="K649" s="32"/>
      <c r="L649" s="44"/>
      <c r="M649" s="32"/>
      <c r="N649" s="44"/>
      <c r="O649" s="32"/>
      <c r="P649" s="32"/>
      <c r="Q649" s="44"/>
      <c r="S649" s="44"/>
      <c r="U649" s="44"/>
      <c r="V649" s="47"/>
      <c r="W649" s="44"/>
      <c r="Y649" s="44"/>
      <c r="AA649" s="32"/>
    </row>
    <row r="650">
      <c r="A650" s="45"/>
      <c r="B650" s="44"/>
      <c r="D650" s="44"/>
      <c r="F650" s="44"/>
      <c r="H650" s="44"/>
      <c r="J650" s="44"/>
      <c r="K650" s="32"/>
      <c r="L650" s="44"/>
      <c r="M650" s="32"/>
      <c r="N650" s="44"/>
      <c r="O650" s="32"/>
      <c r="P650" s="32"/>
      <c r="Q650" s="44"/>
      <c r="S650" s="44"/>
      <c r="U650" s="44"/>
      <c r="V650" s="47"/>
      <c r="W650" s="44"/>
      <c r="Y650" s="44"/>
      <c r="AA650" s="32"/>
    </row>
    <row r="651">
      <c r="A651" s="45"/>
      <c r="B651" s="44"/>
      <c r="D651" s="44"/>
      <c r="F651" s="44"/>
      <c r="H651" s="44"/>
      <c r="J651" s="44"/>
      <c r="K651" s="32"/>
      <c r="L651" s="44"/>
      <c r="M651" s="32"/>
      <c r="N651" s="44"/>
      <c r="O651" s="32"/>
      <c r="P651" s="32"/>
      <c r="Q651" s="44"/>
      <c r="S651" s="44"/>
      <c r="U651" s="44"/>
      <c r="V651" s="47"/>
      <c r="W651" s="44"/>
      <c r="Y651" s="44"/>
      <c r="AA651" s="32"/>
    </row>
    <row r="652">
      <c r="A652" s="45"/>
      <c r="B652" s="44"/>
      <c r="D652" s="44"/>
      <c r="F652" s="44"/>
      <c r="H652" s="44"/>
      <c r="J652" s="44"/>
      <c r="K652" s="32"/>
      <c r="L652" s="44"/>
      <c r="M652" s="32"/>
      <c r="N652" s="44"/>
      <c r="O652" s="32"/>
      <c r="P652" s="32"/>
      <c r="Q652" s="44"/>
      <c r="S652" s="44"/>
      <c r="U652" s="44"/>
      <c r="V652" s="47"/>
      <c r="W652" s="44"/>
      <c r="Y652" s="44"/>
      <c r="AA652" s="32"/>
    </row>
    <row r="653">
      <c r="A653" s="45"/>
      <c r="B653" s="44"/>
      <c r="D653" s="44"/>
      <c r="F653" s="44"/>
      <c r="H653" s="44"/>
      <c r="J653" s="44"/>
      <c r="K653" s="32"/>
      <c r="L653" s="44"/>
      <c r="M653" s="32"/>
      <c r="N653" s="44"/>
      <c r="O653" s="32"/>
      <c r="P653" s="32"/>
      <c r="Q653" s="44"/>
      <c r="S653" s="44"/>
      <c r="U653" s="44"/>
      <c r="V653" s="47"/>
      <c r="W653" s="44"/>
      <c r="Y653" s="44"/>
      <c r="AA653" s="32"/>
    </row>
    <row r="654">
      <c r="A654" s="45"/>
      <c r="B654" s="44"/>
      <c r="D654" s="44"/>
      <c r="F654" s="44"/>
      <c r="H654" s="44"/>
      <c r="J654" s="44"/>
      <c r="K654" s="32"/>
      <c r="L654" s="44"/>
      <c r="M654" s="32"/>
      <c r="N654" s="44"/>
      <c r="O654" s="32"/>
      <c r="P654" s="32"/>
      <c r="Q654" s="44"/>
      <c r="S654" s="44"/>
      <c r="U654" s="44"/>
      <c r="V654" s="47"/>
      <c r="W654" s="44"/>
      <c r="Y654" s="44"/>
      <c r="AA654" s="32"/>
    </row>
    <row r="655">
      <c r="A655" s="45"/>
      <c r="B655" s="44"/>
      <c r="D655" s="44"/>
      <c r="F655" s="44"/>
      <c r="H655" s="44"/>
      <c r="J655" s="44"/>
      <c r="K655" s="32"/>
      <c r="L655" s="44"/>
      <c r="M655" s="32"/>
      <c r="N655" s="44"/>
      <c r="O655" s="32"/>
      <c r="P655" s="32"/>
      <c r="Q655" s="44"/>
      <c r="S655" s="44"/>
      <c r="U655" s="44"/>
      <c r="V655" s="47"/>
      <c r="W655" s="44"/>
      <c r="Y655" s="44"/>
      <c r="AA655" s="32"/>
    </row>
    <row r="656">
      <c r="A656" s="45"/>
      <c r="B656" s="44"/>
      <c r="D656" s="44"/>
      <c r="F656" s="44"/>
      <c r="H656" s="44"/>
      <c r="J656" s="44"/>
      <c r="K656" s="32"/>
      <c r="L656" s="44"/>
      <c r="M656" s="32"/>
      <c r="N656" s="44"/>
      <c r="O656" s="32"/>
      <c r="P656" s="32"/>
      <c r="Q656" s="44"/>
      <c r="S656" s="44"/>
      <c r="U656" s="44"/>
      <c r="V656" s="47"/>
      <c r="W656" s="44"/>
      <c r="Y656" s="44"/>
      <c r="AA656" s="32"/>
    </row>
    <row r="657">
      <c r="A657" s="45"/>
      <c r="B657" s="44"/>
      <c r="D657" s="44"/>
      <c r="F657" s="44"/>
      <c r="H657" s="44"/>
      <c r="J657" s="44"/>
      <c r="K657" s="32"/>
      <c r="L657" s="44"/>
      <c r="M657" s="32"/>
      <c r="N657" s="44"/>
      <c r="O657" s="32"/>
      <c r="P657" s="32"/>
      <c r="Q657" s="44"/>
      <c r="S657" s="44"/>
      <c r="U657" s="44"/>
      <c r="V657" s="47"/>
      <c r="W657" s="44"/>
      <c r="Y657" s="44"/>
      <c r="AA657" s="32"/>
    </row>
    <row r="658">
      <c r="A658" s="45"/>
      <c r="B658" s="44"/>
      <c r="D658" s="44"/>
      <c r="F658" s="44"/>
      <c r="H658" s="44"/>
      <c r="J658" s="44"/>
      <c r="K658" s="32"/>
      <c r="L658" s="44"/>
      <c r="M658" s="32"/>
      <c r="N658" s="44"/>
      <c r="O658" s="32"/>
      <c r="P658" s="32"/>
      <c r="Q658" s="44"/>
      <c r="S658" s="44"/>
      <c r="U658" s="44"/>
      <c r="V658" s="47"/>
      <c r="W658" s="44"/>
      <c r="Y658" s="44"/>
      <c r="AA658" s="32"/>
    </row>
    <row r="659">
      <c r="A659" s="45"/>
      <c r="B659" s="44"/>
      <c r="D659" s="44"/>
      <c r="F659" s="44"/>
      <c r="H659" s="44"/>
      <c r="J659" s="44"/>
      <c r="K659" s="32"/>
      <c r="L659" s="44"/>
      <c r="M659" s="32"/>
      <c r="N659" s="44"/>
      <c r="O659" s="32"/>
      <c r="P659" s="32"/>
      <c r="Q659" s="44"/>
      <c r="S659" s="44"/>
      <c r="U659" s="44"/>
      <c r="V659" s="47"/>
      <c r="W659" s="44"/>
      <c r="Y659" s="44"/>
      <c r="AA659" s="32"/>
    </row>
    <row r="660">
      <c r="A660" s="45"/>
      <c r="B660" s="44"/>
      <c r="D660" s="44"/>
      <c r="F660" s="44"/>
      <c r="H660" s="44"/>
      <c r="J660" s="44"/>
      <c r="K660" s="32"/>
      <c r="L660" s="44"/>
      <c r="M660" s="32"/>
      <c r="N660" s="44"/>
      <c r="O660" s="32"/>
      <c r="P660" s="32"/>
      <c r="Q660" s="44"/>
      <c r="S660" s="44"/>
      <c r="U660" s="44"/>
      <c r="V660" s="47"/>
      <c r="W660" s="44"/>
      <c r="Y660" s="44"/>
      <c r="AA660" s="32"/>
    </row>
    <row r="661">
      <c r="A661" s="45"/>
      <c r="B661" s="44"/>
      <c r="D661" s="44"/>
      <c r="F661" s="44"/>
      <c r="H661" s="44"/>
      <c r="J661" s="44"/>
      <c r="K661" s="32"/>
      <c r="L661" s="44"/>
      <c r="M661" s="32"/>
      <c r="N661" s="44"/>
      <c r="O661" s="32"/>
      <c r="P661" s="32"/>
      <c r="Q661" s="44"/>
      <c r="S661" s="44"/>
      <c r="U661" s="44"/>
      <c r="V661" s="47"/>
      <c r="W661" s="44"/>
      <c r="Y661" s="44"/>
      <c r="AA661" s="32"/>
    </row>
    <row r="662">
      <c r="A662" s="45"/>
      <c r="B662" s="44"/>
      <c r="D662" s="44"/>
      <c r="F662" s="44"/>
      <c r="H662" s="44"/>
      <c r="J662" s="44"/>
      <c r="K662" s="32"/>
      <c r="L662" s="44"/>
      <c r="M662" s="32"/>
      <c r="N662" s="44"/>
      <c r="O662" s="32"/>
      <c r="P662" s="32"/>
      <c r="Q662" s="44"/>
      <c r="S662" s="44"/>
      <c r="U662" s="44"/>
      <c r="V662" s="47"/>
      <c r="W662" s="44"/>
      <c r="Y662" s="44"/>
      <c r="AA662" s="32"/>
    </row>
    <row r="663">
      <c r="A663" s="45"/>
      <c r="B663" s="44"/>
      <c r="D663" s="44"/>
      <c r="F663" s="44"/>
      <c r="H663" s="44"/>
      <c r="J663" s="44"/>
      <c r="K663" s="32"/>
      <c r="L663" s="44"/>
      <c r="M663" s="32"/>
      <c r="N663" s="44"/>
      <c r="O663" s="32"/>
      <c r="P663" s="32"/>
      <c r="Q663" s="44"/>
      <c r="S663" s="44"/>
      <c r="U663" s="44"/>
      <c r="V663" s="47"/>
      <c r="W663" s="44"/>
      <c r="Y663" s="44"/>
      <c r="AA663" s="32"/>
    </row>
    <row r="664">
      <c r="A664" s="45"/>
      <c r="B664" s="44"/>
      <c r="D664" s="44"/>
      <c r="F664" s="44"/>
      <c r="H664" s="44"/>
      <c r="J664" s="44"/>
      <c r="K664" s="32"/>
      <c r="L664" s="44"/>
      <c r="M664" s="32"/>
      <c r="N664" s="44"/>
      <c r="O664" s="32"/>
      <c r="P664" s="32"/>
      <c r="Q664" s="44"/>
      <c r="S664" s="44"/>
      <c r="U664" s="44"/>
      <c r="V664" s="47"/>
      <c r="W664" s="44"/>
      <c r="Y664" s="44"/>
      <c r="AA664" s="32"/>
    </row>
    <row r="665">
      <c r="A665" s="45"/>
      <c r="B665" s="44"/>
      <c r="D665" s="44"/>
      <c r="F665" s="44"/>
      <c r="H665" s="44"/>
      <c r="J665" s="44"/>
      <c r="K665" s="32"/>
      <c r="L665" s="44"/>
      <c r="M665" s="32"/>
      <c r="N665" s="44"/>
      <c r="O665" s="32"/>
      <c r="P665" s="32"/>
      <c r="Q665" s="44"/>
      <c r="S665" s="44"/>
      <c r="U665" s="44"/>
      <c r="V665" s="47"/>
      <c r="W665" s="44"/>
      <c r="Y665" s="44"/>
      <c r="AA665" s="32"/>
    </row>
    <row r="666">
      <c r="A666" s="45"/>
      <c r="B666" s="44"/>
      <c r="D666" s="44"/>
      <c r="F666" s="44"/>
      <c r="H666" s="44"/>
      <c r="J666" s="44"/>
      <c r="K666" s="32"/>
      <c r="L666" s="44"/>
      <c r="M666" s="32"/>
      <c r="N666" s="44"/>
      <c r="O666" s="32"/>
      <c r="P666" s="32"/>
      <c r="Q666" s="44"/>
      <c r="S666" s="44"/>
      <c r="U666" s="44"/>
      <c r="V666" s="47"/>
      <c r="W666" s="44"/>
      <c r="Y666" s="44"/>
      <c r="AA666" s="32"/>
    </row>
    <row r="667">
      <c r="A667" s="45"/>
      <c r="B667" s="44"/>
      <c r="D667" s="44"/>
      <c r="F667" s="44"/>
      <c r="H667" s="44"/>
      <c r="J667" s="44"/>
      <c r="K667" s="32"/>
      <c r="L667" s="44"/>
      <c r="M667" s="32"/>
      <c r="N667" s="44"/>
      <c r="O667" s="32"/>
      <c r="P667" s="32"/>
      <c r="Q667" s="44"/>
      <c r="S667" s="44"/>
      <c r="U667" s="44"/>
      <c r="V667" s="47"/>
      <c r="W667" s="44"/>
      <c r="Y667" s="44"/>
      <c r="AA667" s="32"/>
    </row>
    <row r="668">
      <c r="A668" s="45"/>
      <c r="B668" s="44"/>
      <c r="D668" s="44"/>
      <c r="F668" s="44"/>
      <c r="H668" s="44"/>
      <c r="J668" s="44"/>
      <c r="K668" s="32"/>
      <c r="L668" s="44"/>
      <c r="M668" s="32"/>
      <c r="N668" s="44"/>
      <c r="O668" s="32"/>
      <c r="P668" s="32"/>
      <c r="Q668" s="44"/>
      <c r="S668" s="44"/>
      <c r="U668" s="44"/>
      <c r="V668" s="47"/>
      <c r="W668" s="44"/>
      <c r="Y668" s="44"/>
      <c r="AA668" s="32"/>
    </row>
    <row r="669">
      <c r="A669" s="45"/>
      <c r="B669" s="44"/>
      <c r="D669" s="44"/>
      <c r="F669" s="44"/>
      <c r="H669" s="44"/>
      <c r="J669" s="44"/>
      <c r="K669" s="32"/>
      <c r="L669" s="44"/>
      <c r="M669" s="32"/>
      <c r="N669" s="44"/>
      <c r="O669" s="32"/>
      <c r="P669" s="32"/>
      <c r="Q669" s="44"/>
      <c r="S669" s="44"/>
      <c r="U669" s="44"/>
      <c r="V669" s="47"/>
      <c r="W669" s="44"/>
      <c r="Y669" s="44"/>
      <c r="AA669" s="32"/>
    </row>
    <row r="670">
      <c r="A670" s="45"/>
      <c r="B670" s="44"/>
      <c r="D670" s="44"/>
      <c r="F670" s="44"/>
      <c r="H670" s="44"/>
      <c r="J670" s="44"/>
      <c r="K670" s="32"/>
      <c r="L670" s="44"/>
      <c r="M670" s="32"/>
      <c r="N670" s="44"/>
      <c r="O670" s="32"/>
      <c r="P670" s="32"/>
      <c r="Q670" s="44"/>
      <c r="S670" s="44"/>
      <c r="U670" s="44"/>
      <c r="V670" s="47"/>
      <c r="W670" s="44"/>
      <c r="Y670" s="44"/>
      <c r="AA670" s="32"/>
    </row>
    <row r="671">
      <c r="A671" s="45"/>
      <c r="B671" s="44"/>
      <c r="D671" s="44"/>
      <c r="F671" s="44"/>
      <c r="H671" s="44"/>
      <c r="J671" s="44"/>
      <c r="K671" s="32"/>
      <c r="L671" s="44"/>
      <c r="M671" s="32"/>
      <c r="N671" s="44"/>
      <c r="O671" s="32"/>
      <c r="P671" s="32"/>
      <c r="Q671" s="44"/>
      <c r="S671" s="44"/>
      <c r="U671" s="44"/>
      <c r="V671" s="47"/>
      <c r="W671" s="44"/>
      <c r="Y671" s="44"/>
      <c r="AA671" s="32"/>
    </row>
    <row r="672">
      <c r="A672" s="45"/>
      <c r="B672" s="44"/>
      <c r="D672" s="44"/>
      <c r="F672" s="44"/>
      <c r="H672" s="44"/>
      <c r="J672" s="44"/>
      <c r="K672" s="32"/>
      <c r="L672" s="44"/>
      <c r="M672" s="32"/>
      <c r="N672" s="44"/>
      <c r="O672" s="32"/>
      <c r="P672" s="32"/>
      <c r="Q672" s="44"/>
      <c r="S672" s="44"/>
      <c r="U672" s="44"/>
      <c r="V672" s="47"/>
      <c r="W672" s="44"/>
      <c r="Y672" s="44"/>
      <c r="AA672" s="32"/>
    </row>
    <row r="673">
      <c r="A673" s="45"/>
      <c r="B673" s="44"/>
      <c r="D673" s="44"/>
      <c r="F673" s="44"/>
      <c r="H673" s="44"/>
      <c r="J673" s="44"/>
      <c r="K673" s="32"/>
      <c r="L673" s="44"/>
      <c r="M673" s="32"/>
      <c r="N673" s="44"/>
      <c r="O673" s="32"/>
      <c r="P673" s="32"/>
      <c r="Q673" s="44"/>
      <c r="S673" s="44"/>
      <c r="U673" s="44"/>
      <c r="V673" s="47"/>
      <c r="W673" s="44"/>
      <c r="Y673" s="44"/>
      <c r="AA673" s="32"/>
    </row>
    <row r="674">
      <c r="A674" s="45"/>
      <c r="B674" s="44"/>
      <c r="D674" s="44"/>
      <c r="F674" s="44"/>
      <c r="H674" s="44"/>
      <c r="J674" s="44"/>
      <c r="K674" s="32"/>
      <c r="L674" s="44"/>
      <c r="M674" s="32"/>
      <c r="N674" s="44"/>
      <c r="O674" s="32"/>
      <c r="P674" s="32"/>
      <c r="Q674" s="44"/>
      <c r="S674" s="44"/>
      <c r="U674" s="44"/>
      <c r="V674" s="47"/>
      <c r="W674" s="44"/>
      <c r="Y674" s="44"/>
      <c r="AA674" s="32"/>
    </row>
    <row r="675">
      <c r="A675" s="45"/>
      <c r="B675" s="44"/>
      <c r="D675" s="44"/>
      <c r="F675" s="44"/>
      <c r="H675" s="44"/>
      <c r="J675" s="44"/>
      <c r="K675" s="32"/>
      <c r="L675" s="44"/>
      <c r="M675" s="32"/>
      <c r="N675" s="44"/>
      <c r="O675" s="32"/>
      <c r="P675" s="32"/>
      <c r="Q675" s="44"/>
      <c r="S675" s="44"/>
      <c r="U675" s="44"/>
      <c r="V675" s="47"/>
      <c r="W675" s="44"/>
      <c r="Y675" s="44"/>
      <c r="AA675" s="32"/>
    </row>
    <row r="676">
      <c r="A676" s="45"/>
      <c r="B676" s="44"/>
      <c r="D676" s="44"/>
      <c r="F676" s="44"/>
      <c r="H676" s="44"/>
      <c r="J676" s="44"/>
      <c r="K676" s="32"/>
      <c r="L676" s="44"/>
      <c r="M676" s="32"/>
      <c r="N676" s="44"/>
      <c r="O676" s="32"/>
      <c r="P676" s="32"/>
      <c r="Q676" s="44"/>
      <c r="S676" s="44"/>
      <c r="U676" s="44"/>
      <c r="V676" s="47"/>
      <c r="W676" s="44"/>
      <c r="Y676" s="44"/>
      <c r="AA676" s="32"/>
    </row>
    <row r="677">
      <c r="A677" s="45"/>
      <c r="B677" s="44"/>
      <c r="D677" s="44"/>
      <c r="F677" s="44"/>
      <c r="H677" s="44"/>
      <c r="J677" s="44"/>
      <c r="K677" s="32"/>
      <c r="L677" s="44"/>
      <c r="M677" s="32"/>
      <c r="N677" s="44"/>
      <c r="O677" s="32"/>
      <c r="P677" s="32"/>
      <c r="Q677" s="44"/>
      <c r="S677" s="44"/>
      <c r="U677" s="44"/>
      <c r="V677" s="47"/>
      <c r="W677" s="44"/>
      <c r="Y677" s="44"/>
      <c r="AA677" s="32"/>
    </row>
    <row r="678">
      <c r="A678" s="45"/>
      <c r="B678" s="44"/>
      <c r="D678" s="44"/>
      <c r="F678" s="44"/>
      <c r="H678" s="44"/>
      <c r="J678" s="44"/>
      <c r="K678" s="32"/>
      <c r="L678" s="44"/>
      <c r="M678" s="32"/>
      <c r="N678" s="44"/>
      <c r="O678" s="32"/>
      <c r="P678" s="32"/>
      <c r="Q678" s="44"/>
      <c r="S678" s="44"/>
      <c r="U678" s="44"/>
      <c r="V678" s="47"/>
      <c r="W678" s="44"/>
      <c r="Y678" s="44"/>
      <c r="AA678" s="32"/>
    </row>
    <row r="679">
      <c r="A679" s="45"/>
      <c r="B679" s="44"/>
      <c r="D679" s="44"/>
      <c r="F679" s="44"/>
      <c r="H679" s="44"/>
      <c r="J679" s="44"/>
      <c r="K679" s="32"/>
      <c r="L679" s="44"/>
      <c r="M679" s="32"/>
      <c r="N679" s="44"/>
      <c r="O679" s="32"/>
      <c r="P679" s="32"/>
      <c r="Q679" s="44"/>
      <c r="S679" s="44"/>
      <c r="U679" s="44"/>
      <c r="V679" s="47"/>
      <c r="W679" s="44"/>
      <c r="Y679" s="44"/>
      <c r="AA679" s="32"/>
    </row>
    <row r="680">
      <c r="A680" s="45"/>
      <c r="B680" s="44"/>
      <c r="D680" s="44"/>
      <c r="F680" s="44"/>
      <c r="H680" s="44"/>
      <c r="J680" s="44"/>
      <c r="K680" s="32"/>
      <c r="L680" s="44"/>
      <c r="M680" s="32"/>
      <c r="N680" s="44"/>
      <c r="O680" s="32"/>
      <c r="P680" s="32"/>
      <c r="Q680" s="44"/>
      <c r="S680" s="44"/>
      <c r="U680" s="44"/>
      <c r="V680" s="47"/>
      <c r="W680" s="44"/>
      <c r="Y680" s="44"/>
      <c r="AA680" s="32"/>
    </row>
    <row r="681">
      <c r="A681" s="45"/>
      <c r="B681" s="44"/>
      <c r="D681" s="44"/>
      <c r="F681" s="44"/>
      <c r="H681" s="44"/>
      <c r="J681" s="44"/>
      <c r="K681" s="32"/>
      <c r="L681" s="44"/>
      <c r="M681" s="32"/>
      <c r="N681" s="44"/>
      <c r="O681" s="32"/>
      <c r="P681" s="32"/>
      <c r="Q681" s="44"/>
      <c r="S681" s="44"/>
      <c r="U681" s="44"/>
      <c r="V681" s="47"/>
      <c r="W681" s="44"/>
      <c r="Y681" s="44"/>
      <c r="AA681" s="32"/>
    </row>
    <row r="682">
      <c r="A682" s="45"/>
      <c r="B682" s="44"/>
      <c r="D682" s="44"/>
      <c r="F682" s="44"/>
      <c r="H682" s="44"/>
      <c r="J682" s="44"/>
      <c r="K682" s="32"/>
      <c r="L682" s="44"/>
      <c r="M682" s="32"/>
      <c r="N682" s="44"/>
      <c r="O682" s="32"/>
      <c r="P682" s="32"/>
      <c r="Q682" s="44"/>
      <c r="S682" s="44"/>
      <c r="U682" s="44"/>
      <c r="V682" s="47"/>
      <c r="W682" s="44"/>
      <c r="Y682" s="44"/>
      <c r="AA682" s="32"/>
    </row>
    <row r="683">
      <c r="A683" s="45"/>
      <c r="B683" s="44"/>
      <c r="D683" s="44"/>
      <c r="F683" s="44"/>
      <c r="H683" s="44"/>
      <c r="J683" s="44"/>
      <c r="K683" s="32"/>
      <c r="L683" s="44"/>
      <c r="M683" s="32"/>
      <c r="N683" s="44"/>
      <c r="O683" s="32"/>
      <c r="P683" s="32"/>
      <c r="Q683" s="44"/>
      <c r="S683" s="44"/>
      <c r="U683" s="44"/>
      <c r="V683" s="47"/>
      <c r="W683" s="44"/>
      <c r="Y683" s="44"/>
      <c r="AA683" s="32"/>
    </row>
    <row r="684">
      <c r="A684" s="45"/>
      <c r="B684" s="44"/>
      <c r="D684" s="44"/>
      <c r="F684" s="44"/>
      <c r="H684" s="44"/>
      <c r="J684" s="44"/>
      <c r="K684" s="32"/>
      <c r="L684" s="44"/>
      <c r="M684" s="32"/>
      <c r="N684" s="44"/>
      <c r="O684" s="32"/>
      <c r="P684" s="32"/>
      <c r="Q684" s="44"/>
      <c r="S684" s="44"/>
      <c r="U684" s="44"/>
      <c r="V684" s="47"/>
      <c r="W684" s="44"/>
      <c r="Y684" s="44"/>
      <c r="AA684" s="32"/>
    </row>
    <row r="685">
      <c r="A685" s="45"/>
      <c r="B685" s="44"/>
      <c r="D685" s="44"/>
      <c r="F685" s="44"/>
      <c r="H685" s="44"/>
      <c r="J685" s="44"/>
      <c r="K685" s="32"/>
      <c r="L685" s="44"/>
      <c r="M685" s="32"/>
      <c r="N685" s="44"/>
      <c r="O685" s="32"/>
      <c r="P685" s="32"/>
      <c r="Q685" s="44"/>
      <c r="S685" s="44"/>
      <c r="U685" s="44"/>
      <c r="V685" s="47"/>
      <c r="W685" s="44"/>
      <c r="Y685" s="44"/>
      <c r="AA685" s="32"/>
    </row>
    <row r="686">
      <c r="A686" s="45"/>
      <c r="B686" s="44"/>
      <c r="D686" s="44"/>
      <c r="F686" s="44"/>
      <c r="H686" s="44"/>
      <c r="J686" s="44"/>
      <c r="K686" s="32"/>
      <c r="L686" s="44"/>
      <c r="M686" s="32"/>
      <c r="N686" s="44"/>
      <c r="O686" s="32"/>
      <c r="P686" s="32"/>
      <c r="Q686" s="44"/>
      <c r="S686" s="44"/>
      <c r="U686" s="44"/>
      <c r="V686" s="47"/>
      <c r="W686" s="44"/>
      <c r="Y686" s="44"/>
      <c r="AA686" s="32"/>
    </row>
    <row r="687">
      <c r="A687" s="45"/>
      <c r="B687" s="44"/>
      <c r="D687" s="44"/>
      <c r="F687" s="44"/>
      <c r="H687" s="44"/>
      <c r="J687" s="44"/>
      <c r="K687" s="32"/>
      <c r="L687" s="44"/>
      <c r="M687" s="32"/>
      <c r="N687" s="44"/>
      <c r="O687" s="32"/>
      <c r="P687" s="32"/>
      <c r="Q687" s="44"/>
      <c r="S687" s="44"/>
      <c r="U687" s="44"/>
      <c r="V687" s="47"/>
      <c r="W687" s="44"/>
      <c r="Y687" s="44"/>
      <c r="AA687" s="32"/>
    </row>
    <row r="688">
      <c r="A688" s="45"/>
      <c r="B688" s="44"/>
      <c r="D688" s="44"/>
      <c r="F688" s="44"/>
      <c r="H688" s="44"/>
      <c r="J688" s="44"/>
      <c r="K688" s="32"/>
      <c r="L688" s="44"/>
      <c r="M688" s="32"/>
      <c r="N688" s="44"/>
      <c r="O688" s="32"/>
      <c r="P688" s="32"/>
      <c r="Q688" s="44"/>
      <c r="S688" s="44"/>
      <c r="U688" s="44"/>
      <c r="V688" s="47"/>
      <c r="W688" s="44"/>
      <c r="Y688" s="44"/>
      <c r="AA688" s="32"/>
    </row>
    <row r="689">
      <c r="A689" s="45"/>
      <c r="B689" s="44"/>
      <c r="D689" s="44"/>
      <c r="F689" s="44"/>
      <c r="H689" s="44"/>
      <c r="J689" s="44"/>
      <c r="K689" s="32"/>
      <c r="L689" s="44"/>
      <c r="M689" s="32"/>
      <c r="N689" s="44"/>
      <c r="O689" s="32"/>
      <c r="P689" s="32"/>
      <c r="Q689" s="44"/>
      <c r="S689" s="44"/>
      <c r="U689" s="44"/>
      <c r="V689" s="47"/>
      <c r="W689" s="44"/>
      <c r="Y689" s="44"/>
      <c r="AA689" s="32"/>
    </row>
    <row r="690">
      <c r="A690" s="45"/>
      <c r="B690" s="44"/>
      <c r="D690" s="44"/>
      <c r="F690" s="44"/>
      <c r="H690" s="44"/>
      <c r="J690" s="44"/>
      <c r="K690" s="32"/>
      <c r="L690" s="44"/>
      <c r="M690" s="32"/>
      <c r="N690" s="44"/>
      <c r="O690" s="32"/>
      <c r="P690" s="32"/>
      <c r="Q690" s="44"/>
      <c r="S690" s="44"/>
      <c r="U690" s="44"/>
      <c r="V690" s="47"/>
      <c r="W690" s="44"/>
      <c r="Y690" s="44"/>
      <c r="AA690" s="32"/>
    </row>
    <row r="691">
      <c r="A691" s="45"/>
      <c r="B691" s="44"/>
      <c r="D691" s="44"/>
      <c r="F691" s="44"/>
      <c r="H691" s="44"/>
      <c r="J691" s="44"/>
      <c r="K691" s="32"/>
      <c r="L691" s="44"/>
      <c r="M691" s="32"/>
      <c r="N691" s="44"/>
      <c r="O691" s="32"/>
      <c r="P691" s="32"/>
      <c r="Q691" s="44"/>
      <c r="S691" s="44"/>
      <c r="U691" s="44"/>
      <c r="V691" s="47"/>
      <c r="W691" s="44"/>
      <c r="Y691" s="44"/>
      <c r="AA691" s="32"/>
    </row>
    <row r="692">
      <c r="A692" s="45"/>
      <c r="B692" s="44"/>
      <c r="D692" s="44"/>
      <c r="F692" s="44"/>
      <c r="H692" s="44"/>
      <c r="J692" s="44"/>
      <c r="K692" s="32"/>
      <c r="L692" s="44"/>
      <c r="M692" s="32"/>
      <c r="N692" s="44"/>
      <c r="O692" s="32"/>
      <c r="P692" s="32"/>
      <c r="Q692" s="44"/>
      <c r="S692" s="44"/>
      <c r="U692" s="44"/>
      <c r="V692" s="47"/>
      <c r="W692" s="44"/>
      <c r="Y692" s="44"/>
      <c r="AA692" s="32"/>
    </row>
    <row r="693">
      <c r="A693" s="45"/>
      <c r="B693" s="44"/>
      <c r="D693" s="44"/>
      <c r="F693" s="44"/>
      <c r="H693" s="44"/>
      <c r="J693" s="44"/>
      <c r="K693" s="32"/>
      <c r="L693" s="44"/>
      <c r="M693" s="32"/>
      <c r="N693" s="44"/>
      <c r="O693" s="32"/>
      <c r="P693" s="32"/>
      <c r="Q693" s="44"/>
      <c r="S693" s="44"/>
      <c r="U693" s="44"/>
      <c r="V693" s="47"/>
      <c r="W693" s="44"/>
      <c r="Y693" s="44"/>
      <c r="AA693" s="32"/>
    </row>
    <row r="694">
      <c r="A694" s="45"/>
      <c r="B694" s="44"/>
      <c r="D694" s="44"/>
      <c r="F694" s="44"/>
      <c r="H694" s="44"/>
      <c r="J694" s="44"/>
      <c r="K694" s="32"/>
      <c r="L694" s="44"/>
      <c r="M694" s="32"/>
      <c r="N694" s="44"/>
      <c r="O694" s="32"/>
      <c r="P694" s="32"/>
      <c r="Q694" s="44"/>
      <c r="S694" s="44"/>
      <c r="U694" s="44"/>
      <c r="V694" s="47"/>
      <c r="W694" s="44"/>
      <c r="Y694" s="44"/>
      <c r="AA694" s="32"/>
    </row>
    <row r="695">
      <c r="A695" s="45"/>
      <c r="B695" s="44"/>
      <c r="D695" s="44"/>
      <c r="F695" s="44"/>
      <c r="H695" s="44"/>
      <c r="J695" s="44"/>
      <c r="K695" s="32"/>
      <c r="L695" s="44"/>
      <c r="M695" s="32"/>
      <c r="N695" s="44"/>
      <c r="O695" s="32"/>
      <c r="P695" s="32"/>
      <c r="Q695" s="44"/>
      <c r="S695" s="44"/>
      <c r="U695" s="44"/>
      <c r="V695" s="47"/>
      <c r="W695" s="44"/>
      <c r="Y695" s="44"/>
      <c r="AA695" s="32"/>
    </row>
    <row r="696">
      <c r="A696" s="45"/>
      <c r="B696" s="44"/>
      <c r="D696" s="44"/>
      <c r="F696" s="44"/>
      <c r="H696" s="44"/>
      <c r="J696" s="44"/>
      <c r="K696" s="32"/>
      <c r="L696" s="44"/>
      <c r="M696" s="32"/>
      <c r="N696" s="44"/>
      <c r="O696" s="32"/>
      <c r="P696" s="32"/>
      <c r="Q696" s="44"/>
      <c r="S696" s="44"/>
      <c r="U696" s="44"/>
      <c r="V696" s="47"/>
      <c r="W696" s="44"/>
      <c r="Y696" s="44"/>
      <c r="AA696" s="32"/>
    </row>
    <row r="697">
      <c r="A697" s="45"/>
      <c r="B697" s="44"/>
      <c r="D697" s="44"/>
      <c r="F697" s="44"/>
      <c r="H697" s="44"/>
      <c r="J697" s="44"/>
      <c r="K697" s="32"/>
      <c r="L697" s="44"/>
      <c r="M697" s="32"/>
      <c r="N697" s="44"/>
      <c r="O697" s="32"/>
      <c r="P697" s="32"/>
      <c r="Q697" s="44"/>
      <c r="S697" s="44"/>
      <c r="U697" s="44"/>
      <c r="V697" s="47"/>
      <c r="W697" s="44"/>
      <c r="Y697" s="44"/>
      <c r="AA697" s="32"/>
    </row>
    <row r="698">
      <c r="A698" s="45"/>
      <c r="B698" s="44"/>
      <c r="D698" s="44"/>
      <c r="F698" s="44"/>
      <c r="H698" s="44"/>
      <c r="J698" s="44"/>
      <c r="K698" s="32"/>
      <c r="L698" s="44"/>
      <c r="M698" s="32"/>
      <c r="N698" s="44"/>
      <c r="O698" s="32"/>
      <c r="P698" s="32"/>
      <c r="Q698" s="44"/>
      <c r="S698" s="44"/>
      <c r="U698" s="44"/>
      <c r="V698" s="47"/>
      <c r="W698" s="44"/>
      <c r="Y698" s="44"/>
      <c r="AA698" s="32"/>
    </row>
    <row r="699">
      <c r="A699" s="45"/>
      <c r="B699" s="44"/>
      <c r="D699" s="44"/>
      <c r="F699" s="44"/>
      <c r="H699" s="44"/>
      <c r="J699" s="44"/>
      <c r="K699" s="32"/>
      <c r="L699" s="44"/>
      <c r="M699" s="32"/>
      <c r="N699" s="44"/>
      <c r="O699" s="32"/>
      <c r="P699" s="32"/>
      <c r="Q699" s="44"/>
      <c r="S699" s="44"/>
      <c r="U699" s="44"/>
      <c r="V699" s="47"/>
      <c r="W699" s="44"/>
      <c r="Y699" s="44"/>
      <c r="AA699" s="32"/>
    </row>
    <row r="700">
      <c r="A700" s="45"/>
      <c r="B700" s="44"/>
      <c r="D700" s="44"/>
      <c r="F700" s="44"/>
      <c r="H700" s="44"/>
      <c r="J700" s="44"/>
      <c r="K700" s="32"/>
      <c r="L700" s="44"/>
      <c r="M700" s="32"/>
      <c r="N700" s="44"/>
      <c r="O700" s="32"/>
      <c r="P700" s="32"/>
      <c r="Q700" s="44"/>
      <c r="S700" s="44"/>
      <c r="U700" s="44"/>
      <c r="V700" s="47"/>
      <c r="W700" s="44"/>
      <c r="Y700" s="44"/>
      <c r="AA700" s="32"/>
    </row>
    <row r="701">
      <c r="A701" s="45"/>
      <c r="B701" s="44"/>
      <c r="D701" s="44"/>
      <c r="F701" s="44"/>
      <c r="H701" s="44"/>
      <c r="J701" s="44"/>
      <c r="K701" s="32"/>
      <c r="L701" s="44"/>
      <c r="M701" s="32"/>
      <c r="N701" s="44"/>
      <c r="O701" s="32"/>
      <c r="P701" s="32"/>
      <c r="Q701" s="44"/>
      <c r="S701" s="44"/>
      <c r="U701" s="44"/>
      <c r="V701" s="47"/>
      <c r="W701" s="44"/>
      <c r="Y701" s="44"/>
      <c r="AA701" s="32"/>
    </row>
    <row r="702">
      <c r="A702" s="45"/>
      <c r="B702" s="44"/>
      <c r="D702" s="44"/>
      <c r="F702" s="44"/>
      <c r="H702" s="44"/>
      <c r="J702" s="44"/>
      <c r="K702" s="32"/>
      <c r="L702" s="44"/>
      <c r="M702" s="32"/>
      <c r="N702" s="44"/>
      <c r="O702" s="32"/>
      <c r="P702" s="32"/>
      <c r="Q702" s="44"/>
      <c r="S702" s="44"/>
      <c r="U702" s="44"/>
      <c r="V702" s="47"/>
      <c r="W702" s="44"/>
      <c r="Y702" s="44"/>
      <c r="AA702" s="32"/>
    </row>
    <row r="703">
      <c r="A703" s="45"/>
      <c r="B703" s="44"/>
      <c r="D703" s="44"/>
      <c r="F703" s="44"/>
      <c r="H703" s="44"/>
      <c r="J703" s="44"/>
      <c r="K703" s="32"/>
      <c r="L703" s="44"/>
      <c r="M703" s="32"/>
      <c r="N703" s="44"/>
      <c r="O703" s="32"/>
      <c r="P703" s="32"/>
      <c r="Q703" s="44"/>
      <c r="S703" s="44"/>
      <c r="U703" s="44"/>
      <c r="V703" s="47"/>
      <c r="W703" s="44"/>
      <c r="Y703" s="44"/>
      <c r="AA703" s="32"/>
    </row>
    <row r="704">
      <c r="A704" s="45"/>
      <c r="B704" s="44"/>
      <c r="D704" s="44"/>
      <c r="F704" s="44"/>
      <c r="H704" s="44"/>
      <c r="J704" s="44"/>
      <c r="K704" s="32"/>
      <c r="L704" s="44"/>
      <c r="M704" s="32"/>
      <c r="N704" s="44"/>
      <c r="O704" s="32"/>
      <c r="P704" s="32"/>
      <c r="Q704" s="44"/>
      <c r="S704" s="44"/>
      <c r="U704" s="44"/>
      <c r="V704" s="47"/>
      <c r="W704" s="44"/>
      <c r="Y704" s="44"/>
      <c r="AA704" s="32"/>
    </row>
    <row r="705">
      <c r="A705" s="45"/>
      <c r="B705" s="44"/>
      <c r="D705" s="44"/>
      <c r="F705" s="44"/>
      <c r="H705" s="44"/>
      <c r="J705" s="44"/>
      <c r="K705" s="32"/>
      <c r="L705" s="44"/>
      <c r="M705" s="32"/>
      <c r="N705" s="44"/>
      <c r="O705" s="32"/>
      <c r="P705" s="32"/>
      <c r="Q705" s="44"/>
      <c r="S705" s="44"/>
      <c r="U705" s="44"/>
      <c r="V705" s="47"/>
      <c r="W705" s="44"/>
      <c r="Y705" s="44"/>
      <c r="AA705" s="32"/>
    </row>
    <row r="706">
      <c r="A706" s="45"/>
      <c r="B706" s="44"/>
      <c r="D706" s="44"/>
      <c r="F706" s="44"/>
      <c r="H706" s="44"/>
      <c r="J706" s="44"/>
      <c r="K706" s="32"/>
      <c r="L706" s="44"/>
      <c r="M706" s="32"/>
      <c r="N706" s="44"/>
      <c r="O706" s="32"/>
      <c r="P706" s="32"/>
      <c r="Q706" s="44"/>
      <c r="S706" s="44"/>
      <c r="U706" s="44"/>
      <c r="V706" s="47"/>
      <c r="W706" s="44"/>
      <c r="Y706" s="44"/>
      <c r="AA706" s="32"/>
    </row>
    <row r="707">
      <c r="A707" s="45"/>
      <c r="B707" s="44"/>
      <c r="D707" s="44"/>
      <c r="F707" s="44"/>
      <c r="H707" s="44"/>
      <c r="J707" s="44"/>
      <c r="K707" s="32"/>
      <c r="L707" s="44"/>
      <c r="M707" s="32"/>
      <c r="N707" s="44"/>
      <c r="O707" s="32"/>
      <c r="P707" s="32"/>
      <c r="Q707" s="44"/>
      <c r="S707" s="44"/>
      <c r="U707" s="44"/>
      <c r="V707" s="47"/>
      <c r="W707" s="44"/>
      <c r="Y707" s="44"/>
      <c r="AA707" s="32"/>
    </row>
    <row r="708">
      <c r="A708" s="45"/>
      <c r="B708" s="44"/>
      <c r="D708" s="44"/>
      <c r="F708" s="44"/>
      <c r="H708" s="44"/>
      <c r="J708" s="44"/>
      <c r="K708" s="32"/>
      <c r="L708" s="44"/>
      <c r="M708" s="32"/>
      <c r="N708" s="44"/>
      <c r="O708" s="32"/>
      <c r="P708" s="32"/>
      <c r="Q708" s="44"/>
      <c r="S708" s="44"/>
      <c r="U708" s="44"/>
      <c r="V708" s="47"/>
      <c r="W708" s="44"/>
      <c r="Y708" s="44"/>
      <c r="AA708" s="32"/>
    </row>
    <row r="709">
      <c r="A709" s="45"/>
      <c r="B709" s="44"/>
      <c r="D709" s="44"/>
      <c r="F709" s="44"/>
      <c r="H709" s="44"/>
      <c r="J709" s="44"/>
      <c r="K709" s="32"/>
      <c r="L709" s="44"/>
      <c r="M709" s="32"/>
      <c r="N709" s="44"/>
      <c r="O709" s="32"/>
      <c r="P709" s="32"/>
      <c r="Q709" s="44"/>
      <c r="S709" s="44"/>
      <c r="U709" s="44"/>
      <c r="V709" s="47"/>
      <c r="W709" s="44"/>
      <c r="Y709" s="44"/>
      <c r="AA709" s="32"/>
    </row>
    <row r="710">
      <c r="A710" s="45"/>
      <c r="B710" s="44"/>
      <c r="D710" s="44"/>
      <c r="F710" s="44"/>
      <c r="H710" s="44"/>
      <c r="J710" s="44"/>
      <c r="K710" s="32"/>
      <c r="L710" s="44"/>
      <c r="M710" s="32"/>
      <c r="N710" s="44"/>
      <c r="O710" s="32"/>
      <c r="P710" s="32"/>
      <c r="Q710" s="44"/>
      <c r="S710" s="44"/>
      <c r="U710" s="44"/>
      <c r="V710" s="47"/>
      <c r="W710" s="44"/>
      <c r="Y710" s="44"/>
      <c r="AA710" s="32"/>
    </row>
    <row r="711">
      <c r="A711" s="45"/>
      <c r="B711" s="44"/>
      <c r="D711" s="44"/>
      <c r="F711" s="44"/>
      <c r="H711" s="44"/>
      <c r="J711" s="44"/>
      <c r="K711" s="32"/>
      <c r="L711" s="44"/>
      <c r="M711" s="32"/>
      <c r="N711" s="44"/>
      <c r="O711" s="32"/>
      <c r="P711" s="32"/>
      <c r="Q711" s="44"/>
      <c r="S711" s="44"/>
      <c r="U711" s="44"/>
      <c r="V711" s="47"/>
      <c r="W711" s="44"/>
      <c r="Y711" s="44"/>
      <c r="AA711" s="32"/>
    </row>
    <row r="712">
      <c r="A712" s="45"/>
      <c r="B712" s="44"/>
      <c r="D712" s="44"/>
      <c r="F712" s="44"/>
      <c r="H712" s="44"/>
      <c r="J712" s="44"/>
      <c r="K712" s="32"/>
      <c r="L712" s="44"/>
      <c r="M712" s="32"/>
      <c r="N712" s="44"/>
      <c r="O712" s="32"/>
      <c r="P712" s="32"/>
      <c r="Q712" s="44"/>
      <c r="S712" s="44"/>
      <c r="U712" s="44"/>
      <c r="V712" s="47"/>
      <c r="W712" s="44"/>
      <c r="Y712" s="44"/>
      <c r="AA712" s="32"/>
    </row>
    <row r="713">
      <c r="A713" s="45"/>
      <c r="B713" s="44"/>
      <c r="D713" s="44"/>
      <c r="F713" s="44"/>
      <c r="H713" s="44"/>
      <c r="J713" s="44"/>
      <c r="K713" s="32"/>
      <c r="L713" s="44"/>
      <c r="M713" s="32"/>
      <c r="N713" s="44"/>
      <c r="O713" s="32"/>
      <c r="P713" s="32"/>
      <c r="Q713" s="44"/>
      <c r="S713" s="44"/>
      <c r="U713" s="44"/>
      <c r="V713" s="47"/>
      <c r="W713" s="44"/>
      <c r="Y713" s="44"/>
      <c r="AA713" s="32"/>
    </row>
    <row r="714">
      <c r="A714" s="45"/>
      <c r="B714" s="44"/>
      <c r="D714" s="44"/>
      <c r="F714" s="44"/>
      <c r="H714" s="44"/>
      <c r="J714" s="44"/>
      <c r="K714" s="32"/>
      <c r="L714" s="44"/>
      <c r="M714" s="32"/>
      <c r="N714" s="44"/>
      <c r="O714" s="32"/>
      <c r="P714" s="32"/>
      <c r="Q714" s="44"/>
      <c r="S714" s="44"/>
      <c r="U714" s="44"/>
      <c r="V714" s="47"/>
      <c r="W714" s="44"/>
      <c r="Y714" s="44"/>
      <c r="AA714" s="32"/>
    </row>
    <row r="715">
      <c r="A715" s="45"/>
      <c r="B715" s="44"/>
      <c r="D715" s="44"/>
      <c r="F715" s="44"/>
      <c r="H715" s="44"/>
      <c r="J715" s="44"/>
      <c r="K715" s="32"/>
      <c r="L715" s="44"/>
      <c r="M715" s="32"/>
      <c r="N715" s="44"/>
      <c r="O715" s="32"/>
      <c r="P715" s="32"/>
      <c r="Q715" s="44"/>
      <c r="S715" s="44"/>
      <c r="U715" s="44"/>
      <c r="V715" s="47"/>
      <c r="W715" s="44"/>
      <c r="Y715" s="44"/>
      <c r="AA715" s="32"/>
    </row>
    <row r="716">
      <c r="A716" s="45"/>
      <c r="B716" s="44"/>
      <c r="D716" s="44"/>
      <c r="F716" s="44"/>
      <c r="H716" s="44"/>
      <c r="J716" s="44"/>
      <c r="K716" s="32"/>
      <c r="L716" s="44"/>
      <c r="M716" s="32"/>
      <c r="N716" s="44"/>
      <c r="O716" s="32"/>
      <c r="P716" s="32"/>
      <c r="Q716" s="44"/>
      <c r="S716" s="44"/>
      <c r="U716" s="44"/>
      <c r="V716" s="47"/>
      <c r="W716" s="44"/>
      <c r="Y716" s="44"/>
      <c r="AA716" s="32"/>
    </row>
    <row r="717">
      <c r="A717" s="45"/>
      <c r="B717" s="44"/>
      <c r="D717" s="44"/>
      <c r="F717" s="44"/>
      <c r="H717" s="44"/>
      <c r="J717" s="44"/>
      <c r="K717" s="32"/>
      <c r="L717" s="44"/>
      <c r="M717" s="32"/>
      <c r="N717" s="44"/>
      <c r="O717" s="32"/>
      <c r="P717" s="32"/>
      <c r="Q717" s="44"/>
      <c r="S717" s="44"/>
      <c r="U717" s="44"/>
      <c r="V717" s="47"/>
      <c r="W717" s="44"/>
      <c r="Y717" s="44"/>
      <c r="AA717" s="32"/>
    </row>
    <row r="718">
      <c r="A718" s="45"/>
      <c r="B718" s="44"/>
      <c r="D718" s="44"/>
      <c r="F718" s="44"/>
      <c r="H718" s="44"/>
      <c r="J718" s="44"/>
      <c r="K718" s="32"/>
      <c r="L718" s="44"/>
      <c r="M718" s="32"/>
      <c r="N718" s="44"/>
      <c r="O718" s="32"/>
      <c r="P718" s="32"/>
      <c r="Q718" s="44"/>
      <c r="S718" s="44"/>
      <c r="U718" s="44"/>
      <c r="V718" s="47"/>
      <c r="W718" s="44"/>
      <c r="Y718" s="44"/>
      <c r="AA718" s="32"/>
    </row>
    <row r="719">
      <c r="A719" s="45"/>
      <c r="B719" s="44"/>
      <c r="D719" s="44"/>
      <c r="F719" s="44"/>
      <c r="H719" s="44"/>
      <c r="J719" s="44"/>
      <c r="K719" s="32"/>
      <c r="L719" s="44"/>
      <c r="M719" s="32"/>
      <c r="N719" s="44"/>
      <c r="O719" s="32"/>
      <c r="P719" s="32"/>
      <c r="Q719" s="44"/>
      <c r="S719" s="44"/>
      <c r="U719" s="44"/>
      <c r="V719" s="47"/>
      <c r="W719" s="44"/>
      <c r="Y719" s="44"/>
      <c r="AA719" s="32"/>
    </row>
    <row r="720">
      <c r="A720" s="45"/>
      <c r="B720" s="44"/>
      <c r="D720" s="44"/>
      <c r="F720" s="44"/>
      <c r="H720" s="44"/>
      <c r="J720" s="44"/>
      <c r="K720" s="32"/>
      <c r="L720" s="44"/>
      <c r="M720" s="32"/>
      <c r="N720" s="44"/>
      <c r="O720" s="32"/>
      <c r="P720" s="32"/>
      <c r="Q720" s="44"/>
      <c r="S720" s="44"/>
      <c r="U720" s="44"/>
      <c r="V720" s="47"/>
      <c r="W720" s="44"/>
      <c r="Y720" s="44"/>
      <c r="AA720" s="32"/>
    </row>
    <row r="721">
      <c r="A721" s="45"/>
      <c r="B721" s="44"/>
      <c r="D721" s="44"/>
      <c r="F721" s="44"/>
      <c r="H721" s="44"/>
      <c r="J721" s="44"/>
      <c r="K721" s="32"/>
      <c r="L721" s="44"/>
      <c r="M721" s="32"/>
      <c r="N721" s="44"/>
      <c r="O721" s="32"/>
      <c r="P721" s="32"/>
      <c r="Q721" s="44"/>
      <c r="S721" s="44"/>
      <c r="U721" s="44"/>
      <c r="V721" s="47"/>
      <c r="W721" s="44"/>
      <c r="Y721" s="44"/>
      <c r="AA721" s="32"/>
    </row>
    <row r="722">
      <c r="A722" s="45"/>
      <c r="B722" s="44"/>
      <c r="D722" s="44"/>
      <c r="F722" s="44"/>
      <c r="H722" s="44"/>
      <c r="J722" s="44"/>
      <c r="K722" s="32"/>
      <c r="L722" s="44"/>
      <c r="M722" s="32"/>
      <c r="N722" s="44"/>
      <c r="O722" s="32"/>
      <c r="P722" s="32"/>
      <c r="Q722" s="44"/>
      <c r="S722" s="44"/>
      <c r="U722" s="44"/>
      <c r="V722" s="47"/>
      <c r="W722" s="44"/>
      <c r="Y722" s="44"/>
      <c r="AA722" s="32"/>
    </row>
    <row r="723">
      <c r="A723" s="45"/>
      <c r="B723" s="44"/>
      <c r="D723" s="44"/>
      <c r="F723" s="44"/>
      <c r="H723" s="44"/>
      <c r="J723" s="44"/>
      <c r="K723" s="32"/>
      <c r="L723" s="44"/>
      <c r="M723" s="32"/>
      <c r="N723" s="44"/>
      <c r="O723" s="32"/>
      <c r="P723" s="32"/>
      <c r="Q723" s="44"/>
      <c r="S723" s="44"/>
      <c r="U723" s="44"/>
      <c r="V723" s="47"/>
      <c r="W723" s="44"/>
      <c r="Y723" s="44"/>
      <c r="AA723" s="32"/>
    </row>
    <row r="724">
      <c r="A724" s="45"/>
      <c r="B724" s="44"/>
      <c r="D724" s="44"/>
      <c r="F724" s="44"/>
      <c r="H724" s="44"/>
      <c r="J724" s="44"/>
      <c r="K724" s="32"/>
      <c r="L724" s="44"/>
      <c r="M724" s="32"/>
      <c r="N724" s="44"/>
      <c r="O724" s="32"/>
      <c r="P724" s="32"/>
      <c r="Q724" s="44"/>
      <c r="S724" s="44"/>
      <c r="U724" s="44"/>
      <c r="V724" s="47"/>
      <c r="W724" s="44"/>
      <c r="Y724" s="44"/>
      <c r="AA724" s="32"/>
    </row>
    <row r="725">
      <c r="A725" s="45"/>
      <c r="B725" s="44"/>
      <c r="D725" s="44"/>
      <c r="F725" s="44"/>
      <c r="H725" s="44"/>
      <c r="J725" s="44"/>
      <c r="K725" s="32"/>
      <c r="L725" s="44"/>
      <c r="M725" s="32"/>
      <c r="N725" s="44"/>
      <c r="O725" s="32"/>
      <c r="P725" s="32"/>
      <c r="Q725" s="44"/>
      <c r="S725" s="44"/>
      <c r="U725" s="44"/>
      <c r="V725" s="47"/>
      <c r="W725" s="44"/>
      <c r="Y725" s="44"/>
      <c r="AA725" s="32"/>
    </row>
    <row r="726">
      <c r="A726" s="45"/>
      <c r="B726" s="44"/>
      <c r="D726" s="44"/>
      <c r="F726" s="44"/>
      <c r="H726" s="44"/>
      <c r="J726" s="44"/>
      <c r="K726" s="32"/>
      <c r="L726" s="44"/>
      <c r="M726" s="32"/>
      <c r="N726" s="44"/>
      <c r="O726" s="32"/>
      <c r="P726" s="32"/>
      <c r="Q726" s="44"/>
      <c r="S726" s="44"/>
      <c r="U726" s="44"/>
      <c r="V726" s="47"/>
      <c r="W726" s="44"/>
      <c r="Y726" s="44"/>
      <c r="AA726" s="32"/>
    </row>
    <row r="727">
      <c r="A727" s="45"/>
      <c r="B727" s="44"/>
      <c r="D727" s="44"/>
      <c r="F727" s="44"/>
      <c r="H727" s="44"/>
      <c r="J727" s="44"/>
      <c r="K727" s="32"/>
      <c r="L727" s="44"/>
      <c r="M727" s="32"/>
      <c r="N727" s="44"/>
      <c r="O727" s="32"/>
      <c r="P727" s="32"/>
      <c r="Q727" s="44"/>
      <c r="S727" s="44"/>
      <c r="U727" s="44"/>
      <c r="V727" s="47"/>
      <c r="W727" s="44"/>
      <c r="Y727" s="44"/>
      <c r="AA727" s="32"/>
    </row>
    <row r="728">
      <c r="A728" s="45"/>
      <c r="B728" s="44"/>
      <c r="D728" s="44"/>
      <c r="F728" s="44"/>
      <c r="H728" s="44"/>
      <c r="J728" s="44"/>
      <c r="K728" s="32"/>
      <c r="L728" s="44"/>
      <c r="M728" s="32"/>
      <c r="N728" s="44"/>
      <c r="O728" s="32"/>
      <c r="P728" s="32"/>
      <c r="Q728" s="44"/>
      <c r="S728" s="44"/>
      <c r="U728" s="44"/>
      <c r="V728" s="47"/>
      <c r="W728" s="44"/>
      <c r="Y728" s="44"/>
      <c r="AA728" s="32"/>
    </row>
    <row r="729">
      <c r="A729" s="45"/>
      <c r="B729" s="44"/>
      <c r="D729" s="44"/>
      <c r="F729" s="44"/>
      <c r="H729" s="44"/>
      <c r="J729" s="44"/>
      <c r="K729" s="32"/>
      <c r="L729" s="44"/>
      <c r="M729" s="32"/>
      <c r="N729" s="44"/>
      <c r="O729" s="32"/>
      <c r="P729" s="32"/>
      <c r="Q729" s="44"/>
      <c r="S729" s="44"/>
      <c r="U729" s="44"/>
      <c r="V729" s="47"/>
      <c r="W729" s="44"/>
      <c r="Y729" s="44"/>
      <c r="AA729" s="32"/>
    </row>
    <row r="730">
      <c r="A730" s="45"/>
      <c r="B730" s="44"/>
      <c r="D730" s="44"/>
      <c r="F730" s="44"/>
      <c r="H730" s="44"/>
      <c r="J730" s="44"/>
      <c r="K730" s="32"/>
      <c r="L730" s="44"/>
      <c r="M730" s="32"/>
      <c r="N730" s="44"/>
      <c r="O730" s="32"/>
      <c r="P730" s="32"/>
      <c r="Q730" s="44"/>
      <c r="S730" s="44"/>
      <c r="U730" s="44"/>
      <c r="V730" s="47"/>
      <c r="W730" s="44"/>
      <c r="Y730" s="44"/>
      <c r="AA730" s="32"/>
    </row>
    <row r="731">
      <c r="A731" s="45"/>
      <c r="B731" s="44"/>
      <c r="D731" s="44"/>
      <c r="F731" s="44"/>
      <c r="H731" s="44"/>
      <c r="J731" s="44"/>
      <c r="K731" s="32"/>
      <c r="L731" s="44"/>
      <c r="M731" s="32"/>
      <c r="N731" s="44"/>
      <c r="O731" s="32"/>
      <c r="P731" s="32"/>
      <c r="Q731" s="44"/>
      <c r="S731" s="44"/>
      <c r="U731" s="44"/>
      <c r="V731" s="47"/>
      <c r="W731" s="44"/>
      <c r="Y731" s="44"/>
      <c r="AA731" s="32"/>
    </row>
    <row r="732">
      <c r="A732" s="45"/>
      <c r="B732" s="44"/>
      <c r="D732" s="44"/>
      <c r="F732" s="44"/>
      <c r="H732" s="44"/>
      <c r="J732" s="44"/>
      <c r="K732" s="32"/>
      <c r="L732" s="44"/>
      <c r="M732" s="32"/>
      <c r="N732" s="44"/>
      <c r="O732" s="32"/>
      <c r="P732" s="32"/>
      <c r="Q732" s="44"/>
      <c r="S732" s="44"/>
      <c r="U732" s="44"/>
      <c r="V732" s="47"/>
      <c r="W732" s="44"/>
      <c r="Y732" s="44"/>
      <c r="AA732" s="32"/>
    </row>
    <row r="733">
      <c r="A733" s="45"/>
      <c r="B733" s="44"/>
      <c r="D733" s="44"/>
      <c r="F733" s="44"/>
      <c r="H733" s="44"/>
      <c r="J733" s="44"/>
      <c r="K733" s="32"/>
      <c r="L733" s="44"/>
      <c r="M733" s="32"/>
      <c r="N733" s="44"/>
      <c r="O733" s="32"/>
      <c r="P733" s="32"/>
      <c r="Q733" s="44"/>
      <c r="S733" s="44"/>
      <c r="U733" s="44"/>
      <c r="V733" s="47"/>
      <c r="W733" s="44"/>
      <c r="Y733" s="44"/>
      <c r="AA733" s="32"/>
    </row>
    <row r="734">
      <c r="A734" s="45"/>
      <c r="B734" s="44"/>
      <c r="D734" s="44"/>
      <c r="F734" s="44"/>
      <c r="H734" s="44"/>
      <c r="J734" s="44"/>
      <c r="K734" s="32"/>
      <c r="L734" s="44"/>
      <c r="M734" s="32"/>
      <c r="N734" s="44"/>
      <c r="O734" s="32"/>
      <c r="P734" s="32"/>
      <c r="Q734" s="44"/>
      <c r="S734" s="44"/>
      <c r="U734" s="44"/>
      <c r="V734" s="47"/>
      <c r="W734" s="44"/>
      <c r="Y734" s="44"/>
      <c r="AA734" s="32"/>
    </row>
    <row r="735">
      <c r="A735" s="45"/>
      <c r="B735" s="44"/>
      <c r="D735" s="44"/>
      <c r="F735" s="44"/>
      <c r="H735" s="44"/>
      <c r="J735" s="44"/>
      <c r="K735" s="32"/>
      <c r="L735" s="44"/>
      <c r="M735" s="32"/>
      <c r="N735" s="44"/>
      <c r="O735" s="32"/>
      <c r="P735" s="32"/>
      <c r="Q735" s="44"/>
      <c r="S735" s="44"/>
      <c r="U735" s="44"/>
      <c r="V735" s="47"/>
      <c r="W735" s="44"/>
      <c r="Y735" s="44"/>
      <c r="AA735" s="32"/>
    </row>
    <row r="736">
      <c r="A736" s="45"/>
      <c r="B736" s="44"/>
      <c r="D736" s="44"/>
      <c r="F736" s="44"/>
      <c r="H736" s="44"/>
      <c r="J736" s="44"/>
      <c r="K736" s="32"/>
      <c r="L736" s="44"/>
      <c r="M736" s="32"/>
      <c r="N736" s="44"/>
      <c r="O736" s="32"/>
      <c r="P736" s="32"/>
      <c r="Q736" s="44"/>
      <c r="S736" s="44"/>
      <c r="U736" s="44"/>
      <c r="V736" s="47"/>
      <c r="W736" s="44"/>
      <c r="Y736" s="44"/>
      <c r="AA736" s="32"/>
    </row>
    <row r="737">
      <c r="A737" s="45"/>
      <c r="B737" s="44"/>
      <c r="D737" s="44"/>
      <c r="F737" s="44"/>
      <c r="H737" s="44"/>
      <c r="J737" s="44"/>
      <c r="K737" s="32"/>
      <c r="L737" s="44"/>
      <c r="M737" s="32"/>
      <c r="N737" s="44"/>
      <c r="O737" s="32"/>
      <c r="P737" s="32"/>
      <c r="Q737" s="44"/>
      <c r="S737" s="44"/>
      <c r="U737" s="44"/>
      <c r="V737" s="47"/>
      <c r="W737" s="44"/>
      <c r="Y737" s="44"/>
      <c r="AA737" s="32"/>
    </row>
    <row r="738">
      <c r="A738" s="45"/>
      <c r="B738" s="44"/>
      <c r="D738" s="44"/>
      <c r="F738" s="44"/>
      <c r="H738" s="44"/>
      <c r="J738" s="44"/>
      <c r="K738" s="32"/>
      <c r="L738" s="44"/>
      <c r="M738" s="32"/>
      <c r="N738" s="44"/>
      <c r="O738" s="32"/>
      <c r="P738" s="32"/>
      <c r="Q738" s="44"/>
      <c r="S738" s="44"/>
      <c r="U738" s="44"/>
      <c r="V738" s="47"/>
      <c r="W738" s="44"/>
      <c r="Y738" s="44"/>
      <c r="AA738" s="32"/>
    </row>
    <row r="739">
      <c r="A739" s="45"/>
      <c r="B739" s="44"/>
      <c r="D739" s="44"/>
      <c r="F739" s="44"/>
      <c r="H739" s="44"/>
      <c r="J739" s="44"/>
      <c r="K739" s="32"/>
      <c r="L739" s="44"/>
      <c r="M739" s="32"/>
      <c r="N739" s="44"/>
      <c r="O739" s="32"/>
      <c r="P739" s="32"/>
      <c r="Q739" s="44"/>
      <c r="S739" s="44"/>
      <c r="U739" s="44"/>
      <c r="V739" s="47"/>
      <c r="W739" s="44"/>
      <c r="Y739" s="44"/>
      <c r="AA739" s="32"/>
    </row>
    <row r="740">
      <c r="A740" s="45"/>
      <c r="B740" s="44"/>
      <c r="D740" s="44"/>
      <c r="F740" s="44"/>
      <c r="H740" s="44"/>
      <c r="J740" s="44"/>
      <c r="K740" s="32"/>
      <c r="L740" s="44"/>
      <c r="M740" s="32"/>
      <c r="N740" s="44"/>
      <c r="O740" s="32"/>
      <c r="P740" s="32"/>
      <c r="Q740" s="44"/>
      <c r="S740" s="44"/>
      <c r="U740" s="44"/>
      <c r="V740" s="47"/>
      <c r="W740" s="44"/>
      <c r="Y740" s="44"/>
      <c r="AA740" s="32"/>
    </row>
    <row r="741">
      <c r="A741" s="45"/>
      <c r="B741" s="44"/>
      <c r="D741" s="44"/>
      <c r="F741" s="44"/>
      <c r="H741" s="44"/>
      <c r="J741" s="44"/>
      <c r="K741" s="32"/>
      <c r="L741" s="44"/>
      <c r="M741" s="32"/>
      <c r="N741" s="44"/>
      <c r="O741" s="32"/>
      <c r="P741" s="32"/>
      <c r="Q741" s="44"/>
      <c r="S741" s="44"/>
      <c r="U741" s="44"/>
      <c r="V741" s="47"/>
      <c r="W741" s="44"/>
      <c r="Y741" s="44"/>
      <c r="AA741" s="32"/>
    </row>
    <row r="742">
      <c r="A742" s="45"/>
      <c r="B742" s="44"/>
      <c r="D742" s="44"/>
      <c r="F742" s="44"/>
      <c r="H742" s="44"/>
      <c r="J742" s="44"/>
      <c r="K742" s="32"/>
      <c r="L742" s="44"/>
      <c r="M742" s="32"/>
      <c r="N742" s="44"/>
      <c r="O742" s="32"/>
      <c r="P742" s="32"/>
      <c r="Q742" s="44"/>
      <c r="S742" s="44"/>
      <c r="U742" s="44"/>
      <c r="V742" s="47"/>
      <c r="W742" s="44"/>
      <c r="Y742" s="44"/>
      <c r="AA742" s="32"/>
    </row>
    <row r="743">
      <c r="A743" s="45"/>
      <c r="B743" s="44"/>
      <c r="D743" s="44"/>
      <c r="F743" s="44"/>
      <c r="H743" s="44"/>
      <c r="J743" s="44"/>
      <c r="K743" s="32"/>
      <c r="L743" s="44"/>
      <c r="M743" s="32"/>
      <c r="N743" s="44"/>
      <c r="O743" s="32"/>
      <c r="P743" s="32"/>
      <c r="Q743" s="44"/>
      <c r="S743" s="44"/>
      <c r="U743" s="44"/>
      <c r="V743" s="47"/>
      <c r="W743" s="44"/>
      <c r="Y743" s="44"/>
      <c r="AA743" s="32"/>
    </row>
    <row r="744">
      <c r="A744" s="45"/>
      <c r="B744" s="44"/>
      <c r="D744" s="44"/>
      <c r="F744" s="44"/>
      <c r="H744" s="44"/>
      <c r="J744" s="44"/>
      <c r="K744" s="32"/>
      <c r="L744" s="44"/>
      <c r="M744" s="32"/>
      <c r="N744" s="44"/>
      <c r="O744" s="32"/>
      <c r="P744" s="32"/>
      <c r="Q744" s="44"/>
      <c r="S744" s="44"/>
      <c r="U744" s="44"/>
      <c r="V744" s="47"/>
      <c r="W744" s="44"/>
      <c r="Y744" s="44"/>
      <c r="AA744" s="32"/>
    </row>
    <row r="745">
      <c r="A745" s="45"/>
      <c r="B745" s="44"/>
      <c r="D745" s="44"/>
      <c r="F745" s="44"/>
      <c r="H745" s="44"/>
      <c r="J745" s="44"/>
      <c r="K745" s="32"/>
      <c r="L745" s="44"/>
      <c r="M745" s="32"/>
      <c r="N745" s="44"/>
      <c r="O745" s="32"/>
      <c r="P745" s="32"/>
      <c r="Q745" s="44"/>
      <c r="S745" s="44"/>
      <c r="U745" s="44"/>
      <c r="V745" s="47"/>
      <c r="W745" s="44"/>
      <c r="Y745" s="44"/>
      <c r="AA745" s="32"/>
    </row>
    <row r="746">
      <c r="A746" s="45"/>
      <c r="B746" s="44"/>
      <c r="D746" s="44"/>
      <c r="F746" s="44"/>
      <c r="H746" s="44"/>
      <c r="J746" s="44"/>
      <c r="K746" s="32"/>
      <c r="L746" s="44"/>
      <c r="M746" s="32"/>
      <c r="N746" s="44"/>
      <c r="O746" s="32"/>
      <c r="P746" s="32"/>
      <c r="Q746" s="44"/>
      <c r="S746" s="44"/>
      <c r="U746" s="44"/>
      <c r="V746" s="47"/>
      <c r="W746" s="44"/>
      <c r="Y746" s="44"/>
      <c r="AA746" s="32"/>
    </row>
    <row r="747">
      <c r="A747" s="45"/>
      <c r="B747" s="44"/>
      <c r="D747" s="44"/>
      <c r="F747" s="44"/>
      <c r="H747" s="44"/>
      <c r="J747" s="44"/>
      <c r="K747" s="32"/>
      <c r="L747" s="44"/>
      <c r="M747" s="32"/>
      <c r="N747" s="44"/>
      <c r="O747" s="32"/>
      <c r="P747" s="32"/>
      <c r="Q747" s="44"/>
      <c r="S747" s="44"/>
      <c r="U747" s="44"/>
      <c r="V747" s="47"/>
      <c r="W747" s="44"/>
      <c r="Y747" s="44"/>
      <c r="AA747" s="32"/>
    </row>
    <row r="748">
      <c r="A748" s="45"/>
      <c r="B748" s="44"/>
      <c r="D748" s="44"/>
      <c r="F748" s="44"/>
      <c r="H748" s="44"/>
      <c r="J748" s="44"/>
      <c r="K748" s="32"/>
      <c r="L748" s="44"/>
      <c r="M748" s="32"/>
      <c r="N748" s="44"/>
      <c r="O748" s="32"/>
      <c r="P748" s="32"/>
      <c r="Q748" s="44"/>
      <c r="S748" s="44"/>
      <c r="U748" s="44"/>
      <c r="V748" s="47"/>
      <c r="W748" s="44"/>
      <c r="Y748" s="44"/>
      <c r="AA748" s="32"/>
    </row>
    <row r="749">
      <c r="A749" s="45"/>
      <c r="B749" s="44"/>
      <c r="D749" s="44"/>
      <c r="F749" s="44"/>
      <c r="H749" s="44"/>
      <c r="J749" s="44"/>
      <c r="K749" s="32"/>
      <c r="L749" s="44"/>
      <c r="M749" s="32"/>
      <c r="N749" s="44"/>
      <c r="O749" s="32"/>
      <c r="P749" s="32"/>
      <c r="Q749" s="44"/>
      <c r="S749" s="44"/>
      <c r="U749" s="44"/>
      <c r="V749" s="47"/>
      <c r="W749" s="44"/>
      <c r="Y749" s="44"/>
      <c r="AA749" s="32"/>
    </row>
    <row r="750">
      <c r="A750" s="45"/>
      <c r="B750" s="44"/>
      <c r="D750" s="44"/>
      <c r="F750" s="44"/>
      <c r="H750" s="44"/>
      <c r="J750" s="44"/>
      <c r="K750" s="32"/>
      <c r="L750" s="44"/>
      <c r="M750" s="32"/>
      <c r="N750" s="44"/>
      <c r="O750" s="32"/>
      <c r="P750" s="32"/>
      <c r="Q750" s="44"/>
      <c r="S750" s="44"/>
      <c r="U750" s="44"/>
      <c r="V750" s="47"/>
      <c r="W750" s="44"/>
      <c r="Y750" s="44"/>
      <c r="AA750" s="32"/>
    </row>
    <row r="751">
      <c r="A751" s="45"/>
      <c r="B751" s="44"/>
      <c r="D751" s="44"/>
      <c r="F751" s="44"/>
      <c r="H751" s="44"/>
      <c r="J751" s="44"/>
      <c r="K751" s="32"/>
      <c r="L751" s="44"/>
      <c r="M751" s="32"/>
      <c r="N751" s="44"/>
      <c r="O751" s="32"/>
      <c r="P751" s="32"/>
      <c r="Q751" s="44"/>
      <c r="S751" s="44"/>
      <c r="U751" s="44"/>
      <c r="V751" s="47"/>
      <c r="W751" s="44"/>
      <c r="Y751" s="44"/>
      <c r="AA751" s="32"/>
    </row>
    <row r="752">
      <c r="A752" s="45"/>
      <c r="B752" s="44"/>
      <c r="D752" s="44"/>
      <c r="F752" s="44"/>
      <c r="H752" s="44"/>
      <c r="J752" s="44"/>
      <c r="K752" s="32"/>
      <c r="L752" s="44"/>
      <c r="M752" s="32"/>
      <c r="N752" s="44"/>
      <c r="O752" s="32"/>
      <c r="P752" s="32"/>
      <c r="Q752" s="44"/>
      <c r="S752" s="44"/>
      <c r="U752" s="44"/>
      <c r="V752" s="47"/>
      <c r="W752" s="44"/>
      <c r="Y752" s="44"/>
      <c r="AA752" s="32"/>
    </row>
    <row r="753">
      <c r="A753" s="45"/>
      <c r="B753" s="44"/>
      <c r="D753" s="44"/>
      <c r="F753" s="44"/>
      <c r="H753" s="44"/>
      <c r="J753" s="44"/>
      <c r="K753" s="32"/>
      <c r="L753" s="44"/>
      <c r="M753" s="32"/>
      <c r="N753" s="44"/>
      <c r="O753" s="32"/>
      <c r="P753" s="32"/>
      <c r="Q753" s="44"/>
      <c r="S753" s="44"/>
      <c r="U753" s="44"/>
      <c r="V753" s="47"/>
      <c r="W753" s="44"/>
      <c r="Y753" s="44"/>
      <c r="AA753" s="32"/>
    </row>
    <row r="754">
      <c r="A754" s="45"/>
      <c r="B754" s="44"/>
      <c r="D754" s="44"/>
      <c r="F754" s="44"/>
      <c r="H754" s="44"/>
      <c r="J754" s="44"/>
      <c r="K754" s="32"/>
      <c r="L754" s="44"/>
      <c r="M754" s="32"/>
      <c r="N754" s="44"/>
      <c r="O754" s="32"/>
      <c r="P754" s="32"/>
      <c r="Q754" s="44"/>
      <c r="S754" s="44"/>
      <c r="U754" s="44"/>
      <c r="V754" s="47"/>
      <c r="W754" s="44"/>
      <c r="Y754" s="44"/>
      <c r="AA754" s="32"/>
    </row>
    <row r="755">
      <c r="A755" s="45"/>
      <c r="B755" s="44"/>
      <c r="D755" s="44"/>
      <c r="F755" s="44"/>
      <c r="H755" s="44"/>
      <c r="J755" s="44"/>
      <c r="K755" s="32"/>
      <c r="L755" s="44"/>
      <c r="M755" s="32"/>
      <c r="N755" s="44"/>
      <c r="O755" s="32"/>
      <c r="P755" s="32"/>
      <c r="Q755" s="44"/>
      <c r="S755" s="44"/>
      <c r="U755" s="44"/>
      <c r="V755" s="47"/>
      <c r="W755" s="44"/>
      <c r="Y755" s="44"/>
      <c r="AA755" s="32"/>
    </row>
    <row r="756">
      <c r="A756" s="45"/>
      <c r="B756" s="44"/>
      <c r="D756" s="44"/>
      <c r="F756" s="44"/>
      <c r="H756" s="44"/>
      <c r="J756" s="44"/>
      <c r="K756" s="32"/>
      <c r="L756" s="44"/>
      <c r="M756" s="32"/>
      <c r="N756" s="44"/>
      <c r="O756" s="32"/>
      <c r="P756" s="32"/>
      <c r="Q756" s="44"/>
      <c r="S756" s="44"/>
      <c r="U756" s="44"/>
      <c r="V756" s="47"/>
      <c r="W756" s="44"/>
      <c r="Y756" s="44"/>
      <c r="AA756" s="32"/>
    </row>
    <row r="757">
      <c r="A757" s="45"/>
      <c r="B757" s="44"/>
      <c r="D757" s="44"/>
      <c r="F757" s="44"/>
      <c r="H757" s="44"/>
      <c r="J757" s="44"/>
      <c r="K757" s="32"/>
      <c r="L757" s="44"/>
      <c r="M757" s="32"/>
      <c r="N757" s="44"/>
      <c r="O757" s="32"/>
      <c r="P757" s="32"/>
      <c r="Q757" s="44"/>
      <c r="S757" s="44"/>
      <c r="U757" s="44"/>
      <c r="V757" s="47"/>
      <c r="W757" s="44"/>
      <c r="Y757" s="44"/>
      <c r="AA757" s="32"/>
    </row>
    <row r="758">
      <c r="A758" s="45"/>
      <c r="B758" s="44"/>
      <c r="D758" s="44"/>
      <c r="F758" s="44"/>
      <c r="H758" s="44"/>
      <c r="J758" s="44"/>
      <c r="K758" s="32"/>
      <c r="L758" s="44"/>
      <c r="M758" s="32"/>
      <c r="N758" s="44"/>
      <c r="O758" s="32"/>
      <c r="P758" s="32"/>
      <c r="Q758" s="44"/>
      <c r="S758" s="44"/>
      <c r="U758" s="44"/>
      <c r="V758" s="47"/>
      <c r="W758" s="44"/>
      <c r="Y758" s="44"/>
      <c r="AA758" s="32"/>
    </row>
    <row r="759">
      <c r="A759" s="45"/>
      <c r="B759" s="44"/>
      <c r="D759" s="44"/>
      <c r="F759" s="44"/>
      <c r="H759" s="44"/>
      <c r="J759" s="44"/>
      <c r="K759" s="32"/>
      <c r="L759" s="44"/>
      <c r="M759" s="32"/>
      <c r="N759" s="44"/>
      <c r="O759" s="32"/>
      <c r="P759" s="32"/>
      <c r="Q759" s="44"/>
      <c r="S759" s="44"/>
      <c r="U759" s="44"/>
      <c r="V759" s="47"/>
      <c r="W759" s="44"/>
      <c r="Y759" s="44"/>
      <c r="AA759" s="32"/>
    </row>
    <row r="760">
      <c r="A760" s="45"/>
      <c r="B760" s="44"/>
      <c r="D760" s="44"/>
      <c r="F760" s="44"/>
      <c r="H760" s="44"/>
      <c r="J760" s="44"/>
      <c r="K760" s="32"/>
      <c r="L760" s="44"/>
      <c r="M760" s="32"/>
      <c r="N760" s="44"/>
      <c r="O760" s="32"/>
      <c r="P760" s="32"/>
      <c r="Q760" s="44"/>
      <c r="S760" s="44"/>
      <c r="U760" s="44"/>
      <c r="V760" s="47"/>
      <c r="W760" s="44"/>
      <c r="Y760" s="44"/>
      <c r="AA760" s="32"/>
    </row>
    <row r="761">
      <c r="A761" s="45"/>
      <c r="B761" s="44"/>
      <c r="D761" s="44"/>
      <c r="F761" s="44"/>
      <c r="H761" s="44"/>
      <c r="J761" s="44"/>
      <c r="K761" s="32"/>
      <c r="L761" s="44"/>
      <c r="M761" s="32"/>
      <c r="N761" s="44"/>
      <c r="O761" s="32"/>
      <c r="P761" s="32"/>
      <c r="Q761" s="44"/>
      <c r="S761" s="44"/>
      <c r="U761" s="44"/>
      <c r="V761" s="47"/>
      <c r="W761" s="44"/>
      <c r="Y761" s="44"/>
      <c r="AA761" s="32"/>
    </row>
    <row r="762">
      <c r="A762" s="45"/>
      <c r="B762" s="44"/>
      <c r="D762" s="44"/>
      <c r="F762" s="44"/>
      <c r="H762" s="44"/>
      <c r="J762" s="44"/>
      <c r="K762" s="32"/>
      <c r="L762" s="44"/>
      <c r="M762" s="32"/>
      <c r="N762" s="44"/>
      <c r="O762" s="32"/>
      <c r="P762" s="32"/>
      <c r="Q762" s="44"/>
      <c r="S762" s="44"/>
      <c r="U762" s="44"/>
      <c r="V762" s="47"/>
      <c r="W762" s="44"/>
      <c r="Y762" s="44"/>
      <c r="AA762" s="32"/>
    </row>
    <row r="763">
      <c r="A763" s="45"/>
      <c r="B763" s="44"/>
      <c r="D763" s="44"/>
      <c r="F763" s="44"/>
      <c r="H763" s="44"/>
      <c r="J763" s="44"/>
      <c r="K763" s="32"/>
      <c r="L763" s="44"/>
      <c r="M763" s="32"/>
      <c r="N763" s="44"/>
      <c r="O763" s="32"/>
      <c r="P763" s="32"/>
      <c r="Q763" s="44"/>
      <c r="S763" s="44"/>
      <c r="U763" s="44"/>
      <c r="V763" s="47"/>
      <c r="W763" s="44"/>
      <c r="Y763" s="44"/>
      <c r="AA763" s="32"/>
    </row>
    <row r="764">
      <c r="A764" s="45"/>
      <c r="B764" s="44"/>
      <c r="D764" s="44"/>
      <c r="F764" s="44"/>
      <c r="H764" s="44"/>
      <c r="J764" s="44"/>
      <c r="K764" s="32"/>
      <c r="L764" s="44"/>
      <c r="M764" s="32"/>
      <c r="N764" s="44"/>
      <c r="O764" s="32"/>
      <c r="P764" s="32"/>
      <c r="Q764" s="44"/>
      <c r="S764" s="44"/>
      <c r="U764" s="44"/>
      <c r="V764" s="47"/>
      <c r="W764" s="44"/>
      <c r="Y764" s="44"/>
      <c r="AA764" s="32"/>
    </row>
    <row r="765">
      <c r="A765" s="45"/>
      <c r="B765" s="44"/>
      <c r="D765" s="44"/>
      <c r="F765" s="44"/>
      <c r="H765" s="44"/>
      <c r="J765" s="44"/>
      <c r="K765" s="32"/>
      <c r="L765" s="44"/>
      <c r="M765" s="32"/>
      <c r="N765" s="44"/>
      <c r="O765" s="32"/>
      <c r="P765" s="32"/>
      <c r="Q765" s="44"/>
      <c r="S765" s="44"/>
      <c r="U765" s="44"/>
      <c r="V765" s="47"/>
      <c r="W765" s="44"/>
      <c r="Y765" s="44"/>
      <c r="AA765" s="32"/>
    </row>
    <row r="766">
      <c r="A766" s="45"/>
      <c r="B766" s="44"/>
      <c r="D766" s="44"/>
      <c r="F766" s="44"/>
      <c r="H766" s="44"/>
      <c r="J766" s="44"/>
      <c r="K766" s="32"/>
      <c r="L766" s="44"/>
      <c r="M766" s="32"/>
      <c r="N766" s="44"/>
      <c r="O766" s="32"/>
      <c r="P766" s="32"/>
      <c r="Q766" s="44"/>
      <c r="S766" s="44"/>
      <c r="U766" s="44"/>
      <c r="V766" s="47"/>
      <c r="W766" s="44"/>
      <c r="Y766" s="44"/>
      <c r="AA766" s="32"/>
    </row>
    <row r="767">
      <c r="A767" s="45"/>
      <c r="B767" s="44"/>
      <c r="D767" s="44"/>
      <c r="F767" s="44"/>
      <c r="H767" s="44"/>
      <c r="J767" s="44"/>
      <c r="K767" s="32"/>
      <c r="L767" s="44"/>
      <c r="M767" s="32"/>
      <c r="N767" s="44"/>
      <c r="O767" s="32"/>
      <c r="P767" s="32"/>
      <c r="Q767" s="44"/>
      <c r="S767" s="44"/>
      <c r="U767" s="44"/>
      <c r="V767" s="47"/>
      <c r="W767" s="44"/>
      <c r="Y767" s="44"/>
      <c r="AA767" s="32"/>
    </row>
    <row r="768">
      <c r="A768" s="45"/>
      <c r="B768" s="44"/>
      <c r="D768" s="44"/>
      <c r="F768" s="44"/>
      <c r="H768" s="44"/>
      <c r="J768" s="44"/>
      <c r="K768" s="32"/>
      <c r="L768" s="44"/>
      <c r="M768" s="32"/>
      <c r="N768" s="44"/>
      <c r="O768" s="32"/>
      <c r="P768" s="32"/>
      <c r="Q768" s="44"/>
      <c r="S768" s="44"/>
      <c r="U768" s="44"/>
      <c r="V768" s="47"/>
      <c r="W768" s="44"/>
      <c r="Y768" s="44"/>
      <c r="AA768" s="32"/>
    </row>
    <row r="769">
      <c r="A769" s="45"/>
      <c r="B769" s="44"/>
      <c r="D769" s="44"/>
      <c r="F769" s="44"/>
      <c r="H769" s="44"/>
      <c r="J769" s="44"/>
      <c r="K769" s="32"/>
      <c r="L769" s="44"/>
      <c r="M769" s="32"/>
      <c r="N769" s="44"/>
      <c r="O769" s="32"/>
      <c r="P769" s="32"/>
      <c r="Q769" s="44"/>
      <c r="S769" s="44"/>
      <c r="U769" s="44"/>
      <c r="V769" s="47"/>
      <c r="W769" s="44"/>
      <c r="Y769" s="44"/>
      <c r="AA769" s="32"/>
    </row>
    <row r="770">
      <c r="A770" s="45"/>
      <c r="B770" s="44"/>
      <c r="D770" s="44"/>
      <c r="F770" s="44"/>
      <c r="H770" s="44"/>
      <c r="J770" s="44"/>
      <c r="K770" s="32"/>
      <c r="L770" s="44"/>
      <c r="M770" s="32"/>
      <c r="N770" s="44"/>
      <c r="O770" s="32"/>
      <c r="P770" s="32"/>
      <c r="Q770" s="44"/>
      <c r="S770" s="44"/>
      <c r="U770" s="44"/>
      <c r="V770" s="47"/>
      <c r="W770" s="44"/>
      <c r="Y770" s="44"/>
      <c r="AA770" s="32"/>
    </row>
    <row r="771">
      <c r="A771" s="45"/>
      <c r="B771" s="44"/>
      <c r="D771" s="44"/>
      <c r="F771" s="44"/>
      <c r="H771" s="44"/>
      <c r="J771" s="44"/>
      <c r="K771" s="32"/>
      <c r="L771" s="44"/>
      <c r="M771" s="32"/>
      <c r="N771" s="44"/>
      <c r="O771" s="32"/>
      <c r="P771" s="32"/>
      <c r="Q771" s="44"/>
      <c r="S771" s="44"/>
      <c r="U771" s="44"/>
      <c r="V771" s="47"/>
      <c r="W771" s="44"/>
      <c r="Y771" s="44"/>
      <c r="AA771" s="32"/>
    </row>
    <row r="772">
      <c r="A772" s="45"/>
      <c r="B772" s="44"/>
      <c r="D772" s="44"/>
      <c r="F772" s="44"/>
      <c r="H772" s="44"/>
      <c r="J772" s="44"/>
      <c r="K772" s="32"/>
      <c r="L772" s="44"/>
      <c r="M772" s="32"/>
      <c r="N772" s="44"/>
      <c r="O772" s="32"/>
      <c r="P772" s="32"/>
      <c r="Q772" s="44"/>
      <c r="S772" s="44"/>
      <c r="U772" s="44"/>
      <c r="V772" s="47"/>
      <c r="W772" s="44"/>
      <c r="Y772" s="44"/>
      <c r="AA772" s="32"/>
    </row>
    <row r="773">
      <c r="A773" s="45"/>
      <c r="B773" s="44"/>
      <c r="D773" s="44"/>
      <c r="F773" s="44"/>
      <c r="H773" s="44"/>
      <c r="J773" s="44"/>
      <c r="K773" s="32"/>
      <c r="L773" s="44"/>
      <c r="M773" s="32"/>
      <c r="N773" s="44"/>
      <c r="O773" s="32"/>
      <c r="P773" s="32"/>
      <c r="Q773" s="44"/>
      <c r="S773" s="44"/>
      <c r="U773" s="44"/>
      <c r="V773" s="47"/>
      <c r="W773" s="44"/>
      <c r="Y773" s="44"/>
      <c r="AA773" s="32"/>
    </row>
    <row r="774">
      <c r="A774" s="45"/>
      <c r="B774" s="44"/>
      <c r="D774" s="44"/>
      <c r="F774" s="44"/>
      <c r="H774" s="44"/>
      <c r="J774" s="44"/>
      <c r="K774" s="32"/>
      <c r="L774" s="44"/>
      <c r="M774" s="32"/>
      <c r="N774" s="44"/>
      <c r="O774" s="32"/>
      <c r="P774" s="32"/>
      <c r="Q774" s="44"/>
      <c r="S774" s="44"/>
      <c r="U774" s="44"/>
      <c r="V774" s="47"/>
      <c r="W774" s="44"/>
      <c r="Y774" s="44"/>
      <c r="AA774" s="32"/>
    </row>
    <row r="775">
      <c r="A775" s="45"/>
      <c r="B775" s="44"/>
      <c r="D775" s="44"/>
      <c r="F775" s="44"/>
      <c r="H775" s="44"/>
      <c r="J775" s="44"/>
      <c r="K775" s="32"/>
      <c r="L775" s="44"/>
      <c r="M775" s="32"/>
      <c r="N775" s="44"/>
      <c r="O775" s="32"/>
      <c r="P775" s="32"/>
      <c r="Q775" s="44"/>
      <c r="S775" s="44"/>
      <c r="U775" s="44"/>
      <c r="V775" s="47"/>
      <c r="W775" s="44"/>
      <c r="Y775" s="44"/>
      <c r="AA775" s="32"/>
    </row>
    <row r="776">
      <c r="A776" s="45"/>
      <c r="B776" s="44"/>
      <c r="D776" s="44"/>
      <c r="F776" s="44"/>
      <c r="H776" s="44"/>
      <c r="J776" s="44"/>
      <c r="K776" s="32"/>
      <c r="L776" s="44"/>
      <c r="M776" s="32"/>
      <c r="N776" s="44"/>
      <c r="O776" s="32"/>
      <c r="P776" s="32"/>
      <c r="Q776" s="44"/>
      <c r="S776" s="44"/>
      <c r="U776" s="44"/>
      <c r="V776" s="47"/>
      <c r="W776" s="44"/>
      <c r="Y776" s="44"/>
      <c r="AA776" s="32"/>
    </row>
    <row r="777">
      <c r="A777" s="45"/>
      <c r="B777" s="44"/>
      <c r="D777" s="44"/>
      <c r="F777" s="44"/>
      <c r="H777" s="44"/>
      <c r="J777" s="44"/>
      <c r="K777" s="32"/>
      <c r="L777" s="44"/>
      <c r="M777" s="32"/>
      <c r="N777" s="44"/>
      <c r="O777" s="32"/>
      <c r="P777" s="32"/>
      <c r="Q777" s="44"/>
      <c r="S777" s="44"/>
      <c r="U777" s="44"/>
      <c r="V777" s="47"/>
      <c r="W777" s="44"/>
      <c r="Y777" s="44"/>
      <c r="AA777" s="32"/>
    </row>
    <row r="778">
      <c r="A778" s="45"/>
      <c r="B778" s="44"/>
      <c r="D778" s="44"/>
      <c r="F778" s="44"/>
      <c r="H778" s="44"/>
      <c r="J778" s="44"/>
      <c r="K778" s="32"/>
      <c r="L778" s="44"/>
      <c r="M778" s="32"/>
      <c r="N778" s="44"/>
      <c r="O778" s="32"/>
      <c r="P778" s="32"/>
      <c r="Q778" s="44"/>
      <c r="S778" s="44"/>
      <c r="U778" s="44"/>
      <c r="V778" s="47"/>
      <c r="W778" s="44"/>
      <c r="Y778" s="44"/>
      <c r="AA778" s="32"/>
    </row>
    <row r="779">
      <c r="A779" s="45"/>
      <c r="B779" s="44"/>
      <c r="D779" s="44"/>
      <c r="F779" s="44"/>
      <c r="H779" s="44"/>
      <c r="J779" s="44"/>
      <c r="K779" s="32"/>
      <c r="L779" s="44"/>
      <c r="M779" s="32"/>
      <c r="N779" s="44"/>
      <c r="O779" s="32"/>
      <c r="P779" s="32"/>
      <c r="Q779" s="44"/>
      <c r="S779" s="44"/>
      <c r="U779" s="44"/>
      <c r="V779" s="47"/>
      <c r="W779" s="44"/>
      <c r="Y779" s="44"/>
      <c r="AA779" s="32"/>
    </row>
    <row r="780">
      <c r="A780" s="45"/>
      <c r="B780" s="44"/>
      <c r="D780" s="44"/>
      <c r="F780" s="44"/>
      <c r="H780" s="44"/>
      <c r="J780" s="44"/>
      <c r="K780" s="32"/>
      <c r="L780" s="44"/>
      <c r="M780" s="32"/>
      <c r="N780" s="44"/>
      <c r="O780" s="32"/>
      <c r="P780" s="32"/>
      <c r="Q780" s="44"/>
      <c r="S780" s="44"/>
      <c r="U780" s="44"/>
      <c r="V780" s="47"/>
      <c r="W780" s="44"/>
      <c r="Y780" s="44"/>
      <c r="AA780" s="32"/>
    </row>
    <row r="781">
      <c r="A781" s="45"/>
      <c r="B781" s="44"/>
      <c r="D781" s="44"/>
      <c r="F781" s="44"/>
      <c r="H781" s="44"/>
      <c r="J781" s="44"/>
      <c r="K781" s="32"/>
      <c r="L781" s="44"/>
      <c r="M781" s="32"/>
      <c r="N781" s="44"/>
      <c r="O781" s="32"/>
      <c r="P781" s="32"/>
      <c r="Q781" s="44"/>
      <c r="S781" s="44"/>
      <c r="U781" s="44"/>
      <c r="V781" s="47"/>
      <c r="W781" s="44"/>
      <c r="Y781" s="44"/>
      <c r="AA781" s="32"/>
    </row>
    <row r="782">
      <c r="A782" s="45"/>
      <c r="B782" s="44"/>
      <c r="D782" s="44"/>
      <c r="F782" s="44"/>
      <c r="H782" s="44"/>
      <c r="J782" s="44"/>
      <c r="K782" s="32"/>
      <c r="L782" s="44"/>
      <c r="M782" s="32"/>
      <c r="N782" s="44"/>
      <c r="O782" s="32"/>
      <c r="P782" s="32"/>
      <c r="Q782" s="44"/>
      <c r="S782" s="44"/>
      <c r="U782" s="44"/>
      <c r="V782" s="47"/>
      <c r="W782" s="44"/>
      <c r="Y782" s="44"/>
      <c r="AA782" s="32"/>
    </row>
    <row r="783">
      <c r="A783" s="45"/>
      <c r="B783" s="44"/>
      <c r="D783" s="44"/>
      <c r="F783" s="44"/>
      <c r="H783" s="44"/>
      <c r="J783" s="44"/>
      <c r="K783" s="32"/>
      <c r="L783" s="44"/>
      <c r="M783" s="32"/>
      <c r="N783" s="44"/>
      <c r="O783" s="32"/>
      <c r="P783" s="32"/>
      <c r="Q783" s="44"/>
      <c r="S783" s="44"/>
      <c r="U783" s="44"/>
      <c r="V783" s="47"/>
      <c r="W783" s="44"/>
      <c r="Y783" s="44"/>
      <c r="AA783" s="32"/>
    </row>
    <row r="784">
      <c r="A784" s="45"/>
      <c r="B784" s="44"/>
      <c r="D784" s="44"/>
      <c r="F784" s="44"/>
      <c r="H784" s="44"/>
      <c r="J784" s="44"/>
      <c r="K784" s="32"/>
      <c r="L784" s="44"/>
      <c r="M784" s="32"/>
      <c r="N784" s="44"/>
      <c r="O784" s="32"/>
      <c r="P784" s="32"/>
      <c r="Q784" s="44"/>
      <c r="S784" s="44"/>
      <c r="U784" s="44"/>
      <c r="V784" s="47"/>
      <c r="W784" s="44"/>
      <c r="Y784" s="44"/>
      <c r="AA784" s="32"/>
    </row>
    <row r="785">
      <c r="A785" s="45"/>
      <c r="B785" s="44"/>
      <c r="D785" s="44"/>
      <c r="F785" s="44"/>
      <c r="H785" s="44"/>
      <c r="J785" s="44"/>
      <c r="K785" s="32"/>
      <c r="L785" s="44"/>
      <c r="M785" s="32"/>
      <c r="N785" s="44"/>
      <c r="O785" s="32"/>
      <c r="P785" s="32"/>
      <c r="Q785" s="44"/>
      <c r="S785" s="44"/>
      <c r="U785" s="44"/>
      <c r="V785" s="47"/>
      <c r="W785" s="44"/>
      <c r="Y785" s="44"/>
      <c r="AA785" s="32"/>
    </row>
    <row r="786">
      <c r="A786" s="45"/>
      <c r="B786" s="44"/>
      <c r="D786" s="44"/>
      <c r="F786" s="44"/>
      <c r="H786" s="44"/>
      <c r="J786" s="44"/>
      <c r="K786" s="32"/>
      <c r="L786" s="44"/>
      <c r="M786" s="32"/>
      <c r="N786" s="44"/>
      <c r="O786" s="32"/>
      <c r="P786" s="32"/>
      <c r="Q786" s="44"/>
      <c r="S786" s="44"/>
      <c r="U786" s="44"/>
      <c r="V786" s="47"/>
      <c r="W786" s="44"/>
      <c r="Y786" s="44"/>
      <c r="AA786" s="32"/>
    </row>
    <row r="787">
      <c r="A787" s="45"/>
      <c r="B787" s="44"/>
      <c r="D787" s="44"/>
      <c r="F787" s="44"/>
      <c r="H787" s="44"/>
      <c r="J787" s="44"/>
      <c r="K787" s="32"/>
      <c r="L787" s="44"/>
      <c r="M787" s="32"/>
      <c r="N787" s="44"/>
      <c r="O787" s="32"/>
      <c r="P787" s="32"/>
      <c r="Q787" s="44"/>
      <c r="S787" s="44"/>
      <c r="U787" s="44"/>
      <c r="V787" s="47"/>
      <c r="W787" s="44"/>
      <c r="Y787" s="44"/>
      <c r="AA787" s="32"/>
    </row>
    <row r="788">
      <c r="A788" s="45"/>
      <c r="B788" s="44"/>
      <c r="D788" s="44"/>
      <c r="F788" s="44"/>
      <c r="H788" s="44"/>
      <c r="J788" s="44"/>
      <c r="K788" s="32"/>
      <c r="L788" s="44"/>
      <c r="M788" s="32"/>
      <c r="N788" s="44"/>
      <c r="O788" s="32"/>
      <c r="P788" s="32"/>
      <c r="Q788" s="44"/>
      <c r="S788" s="44"/>
      <c r="U788" s="44"/>
      <c r="V788" s="47"/>
      <c r="W788" s="44"/>
      <c r="Y788" s="44"/>
      <c r="AA788" s="32"/>
    </row>
    <row r="789">
      <c r="A789" s="45"/>
      <c r="B789" s="44"/>
      <c r="D789" s="44"/>
      <c r="F789" s="44"/>
      <c r="H789" s="44"/>
      <c r="J789" s="44"/>
      <c r="K789" s="32"/>
      <c r="L789" s="44"/>
      <c r="M789" s="32"/>
      <c r="N789" s="44"/>
      <c r="O789" s="32"/>
      <c r="P789" s="32"/>
      <c r="Q789" s="44"/>
      <c r="S789" s="44"/>
      <c r="U789" s="44"/>
      <c r="V789" s="47"/>
      <c r="W789" s="44"/>
      <c r="Y789" s="44"/>
      <c r="AA789" s="32"/>
    </row>
    <row r="790">
      <c r="A790" s="45"/>
      <c r="B790" s="44"/>
      <c r="D790" s="44"/>
      <c r="F790" s="44"/>
      <c r="H790" s="44"/>
      <c r="J790" s="44"/>
      <c r="K790" s="32"/>
      <c r="L790" s="44"/>
      <c r="M790" s="32"/>
      <c r="N790" s="44"/>
      <c r="O790" s="32"/>
      <c r="P790" s="32"/>
      <c r="Q790" s="44"/>
      <c r="S790" s="44"/>
      <c r="U790" s="44"/>
      <c r="V790" s="47"/>
      <c r="W790" s="44"/>
      <c r="Y790" s="44"/>
      <c r="AA790" s="32"/>
    </row>
    <row r="791">
      <c r="A791" s="45"/>
      <c r="B791" s="44"/>
      <c r="D791" s="44"/>
      <c r="F791" s="44"/>
      <c r="H791" s="44"/>
      <c r="J791" s="44"/>
      <c r="K791" s="32"/>
      <c r="L791" s="44"/>
      <c r="M791" s="32"/>
      <c r="N791" s="44"/>
      <c r="O791" s="32"/>
      <c r="P791" s="32"/>
      <c r="Q791" s="44"/>
      <c r="S791" s="44"/>
      <c r="U791" s="44"/>
      <c r="V791" s="47"/>
      <c r="W791" s="44"/>
      <c r="Y791" s="44"/>
      <c r="AA791" s="32"/>
    </row>
    <row r="792">
      <c r="A792" s="45"/>
      <c r="B792" s="44"/>
      <c r="D792" s="44"/>
      <c r="F792" s="44"/>
      <c r="H792" s="44"/>
      <c r="J792" s="44"/>
      <c r="K792" s="32"/>
      <c r="L792" s="44"/>
      <c r="M792" s="32"/>
      <c r="N792" s="44"/>
      <c r="O792" s="32"/>
      <c r="P792" s="32"/>
      <c r="Q792" s="44"/>
      <c r="S792" s="44"/>
      <c r="U792" s="44"/>
      <c r="V792" s="47"/>
      <c r="W792" s="44"/>
      <c r="Y792" s="44"/>
      <c r="AA792" s="32"/>
    </row>
    <row r="793">
      <c r="A793" s="45"/>
      <c r="B793" s="44"/>
      <c r="D793" s="44"/>
      <c r="F793" s="44"/>
      <c r="H793" s="44"/>
      <c r="J793" s="44"/>
      <c r="K793" s="32"/>
      <c r="L793" s="44"/>
      <c r="M793" s="32"/>
      <c r="N793" s="44"/>
      <c r="O793" s="32"/>
      <c r="P793" s="32"/>
      <c r="Q793" s="44"/>
      <c r="S793" s="44"/>
      <c r="U793" s="44"/>
      <c r="V793" s="47"/>
      <c r="W793" s="44"/>
      <c r="Y793" s="44"/>
      <c r="AA793" s="32"/>
    </row>
    <row r="794">
      <c r="A794" s="45"/>
      <c r="B794" s="44"/>
      <c r="D794" s="44"/>
      <c r="F794" s="44"/>
      <c r="H794" s="44"/>
      <c r="J794" s="44"/>
      <c r="K794" s="32"/>
      <c r="L794" s="44"/>
      <c r="M794" s="32"/>
      <c r="N794" s="44"/>
      <c r="O794" s="32"/>
      <c r="P794" s="32"/>
      <c r="Q794" s="44"/>
      <c r="S794" s="44"/>
      <c r="U794" s="44"/>
      <c r="V794" s="47"/>
      <c r="W794" s="44"/>
      <c r="Y794" s="44"/>
      <c r="AA794" s="32"/>
    </row>
    <row r="795">
      <c r="A795" s="45"/>
      <c r="B795" s="44"/>
      <c r="D795" s="44"/>
      <c r="F795" s="44"/>
      <c r="H795" s="44"/>
      <c r="J795" s="44"/>
      <c r="K795" s="32"/>
      <c r="L795" s="44"/>
      <c r="M795" s="32"/>
      <c r="N795" s="44"/>
      <c r="O795" s="32"/>
      <c r="P795" s="32"/>
      <c r="Q795" s="44"/>
      <c r="S795" s="44"/>
      <c r="U795" s="44"/>
      <c r="V795" s="47"/>
      <c r="W795" s="44"/>
      <c r="Y795" s="44"/>
      <c r="AA795" s="32"/>
    </row>
    <row r="796">
      <c r="A796" s="45"/>
      <c r="B796" s="44"/>
      <c r="D796" s="44"/>
      <c r="F796" s="44"/>
      <c r="H796" s="44"/>
      <c r="J796" s="44"/>
      <c r="K796" s="32"/>
      <c r="L796" s="44"/>
      <c r="M796" s="32"/>
      <c r="N796" s="44"/>
      <c r="O796" s="32"/>
      <c r="P796" s="32"/>
      <c r="Q796" s="44"/>
      <c r="S796" s="44"/>
      <c r="U796" s="44"/>
      <c r="V796" s="47"/>
      <c r="W796" s="44"/>
      <c r="Y796" s="44"/>
      <c r="AA796" s="32"/>
    </row>
    <row r="797">
      <c r="A797" s="45"/>
      <c r="B797" s="44"/>
      <c r="D797" s="44"/>
      <c r="F797" s="44"/>
      <c r="H797" s="44"/>
      <c r="J797" s="44"/>
      <c r="K797" s="32"/>
      <c r="L797" s="44"/>
      <c r="M797" s="32"/>
      <c r="N797" s="44"/>
      <c r="O797" s="32"/>
      <c r="P797" s="32"/>
      <c r="Q797" s="44"/>
      <c r="S797" s="44"/>
      <c r="U797" s="44"/>
      <c r="V797" s="47"/>
      <c r="W797" s="44"/>
      <c r="Y797" s="44"/>
      <c r="AA797" s="32"/>
    </row>
    <row r="798">
      <c r="A798" s="45"/>
      <c r="B798" s="44"/>
      <c r="D798" s="44"/>
      <c r="F798" s="44"/>
      <c r="H798" s="44"/>
      <c r="J798" s="44"/>
      <c r="K798" s="32"/>
      <c r="L798" s="44"/>
      <c r="M798" s="32"/>
      <c r="N798" s="44"/>
      <c r="O798" s="32"/>
      <c r="P798" s="32"/>
      <c r="Q798" s="44"/>
      <c r="S798" s="44"/>
      <c r="U798" s="44"/>
      <c r="V798" s="47"/>
      <c r="W798" s="44"/>
      <c r="Y798" s="44"/>
      <c r="AA798" s="32"/>
    </row>
    <row r="799">
      <c r="A799" s="45"/>
      <c r="B799" s="44"/>
      <c r="D799" s="44"/>
      <c r="F799" s="44"/>
      <c r="H799" s="44"/>
      <c r="J799" s="44"/>
      <c r="K799" s="32"/>
      <c r="L799" s="44"/>
      <c r="M799" s="32"/>
      <c r="N799" s="44"/>
      <c r="O799" s="32"/>
      <c r="P799" s="32"/>
      <c r="Q799" s="44"/>
      <c r="S799" s="44"/>
      <c r="U799" s="44"/>
      <c r="V799" s="47"/>
      <c r="W799" s="44"/>
      <c r="Y799" s="44"/>
      <c r="AA799" s="32"/>
    </row>
    <row r="800">
      <c r="A800" s="45"/>
      <c r="B800" s="44"/>
      <c r="D800" s="44"/>
      <c r="F800" s="44"/>
      <c r="H800" s="44"/>
      <c r="J800" s="44"/>
      <c r="K800" s="32"/>
      <c r="L800" s="44"/>
      <c r="M800" s="32"/>
      <c r="N800" s="44"/>
      <c r="O800" s="32"/>
      <c r="P800" s="32"/>
      <c r="Q800" s="44"/>
      <c r="S800" s="44"/>
      <c r="U800" s="44"/>
      <c r="V800" s="47"/>
      <c r="W800" s="44"/>
      <c r="Y800" s="44"/>
      <c r="AA800" s="32"/>
    </row>
    <row r="801">
      <c r="A801" s="45"/>
      <c r="B801" s="44"/>
      <c r="D801" s="44"/>
      <c r="F801" s="44"/>
      <c r="H801" s="44"/>
      <c r="J801" s="44"/>
      <c r="K801" s="32"/>
      <c r="L801" s="44"/>
      <c r="M801" s="32"/>
      <c r="N801" s="44"/>
      <c r="O801" s="32"/>
      <c r="P801" s="32"/>
      <c r="Q801" s="44"/>
      <c r="S801" s="44"/>
      <c r="U801" s="44"/>
      <c r="V801" s="47"/>
      <c r="W801" s="44"/>
      <c r="Y801" s="44"/>
      <c r="AA801" s="32"/>
    </row>
    <row r="802">
      <c r="A802" s="45"/>
      <c r="B802" s="44"/>
      <c r="D802" s="44"/>
      <c r="F802" s="44"/>
      <c r="H802" s="44"/>
      <c r="J802" s="44"/>
      <c r="K802" s="32"/>
      <c r="L802" s="44"/>
      <c r="M802" s="32"/>
      <c r="N802" s="44"/>
      <c r="O802" s="32"/>
      <c r="P802" s="32"/>
      <c r="Q802" s="44"/>
      <c r="S802" s="44"/>
      <c r="U802" s="44"/>
      <c r="V802" s="47"/>
      <c r="W802" s="44"/>
      <c r="Y802" s="44"/>
      <c r="AA802" s="32"/>
    </row>
    <row r="803">
      <c r="A803" s="45"/>
      <c r="B803" s="44"/>
      <c r="D803" s="44"/>
      <c r="F803" s="44"/>
      <c r="H803" s="44"/>
      <c r="J803" s="44"/>
      <c r="K803" s="32"/>
      <c r="L803" s="44"/>
      <c r="M803" s="32"/>
      <c r="N803" s="44"/>
      <c r="O803" s="32"/>
      <c r="P803" s="32"/>
      <c r="Q803" s="44"/>
      <c r="S803" s="44"/>
      <c r="U803" s="44"/>
      <c r="V803" s="47"/>
      <c r="W803" s="44"/>
      <c r="Y803" s="44"/>
      <c r="AA803" s="32"/>
    </row>
    <row r="804">
      <c r="A804" s="45"/>
      <c r="B804" s="44"/>
      <c r="D804" s="44"/>
      <c r="F804" s="44"/>
      <c r="H804" s="44"/>
      <c r="J804" s="44"/>
      <c r="K804" s="32"/>
      <c r="L804" s="44"/>
      <c r="M804" s="32"/>
      <c r="N804" s="44"/>
      <c r="O804" s="32"/>
      <c r="P804" s="32"/>
      <c r="Q804" s="44"/>
      <c r="S804" s="44"/>
      <c r="U804" s="44"/>
      <c r="V804" s="47"/>
      <c r="W804" s="44"/>
      <c r="Y804" s="44"/>
      <c r="AA804" s="32"/>
    </row>
    <row r="805">
      <c r="A805" s="45"/>
      <c r="B805" s="44"/>
      <c r="D805" s="44"/>
      <c r="F805" s="44"/>
      <c r="H805" s="44"/>
      <c r="J805" s="44"/>
      <c r="K805" s="32"/>
      <c r="L805" s="44"/>
      <c r="M805" s="32"/>
      <c r="N805" s="44"/>
      <c r="O805" s="32"/>
      <c r="P805" s="32"/>
      <c r="Q805" s="44"/>
      <c r="S805" s="44"/>
      <c r="U805" s="44"/>
      <c r="V805" s="47"/>
      <c r="W805" s="44"/>
      <c r="Y805" s="44"/>
      <c r="AA805" s="32"/>
    </row>
    <row r="806">
      <c r="A806" s="45"/>
      <c r="B806" s="44"/>
      <c r="D806" s="44"/>
      <c r="F806" s="44"/>
      <c r="H806" s="44"/>
      <c r="J806" s="44"/>
      <c r="K806" s="32"/>
      <c r="L806" s="44"/>
      <c r="M806" s="32"/>
      <c r="N806" s="44"/>
      <c r="O806" s="32"/>
      <c r="P806" s="32"/>
      <c r="Q806" s="44"/>
      <c r="S806" s="44"/>
      <c r="U806" s="44"/>
      <c r="V806" s="47"/>
      <c r="W806" s="44"/>
      <c r="Y806" s="44"/>
      <c r="AA806" s="32"/>
    </row>
    <row r="807">
      <c r="A807" s="45"/>
      <c r="B807" s="44"/>
      <c r="D807" s="44"/>
      <c r="F807" s="44"/>
      <c r="H807" s="44"/>
      <c r="J807" s="44"/>
      <c r="K807" s="32"/>
      <c r="L807" s="44"/>
      <c r="M807" s="32"/>
      <c r="N807" s="44"/>
      <c r="O807" s="32"/>
      <c r="P807" s="32"/>
      <c r="Q807" s="44"/>
      <c r="S807" s="44"/>
      <c r="U807" s="44"/>
      <c r="V807" s="47"/>
      <c r="W807" s="44"/>
      <c r="Y807" s="44"/>
      <c r="AA807" s="32"/>
    </row>
    <row r="808">
      <c r="A808" s="45"/>
      <c r="B808" s="44"/>
      <c r="D808" s="44"/>
      <c r="F808" s="44"/>
      <c r="H808" s="44"/>
      <c r="J808" s="44"/>
      <c r="K808" s="32"/>
      <c r="L808" s="44"/>
      <c r="M808" s="32"/>
      <c r="N808" s="44"/>
      <c r="O808" s="32"/>
      <c r="P808" s="32"/>
      <c r="Q808" s="44"/>
      <c r="S808" s="44"/>
      <c r="U808" s="44"/>
      <c r="V808" s="47"/>
      <c r="W808" s="44"/>
      <c r="Y808" s="44"/>
      <c r="AA808" s="32"/>
    </row>
    <row r="809">
      <c r="A809" s="45"/>
      <c r="B809" s="44"/>
      <c r="D809" s="44"/>
      <c r="F809" s="44"/>
      <c r="H809" s="44"/>
      <c r="J809" s="44"/>
      <c r="K809" s="32"/>
      <c r="L809" s="44"/>
      <c r="M809" s="32"/>
      <c r="N809" s="44"/>
      <c r="O809" s="32"/>
      <c r="P809" s="32"/>
      <c r="Q809" s="44"/>
      <c r="S809" s="44"/>
      <c r="U809" s="44"/>
      <c r="V809" s="47"/>
      <c r="W809" s="44"/>
      <c r="Y809" s="44"/>
      <c r="AA809" s="32"/>
    </row>
    <row r="810">
      <c r="A810" s="45"/>
      <c r="B810" s="44"/>
      <c r="D810" s="44"/>
      <c r="F810" s="44"/>
      <c r="H810" s="44"/>
      <c r="J810" s="44"/>
      <c r="K810" s="32"/>
      <c r="L810" s="44"/>
      <c r="M810" s="32"/>
      <c r="N810" s="44"/>
      <c r="O810" s="32"/>
      <c r="P810" s="32"/>
      <c r="Q810" s="44"/>
      <c r="S810" s="44"/>
      <c r="U810" s="44"/>
      <c r="V810" s="47"/>
      <c r="W810" s="44"/>
      <c r="Y810" s="44"/>
      <c r="AA810" s="32"/>
    </row>
    <row r="811">
      <c r="A811" s="45"/>
      <c r="B811" s="44"/>
      <c r="D811" s="44"/>
      <c r="F811" s="44"/>
      <c r="H811" s="44"/>
      <c r="J811" s="44"/>
      <c r="K811" s="32"/>
      <c r="L811" s="44"/>
      <c r="M811" s="32"/>
      <c r="N811" s="44"/>
      <c r="O811" s="32"/>
      <c r="P811" s="32"/>
      <c r="Q811" s="44"/>
      <c r="S811" s="44"/>
      <c r="U811" s="44"/>
      <c r="V811" s="47"/>
      <c r="W811" s="44"/>
      <c r="Y811" s="44"/>
      <c r="AA811" s="32"/>
    </row>
    <row r="812">
      <c r="A812" s="45"/>
      <c r="B812" s="44"/>
      <c r="D812" s="44"/>
      <c r="F812" s="44"/>
      <c r="H812" s="44"/>
      <c r="J812" s="44"/>
      <c r="K812" s="32"/>
      <c r="L812" s="44"/>
      <c r="M812" s="32"/>
      <c r="N812" s="44"/>
      <c r="O812" s="32"/>
      <c r="P812" s="32"/>
      <c r="Q812" s="44"/>
      <c r="S812" s="44"/>
      <c r="U812" s="44"/>
      <c r="V812" s="47"/>
      <c r="W812" s="44"/>
      <c r="Y812" s="44"/>
      <c r="AA812" s="32"/>
    </row>
    <row r="813">
      <c r="A813" s="45"/>
      <c r="B813" s="44"/>
      <c r="D813" s="44"/>
      <c r="F813" s="44"/>
      <c r="H813" s="44"/>
      <c r="J813" s="44"/>
      <c r="K813" s="32"/>
      <c r="L813" s="44"/>
      <c r="M813" s="32"/>
      <c r="N813" s="44"/>
      <c r="O813" s="32"/>
      <c r="P813" s="32"/>
      <c r="Q813" s="44"/>
      <c r="S813" s="44"/>
      <c r="U813" s="44"/>
      <c r="V813" s="47"/>
      <c r="W813" s="44"/>
      <c r="Y813" s="44"/>
      <c r="AA813" s="32"/>
    </row>
    <row r="814">
      <c r="A814" s="45"/>
      <c r="B814" s="44"/>
      <c r="D814" s="44"/>
      <c r="F814" s="44"/>
      <c r="H814" s="44"/>
      <c r="J814" s="44"/>
      <c r="K814" s="32"/>
      <c r="L814" s="44"/>
      <c r="M814" s="32"/>
      <c r="N814" s="44"/>
      <c r="O814" s="32"/>
      <c r="P814" s="32"/>
      <c r="Q814" s="44"/>
      <c r="S814" s="44"/>
      <c r="U814" s="44"/>
      <c r="V814" s="47"/>
      <c r="W814" s="44"/>
      <c r="Y814" s="44"/>
      <c r="AA814" s="32"/>
    </row>
    <row r="815">
      <c r="A815" s="45"/>
      <c r="B815" s="44"/>
      <c r="D815" s="44"/>
      <c r="F815" s="44"/>
      <c r="H815" s="44"/>
      <c r="J815" s="44"/>
      <c r="K815" s="32"/>
      <c r="L815" s="44"/>
      <c r="M815" s="32"/>
      <c r="N815" s="44"/>
      <c r="O815" s="32"/>
      <c r="P815" s="32"/>
      <c r="Q815" s="44"/>
      <c r="S815" s="44"/>
      <c r="U815" s="44"/>
      <c r="V815" s="47"/>
      <c r="W815" s="44"/>
      <c r="Y815" s="44"/>
      <c r="AA815" s="32"/>
    </row>
    <row r="816">
      <c r="A816" s="45"/>
      <c r="B816" s="44"/>
      <c r="D816" s="44"/>
      <c r="F816" s="44"/>
      <c r="H816" s="44"/>
      <c r="J816" s="44"/>
      <c r="K816" s="32"/>
      <c r="L816" s="44"/>
      <c r="M816" s="32"/>
      <c r="N816" s="44"/>
      <c r="O816" s="32"/>
      <c r="P816" s="32"/>
      <c r="Q816" s="44"/>
      <c r="S816" s="44"/>
      <c r="U816" s="44"/>
      <c r="V816" s="47"/>
      <c r="W816" s="44"/>
      <c r="Y816" s="44"/>
      <c r="AA816" s="32"/>
    </row>
    <row r="817">
      <c r="A817" s="45"/>
      <c r="B817" s="44"/>
      <c r="D817" s="44"/>
      <c r="F817" s="44"/>
      <c r="H817" s="44"/>
      <c r="J817" s="44"/>
      <c r="K817" s="32"/>
      <c r="L817" s="44"/>
      <c r="M817" s="32"/>
      <c r="N817" s="44"/>
      <c r="O817" s="32"/>
      <c r="P817" s="32"/>
      <c r="Q817" s="44"/>
      <c r="S817" s="44"/>
      <c r="U817" s="44"/>
      <c r="V817" s="47"/>
      <c r="W817" s="44"/>
      <c r="Y817" s="44"/>
      <c r="AA817" s="32"/>
    </row>
    <row r="818">
      <c r="A818" s="45"/>
      <c r="B818" s="44"/>
      <c r="D818" s="44"/>
      <c r="F818" s="44"/>
      <c r="H818" s="44"/>
      <c r="J818" s="44"/>
      <c r="K818" s="32"/>
      <c r="L818" s="44"/>
      <c r="M818" s="32"/>
      <c r="N818" s="44"/>
      <c r="O818" s="32"/>
      <c r="P818" s="32"/>
      <c r="Q818" s="44"/>
      <c r="S818" s="44"/>
      <c r="U818" s="44"/>
      <c r="V818" s="47"/>
      <c r="W818" s="44"/>
      <c r="Y818" s="44"/>
      <c r="AA818" s="32"/>
    </row>
    <row r="819">
      <c r="A819" s="45"/>
      <c r="B819" s="44"/>
      <c r="D819" s="44"/>
      <c r="F819" s="44"/>
      <c r="H819" s="44"/>
      <c r="J819" s="44"/>
      <c r="K819" s="32"/>
      <c r="L819" s="44"/>
      <c r="M819" s="32"/>
      <c r="N819" s="44"/>
      <c r="O819" s="32"/>
      <c r="P819" s="32"/>
      <c r="Q819" s="44"/>
      <c r="S819" s="44"/>
      <c r="U819" s="44"/>
      <c r="V819" s="47"/>
      <c r="W819" s="44"/>
      <c r="Y819" s="44"/>
      <c r="AA819" s="32"/>
    </row>
    <row r="820">
      <c r="A820" s="45"/>
      <c r="B820" s="44"/>
      <c r="D820" s="44"/>
      <c r="F820" s="44"/>
      <c r="H820" s="44"/>
      <c r="J820" s="44"/>
      <c r="K820" s="32"/>
      <c r="L820" s="44"/>
      <c r="M820" s="32"/>
      <c r="N820" s="44"/>
      <c r="O820" s="32"/>
      <c r="P820" s="32"/>
      <c r="Q820" s="44"/>
      <c r="S820" s="44"/>
      <c r="U820" s="44"/>
      <c r="V820" s="47"/>
      <c r="W820" s="44"/>
      <c r="Y820" s="44"/>
      <c r="AA820" s="32"/>
    </row>
    <row r="821">
      <c r="A821" s="45"/>
      <c r="B821" s="44"/>
      <c r="D821" s="44"/>
      <c r="F821" s="44"/>
      <c r="H821" s="44"/>
      <c r="J821" s="44"/>
      <c r="K821" s="32"/>
      <c r="L821" s="44"/>
      <c r="M821" s="32"/>
      <c r="N821" s="44"/>
      <c r="O821" s="32"/>
      <c r="P821" s="32"/>
      <c r="Q821" s="44"/>
      <c r="S821" s="44"/>
      <c r="U821" s="44"/>
      <c r="V821" s="47"/>
      <c r="W821" s="44"/>
      <c r="Y821" s="44"/>
      <c r="AA821" s="32"/>
    </row>
    <row r="822">
      <c r="A822" s="45"/>
      <c r="B822" s="44"/>
      <c r="D822" s="44"/>
      <c r="F822" s="44"/>
      <c r="H822" s="44"/>
      <c r="J822" s="44"/>
      <c r="K822" s="32"/>
      <c r="L822" s="44"/>
      <c r="M822" s="32"/>
      <c r="N822" s="44"/>
      <c r="O822" s="32"/>
      <c r="P822" s="32"/>
      <c r="Q822" s="44"/>
      <c r="S822" s="44"/>
      <c r="U822" s="44"/>
      <c r="V822" s="47"/>
      <c r="W822" s="44"/>
      <c r="Y822" s="44"/>
      <c r="AA822" s="32"/>
    </row>
    <row r="823">
      <c r="A823" s="45"/>
      <c r="B823" s="44"/>
      <c r="D823" s="44"/>
      <c r="F823" s="44"/>
      <c r="H823" s="44"/>
      <c r="J823" s="44"/>
      <c r="K823" s="32"/>
      <c r="L823" s="44"/>
      <c r="M823" s="32"/>
      <c r="N823" s="44"/>
      <c r="O823" s="32"/>
      <c r="P823" s="32"/>
      <c r="Q823" s="44"/>
      <c r="S823" s="44"/>
      <c r="U823" s="44"/>
      <c r="V823" s="47"/>
      <c r="W823" s="44"/>
      <c r="Y823" s="44"/>
      <c r="AA823" s="32"/>
    </row>
    <row r="824">
      <c r="A824" s="45"/>
      <c r="B824" s="44"/>
      <c r="D824" s="44"/>
      <c r="F824" s="44"/>
      <c r="H824" s="44"/>
      <c r="J824" s="44"/>
      <c r="K824" s="32"/>
      <c r="L824" s="44"/>
      <c r="M824" s="32"/>
      <c r="N824" s="44"/>
      <c r="O824" s="32"/>
      <c r="P824" s="32"/>
      <c r="Q824" s="44"/>
      <c r="S824" s="44"/>
      <c r="U824" s="44"/>
      <c r="V824" s="47"/>
      <c r="W824" s="44"/>
      <c r="Y824" s="44"/>
      <c r="AA824" s="32"/>
    </row>
    <row r="825">
      <c r="A825" s="45"/>
      <c r="B825" s="44"/>
      <c r="D825" s="44"/>
      <c r="F825" s="44"/>
      <c r="H825" s="44"/>
      <c r="J825" s="44"/>
      <c r="K825" s="32"/>
      <c r="L825" s="44"/>
      <c r="M825" s="32"/>
      <c r="N825" s="44"/>
      <c r="O825" s="32"/>
      <c r="P825" s="32"/>
      <c r="Q825" s="44"/>
      <c r="S825" s="44"/>
      <c r="U825" s="44"/>
      <c r="V825" s="47"/>
      <c r="W825" s="44"/>
      <c r="Y825" s="44"/>
      <c r="AA825" s="32"/>
    </row>
    <row r="826">
      <c r="A826" s="45"/>
      <c r="B826" s="44"/>
      <c r="D826" s="44"/>
      <c r="F826" s="44"/>
      <c r="H826" s="44"/>
      <c r="J826" s="44"/>
      <c r="K826" s="32"/>
      <c r="L826" s="44"/>
      <c r="M826" s="32"/>
      <c r="N826" s="44"/>
      <c r="O826" s="32"/>
      <c r="P826" s="32"/>
      <c r="Q826" s="44"/>
      <c r="S826" s="44"/>
      <c r="U826" s="44"/>
      <c r="V826" s="47"/>
      <c r="W826" s="44"/>
      <c r="Y826" s="44"/>
      <c r="AA826" s="32"/>
    </row>
    <row r="827">
      <c r="A827" s="45"/>
      <c r="B827" s="44"/>
      <c r="D827" s="44"/>
      <c r="F827" s="44"/>
      <c r="H827" s="44"/>
      <c r="J827" s="44"/>
      <c r="K827" s="32"/>
      <c r="L827" s="44"/>
      <c r="M827" s="32"/>
      <c r="N827" s="44"/>
      <c r="O827" s="32"/>
      <c r="P827" s="32"/>
      <c r="Q827" s="44"/>
      <c r="S827" s="44"/>
      <c r="U827" s="44"/>
      <c r="V827" s="47"/>
      <c r="W827" s="44"/>
      <c r="Y827" s="44"/>
      <c r="AA827" s="32"/>
    </row>
    <row r="828">
      <c r="A828" s="45"/>
      <c r="B828" s="44"/>
      <c r="D828" s="44"/>
      <c r="F828" s="44"/>
      <c r="H828" s="44"/>
      <c r="J828" s="44"/>
      <c r="K828" s="32"/>
      <c r="L828" s="44"/>
      <c r="M828" s="32"/>
      <c r="N828" s="44"/>
      <c r="O828" s="32"/>
      <c r="P828" s="32"/>
      <c r="Q828" s="44"/>
      <c r="S828" s="44"/>
      <c r="U828" s="44"/>
      <c r="V828" s="47"/>
      <c r="W828" s="44"/>
      <c r="Y828" s="44"/>
      <c r="AA828" s="32"/>
    </row>
    <row r="829">
      <c r="A829" s="45"/>
      <c r="B829" s="44"/>
      <c r="D829" s="44"/>
      <c r="F829" s="44"/>
      <c r="H829" s="44"/>
      <c r="J829" s="44"/>
      <c r="K829" s="32"/>
      <c r="L829" s="44"/>
      <c r="M829" s="32"/>
      <c r="N829" s="44"/>
      <c r="O829" s="32"/>
      <c r="P829" s="32"/>
      <c r="Q829" s="44"/>
      <c r="S829" s="44"/>
      <c r="U829" s="44"/>
      <c r="V829" s="47"/>
      <c r="W829" s="44"/>
      <c r="Y829" s="44"/>
      <c r="AA829" s="32"/>
    </row>
    <row r="830">
      <c r="A830" s="45"/>
      <c r="B830" s="44"/>
      <c r="D830" s="44"/>
      <c r="F830" s="44"/>
      <c r="H830" s="44"/>
      <c r="J830" s="44"/>
      <c r="K830" s="32"/>
      <c r="L830" s="44"/>
      <c r="M830" s="32"/>
      <c r="N830" s="44"/>
      <c r="O830" s="32"/>
      <c r="P830" s="32"/>
      <c r="Q830" s="44"/>
      <c r="S830" s="44"/>
      <c r="U830" s="44"/>
      <c r="V830" s="47"/>
      <c r="W830" s="44"/>
      <c r="Y830" s="44"/>
      <c r="AA830" s="32"/>
    </row>
    <row r="831">
      <c r="A831" s="45"/>
      <c r="B831" s="44"/>
      <c r="D831" s="44"/>
      <c r="F831" s="44"/>
      <c r="H831" s="44"/>
      <c r="J831" s="44"/>
      <c r="K831" s="32"/>
      <c r="L831" s="44"/>
      <c r="M831" s="32"/>
      <c r="N831" s="44"/>
      <c r="O831" s="32"/>
      <c r="P831" s="32"/>
      <c r="Q831" s="44"/>
      <c r="S831" s="44"/>
      <c r="U831" s="44"/>
      <c r="V831" s="47"/>
      <c r="W831" s="44"/>
      <c r="Y831" s="44"/>
      <c r="AA831" s="32"/>
    </row>
    <row r="832">
      <c r="A832" s="45"/>
      <c r="B832" s="44"/>
      <c r="D832" s="44"/>
      <c r="F832" s="44"/>
      <c r="H832" s="44"/>
      <c r="J832" s="44"/>
      <c r="K832" s="32"/>
      <c r="L832" s="44"/>
      <c r="M832" s="32"/>
      <c r="N832" s="44"/>
      <c r="O832" s="32"/>
      <c r="P832" s="32"/>
      <c r="Q832" s="44"/>
      <c r="S832" s="44"/>
      <c r="U832" s="44"/>
      <c r="V832" s="47"/>
      <c r="W832" s="44"/>
      <c r="Y832" s="44"/>
      <c r="AA832" s="32"/>
    </row>
    <row r="833">
      <c r="A833" s="45"/>
      <c r="B833" s="44"/>
      <c r="D833" s="44"/>
      <c r="F833" s="44"/>
      <c r="H833" s="44"/>
      <c r="J833" s="44"/>
      <c r="K833" s="32"/>
      <c r="L833" s="44"/>
      <c r="M833" s="32"/>
      <c r="N833" s="44"/>
      <c r="O833" s="32"/>
      <c r="P833" s="32"/>
      <c r="Q833" s="44"/>
      <c r="S833" s="44"/>
      <c r="U833" s="44"/>
      <c r="V833" s="47"/>
      <c r="W833" s="44"/>
      <c r="Y833" s="44"/>
      <c r="AA833" s="32"/>
    </row>
    <row r="834">
      <c r="A834" s="45"/>
      <c r="B834" s="44"/>
      <c r="D834" s="44"/>
      <c r="F834" s="44"/>
      <c r="H834" s="44"/>
      <c r="J834" s="44"/>
      <c r="K834" s="32"/>
      <c r="L834" s="44"/>
      <c r="M834" s="32"/>
      <c r="N834" s="44"/>
      <c r="O834" s="32"/>
      <c r="P834" s="32"/>
      <c r="Q834" s="44"/>
      <c r="S834" s="44"/>
      <c r="U834" s="44"/>
      <c r="V834" s="47"/>
      <c r="W834" s="44"/>
      <c r="Y834" s="44"/>
      <c r="AA834" s="32"/>
    </row>
    <row r="835">
      <c r="A835" s="45"/>
      <c r="B835" s="44"/>
      <c r="D835" s="44"/>
      <c r="F835" s="44"/>
      <c r="H835" s="44"/>
      <c r="J835" s="44"/>
      <c r="K835" s="32"/>
      <c r="L835" s="44"/>
      <c r="M835" s="32"/>
      <c r="N835" s="44"/>
      <c r="O835" s="32"/>
      <c r="P835" s="32"/>
      <c r="Q835" s="44"/>
      <c r="S835" s="44"/>
      <c r="U835" s="44"/>
      <c r="V835" s="47"/>
      <c r="W835" s="44"/>
      <c r="Y835" s="44"/>
      <c r="AA835" s="32"/>
    </row>
    <row r="836">
      <c r="A836" s="45"/>
      <c r="B836" s="44"/>
      <c r="D836" s="44"/>
      <c r="F836" s="44"/>
      <c r="H836" s="44"/>
      <c r="J836" s="44"/>
      <c r="K836" s="32"/>
      <c r="L836" s="44"/>
      <c r="M836" s="32"/>
      <c r="N836" s="44"/>
      <c r="O836" s="32"/>
      <c r="P836" s="32"/>
      <c r="Q836" s="44"/>
      <c r="S836" s="44"/>
      <c r="U836" s="44"/>
      <c r="V836" s="47"/>
      <c r="W836" s="44"/>
      <c r="Y836" s="44"/>
      <c r="AA836" s="32"/>
    </row>
    <row r="837">
      <c r="A837" s="45"/>
      <c r="B837" s="44"/>
      <c r="D837" s="44"/>
      <c r="F837" s="44"/>
      <c r="H837" s="44"/>
      <c r="J837" s="44"/>
      <c r="K837" s="32"/>
      <c r="L837" s="44"/>
      <c r="M837" s="32"/>
      <c r="N837" s="44"/>
      <c r="O837" s="32"/>
      <c r="P837" s="32"/>
      <c r="Q837" s="44"/>
      <c r="S837" s="44"/>
      <c r="U837" s="44"/>
      <c r="V837" s="47"/>
      <c r="W837" s="44"/>
      <c r="Y837" s="44"/>
      <c r="AA837" s="32"/>
    </row>
    <row r="838">
      <c r="A838" s="45"/>
      <c r="B838" s="44"/>
      <c r="D838" s="44"/>
      <c r="F838" s="44"/>
      <c r="H838" s="44"/>
      <c r="J838" s="44"/>
      <c r="K838" s="32"/>
      <c r="L838" s="44"/>
      <c r="M838" s="32"/>
      <c r="N838" s="44"/>
      <c r="O838" s="32"/>
      <c r="P838" s="32"/>
      <c r="Q838" s="44"/>
      <c r="S838" s="44"/>
      <c r="U838" s="44"/>
      <c r="V838" s="47"/>
      <c r="W838" s="44"/>
      <c r="Y838" s="44"/>
      <c r="AA838" s="32"/>
    </row>
    <row r="839">
      <c r="A839" s="45"/>
      <c r="B839" s="44"/>
      <c r="D839" s="44"/>
      <c r="F839" s="44"/>
      <c r="H839" s="44"/>
      <c r="J839" s="44"/>
      <c r="K839" s="32"/>
      <c r="L839" s="44"/>
      <c r="M839" s="32"/>
      <c r="N839" s="44"/>
      <c r="O839" s="32"/>
      <c r="P839" s="32"/>
      <c r="Q839" s="44"/>
      <c r="S839" s="44"/>
      <c r="U839" s="44"/>
      <c r="V839" s="47"/>
      <c r="W839" s="44"/>
      <c r="Y839" s="44"/>
      <c r="AA839" s="32"/>
    </row>
    <row r="840">
      <c r="A840" s="45"/>
      <c r="B840" s="44"/>
      <c r="D840" s="44"/>
      <c r="F840" s="44"/>
      <c r="H840" s="44"/>
      <c r="J840" s="44"/>
      <c r="K840" s="32"/>
      <c r="L840" s="44"/>
      <c r="M840" s="32"/>
      <c r="N840" s="44"/>
      <c r="O840" s="32"/>
      <c r="P840" s="32"/>
      <c r="Q840" s="44"/>
      <c r="S840" s="44"/>
      <c r="U840" s="44"/>
      <c r="V840" s="47"/>
      <c r="W840" s="44"/>
      <c r="Y840" s="44"/>
      <c r="AA840" s="32"/>
    </row>
    <row r="841">
      <c r="A841" s="45"/>
      <c r="B841" s="44"/>
      <c r="D841" s="44"/>
      <c r="F841" s="44"/>
      <c r="H841" s="44"/>
      <c r="J841" s="44"/>
      <c r="K841" s="32"/>
      <c r="L841" s="44"/>
      <c r="M841" s="32"/>
      <c r="N841" s="44"/>
      <c r="O841" s="32"/>
      <c r="P841" s="32"/>
      <c r="Q841" s="44"/>
      <c r="S841" s="44"/>
      <c r="U841" s="44"/>
      <c r="V841" s="47"/>
      <c r="W841" s="44"/>
      <c r="Y841" s="44"/>
      <c r="AA841" s="32"/>
    </row>
    <row r="842">
      <c r="A842" s="45"/>
      <c r="B842" s="44"/>
      <c r="D842" s="44"/>
      <c r="F842" s="44"/>
      <c r="H842" s="44"/>
      <c r="J842" s="44"/>
      <c r="K842" s="32"/>
      <c r="L842" s="44"/>
      <c r="M842" s="32"/>
      <c r="N842" s="44"/>
      <c r="O842" s="32"/>
      <c r="P842" s="32"/>
      <c r="Q842" s="44"/>
      <c r="S842" s="44"/>
      <c r="U842" s="44"/>
      <c r="V842" s="47"/>
      <c r="W842" s="44"/>
      <c r="Y842" s="44"/>
      <c r="AA842" s="32"/>
    </row>
    <row r="843">
      <c r="A843" s="45"/>
      <c r="B843" s="44"/>
      <c r="D843" s="44"/>
      <c r="F843" s="44"/>
      <c r="H843" s="44"/>
      <c r="J843" s="44"/>
      <c r="K843" s="32"/>
      <c r="L843" s="44"/>
      <c r="M843" s="32"/>
      <c r="N843" s="44"/>
      <c r="O843" s="32"/>
      <c r="P843" s="32"/>
      <c r="Q843" s="44"/>
      <c r="S843" s="44"/>
      <c r="U843" s="44"/>
      <c r="V843" s="47"/>
      <c r="W843" s="44"/>
      <c r="Y843" s="44"/>
      <c r="AA843" s="32"/>
    </row>
    <row r="844">
      <c r="A844" s="45"/>
      <c r="B844" s="44"/>
      <c r="D844" s="44"/>
      <c r="F844" s="44"/>
      <c r="H844" s="44"/>
      <c r="J844" s="44"/>
      <c r="K844" s="32"/>
      <c r="L844" s="44"/>
      <c r="M844" s="32"/>
      <c r="N844" s="44"/>
      <c r="O844" s="32"/>
      <c r="P844" s="32"/>
      <c r="Q844" s="44"/>
      <c r="S844" s="44"/>
      <c r="U844" s="44"/>
      <c r="V844" s="47"/>
      <c r="W844" s="44"/>
      <c r="Y844" s="44"/>
      <c r="AA844" s="32"/>
    </row>
    <row r="845">
      <c r="A845" s="45"/>
      <c r="B845" s="44"/>
      <c r="D845" s="44"/>
      <c r="F845" s="44"/>
      <c r="H845" s="44"/>
      <c r="J845" s="44"/>
      <c r="K845" s="32"/>
      <c r="L845" s="44"/>
      <c r="M845" s="32"/>
      <c r="N845" s="44"/>
      <c r="O845" s="32"/>
      <c r="P845" s="32"/>
      <c r="Q845" s="44"/>
      <c r="S845" s="44"/>
      <c r="U845" s="44"/>
      <c r="V845" s="47"/>
      <c r="W845" s="44"/>
      <c r="Y845" s="44"/>
      <c r="AA845" s="32"/>
    </row>
    <row r="846">
      <c r="A846" s="45"/>
      <c r="B846" s="44"/>
      <c r="D846" s="44"/>
      <c r="F846" s="44"/>
      <c r="H846" s="44"/>
      <c r="J846" s="44"/>
      <c r="K846" s="32"/>
      <c r="L846" s="44"/>
      <c r="M846" s="32"/>
      <c r="N846" s="44"/>
      <c r="O846" s="32"/>
      <c r="P846" s="32"/>
      <c r="Q846" s="44"/>
      <c r="S846" s="44"/>
      <c r="U846" s="44"/>
      <c r="V846" s="47"/>
      <c r="W846" s="44"/>
      <c r="Y846" s="44"/>
      <c r="AA846" s="32"/>
    </row>
    <row r="847">
      <c r="A847" s="45"/>
      <c r="B847" s="44"/>
      <c r="D847" s="44"/>
      <c r="F847" s="44"/>
      <c r="H847" s="44"/>
      <c r="J847" s="44"/>
      <c r="K847" s="32"/>
      <c r="L847" s="44"/>
      <c r="M847" s="32"/>
      <c r="N847" s="44"/>
      <c r="O847" s="32"/>
      <c r="P847" s="32"/>
      <c r="Q847" s="44"/>
      <c r="S847" s="44"/>
      <c r="U847" s="44"/>
      <c r="V847" s="47"/>
      <c r="W847" s="44"/>
      <c r="Y847" s="44"/>
      <c r="AA847" s="32"/>
    </row>
    <row r="848">
      <c r="A848" s="45"/>
      <c r="B848" s="44"/>
      <c r="D848" s="44"/>
      <c r="F848" s="44"/>
      <c r="H848" s="44"/>
      <c r="J848" s="44"/>
      <c r="K848" s="32"/>
      <c r="L848" s="44"/>
      <c r="M848" s="32"/>
      <c r="N848" s="44"/>
      <c r="O848" s="32"/>
      <c r="P848" s="32"/>
      <c r="Q848" s="44"/>
      <c r="S848" s="44"/>
      <c r="U848" s="44"/>
      <c r="V848" s="47"/>
      <c r="W848" s="44"/>
      <c r="Y848" s="44"/>
      <c r="AA848" s="32"/>
    </row>
    <row r="849">
      <c r="A849" s="45"/>
      <c r="B849" s="44"/>
      <c r="D849" s="44"/>
      <c r="F849" s="44"/>
      <c r="H849" s="44"/>
      <c r="J849" s="44"/>
      <c r="K849" s="32"/>
      <c r="L849" s="44"/>
      <c r="M849" s="32"/>
      <c r="N849" s="44"/>
      <c r="O849" s="32"/>
      <c r="P849" s="32"/>
      <c r="Q849" s="44"/>
      <c r="S849" s="44"/>
      <c r="U849" s="44"/>
      <c r="V849" s="47"/>
      <c r="W849" s="44"/>
      <c r="Y849" s="44"/>
      <c r="AA849" s="32"/>
    </row>
    <row r="850">
      <c r="A850" s="45"/>
      <c r="B850" s="44"/>
      <c r="D850" s="44"/>
      <c r="F850" s="44"/>
      <c r="H850" s="44"/>
      <c r="J850" s="44"/>
      <c r="K850" s="32"/>
      <c r="L850" s="44"/>
      <c r="M850" s="32"/>
      <c r="N850" s="44"/>
      <c r="O850" s="32"/>
      <c r="P850" s="32"/>
      <c r="Q850" s="44"/>
      <c r="S850" s="44"/>
      <c r="U850" s="44"/>
      <c r="V850" s="47"/>
      <c r="W850" s="44"/>
      <c r="Y850" s="44"/>
      <c r="AA850" s="32"/>
    </row>
    <row r="851">
      <c r="A851" s="45"/>
      <c r="B851" s="44"/>
      <c r="D851" s="44"/>
      <c r="F851" s="44"/>
      <c r="H851" s="44"/>
      <c r="J851" s="44"/>
      <c r="K851" s="32"/>
      <c r="L851" s="44"/>
      <c r="M851" s="32"/>
      <c r="N851" s="44"/>
      <c r="O851" s="32"/>
      <c r="P851" s="32"/>
      <c r="Q851" s="44"/>
      <c r="S851" s="44"/>
      <c r="U851" s="44"/>
      <c r="V851" s="47"/>
      <c r="W851" s="44"/>
      <c r="Y851" s="44"/>
      <c r="AA851" s="32"/>
    </row>
    <row r="852">
      <c r="A852" s="45"/>
      <c r="B852" s="44"/>
      <c r="D852" s="44"/>
      <c r="F852" s="44"/>
      <c r="H852" s="44"/>
      <c r="J852" s="44"/>
      <c r="K852" s="32"/>
      <c r="L852" s="44"/>
      <c r="M852" s="32"/>
      <c r="N852" s="44"/>
      <c r="O852" s="32"/>
      <c r="P852" s="32"/>
      <c r="Q852" s="44"/>
      <c r="S852" s="44"/>
      <c r="U852" s="44"/>
      <c r="V852" s="47"/>
      <c r="W852" s="44"/>
      <c r="Y852" s="44"/>
      <c r="AA852" s="32"/>
    </row>
    <row r="853">
      <c r="A853" s="45"/>
      <c r="B853" s="44"/>
      <c r="D853" s="44"/>
      <c r="F853" s="44"/>
      <c r="H853" s="44"/>
      <c r="J853" s="44"/>
      <c r="K853" s="32"/>
      <c r="L853" s="44"/>
      <c r="M853" s="32"/>
      <c r="N853" s="44"/>
      <c r="O853" s="32"/>
      <c r="P853" s="32"/>
      <c r="Q853" s="44"/>
      <c r="S853" s="44"/>
      <c r="U853" s="44"/>
      <c r="V853" s="47"/>
      <c r="W853" s="44"/>
      <c r="Y853" s="44"/>
      <c r="AA853" s="32"/>
    </row>
    <row r="854">
      <c r="A854" s="45"/>
      <c r="B854" s="44"/>
      <c r="D854" s="44"/>
      <c r="F854" s="44"/>
      <c r="H854" s="44"/>
      <c r="J854" s="44"/>
      <c r="K854" s="32"/>
      <c r="L854" s="44"/>
      <c r="M854" s="32"/>
      <c r="N854" s="44"/>
      <c r="O854" s="32"/>
      <c r="P854" s="32"/>
      <c r="Q854" s="44"/>
      <c r="S854" s="44"/>
      <c r="U854" s="44"/>
      <c r="V854" s="47"/>
      <c r="W854" s="44"/>
      <c r="Y854" s="44"/>
      <c r="AA854" s="32"/>
    </row>
    <row r="855">
      <c r="A855" s="45"/>
      <c r="B855" s="44"/>
      <c r="D855" s="44"/>
      <c r="F855" s="44"/>
      <c r="H855" s="44"/>
      <c r="J855" s="44"/>
      <c r="K855" s="32"/>
      <c r="L855" s="44"/>
      <c r="M855" s="32"/>
      <c r="N855" s="44"/>
      <c r="O855" s="32"/>
      <c r="P855" s="32"/>
      <c r="Q855" s="44"/>
      <c r="S855" s="44"/>
      <c r="U855" s="44"/>
      <c r="V855" s="47"/>
      <c r="W855" s="44"/>
      <c r="Y855" s="44"/>
      <c r="AA855" s="32"/>
    </row>
    <row r="856">
      <c r="A856" s="45"/>
      <c r="B856" s="44"/>
      <c r="D856" s="44"/>
      <c r="F856" s="44"/>
      <c r="H856" s="44"/>
      <c r="J856" s="44"/>
      <c r="K856" s="32"/>
      <c r="L856" s="44"/>
      <c r="M856" s="32"/>
      <c r="N856" s="44"/>
      <c r="O856" s="32"/>
      <c r="P856" s="32"/>
      <c r="Q856" s="44"/>
      <c r="S856" s="44"/>
      <c r="U856" s="44"/>
      <c r="V856" s="47"/>
      <c r="W856" s="44"/>
      <c r="Y856" s="44"/>
      <c r="AA856" s="32"/>
    </row>
    <row r="857">
      <c r="A857" s="45"/>
      <c r="B857" s="44"/>
      <c r="D857" s="44"/>
      <c r="F857" s="44"/>
      <c r="H857" s="44"/>
      <c r="J857" s="44"/>
      <c r="K857" s="32"/>
      <c r="L857" s="44"/>
      <c r="M857" s="32"/>
      <c r="N857" s="44"/>
      <c r="O857" s="32"/>
      <c r="P857" s="32"/>
      <c r="Q857" s="44"/>
      <c r="S857" s="44"/>
      <c r="U857" s="44"/>
      <c r="V857" s="47"/>
      <c r="W857" s="44"/>
      <c r="Y857" s="44"/>
      <c r="AA857" s="32"/>
    </row>
    <row r="858">
      <c r="A858" s="45"/>
      <c r="B858" s="44"/>
      <c r="D858" s="44"/>
      <c r="F858" s="44"/>
      <c r="H858" s="44"/>
      <c r="J858" s="44"/>
      <c r="K858" s="32"/>
      <c r="L858" s="44"/>
      <c r="M858" s="32"/>
      <c r="N858" s="44"/>
      <c r="O858" s="32"/>
      <c r="P858" s="32"/>
      <c r="Q858" s="44"/>
      <c r="S858" s="44"/>
      <c r="U858" s="44"/>
      <c r="V858" s="47"/>
      <c r="W858" s="44"/>
      <c r="Y858" s="44"/>
      <c r="AA858" s="32"/>
    </row>
    <row r="859">
      <c r="A859" s="45"/>
      <c r="B859" s="44"/>
      <c r="D859" s="44"/>
      <c r="F859" s="44"/>
      <c r="H859" s="44"/>
      <c r="J859" s="44"/>
      <c r="K859" s="32"/>
      <c r="L859" s="44"/>
      <c r="M859" s="32"/>
      <c r="N859" s="44"/>
      <c r="O859" s="32"/>
      <c r="P859" s="32"/>
      <c r="Q859" s="44"/>
      <c r="S859" s="44"/>
      <c r="U859" s="44"/>
      <c r="V859" s="47"/>
      <c r="W859" s="44"/>
      <c r="Y859" s="44"/>
      <c r="AA859" s="32"/>
    </row>
    <row r="860">
      <c r="A860" s="45"/>
      <c r="B860" s="44"/>
      <c r="D860" s="44"/>
      <c r="F860" s="44"/>
      <c r="H860" s="44"/>
      <c r="J860" s="44"/>
      <c r="K860" s="32"/>
      <c r="L860" s="44"/>
      <c r="M860" s="32"/>
      <c r="N860" s="44"/>
      <c r="O860" s="32"/>
      <c r="P860" s="32"/>
      <c r="Q860" s="44"/>
      <c r="S860" s="44"/>
      <c r="U860" s="44"/>
      <c r="V860" s="47"/>
      <c r="W860" s="44"/>
      <c r="Y860" s="44"/>
      <c r="AA860" s="32"/>
    </row>
    <row r="861">
      <c r="A861" s="45"/>
      <c r="B861" s="44"/>
      <c r="D861" s="44"/>
      <c r="F861" s="44"/>
      <c r="H861" s="44"/>
      <c r="J861" s="44"/>
      <c r="K861" s="32"/>
      <c r="L861" s="44"/>
      <c r="M861" s="32"/>
      <c r="N861" s="44"/>
      <c r="O861" s="32"/>
      <c r="P861" s="32"/>
      <c r="Q861" s="44"/>
      <c r="S861" s="44"/>
      <c r="U861" s="44"/>
      <c r="V861" s="47"/>
      <c r="W861" s="44"/>
      <c r="Y861" s="44"/>
      <c r="AA861" s="32"/>
    </row>
    <row r="862">
      <c r="A862" s="45"/>
      <c r="B862" s="44"/>
      <c r="D862" s="44"/>
      <c r="F862" s="44"/>
      <c r="H862" s="44"/>
      <c r="J862" s="44"/>
      <c r="K862" s="32"/>
      <c r="L862" s="44"/>
      <c r="M862" s="32"/>
      <c r="N862" s="44"/>
      <c r="O862" s="32"/>
      <c r="P862" s="32"/>
      <c r="Q862" s="44"/>
      <c r="S862" s="44"/>
      <c r="U862" s="44"/>
      <c r="V862" s="47"/>
      <c r="W862" s="44"/>
      <c r="Y862" s="44"/>
      <c r="AA862" s="32"/>
    </row>
    <row r="863">
      <c r="A863" s="45"/>
      <c r="B863" s="44"/>
      <c r="D863" s="44"/>
      <c r="F863" s="44"/>
      <c r="H863" s="44"/>
      <c r="J863" s="44"/>
      <c r="K863" s="32"/>
      <c r="L863" s="44"/>
      <c r="M863" s="32"/>
      <c r="N863" s="44"/>
      <c r="O863" s="32"/>
      <c r="P863" s="32"/>
      <c r="Q863" s="44"/>
      <c r="S863" s="44"/>
      <c r="U863" s="44"/>
      <c r="V863" s="47"/>
      <c r="W863" s="44"/>
      <c r="Y863" s="44"/>
      <c r="AA863" s="32"/>
    </row>
    <row r="864">
      <c r="A864" s="45"/>
      <c r="B864" s="44"/>
      <c r="D864" s="44"/>
      <c r="F864" s="44"/>
      <c r="H864" s="44"/>
      <c r="J864" s="44"/>
      <c r="K864" s="32"/>
      <c r="L864" s="44"/>
      <c r="M864" s="32"/>
      <c r="N864" s="44"/>
      <c r="O864" s="32"/>
      <c r="P864" s="32"/>
      <c r="Q864" s="44"/>
      <c r="S864" s="44"/>
      <c r="U864" s="44"/>
      <c r="V864" s="47"/>
      <c r="W864" s="44"/>
      <c r="Y864" s="44"/>
      <c r="AA864" s="32"/>
    </row>
    <row r="865">
      <c r="A865" s="45"/>
      <c r="B865" s="44"/>
      <c r="D865" s="44"/>
      <c r="F865" s="44"/>
      <c r="H865" s="44"/>
      <c r="J865" s="44"/>
      <c r="K865" s="32"/>
      <c r="L865" s="44"/>
      <c r="M865" s="32"/>
      <c r="N865" s="44"/>
      <c r="O865" s="32"/>
      <c r="P865" s="32"/>
      <c r="Q865" s="44"/>
      <c r="S865" s="44"/>
      <c r="U865" s="44"/>
      <c r="V865" s="47"/>
      <c r="W865" s="44"/>
      <c r="Y865" s="44"/>
      <c r="AA865" s="32"/>
    </row>
    <row r="866">
      <c r="A866" s="45"/>
      <c r="B866" s="44"/>
      <c r="D866" s="44"/>
      <c r="F866" s="44"/>
      <c r="H866" s="44"/>
      <c r="J866" s="44"/>
      <c r="K866" s="32"/>
      <c r="L866" s="44"/>
      <c r="M866" s="32"/>
      <c r="N866" s="44"/>
      <c r="O866" s="32"/>
      <c r="P866" s="32"/>
      <c r="Q866" s="44"/>
      <c r="S866" s="44"/>
      <c r="U866" s="44"/>
      <c r="V866" s="47"/>
      <c r="W866" s="44"/>
      <c r="Y866" s="44"/>
      <c r="AA866" s="32"/>
    </row>
    <row r="867">
      <c r="A867" s="45"/>
      <c r="B867" s="44"/>
      <c r="D867" s="44"/>
      <c r="F867" s="44"/>
      <c r="H867" s="44"/>
      <c r="J867" s="44"/>
      <c r="K867" s="32"/>
      <c r="L867" s="44"/>
      <c r="M867" s="32"/>
      <c r="N867" s="44"/>
      <c r="O867" s="32"/>
      <c r="P867" s="32"/>
      <c r="Q867" s="44"/>
      <c r="S867" s="44"/>
      <c r="U867" s="44"/>
      <c r="V867" s="47"/>
      <c r="W867" s="44"/>
      <c r="Y867" s="44"/>
      <c r="AA867" s="32"/>
    </row>
    <row r="868">
      <c r="A868" s="45"/>
      <c r="B868" s="44"/>
      <c r="D868" s="44"/>
      <c r="F868" s="44"/>
      <c r="H868" s="44"/>
      <c r="J868" s="44"/>
      <c r="K868" s="32"/>
      <c r="L868" s="44"/>
      <c r="M868" s="32"/>
      <c r="N868" s="44"/>
      <c r="O868" s="32"/>
      <c r="P868" s="32"/>
      <c r="Q868" s="44"/>
      <c r="S868" s="44"/>
      <c r="U868" s="44"/>
      <c r="V868" s="47"/>
      <c r="W868" s="44"/>
      <c r="Y868" s="44"/>
      <c r="AA868" s="32"/>
    </row>
    <row r="869">
      <c r="A869" s="45"/>
      <c r="B869" s="44"/>
      <c r="D869" s="44"/>
      <c r="F869" s="44"/>
      <c r="H869" s="44"/>
      <c r="J869" s="44"/>
      <c r="K869" s="32"/>
      <c r="L869" s="44"/>
      <c r="M869" s="32"/>
      <c r="N869" s="44"/>
      <c r="O869" s="32"/>
      <c r="P869" s="32"/>
      <c r="Q869" s="44"/>
      <c r="S869" s="44"/>
      <c r="U869" s="44"/>
      <c r="V869" s="47"/>
      <c r="W869" s="44"/>
      <c r="Y869" s="44"/>
      <c r="AA869" s="32"/>
    </row>
    <row r="870">
      <c r="A870" s="45"/>
      <c r="B870" s="44"/>
      <c r="D870" s="44"/>
      <c r="F870" s="44"/>
      <c r="H870" s="44"/>
      <c r="J870" s="44"/>
      <c r="K870" s="32"/>
      <c r="L870" s="44"/>
      <c r="M870" s="32"/>
      <c r="N870" s="44"/>
      <c r="O870" s="32"/>
      <c r="P870" s="32"/>
      <c r="Q870" s="44"/>
      <c r="S870" s="44"/>
      <c r="U870" s="44"/>
      <c r="V870" s="47"/>
      <c r="W870" s="44"/>
      <c r="Y870" s="44"/>
      <c r="AA870" s="32"/>
    </row>
    <row r="871">
      <c r="A871" s="45"/>
      <c r="B871" s="44"/>
      <c r="D871" s="44"/>
      <c r="F871" s="44"/>
      <c r="H871" s="44"/>
      <c r="J871" s="44"/>
      <c r="K871" s="32"/>
      <c r="L871" s="44"/>
      <c r="M871" s="32"/>
      <c r="N871" s="44"/>
      <c r="O871" s="32"/>
      <c r="P871" s="32"/>
      <c r="Q871" s="44"/>
      <c r="S871" s="44"/>
      <c r="U871" s="44"/>
      <c r="V871" s="47"/>
      <c r="W871" s="44"/>
      <c r="Y871" s="44"/>
      <c r="AA871" s="32"/>
    </row>
    <row r="872">
      <c r="A872" s="45"/>
      <c r="B872" s="44"/>
      <c r="D872" s="44"/>
      <c r="F872" s="44"/>
      <c r="H872" s="44"/>
      <c r="J872" s="44"/>
      <c r="K872" s="32"/>
      <c r="L872" s="44"/>
      <c r="M872" s="32"/>
      <c r="N872" s="44"/>
      <c r="O872" s="32"/>
      <c r="P872" s="32"/>
      <c r="Q872" s="44"/>
      <c r="S872" s="44"/>
      <c r="U872" s="44"/>
      <c r="V872" s="47"/>
      <c r="W872" s="44"/>
      <c r="Y872" s="44"/>
      <c r="AA872" s="32"/>
    </row>
    <row r="873">
      <c r="A873" s="45"/>
      <c r="B873" s="44"/>
      <c r="D873" s="44"/>
      <c r="F873" s="44"/>
      <c r="H873" s="44"/>
      <c r="J873" s="44"/>
      <c r="K873" s="32"/>
      <c r="L873" s="44"/>
      <c r="M873" s="32"/>
      <c r="N873" s="44"/>
      <c r="O873" s="32"/>
      <c r="P873" s="32"/>
      <c r="Q873" s="44"/>
      <c r="S873" s="44"/>
      <c r="U873" s="44"/>
      <c r="V873" s="47"/>
      <c r="W873" s="44"/>
      <c r="Y873" s="44"/>
      <c r="AA873" s="32"/>
    </row>
    <row r="874">
      <c r="A874" s="45"/>
      <c r="B874" s="44"/>
      <c r="D874" s="44"/>
      <c r="F874" s="44"/>
      <c r="H874" s="44"/>
      <c r="J874" s="44"/>
      <c r="K874" s="32"/>
      <c r="L874" s="44"/>
      <c r="M874" s="32"/>
      <c r="N874" s="44"/>
      <c r="O874" s="32"/>
      <c r="P874" s="32"/>
      <c r="Q874" s="44"/>
      <c r="S874" s="44"/>
      <c r="U874" s="44"/>
      <c r="V874" s="47"/>
      <c r="W874" s="44"/>
      <c r="Y874" s="44"/>
      <c r="AA874" s="32"/>
    </row>
    <row r="875">
      <c r="A875" s="45"/>
      <c r="B875" s="44"/>
      <c r="D875" s="44"/>
      <c r="F875" s="44"/>
      <c r="H875" s="44"/>
      <c r="J875" s="44"/>
      <c r="K875" s="32"/>
      <c r="L875" s="44"/>
      <c r="M875" s="32"/>
      <c r="N875" s="44"/>
      <c r="O875" s="32"/>
      <c r="P875" s="32"/>
      <c r="Q875" s="44"/>
      <c r="S875" s="44"/>
      <c r="U875" s="44"/>
      <c r="V875" s="47"/>
      <c r="W875" s="44"/>
      <c r="Y875" s="44"/>
      <c r="AA875" s="32"/>
    </row>
    <row r="876">
      <c r="A876" s="45"/>
      <c r="B876" s="44"/>
      <c r="D876" s="44"/>
      <c r="F876" s="44"/>
      <c r="H876" s="44"/>
      <c r="J876" s="44"/>
      <c r="K876" s="32"/>
      <c r="L876" s="44"/>
      <c r="M876" s="32"/>
      <c r="N876" s="44"/>
      <c r="O876" s="32"/>
      <c r="P876" s="32"/>
      <c r="Q876" s="44"/>
      <c r="S876" s="44"/>
      <c r="U876" s="44"/>
      <c r="V876" s="47"/>
      <c r="W876" s="44"/>
      <c r="Y876" s="44"/>
      <c r="AA876" s="32"/>
    </row>
    <row r="877">
      <c r="A877" s="45"/>
      <c r="B877" s="44"/>
      <c r="D877" s="44"/>
      <c r="F877" s="44"/>
      <c r="H877" s="44"/>
      <c r="J877" s="44"/>
      <c r="K877" s="32"/>
      <c r="L877" s="44"/>
      <c r="M877" s="32"/>
      <c r="N877" s="44"/>
      <c r="O877" s="32"/>
      <c r="P877" s="32"/>
      <c r="Q877" s="44"/>
      <c r="S877" s="44"/>
      <c r="U877" s="44"/>
      <c r="V877" s="47"/>
      <c r="W877" s="44"/>
      <c r="Y877" s="44"/>
      <c r="AA877" s="32"/>
    </row>
    <row r="878">
      <c r="A878" s="45"/>
      <c r="B878" s="44"/>
      <c r="D878" s="44"/>
      <c r="F878" s="44"/>
      <c r="H878" s="44"/>
      <c r="J878" s="44"/>
      <c r="K878" s="32"/>
      <c r="L878" s="44"/>
      <c r="M878" s="32"/>
      <c r="N878" s="44"/>
      <c r="O878" s="32"/>
      <c r="P878" s="32"/>
      <c r="Q878" s="44"/>
      <c r="S878" s="44"/>
      <c r="U878" s="44"/>
      <c r="V878" s="47"/>
      <c r="W878" s="44"/>
      <c r="Y878" s="44"/>
      <c r="AA878" s="32"/>
    </row>
    <row r="879">
      <c r="A879" s="45"/>
      <c r="B879" s="44"/>
      <c r="D879" s="44"/>
      <c r="F879" s="44"/>
      <c r="H879" s="44"/>
      <c r="J879" s="44"/>
      <c r="K879" s="32"/>
      <c r="L879" s="44"/>
      <c r="M879" s="32"/>
      <c r="N879" s="44"/>
      <c r="O879" s="32"/>
      <c r="P879" s="32"/>
      <c r="Q879" s="44"/>
      <c r="S879" s="44"/>
      <c r="U879" s="44"/>
      <c r="V879" s="47"/>
      <c r="W879" s="44"/>
      <c r="Y879" s="44"/>
      <c r="AA879" s="32"/>
    </row>
    <row r="880">
      <c r="A880" s="45"/>
      <c r="B880" s="44"/>
      <c r="D880" s="44"/>
      <c r="F880" s="44"/>
      <c r="H880" s="44"/>
      <c r="J880" s="44"/>
      <c r="K880" s="32"/>
      <c r="L880" s="44"/>
      <c r="M880" s="32"/>
      <c r="N880" s="44"/>
      <c r="O880" s="32"/>
      <c r="P880" s="32"/>
      <c r="Q880" s="44"/>
      <c r="S880" s="44"/>
      <c r="U880" s="44"/>
      <c r="V880" s="47"/>
      <c r="W880" s="44"/>
      <c r="Y880" s="44"/>
      <c r="AA880" s="32"/>
    </row>
    <row r="881">
      <c r="A881" s="45"/>
      <c r="B881" s="44"/>
      <c r="D881" s="44"/>
      <c r="F881" s="44"/>
      <c r="H881" s="44"/>
      <c r="J881" s="44"/>
      <c r="K881" s="32"/>
      <c r="L881" s="44"/>
      <c r="M881" s="32"/>
      <c r="N881" s="44"/>
      <c r="O881" s="32"/>
      <c r="P881" s="32"/>
      <c r="Q881" s="44"/>
      <c r="S881" s="44"/>
      <c r="U881" s="44"/>
      <c r="V881" s="47"/>
      <c r="W881" s="44"/>
      <c r="Y881" s="44"/>
      <c r="AA881" s="32"/>
    </row>
    <row r="882">
      <c r="A882" s="45"/>
      <c r="B882" s="44"/>
      <c r="D882" s="44"/>
      <c r="F882" s="44"/>
      <c r="H882" s="44"/>
      <c r="J882" s="44"/>
      <c r="K882" s="32"/>
      <c r="L882" s="44"/>
      <c r="M882" s="32"/>
      <c r="N882" s="44"/>
      <c r="O882" s="32"/>
      <c r="P882" s="32"/>
      <c r="Q882" s="44"/>
      <c r="S882" s="44"/>
      <c r="U882" s="44"/>
      <c r="V882" s="47"/>
      <c r="W882" s="44"/>
      <c r="Y882" s="44"/>
      <c r="AA882" s="32"/>
    </row>
    <row r="883">
      <c r="A883" s="45"/>
      <c r="B883" s="44"/>
      <c r="D883" s="44"/>
      <c r="F883" s="44"/>
      <c r="H883" s="44"/>
      <c r="J883" s="44"/>
      <c r="K883" s="32"/>
      <c r="L883" s="44"/>
      <c r="M883" s="32"/>
      <c r="N883" s="44"/>
      <c r="O883" s="32"/>
      <c r="P883" s="32"/>
      <c r="Q883" s="44"/>
      <c r="S883" s="44"/>
      <c r="U883" s="44"/>
      <c r="V883" s="47"/>
      <c r="W883" s="44"/>
      <c r="Y883" s="44"/>
      <c r="AA883" s="32"/>
    </row>
    <row r="884">
      <c r="A884" s="45"/>
      <c r="B884" s="44"/>
      <c r="D884" s="44"/>
      <c r="F884" s="44"/>
      <c r="H884" s="44"/>
      <c r="J884" s="44"/>
      <c r="K884" s="32"/>
      <c r="L884" s="44"/>
      <c r="M884" s="32"/>
      <c r="N884" s="44"/>
      <c r="O884" s="32"/>
      <c r="P884" s="32"/>
      <c r="Q884" s="44"/>
      <c r="S884" s="44"/>
      <c r="U884" s="44"/>
      <c r="V884" s="47"/>
      <c r="W884" s="44"/>
      <c r="Y884" s="44"/>
      <c r="AA884" s="32"/>
    </row>
    <row r="885">
      <c r="A885" s="45"/>
      <c r="B885" s="44"/>
      <c r="D885" s="44"/>
      <c r="F885" s="44"/>
      <c r="H885" s="44"/>
      <c r="J885" s="44"/>
      <c r="K885" s="32"/>
      <c r="L885" s="44"/>
      <c r="M885" s="32"/>
      <c r="N885" s="44"/>
      <c r="O885" s="32"/>
      <c r="P885" s="32"/>
      <c r="Q885" s="44"/>
      <c r="S885" s="44"/>
      <c r="U885" s="44"/>
      <c r="V885" s="47"/>
      <c r="W885" s="44"/>
      <c r="Y885" s="44"/>
      <c r="AA885" s="32"/>
    </row>
    <row r="886">
      <c r="A886" s="45"/>
      <c r="B886" s="44"/>
      <c r="D886" s="44"/>
      <c r="F886" s="44"/>
      <c r="H886" s="44"/>
      <c r="J886" s="44"/>
      <c r="K886" s="32"/>
      <c r="L886" s="44"/>
      <c r="M886" s="32"/>
      <c r="N886" s="44"/>
      <c r="O886" s="32"/>
      <c r="P886" s="32"/>
      <c r="Q886" s="44"/>
      <c r="S886" s="44"/>
      <c r="U886" s="44"/>
      <c r="V886" s="47"/>
      <c r="W886" s="44"/>
      <c r="Y886" s="44"/>
      <c r="AA886" s="32"/>
    </row>
    <row r="887">
      <c r="A887" s="45"/>
      <c r="B887" s="44"/>
      <c r="D887" s="44"/>
      <c r="F887" s="44"/>
      <c r="H887" s="44"/>
      <c r="J887" s="44"/>
      <c r="K887" s="32"/>
      <c r="L887" s="44"/>
      <c r="M887" s="32"/>
      <c r="N887" s="44"/>
      <c r="O887" s="32"/>
      <c r="P887" s="32"/>
      <c r="Q887" s="44"/>
      <c r="S887" s="44"/>
      <c r="U887" s="44"/>
      <c r="V887" s="47"/>
      <c r="W887" s="44"/>
      <c r="Y887" s="44"/>
      <c r="AA887" s="32"/>
    </row>
    <row r="888">
      <c r="A888" s="45"/>
      <c r="B888" s="44"/>
      <c r="D888" s="44"/>
      <c r="F888" s="44"/>
      <c r="H888" s="44"/>
      <c r="J888" s="44"/>
      <c r="K888" s="32"/>
      <c r="L888" s="44"/>
      <c r="M888" s="32"/>
      <c r="N888" s="44"/>
      <c r="O888" s="32"/>
      <c r="P888" s="32"/>
      <c r="Q888" s="44"/>
      <c r="S888" s="44"/>
      <c r="U888" s="44"/>
      <c r="V888" s="47"/>
      <c r="W888" s="44"/>
      <c r="Y888" s="44"/>
      <c r="AA888" s="32"/>
    </row>
    <row r="889">
      <c r="A889" s="45"/>
      <c r="B889" s="44"/>
      <c r="D889" s="44"/>
      <c r="F889" s="44"/>
      <c r="H889" s="44"/>
      <c r="J889" s="44"/>
      <c r="K889" s="32"/>
      <c r="L889" s="44"/>
      <c r="M889" s="32"/>
      <c r="N889" s="44"/>
      <c r="O889" s="32"/>
      <c r="P889" s="32"/>
      <c r="Q889" s="44"/>
      <c r="S889" s="44"/>
      <c r="U889" s="44"/>
      <c r="V889" s="47"/>
      <c r="W889" s="44"/>
      <c r="Y889" s="44"/>
      <c r="AA889" s="32"/>
    </row>
    <row r="890">
      <c r="A890" s="45"/>
      <c r="B890" s="44"/>
      <c r="D890" s="44"/>
      <c r="F890" s="44"/>
      <c r="H890" s="44"/>
      <c r="J890" s="44"/>
      <c r="K890" s="32"/>
      <c r="L890" s="44"/>
      <c r="M890" s="32"/>
      <c r="N890" s="44"/>
      <c r="O890" s="32"/>
      <c r="P890" s="32"/>
      <c r="Q890" s="44"/>
      <c r="S890" s="44"/>
      <c r="U890" s="44"/>
      <c r="V890" s="47"/>
      <c r="W890" s="44"/>
      <c r="Y890" s="44"/>
      <c r="AA890" s="32"/>
    </row>
    <row r="891">
      <c r="A891" s="45"/>
      <c r="B891" s="44"/>
      <c r="D891" s="44"/>
      <c r="F891" s="44"/>
      <c r="H891" s="44"/>
      <c r="J891" s="44"/>
      <c r="K891" s="32"/>
      <c r="L891" s="44"/>
      <c r="M891" s="32"/>
      <c r="N891" s="44"/>
      <c r="O891" s="32"/>
      <c r="P891" s="32"/>
      <c r="Q891" s="44"/>
      <c r="S891" s="44"/>
      <c r="U891" s="44"/>
      <c r="V891" s="47"/>
      <c r="W891" s="44"/>
      <c r="Y891" s="44"/>
      <c r="AA891" s="32"/>
    </row>
    <row r="892">
      <c r="A892" s="45"/>
      <c r="B892" s="44"/>
      <c r="D892" s="44"/>
      <c r="F892" s="44"/>
      <c r="H892" s="44"/>
      <c r="J892" s="44"/>
      <c r="K892" s="32"/>
      <c r="L892" s="44"/>
      <c r="M892" s="32"/>
      <c r="N892" s="44"/>
      <c r="O892" s="32"/>
      <c r="P892" s="32"/>
      <c r="Q892" s="44"/>
      <c r="S892" s="44"/>
      <c r="U892" s="44"/>
      <c r="V892" s="47"/>
      <c r="W892" s="44"/>
      <c r="Y892" s="44"/>
      <c r="AA892" s="32"/>
    </row>
    <row r="893">
      <c r="A893" s="45"/>
      <c r="B893" s="44"/>
      <c r="D893" s="44"/>
      <c r="F893" s="44"/>
      <c r="H893" s="44"/>
      <c r="J893" s="44"/>
      <c r="K893" s="32"/>
      <c r="L893" s="44"/>
      <c r="M893" s="32"/>
      <c r="N893" s="44"/>
      <c r="O893" s="32"/>
      <c r="P893" s="32"/>
      <c r="Q893" s="44"/>
      <c r="S893" s="44"/>
      <c r="U893" s="44"/>
      <c r="V893" s="47"/>
      <c r="W893" s="44"/>
      <c r="Y893" s="44"/>
      <c r="AA893" s="32"/>
    </row>
    <row r="894">
      <c r="A894" s="45"/>
      <c r="B894" s="44"/>
      <c r="D894" s="44"/>
      <c r="F894" s="44"/>
      <c r="H894" s="44"/>
      <c r="J894" s="44"/>
      <c r="K894" s="32"/>
      <c r="L894" s="44"/>
      <c r="M894" s="32"/>
      <c r="N894" s="44"/>
      <c r="O894" s="32"/>
      <c r="P894" s="32"/>
      <c r="Q894" s="44"/>
      <c r="S894" s="44"/>
      <c r="U894" s="44"/>
      <c r="V894" s="47"/>
      <c r="W894" s="44"/>
      <c r="Y894" s="44"/>
      <c r="AA894" s="32"/>
    </row>
    <row r="895">
      <c r="A895" s="45"/>
      <c r="B895" s="44"/>
      <c r="D895" s="44"/>
      <c r="F895" s="44"/>
      <c r="H895" s="44"/>
      <c r="J895" s="44"/>
      <c r="K895" s="32"/>
      <c r="L895" s="44"/>
      <c r="M895" s="32"/>
      <c r="N895" s="44"/>
      <c r="O895" s="32"/>
      <c r="P895" s="32"/>
      <c r="Q895" s="44"/>
      <c r="S895" s="44"/>
      <c r="U895" s="44"/>
      <c r="V895" s="47"/>
      <c r="W895" s="44"/>
      <c r="Y895" s="44"/>
      <c r="AA895" s="32"/>
    </row>
    <row r="896">
      <c r="A896" s="45"/>
      <c r="B896" s="44"/>
      <c r="D896" s="44"/>
      <c r="F896" s="44"/>
      <c r="H896" s="44"/>
      <c r="J896" s="44"/>
      <c r="K896" s="32"/>
      <c r="L896" s="44"/>
      <c r="M896" s="32"/>
      <c r="N896" s="44"/>
      <c r="O896" s="32"/>
      <c r="P896" s="32"/>
      <c r="Q896" s="44"/>
      <c r="S896" s="44"/>
      <c r="U896" s="44"/>
      <c r="V896" s="47"/>
      <c r="W896" s="44"/>
      <c r="Y896" s="44"/>
      <c r="AA896" s="32"/>
    </row>
    <row r="897">
      <c r="A897" s="45"/>
      <c r="B897" s="44"/>
      <c r="D897" s="44"/>
      <c r="F897" s="44"/>
      <c r="H897" s="44"/>
      <c r="J897" s="44"/>
      <c r="K897" s="32"/>
      <c r="L897" s="44"/>
      <c r="M897" s="32"/>
      <c r="N897" s="44"/>
      <c r="O897" s="32"/>
      <c r="P897" s="32"/>
      <c r="Q897" s="44"/>
      <c r="S897" s="44"/>
      <c r="U897" s="44"/>
      <c r="V897" s="47"/>
      <c r="W897" s="44"/>
      <c r="Y897" s="44"/>
      <c r="AA897" s="32"/>
    </row>
    <row r="898">
      <c r="A898" s="45"/>
      <c r="B898" s="44"/>
      <c r="D898" s="44"/>
      <c r="F898" s="44"/>
      <c r="H898" s="44"/>
      <c r="J898" s="44"/>
      <c r="K898" s="32"/>
      <c r="L898" s="44"/>
      <c r="M898" s="32"/>
      <c r="N898" s="44"/>
      <c r="O898" s="32"/>
      <c r="P898" s="32"/>
      <c r="Q898" s="44"/>
      <c r="S898" s="44"/>
      <c r="U898" s="44"/>
      <c r="V898" s="47"/>
      <c r="W898" s="44"/>
      <c r="Y898" s="44"/>
      <c r="AA898" s="32"/>
    </row>
    <row r="899">
      <c r="A899" s="45"/>
      <c r="B899" s="44"/>
      <c r="D899" s="44"/>
      <c r="F899" s="44"/>
      <c r="H899" s="44"/>
      <c r="J899" s="44"/>
      <c r="K899" s="32"/>
      <c r="L899" s="44"/>
      <c r="M899" s="32"/>
      <c r="N899" s="44"/>
      <c r="O899" s="32"/>
      <c r="P899" s="32"/>
      <c r="Q899" s="44"/>
      <c r="S899" s="44"/>
      <c r="U899" s="44"/>
      <c r="V899" s="47"/>
      <c r="W899" s="44"/>
      <c r="Y899" s="44"/>
      <c r="AA899" s="32"/>
    </row>
    <row r="900">
      <c r="A900" s="45"/>
      <c r="B900" s="44"/>
      <c r="D900" s="44"/>
      <c r="F900" s="44"/>
      <c r="H900" s="44"/>
      <c r="J900" s="44"/>
      <c r="K900" s="32"/>
      <c r="L900" s="44"/>
      <c r="M900" s="32"/>
      <c r="N900" s="44"/>
      <c r="O900" s="32"/>
      <c r="P900" s="32"/>
      <c r="Q900" s="44"/>
      <c r="S900" s="44"/>
      <c r="U900" s="44"/>
      <c r="V900" s="47"/>
      <c r="W900" s="44"/>
      <c r="Y900" s="44"/>
      <c r="AA900" s="32"/>
    </row>
    <row r="901">
      <c r="A901" s="45"/>
      <c r="B901" s="44"/>
      <c r="D901" s="44"/>
      <c r="F901" s="44"/>
      <c r="H901" s="44"/>
      <c r="J901" s="44"/>
      <c r="K901" s="32"/>
      <c r="L901" s="44"/>
      <c r="M901" s="32"/>
      <c r="N901" s="44"/>
      <c r="O901" s="32"/>
      <c r="P901" s="32"/>
      <c r="Q901" s="44"/>
      <c r="S901" s="44"/>
      <c r="U901" s="44"/>
      <c r="V901" s="47"/>
      <c r="W901" s="44"/>
      <c r="Y901" s="44"/>
      <c r="AA901" s="32"/>
    </row>
    <row r="902">
      <c r="A902" s="45"/>
      <c r="B902" s="44"/>
      <c r="D902" s="44"/>
      <c r="F902" s="44"/>
      <c r="H902" s="44"/>
      <c r="J902" s="44"/>
      <c r="K902" s="32"/>
      <c r="L902" s="44"/>
      <c r="M902" s="32"/>
      <c r="N902" s="44"/>
      <c r="O902" s="32"/>
      <c r="P902" s="32"/>
      <c r="Q902" s="44"/>
      <c r="S902" s="44"/>
      <c r="U902" s="44"/>
      <c r="V902" s="47"/>
      <c r="W902" s="44"/>
      <c r="Y902" s="44"/>
      <c r="AA902" s="32"/>
    </row>
    <row r="903">
      <c r="A903" s="45"/>
      <c r="B903" s="44"/>
      <c r="D903" s="44"/>
      <c r="F903" s="44"/>
      <c r="H903" s="44"/>
      <c r="J903" s="44"/>
      <c r="K903" s="32"/>
      <c r="L903" s="44"/>
      <c r="M903" s="32"/>
      <c r="N903" s="44"/>
      <c r="O903" s="32"/>
      <c r="P903" s="32"/>
      <c r="Q903" s="44"/>
      <c r="S903" s="44"/>
      <c r="U903" s="44"/>
      <c r="V903" s="47"/>
      <c r="W903" s="44"/>
      <c r="Y903" s="44"/>
      <c r="AA903" s="32"/>
    </row>
    <row r="904">
      <c r="A904" s="45"/>
      <c r="B904" s="44"/>
      <c r="D904" s="44"/>
      <c r="F904" s="44"/>
      <c r="H904" s="44"/>
      <c r="J904" s="44"/>
      <c r="K904" s="32"/>
      <c r="L904" s="44"/>
      <c r="M904" s="32"/>
      <c r="N904" s="44"/>
      <c r="O904" s="32"/>
      <c r="P904" s="32"/>
      <c r="Q904" s="44"/>
      <c r="S904" s="44"/>
      <c r="U904" s="44"/>
      <c r="V904" s="47"/>
      <c r="W904" s="44"/>
      <c r="Y904" s="44"/>
      <c r="AA904" s="32"/>
    </row>
    <row r="905">
      <c r="A905" s="45"/>
      <c r="B905" s="44"/>
      <c r="D905" s="44"/>
      <c r="F905" s="44"/>
      <c r="H905" s="44"/>
      <c r="J905" s="44"/>
      <c r="K905" s="32"/>
      <c r="L905" s="44"/>
      <c r="M905" s="32"/>
      <c r="N905" s="44"/>
      <c r="O905" s="32"/>
      <c r="P905" s="32"/>
      <c r="Q905" s="44"/>
      <c r="S905" s="44"/>
      <c r="U905" s="44"/>
      <c r="V905" s="47"/>
      <c r="W905" s="44"/>
      <c r="Y905" s="44"/>
      <c r="AA905" s="32"/>
    </row>
    <row r="906">
      <c r="A906" s="45"/>
      <c r="B906" s="44"/>
      <c r="D906" s="44"/>
      <c r="F906" s="44"/>
      <c r="H906" s="44"/>
      <c r="J906" s="44"/>
      <c r="K906" s="32"/>
      <c r="L906" s="44"/>
      <c r="M906" s="32"/>
      <c r="N906" s="44"/>
      <c r="O906" s="32"/>
      <c r="P906" s="32"/>
      <c r="Q906" s="44"/>
      <c r="S906" s="44"/>
      <c r="U906" s="44"/>
      <c r="V906" s="47"/>
      <c r="W906" s="44"/>
      <c r="Y906" s="44"/>
      <c r="AA906" s="32"/>
    </row>
    <row r="907">
      <c r="A907" s="45"/>
      <c r="B907" s="44"/>
      <c r="D907" s="44"/>
      <c r="F907" s="44"/>
      <c r="H907" s="44"/>
      <c r="J907" s="44"/>
      <c r="K907" s="32"/>
      <c r="L907" s="44"/>
      <c r="M907" s="32"/>
      <c r="N907" s="44"/>
      <c r="O907" s="32"/>
      <c r="P907" s="32"/>
      <c r="Q907" s="44"/>
      <c r="S907" s="44"/>
      <c r="U907" s="44"/>
      <c r="V907" s="47"/>
      <c r="W907" s="44"/>
      <c r="Y907" s="44"/>
      <c r="AA907" s="32"/>
    </row>
    <row r="908">
      <c r="A908" s="45"/>
      <c r="B908" s="44"/>
      <c r="D908" s="44"/>
      <c r="F908" s="44"/>
      <c r="H908" s="44"/>
      <c r="J908" s="44"/>
      <c r="K908" s="32"/>
      <c r="L908" s="44"/>
      <c r="M908" s="32"/>
      <c r="N908" s="44"/>
      <c r="O908" s="32"/>
      <c r="P908" s="32"/>
      <c r="Q908" s="44"/>
      <c r="S908" s="44"/>
      <c r="U908" s="44"/>
      <c r="V908" s="47"/>
      <c r="W908" s="44"/>
      <c r="Y908" s="44"/>
      <c r="AA908" s="32"/>
    </row>
    <row r="909">
      <c r="A909" s="45"/>
      <c r="B909" s="44"/>
      <c r="D909" s="44"/>
      <c r="F909" s="44"/>
      <c r="H909" s="44"/>
      <c r="J909" s="44"/>
      <c r="K909" s="32"/>
      <c r="L909" s="44"/>
      <c r="M909" s="32"/>
      <c r="N909" s="44"/>
      <c r="O909" s="32"/>
      <c r="P909" s="32"/>
      <c r="Q909" s="44"/>
      <c r="S909" s="44"/>
      <c r="U909" s="44"/>
      <c r="V909" s="47"/>
      <c r="W909" s="44"/>
      <c r="Y909" s="44"/>
      <c r="AA909" s="32"/>
    </row>
    <row r="910">
      <c r="A910" s="45"/>
      <c r="B910" s="44"/>
      <c r="D910" s="44"/>
      <c r="F910" s="44"/>
      <c r="H910" s="44"/>
      <c r="J910" s="44"/>
      <c r="K910" s="32"/>
      <c r="L910" s="44"/>
      <c r="M910" s="32"/>
      <c r="N910" s="44"/>
      <c r="O910" s="32"/>
      <c r="P910" s="32"/>
      <c r="Q910" s="44"/>
      <c r="S910" s="44"/>
      <c r="U910" s="44"/>
      <c r="V910" s="47"/>
      <c r="W910" s="44"/>
      <c r="Y910" s="44"/>
      <c r="AA910" s="32"/>
    </row>
    <row r="911">
      <c r="A911" s="45"/>
      <c r="B911" s="44"/>
      <c r="D911" s="44"/>
      <c r="F911" s="44"/>
      <c r="H911" s="44"/>
      <c r="J911" s="44"/>
      <c r="K911" s="32"/>
      <c r="L911" s="44"/>
      <c r="M911" s="32"/>
      <c r="N911" s="44"/>
      <c r="O911" s="32"/>
      <c r="P911" s="32"/>
      <c r="Q911" s="44"/>
      <c r="S911" s="44"/>
      <c r="U911" s="44"/>
      <c r="V911" s="47"/>
      <c r="W911" s="44"/>
      <c r="Y911" s="44"/>
      <c r="AA911" s="32"/>
    </row>
    <row r="912">
      <c r="A912" s="45"/>
      <c r="B912" s="44"/>
      <c r="D912" s="44"/>
      <c r="F912" s="44"/>
      <c r="H912" s="44"/>
      <c r="J912" s="44"/>
      <c r="K912" s="32"/>
      <c r="L912" s="44"/>
      <c r="M912" s="32"/>
      <c r="N912" s="44"/>
      <c r="O912" s="32"/>
      <c r="P912" s="32"/>
      <c r="Q912" s="44"/>
      <c r="S912" s="44"/>
      <c r="U912" s="44"/>
      <c r="V912" s="47"/>
      <c r="W912" s="44"/>
      <c r="Y912" s="44"/>
      <c r="AA912" s="32"/>
    </row>
    <row r="913">
      <c r="A913" s="45"/>
      <c r="B913" s="44"/>
      <c r="D913" s="44"/>
      <c r="F913" s="44"/>
      <c r="H913" s="44"/>
      <c r="J913" s="44"/>
      <c r="K913" s="32"/>
      <c r="L913" s="44"/>
      <c r="M913" s="32"/>
      <c r="N913" s="44"/>
      <c r="O913" s="32"/>
      <c r="P913" s="32"/>
      <c r="Q913" s="44"/>
      <c r="S913" s="44"/>
      <c r="U913" s="44"/>
      <c r="V913" s="47"/>
      <c r="W913" s="44"/>
      <c r="Y913" s="44"/>
      <c r="AA913" s="32"/>
    </row>
    <row r="914">
      <c r="A914" s="45"/>
      <c r="B914" s="44"/>
      <c r="D914" s="44"/>
      <c r="F914" s="44"/>
      <c r="H914" s="44"/>
      <c r="J914" s="44"/>
      <c r="K914" s="32"/>
      <c r="L914" s="44"/>
      <c r="M914" s="32"/>
      <c r="N914" s="44"/>
      <c r="O914" s="32"/>
      <c r="P914" s="32"/>
      <c r="Q914" s="44"/>
      <c r="S914" s="44"/>
      <c r="U914" s="44"/>
      <c r="V914" s="47"/>
      <c r="W914" s="44"/>
      <c r="Y914" s="44"/>
      <c r="AA914" s="32"/>
    </row>
    <row r="915">
      <c r="A915" s="45"/>
      <c r="B915" s="44"/>
      <c r="D915" s="44"/>
      <c r="F915" s="44"/>
      <c r="H915" s="44"/>
      <c r="J915" s="44"/>
      <c r="K915" s="32"/>
      <c r="L915" s="44"/>
      <c r="M915" s="32"/>
      <c r="N915" s="44"/>
      <c r="O915" s="32"/>
      <c r="P915" s="32"/>
      <c r="Q915" s="44"/>
      <c r="S915" s="44"/>
      <c r="U915" s="44"/>
      <c r="V915" s="47"/>
      <c r="W915" s="44"/>
      <c r="Y915" s="44"/>
      <c r="AA915" s="32"/>
    </row>
    <row r="916">
      <c r="A916" s="45"/>
      <c r="B916" s="44"/>
      <c r="D916" s="44"/>
      <c r="F916" s="44"/>
      <c r="H916" s="44"/>
      <c r="J916" s="44"/>
      <c r="K916" s="32"/>
      <c r="L916" s="44"/>
      <c r="M916" s="32"/>
      <c r="N916" s="44"/>
      <c r="O916" s="32"/>
      <c r="P916" s="32"/>
      <c r="Q916" s="44"/>
      <c r="S916" s="44"/>
      <c r="U916" s="44"/>
      <c r="V916" s="47"/>
      <c r="W916" s="44"/>
      <c r="Y916" s="44"/>
      <c r="AA916" s="32"/>
    </row>
    <row r="917">
      <c r="A917" s="45"/>
      <c r="B917" s="44"/>
      <c r="D917" s="44"/>
      <c r="F917" s="44"/>
      <c r="H917" s="44"/>
      <c r="J917" s="44"/>
      <c r="K917" s="32"/>
      <c r="L917" s="44"/>
      <c r="M917" s="32"/>
      <c r="N917" s="44"/>
      <c r="O917" s="32"/>
      <c r="P917" s="32"/>
      <c r="Q917" s="44"/>
      <c r="S917" s="44"/>
      <c r="U917" s="44"/>
      <c r="V917" s="47"/>
      <c r="W917" s="44"/>
      <c r="Y917" s="44"/>
      <c r="AA917" s="32"/>
    </row>
    <row r="918">
      <c r="A918" s="45"/>
      <c r="B918" s="44"/>
      <c r="D918" s="44"/>
      <c r="F918" s="44"/>
      <c r="H918" s="44"/>
      <c r="J918" s="44"/>
      <c r="K918" s="32"/>
      <c r="L918" s="44"/>
      <c r="M918" s="32"/>
      <c r="N918" s="44"/>
      <c r="O918" s="32"/>
      <c r="P918" s="32"/>
      <c r="Q918" s="44"/>
      <c r="S918" s="44"/>
      <c r="U918" s="44"/>
      <c r="V918" s="47"/>
      <c r="W918" s="44"/>
      <c r="Y918" s="44"/>
      <c r="AA918" s="32"/>
    </row>
    <row r="919">
      <c r="A919" s="45"/>
      <c r="B919" s="44"/>
      <c r="D919" s="44"/>
      <c r="F919" s="44"/>
      <c r="H919" s="44"/>
      <c r="J919" s="44"/>
      <c r="K919" s="32"/>
      <c r="L919" s="44"/>
      <c r="M919" s="32"/>
      <c r="N919" s="44"/>
      <c r="O919" s="32"/>
      <c r="P919" s="32"/>
      <c r="Q919" s="44"/>
      <c r="S919" s="44"/>
      <c r="U919" s="44"/>
      <c r="V919" s="47"/>
      <c r="W919" s="44"/>
      <c r="Y919" s="44"/>
      <c r="AA919" s="32"/>
    </row>
    <row r="920">
      <c r="A920" s="45"/>
      <c r="B920" s="44"/>
      <c r="D920" s="44"/>
      <c r="F920" s="44"/>
      <c r="H920" s="44"/>
      <c r="J920" s="44"/>
      <c r="K920" s="32"/>
      <c r="L920" s="44"/>
      <c r="M920" s="32"/>
      <c r="N920" s="44"/>
      <c r="O920" s="32"/>
      <c r="P920" s="32"/>
      <c r="Q920" s="44"/>
      <c r="S920" s="44"/>
      <c r="U920" s="44"/>
      <c r="V920" s="47"/>
      <c r="W920" s="44"/>
      <c r="Y920" s="44"/>
      <c r="AA920" s="32"/>
    </row>
    <row r="921">
      <c r="A921" s="45"/>
      <c r="B921" s="44"/>
      <c r="D921" s="44"/>
      <c r="F921" s="44"/>
      <c r="H921" s="44"/>
      <c r="J921" s="44"/>
      <c r="K921" s="32"/>
      <c r="L921" s="44"/>
      <c r="M921" s="32"/>
      <c r="N921" s="44"/>
      <c r="O921" s="32"/>
      <c r="P921" s="32"/>
      <c r="Q921" s="44"/>
      <c r="S921" s="44"/>
      <c r="U921" s="44"/>
      <c r="V921" s="47"/>
      <c r="W921" s="44"/>
      <c r="Y921" s="44"/>
      <c r="AA921" s="32"/>
    </row>
    <row r="922">
      <c r="A922" s="45"/>
      <c r="B922" s="44"/>
      <c r="D922" s="44"/>
      <c r="F922" s="44"/>
      <c r="H922" s="44"/>
      <c r="J922" s="44"/>
      <c r="K922" s="32"/>
      <c r="L922" s="44"/>
      <c r="M922" s="32"/>
      <c r="N922" s="44"/>
      <c r="O922" s="32"/>
      <c r="P922" s="32"/>
      <c r="Q922" s="44"/>
      <c r="S922" s="44"/>
      <c r="U922" s="44"/>
      <c r="V922" s="47"/>
      <c r="W922" s="44"/>
      <c r="Y922" s="44"/>
      <c r="AA922" s="32"/>
    </row>
    <row r="923">
      <c r="A923" s="45"/>
      <c r="B923" s="44"/>
      <c r="D923" s="44"/>
      <c r="F923" s="44"/>
      <c r="H923" s="44"/>
      <c r="J923" s="44"/>
      <c r="K923" s="32"/>
      <c r="L923" s="44"/>
      <c r="M923" s="32"/>
      <c r="N923" s="44"/>
      <c r="O923" s="32"/>
      <c r="P923" s="32"/>
      <c r="Q923" s="44"/>
      <c r="S923" s="44"/>
      <c r="U923" s="44"/>
      <c r="V923" s="47"/>
      <c r="W923" s="44"/>
      <c r="Y923" s="44"/>
      <c r="AA923" s="32"/>
    </row>
    <row r="924">
      <c r="A924" s="45"/>
      <c r="B924" s="44"/>
      <c r="D924" s="44"/>
      <c r="F924" s="44"/>
      <c r="H924" s="44"/>
      <c r="J924" s="44"/>
      <c r="K924" s="32"/>
      <c r="L924" s="44"/>
      <c r="M924" s="32"/>
      <c r="N924" s="44"/>
      <c r="O924" s="32"/>
      <c r="P924" s="32"/>
      <c r="Q924" s="44"/>
      <c r="S924" s="44"/>
      <c r="U924" s="44"/>
      <c r="V924" s="47"/>
      <c r="W924" s="44"/>
      <c r="Y924" s="44"/>
      <c r="AA924" s="32"/>
    </row>
    <row r="925">
      <c r="A925" s="45"/>
      <c r="B925" s="44"/>
      <c r="D925" s="44"/>
      <c r="F925" s="44"/>
      <c r="H925" s="44"/>
      <c r="J925" s="44"/>
      <c r="K925" s="32"/>
      <c r="L925" s="44"/>
      <c r="M925" s="32"/>
      <c r="N925" s="44"/>
      <c r="O925" s="32"/>
      <c r="P925" s="32"/>
      <c r="Q925" s="44"/>
      <c r="S925" s="44"/>
      <c r="U925" s="44"/>
      <c r="V925" s="47"/>
      <c r="W925" s="44"/>
      <c r="Y925" s="44"/>
      <c r="AA925" s="32"/>
    </row>
    <row r="926">
      <c r="A926" s="45"/>
      <c r="B926" s="44"/>
      <c r="D926" s="44"/>
      <c r="F926" s="44"/>
      <c r="H926" s="44"/>
      <c r="J926" s="44"/>
      <c r="K926" s="32"/>
      <c r="L926" s="44"/>
      <c r="M926" s="32"/>
      <c r="N926" s="44"/>
      <c r="O926" s="32"/>
      <c r="P926" s="32"/>
      <c r="Q926" s="44"/>
      <c r="S926" s="44"/>
      <c r="U926" s="44"/>
      <c r="V926" s="47"/>
      <c r="W926" s="44"/>
      <c r="Y926" s="44"/>
      <c r="AA926" s="32"/>
    </row>
    <row r="927">
      <c r="A927" s="45"/>
      <c r="B927" s="44"/>
      <c r="D927" s="44"/>
      <c r="F927" s="44"/>
      <c r="H927" s="44"/>
      <c r="J927" s="44"/>
      <c r="K927" s="32"/>
      <c r="L927" s="44"/>
      <c r="M927" s="32"/>
      <c r="N927" s="44"/>
      <c r="O927" s="32"/>
      <c r="P927" s="32"/>
      <c r="Q927" s="44"/>
      <c r="S927" s="44"/>
      <c r="U927" s="44"/>
      <c r="V927" s="47"/>
      <c r="W927" s="44"/>
      <c r="Y927" s="44"/>
      <c r="AA927" s="32"/>
    </row>
    <row r="928">
      <c r="A928" s="45"/>
      <c r="B928" s="44"/>
      <c r="D928" s="44"/>
      <c r="F928" s="44"/>
      <c r="H928" s="44"/>
      <c r="J928" s="44"/>
      <c r="K928" s="32"/>
      <c r="L928" s="44"/>
      <c r="M928" s="32"/>
      <c r="N928" s="44"/>
      <c r="O928" s="32"/>
      <c r="P928" s="32"/>
      <c r="Q928" s="44"/>
      <c r="S928" s="44"/>
      <c r="U928" s="44"/>
      <c r="V928" s="47"/>
      <c r="W928" s="44"/>
      <c r="Y928" s="44"/>
      <c r="AA928" s="32"/>
    </row>
    <row r="929">
      <c r="A929" s="45"/>
      <c r="B929" s="44"/>
      <c r="D929" s="44"/>
      <c r="F929" s="44"/>
      <c r="H929" s="44"/>
      <c r="J929" s="44"/>
      <c r="K929" s="32"/>
      <c r="L929" s="44"/>
      <c r="M929" s="32"/>
      <c r="N929" s="44"/>
      <c r="O929" s="32"/>
      <c r="P929" s="32"/>
      <c r="Q929" s="44"/>
      <c r="S929" s="44"/>
      <c r="U929" s="44"/>
      <c r="V929" s="47"/>
      <c r="W929" s="44"/>
      <c r="Y929" s="44"/>
      <c r="AA929" s="32"/>
    </row>
    <row r="930">
      <c r="A930" s="45"/>
      <c r="B930" s="44"/>
      <c r="D930" s="44"/>
      <c r="F930" s="44"/>
      <c r="H930" s="44"/>
      <c r="J930" s="44"/>
      <c r="K930" s="32"/>
      <c r="L930" s="44"/>
      <c r="M930" s="32"/>
      <c r="N930" s="44"/>
      <c r="O930" s="32"/>
      <c r="P930" s="32"/>
      <c r="Q930" s="44"/>
      <c r="S930" s="44"/>
      <c r="U930" s="44"/>
      <c r="V930" s="47"/>
      <c r="W930" s="44"/>
      <c r="Y930" s="44"/>
      <c r="AA930" s="32"/>
    </row>
    <row r="931">
      <c r="A931" s="45"/>
      <c r="B931" s="44"/>
      <c r="D931" s="44"/>
      <c r="F931" s="44"/>
      <c r="H931" s="44"/>
      <c r="J931" s="44"/>
      <c r="K931" s="32"/>
      <c r="L931" s="44"/>
      <c r="M931" s="32"/>
      <c r="N931" s="44"/>
      <c r="O931" s="32"/>
      <c r="P931" s="32"/>
      <c r="Q931" s="44"/>
      <c r="S931" s="44"/>
      <c r="U931" s="44"/>
      <c r="V931" s="47"/>
      <c r="W931" s="44"/>
      <c r="Y931" s="44"/>
      <c r="AA931" s="32"/>
    </row>
    <row r="932">
      <c r="A932" s="45"/>
      <c r="B932" s="44"/>
      <c r="D932" s="44"/>
      <c r="F932" s="44"/>
      <c r="H932" s="44"/>
      <c r="J932" s="44"/>
      <c r="K932" s="32"/>
      <c r="L932" s="44"/>
      <c r="M932" s="32"/>
      <c r="N932" s="44"/>
      <c r="O932" s="32"/>
      <c r="P932" s="32"/>
      <c r="Q932" s="44"/>
      <c r="S932" s="44"/>
      <c r="U932" s="44"/>
      <c r="V932" s="47"/>
      <c r="W932" s="44"/>
      <c r="Y932" s="44"/>
      <c r="AA932" s="32"/>
    </row>
    <row r="933">
      <c r="A933" s="45"/>
      <c r="B933" s="44"/>
      <c r="D933" s="44"/>
      <c r="F933" s="44"/>
      <c r="H933" s="44"/>
      <c r="J933" s="44"/>
      <c r="K933" s="32"/>
      <c r="L933" s="44"/>
      <c r="M933" s="32"/>
      <c r="N933" s="44"/>
      <c r="O933" s="32"/>
      <c r="P933" s="32"/>
      <c r="Q933" s="44"/>
      <c r="S933" s="44"/>
      <c r="U933" s="44"/>
      <c r="V933" s="47"/>
      <c r="W933" s="44"/>
      <c r="Y933" s="44"/>
      <c r="AA933" s="32"/>
    </row>
    <row r="934">
      <c r="A934" s="45"/>
      <c r="B934" s="44"/>
      <c r="D934" s="44"/>
      <c r="F934" s="44"/>
      <c r="H934" s="44"/>
      <c r="J934" s="44"/>
      <c r="K934" s="32"/>
      <c r="L934" s="44"/>
      <c r="M934" s="32"/>
      <c r="N934" s="44"/>
      <c r="O934" s="32"/>
      <c r="P934" s="32"/>
      <c r="Q934" s="44"/>
      <c r="S934" s="44"/>
      <c r="U934" s="44"/>
      <c r="V934" s="47"/>
      <c r="W934" s="44"/>
      <c r="Y934" s="44"/>
      <c r="AA934" s="32"/>
    </row>
    <row r="935">
      <c r="A935" s="45"/>
      <c r="B935" s="44"/>
      <c r="D935" s="44"/>
      <c r="F935" s="44"/>
      <c r="H935" s="44"/>
      <c r="J935" s="44"/>
      <c r="K935" s="32"/>
      <c r="L935" s="44"/>
      <c r="M935" s="32"/>
      <c r="N935" s="44"/>
      <c r="O935" s="32"/>
      <c r="P935" s="32"/>
      <c r="Q935" s="44"/>
      <c r="S935" s="44"/>
      <c r="U935" s="44"/>
      <c r="V935" s="47"/>
      <c r="W935" s="44"/>
      <c r="Y935" s="44"/>
      <c r="AA935" s="32"/>
    </row>
    <row r="936">
      <c r="A936" s="45"/>
      <c r="B936" s="44"/>
      <c r="D936" s="44"/>
      <c r="F936" s="44"/>
      <c r="H936" s="44"/>
      <c r="J936" s="44"/>
      <c r="K936" s="32"/>
      <c r="L936" s="44"/>
      <c r="M936" s="32"/>
      <c r="N936" s="44"/>
      <c r="O936" s="32"/>
      <c r="P936" s="32"/>
      <c r="Q936" s="44"/>
      <c r="S936" s="44"/>
      <c r="U936" s="44"/>
      <c r="V936" s="47"/>
      <c r="W936" s="44"/>
      <c r="Y936" s="44"/>
      <c r="AA936" s="32"/>
    </row>
    <row r="937">
      <c r="A937" s="45"/>
      <c r="B937" s="44"/>
      <c r="D937" s="44"/>
      <c r="F937" s="44"/>
      <c r="H937" s="44"/>
      <c r="J937" s="44"/>
      <c r="K937" s="32"/>
      <c r="L937" s="44"/>
      <c r="M937" s="32"/>
      <c r="N937" s="44"/>
      <c r="O937" s="32"/>
      <c r="P937" s="32"/>
      <c r="Q937" s="44"/>
      <c r="S937" s="44"/>
      <c r="U937" s="44"/>
      <c r="V937" s="47"/>
      <c r="W937" s="44"/>
      <c r="Y937" s="44"/>
      <c r="AA937" s="32"/>
    </row>
    <row r="938">
      <c r="A938" s="45"/>
      <c r="B938" s="44"/>
      <c r="D938" s="44"/>
      <c r="F938" s="44"/>
      <c r="H938" s="44"/>
      <c r="J938" s="44"/>
      <c r="K938" s="32"/>
      <c r="L938" s="44"/>
      <c r="M938" s="32"/>
      <c r="N938" s="44"/>
      <c r="O938" s="32"/>
      <c r="P938" s="32"/>
      <c r="Q938" s="44"/>
      <c r="S938" s="44"/>
      <c r="U938" s="44"/>
      <c r="V938" s="47"/>
      <c r="W938" s="44"/>
      <c r="Y938" s="44"/>
      <c r="AA938" s="32"/>
    </row>
    <row r="939">
      <c r="A939" s="45"/>
      <c r="B939" s="44"/>
      <c r="D939" s="44"/>
      <c r="F939" s="44"/>
      <c r="H939" s="44"/>
      <c r="J939" s="44"/>
      <c r="K939" s="32"/>
      <c r="L939" s="44"/>
      <c r="M939" s="32"/>
      <c r="N939" s="44"/>
      <c r="O939" s="32"/>
      <c r="P939" s="32"/>
      <c r="Q939" s="44"/>
      <c r="S939" s="44"/>
      <c r="U939" s="44"/>
      <c r="V939" s="47"/>
      <c r="W939" s="44"/>
      <c r="Y939" s="44"/>
      <c r="AA939" s="32"/>
    </row>
    <row r="940">
      <c r="A940" s="45"/>
      <c r="B940" s="44"/>
      <c r="D940" s="44"/>
      <c r="F940" s="44"/>
      <c r="H940" s="44"/>
      <c r="J940" s="44"/>
      <c r="K940" s="32"/>
      <c r="L940" s="44"/>
      <c r="M940" s="32"/>
      <c r="N940" s="44"/>
      <c r="O940" s="32"/>
      <c r="P940" s="32"/>
      <c r="Q940" s="44"/>
      <c r="S940" s="44"/>
      <c r="U940" s="44"/>
      <c r="V940" s="47"/>
      <c r="W940" s="44"/>
      <c r="Y940" s="44"/>
      <c r="AA940" s="32"/>
    </row>
    <row r="941">
      <c r="A941" s="45"/>
      <c r="B941" s="44"/>
      <c r="D941" s="44"/>
      <c r="F941" s="44"/>
      <c r="H941" s="44"/>
      <c r="J941" s="44"/>
      <c r="K941" s="32"/>
      <c r="L941" s="44"/>
      <c r="M941" s="32"/>
      <c r="N941" s="44"/>
      <c r="O941" s="32"/>
      <c r="P941" s="32"/>
      <c r="Q941" s="44"/>
      <c r="S941" s="44"/>
      <c r="U941" s="44"/>
      <c r="V941" s="47"/>
      <c r="W941" s="44"/>
      <c r="Y941" s="44"/>
      <c r="AA941" s="32"/>
    </row>
    <row r="942">
      <c r="A942" s="45"/>
      <c r="B942" s="44"/>
      <c r="D942" s="44"/>
      <c r="F942" s="44"/>
      <c r="H942" s="44"/>
      <c r="J942" s="44"/>
      <c r="K942" s="32"/>
      <c r="L942" s="44"/>
      <c r="M942" s="32"/>
      <c r="N942" s="44"/>
      <c r="O942" s="32"/>
      <c r="P942" s="32"/>
      <c r="Q942" s="44"/>
      <c r="S942" s="44"/>
      <c r="U942" s="44"/>
      <c r="V942" s="47"/>
      <c r="W942" s="44"/>
      <c r="Y942" s="44"/>
      <c r="AA942" s="32"/>
    </row>
    <row r="943">
      <c r="A943" s="45"/>
      <c r="B943" s="44"/>
      <c r="D943" s="44"/>
      <c r="F943" s="44"/>
      <c r="H943" s="44"/>
      <c r="J943" s="44"/>
      <c r="K943" s="32"/>
      <c r="L943" s="44"/>
      <c r="M943" s="32"/>
      <c r="N943" s="44"/>
      <c r="O943" s="32"/>
      <c r="P943" s="32"/>
      <c r="Q943" s="44"/>
      <c r="S943" s="44"/>
      <c r="U943" s="44"/>
      <c r="V943" s="47"/>
      <c r="W943" s="44"/>
      <c r="Y943" s="44"/>
      <c r="AA943" s="32"/>
    </row>
    <row r="944">
      <c r="A944" s="45"/>
      <c r="B944" s="44"/>
      <c r="D944" s="44"/>
      <c r="F944" s="44"/>
      <c r="H944" s="44"/>
      <c r="J944" s="44"/>
      <c r="K944" s="32"/>
      <c r="L944" s="44"/>
      <c r="M944" s="32"/>
      <c r="N944" s="44"/>
      <c r="O944" s="32"/>
      <c r="P944" s="32"/>
      <c r="Q944" s="44"/>
      <c r="S944" s="44"/>
      <c r="U944" s="44"/>
      <c r="V944" s="47"/>
      <c r="W944" s="44"/>
      <c r="Y944" s="44"/>
      <c r="AA944" s="32"/>
    </row>
    <row r="945">
      <c r="A945" s="45"/>
      <c r="B945" s="44"/>
      <c r="D945" s="44"/>
      <c r="F945" s="44"/>
      <c r="H945" s="44"/>
      <c r="J945" s="44"/>
      <c r="K945" s="32"/>
      <c r="L945" s="44"/>
      <c r="M945" s="32"/>
      <c r="N945" s="44"/>
      <c r="O945" s="32"/>
      <c r="P945" s="32"/>
      <c r="Q945" s="44"/>
      <c r="S945" s="44"/>
      <c r="U945" s="44"/>
      <c r="V945" s="47"/>
      <c r="W945" s="44"/>
      <c r="Y945" s="44"/>
      <c r="AA945" s="32"/>
    </row>
    <row r="946">
      <c r="A946" s="45"/>
      <c r="B946" s="44"/>
      <c r="D946" s="44"/>
      <c r="F946" s="44"/>
      <c r="H946" s="44"/>
      <c r="J946" s="44"/>
      <c r="K946" s="32"/>
      <c r="L946" s="44"/>
      <c r="M946" s="32"/>
      <c r="N946" s="44"/>
      <c r="O946" s="32"/>
      <c r="P946" s="32"/>
      <c r="Q946" s="44"/>
      <c r="S946" s="44"/>
      <c r="U946" s="44"/>
      <c r="V946" s="47"/>
      <c r="W946" s="44"/>
      <c r="Y946" s="44"/>
      <c r="AA946" s="32"/>
    </row>
    <row r="947">
      <c r="A947" s="45"/>
      <c r="B947" s="44"/>
      <c r="D947" s="44"/>
      <c r="F947" s="44"/>
      <c r="H947" s="44"/>
      <c r="J947" s="44"/>
      <c r="K947" s="32"/>
      <c r="L947" s="44"/>
      <c r="M947" s="32"/>
      <c r="N947" s="44"/>
      <c r="O947" s="32"/>
      <c r="P947" s="32"/>
      <c r="Q947" s="44"/>
      <c r="S947" s="44"/>
      <c r="U947" s="44"/>
      <c r="V947" s="47"/>
      <c r="W947" s="44"/>
      <c r="Y947" s="44"/>
      <c r="AA947" s="32"/>
    </row>
    <row r="948">
      <c r="A948" s="45"/>
      <c r="B948" s="44"/>
      <c r="D948" s="44"/>
      <c r="F948" s="44"/>
      <c r="H948" s="44"/>
      <c r="J948" s="44"/>
      <c r="K948" s="32"/>
      <c r="L948" s="44"/>
      <c r="M948" s="32"/>
      <c r="N948" s="44"/>
      <c r="O948" s="32"/>
      <c r="P948" s="32"/>
      <c r="Q948" s="44"/>
      <c r="S948" s="44"/>
      <c r="U948" s="44"/>
      <c r="V948" s="47"/>
      <c r="W948" s="44"/>
      <c r="Y948" s="44"/>
      <c r="AA948" s="32"/>
    </row>
    <row r="949">
      <c r="A949" s="45"/>
      <c r="B949" s="44"/>
      <c r="D949" s="44"/>
      <c r="F949" s="44"/>
      <c r="H949" s="44"/>
      <c r="J949" s="44"/>
      <c r="K949" s="32"/>
      <c r="L949" s="44"/>
      <c r="M949" s="32"/>
      <c r="N949" s="44"/>
      <c r="O949" s="32"/>
      <c r="P949" s="32"/>
      <c r="Q949" s="44"/>
      <c r="S949" s="44"/>
      <c r="U949" s="44"/>
      <c r="V949" s="47"/>
      <c r="W949" s="44"/>
      <c r="Y949" s="44"/>
      <c r="AA949" s="32"/>
    </row>
    <row r="950">
      <c r="A950" s="45"/>
      <c r="B950" s="44"/>
      <c r="D950" s="44"/>
      <c r="F950" s="44"/>
      <c r="H950" s="44"/>
      <c r="J950" s="44"/>
      <c r="K950" s="32"/>
      <c r="L950" s="44"/>
      <c r="M950" s="32"/>
      <c r="N950" s="44"/>
      <c r="O950" s="32"/>
      <c r="P950" s="32"/>
      <c r="Q950" s="44"/>
      <c r="S950" s="44"/>
      <c r="U950" s="44"/>
      <c r="V950" s="47"/>
      <c r="W950" s="44"/>
      <c r="Y950" s="44"/>
      <c r="AA950" s="32"/>
    </row>
    <row r="951">
      <c r="A951" s="45"/>
      <c r="B951" s="44"/>
      <c r="D951" s="44"/>
      <c r="F951" s="44"/>
      <c r="H951" s="44"/>
      <c r="J951" s="44"/>
      <c r="K951" s="32"/>
      <c r="L951" s="44"/>
      <c r="M951" s="32"/>
      <c r="N951" s="44"/>
      <c r="O951" s="32"/>
      <c r="P951" s="32"/>
      <c r="Q951" s="44"/>
      <c r="S951" s="44"/>
      <c r="U951" s="44"/>
      <c r="V951" s="47"/>
      <c r="W951" s="44"/>
      <c r="Y951" s="44"/>
      <c r="AA951" s="32"/>
    </row>
    <row r="952">
      <c r="A952" s="45"/>
      <c r="B952" s="44"/>
      <c r="D952" s="44"/>
      <c r="F952" s="44"/>
      <c r="H952" s="44"/>
      <c r="J952" s="44"/>
      <c r="K952" s="32"/>
      <c r="L952" s="44"/>
      <c r="M952" s="32"/>
      <c r="N952" s="44"/>
      <c r="O952" s="32"/>
      <c r="P952" s="32"/>
      <c r="Q952" s="44"/>
      <c r="S952" s="44"/>
      <c r="U952" s="44"/>
      <c r="V952" s="47"/>
      <c r="W952" s="44"/>
      <c r="Y952" s="44"/>
      <c r="AA952" s="32"/>
    </row>
    <row r="953">
      <c r="A953" s="45"/>
      <c r="B953" s="44"/>
      <c r="D953" s="44"/>
      <c r="F953" s="44"/>
      <c r="H953" s="44"/>
      <c r="J953" s="44"/>
      <c r="K953" s="32"/>
      <c r="L953" s="44"/>
      <c r="M953" s="32"/>
      <c r="N953" s="44"/>
      <c r="O953" s="32"/>
      <c r="P953" s="32"/>
      <c r="Q953" s="44"/>
      <c r="S953" s="44"/>
      <c r="U953" s="44"/>
      <c r="V953" s="47"/>
      <c r="W953" s="44"/>
      <c r="Y953" s="44"/>
      <c r="AA953" s="32"/>
    </row>
    <row r="954">
      <c r="A954" s="45"/>
      <c r="B954" s="44"/>
      <c r="D954" s="44"/>
      <c r="F954" s="44"/>
      <c r="H954" s="44"/>
      <c r="J954" s="44"/>
      <c r="K954" s="32"/>
      <c r="L954" s="44"/>
      <c r="M954" s="32"/>
      <c r="N954" s="44"/>
      <c r="O954" s="32"/>
      <c r="P954" s="32"/>
      <c r="Q954" s="44"/>
      <c r="S954" s="44"/>
      <c r="U954" s="44"/>
      <c r="V954" s="47"/>
      <c r="W954" s="44"/>
      <c r="Y954" s="44"/>
      <c r="AA954" s="32"/>
    </row>
    <row r="955">
      <c r="A955" s="45"/>
      <c r="B955" s="44"/>
      <c r="D955" s="44"/>
      <c r="F955" s="44"/>
      <c r="H955" s="44"/>
      <c r="J955" s="44"/>
      <c r="K955" s="32"/>
      <c r="L955" s="44"/>
      <c r="M955" s="32"/>
      <c r="N955" s="44"/>
      <c r="O955" s="32"/>
      <c r="P955" s="32"/>
      <c r="Q955" s="44"/>
      <c r="S955" s="44"/>
      <c r="U955" s="44"/>
      <c r="V955" s="47"/>
      <c r="W955" s="44"/>
      <c r="Y955" s="44"/>
      <c r="AA955" s="32"/>
    </row>
    <row r="956">
      <c r="A956" s="45"/>
      <c r="B956" s="44"/>
      <c r="D956" s="44"/>
      <c r="F956" s="44"/>
      <c r="H956" s="44"/>
      <c r="J956" s="44"/>
      <c r="K956" s="32"/>
      <c r="L956" s="44"/>
      <c r="M956" s="32"/>
      <c r="N956" s="44"/>
      <c r="O956" s="32"/>
      <c r="P956" s="32"/>
      <c r="Q956" s="44"/>
      <c r="S956" s="44"/>
      <c r="U956" s="44"/>
      <c r="V956" s="47"/>
      <c r="W956" s="44"/>
      <c r="Y956" s="44"/>
      <c r="AA956" s="32"/>
    </row>
    <row r="957">
      <c r="A957" s="45"/>
      <c r="B957" s="44"/>
      <c r="D957" s="44"/>
      <c r="F957" s="44"/>
      <c r="H957" s="44"/>
      <c r="J957" s="44"/>
      <c r="K957" s="32"/>
      <c r="L957" s="44"/>
      <c r="M957" s="32"/>
      <c r="N957" s="44"/>
      <c r="O957" s="32"/>
      <c r="P957" s="32"/>
      <c r="Q957" s="44"/>
      <c r="S957" s="44"/>
      <c r="U957" s="44"/>
      <c r="V957" s="47"/>
      <c r="W957" s="44"/>
      <c r="Y957" s="44"/>
      <c r="AA957" s="32"/>
    </row>
    <row r="958">
      <c r="A958" s="45"/>
      <c r="B958" s="44"/>
      <c r="D958" s="44"/>
      <c r="F958" s="44"/>
      <c r="H958" s="44"/>
      <c r="J958" s="44"/>
      <c r="K958" s="32"/>
      <c r="L958" s="44"/>
      <c r="M958" s="32"/>
      <c r="N958" s="44"/>
      <c r="O958" s="32"/>
      <c r="P958" s="32"/>
      <c r="Q958" s="44"/>
      <c r="S958" s="44"/>
      <c r="U958" s="44"/>
      <c r="V958" s="47"/>
      <c r="W958" s="44"/>
      <c r="Y958" s="44"/>
      <c r="AA958" s="32"/>
    </row>
    <row r="959">
      <c r="A959" s="45"/>
      <c r="B959" s="44"/>
      <c r="D959" s="44"/>
      <c r="F959" s="44"/>
      <c r="H959" s="44"/>
      <c r="J959" s="44"/>
      <c r="K959" s="32"/>
      <c r="L959" s="44"/>
      <c r="M959" s="32"/>
      <c r="N959" s="44"/>
      <c r="O959" s="32"/>
      <c r="P959" s="32"/>
      <c r="Q959" s="44"/>
      <c r="S959" s="44"/>
      <c r="U959" s="44"/>
      <c r="V959" s="47"/>
      <c r="W959" s="44"/>
      <c r="Y959" s="44"/>
      <c r="AA959" s="32"/>
    </row>
    <row r="960">
      <c r="A960" s="45"/>
      <c r="B960" s="44"/>
      <c r="D960" s="44"/>
      <c r="F960" s="44"/>
      <c r="H960" s="44"/>
      <c r="J960" s="44"/>
      <c r="K960" s="32"/>
      <c r="L960" s="44"/>
      <c r="M960" s="32"/>
      <c r="N960" s="44"/>
      <c r="O960" s="32"/>
      <c r="P960" s="32"/>
      <c r="Q960" s="44"/>
      <c r="S960" s="44"/>
      <c r="U960" s="44"/>
      <c r="V960" s="47"/>
      <c r="W960" s="44"/>
      <c r="Y960" s="44"/>
      <c r="AA960" s="32"/>
    </row>
    <row r="961">
      <c r="A961" s="45"/>
      <c r="B961" s="44"/>
      <c r="D961" s="44"/>
      <c r="F961" s="44"/>
      <c r="H961" s="44"/>
      <c r="J961" s="44"/>
      <c r="K961" s="32"/>
      <c r="L961" s="44"/>
      <c r="M961" s="32"/>
      <c r="N961" s="44"/>
      <c r="O961" s="32"/>
      <c r="P961" s="32"/>
      <c r="Q961" s="44"/>
      <c r="S961" s="44"/>
      <c r="U961" s="44"/>
      <c r="V961" s="47"/>
      <c r="W961" s="44"/>
      <c r="Y961" s="44"/>
      <c r="AA961" s="32"/>
    </row>
    <row r="962">
      <c r="A962" s="45"/>
      <c r="B962" s="44"/>
      <c r="D962" s="44"/>
      <c r="F962" s="44"/>
      <c r="H962" s="44"/>
      <c r="J962" s="44"/>
      <c r="K962" s="32"/>
      <c r="L962" s="44"/>
      <c r="M962" s="32"/>
      <c r="N962" s="44"/>
      <c r="O962" s="32"/>
      <c r="P962" s="32"/>
      <c r="Q962" s="44"/>
      <c r="S962" s="44"/>
      <c r="U962" s="44"/>
      <c r="V962" s="47"/>
      <c r="W962" s="44"/>
      <c r="Y962" s="44"/>
      <c r="AA962" s="32"/>
    </row>
    <row r="963">
      <c r="A963" s="45"/>
      <c r="B963" s="44"/>
      <c r="D963" s="44"/>
      <c r="F963" s="44"/>
      <c r="H963" s="44"/>
      <c r="J963" s="44"/>
      <c r="K963" s="32"/>
      <c r="L963" s="44"/>
      <c r="M963" s="32"/>
      <c r="N963" s="44"/>
      <c r="O963" s="32"/>
      <c r="P963" s="32"/>
      <c r="Q963" s="44"/>
      <c r="S963" s="44"/>
      <c r="U963" s="44"/>
      <c r="V963" s="47"/>
      <c r="W963" s="44"/>
      <c r="Y963" s="44"/>
      <c r="AA963" s="32"/>
    </row>
    <row r="964">
      <c r="A964" s="45"/>
      <c r="B964" s="44"/>
      <c r="D964" s="44"/>
      <c r="F964" s="44"/>
      <c r="H964" s="44"/>
      <c r="J964" s="44"/>
      <c r="K964" s="32"/>
      <c r="L964" s="44"/>
      <c r="M964" s="32"/>
      <c r="N964" s="44"/>
      <c r="O964" s="32"/>
      <c r="P964" s="32"/>
      <c r="Q964" s="44"/>
      <c r="S964" s="44"/>
      <c r="U964" s="44"/>
      <c r="V964" s="47"/>
      <c r="W964" s="44"/>
      <c r="Y964" s="44"/>
      <c r="AA964" s="32"/>
    </row>
    <row r="965">
      <c r="A965" s="45"/>
      <c r="B965" s="44"/>
      <c r="D965" s="44"/>
      <c r="F965" s="44"/>
      <c r="H965" s="44"/>
      <c r="J965" s="44"/>
      <c r="K965" s="32"/>
      <c r="L965" s="44"/>
      <c r="M965" s="32"/>
      <c r="N965" s="44"/>
      <c r="O965" s="32"/>
      <c r="P965" s="32"/>
      <c r="Q965" s="44"/>
      <c r="S965" s="44"/>
      <c r="U965" s="44"/>
      <c r="V965" s="47"/>
      <c r="W965" s="44"/>
      <c r="Y965" s="44"/>
      <c r="AA965" s="32"/>
    </row>
    <row r="966">
      <c r="A966" s="45"/>
      <c r="B966" s="44"/>
      <c r="D966" s="44"/>
      <c r="F966" s="44"/>
      <c r="H966" s="44"/>
      <c r="J966" s="44"/>
      <c r="K966" s="32"/>
      <c r="L966" s="44"/>
      <c r="M966" s="32"/>
      <c r="N966" s="44"/>
      <c r="O966" s="32"/>
      <c r="P966" s="32"/>
      <c r="Q966" s="44"/>
      <c r="S966" s="44"/>
      <c r="U966" s="44"/>
      <c r="V966" s="47"/>
      <c r="W966" s="44"/>
      <c r="Y966" s="44"/>
      <c r="AA966" s="32"/>
    </row>
    <row r="967">
      <c r="A967" s="45"/>
      <c r="B967" s="44"/>
      <c r="D967" s="44"/>
      <c r="F967" s="44"/>
      <c r="H967" s="44"/>
      <c r="J967" s="44"/>
      <c r="K967" s="32"/>
      <c r="L967" s="44"/>
      <c r="M967" s="32"/>
      <c r="N967" s="44"/>
      <c r="O967" s="32"/>
      <c r="P967" s="32"/>
      <c r="Q967" s="44"/>
      <c r="S967" s="44"/>
      <c r="U967" s="44"/>
      <c r="V967" s="47"/>
      <c r="W967" s="44"/>
      <c r="Y967" s="44"/>
      <c r="AA967" s="32"/>
    </row>
    <row r="968">
      <c r="A968" s="45"/>
      <c r="B968" s="44"/>
      <c r="D968" s="44"/>
      <c r="F968" s="44"/>
      <c r="H968" s="44"/>
      <c r="J968" s="44"/>
      <c r="K968" s="32"/>
      <c r="L968" s="44"/>
      <c r="M968" s="32"/>
      <c r="N968" s="44"/>
      <c r="O968" s="32"/>
      <c r="P968" s="32"/>
      <c r="Q968" s="44"/>
      <c r="S968" s="44"/>
      <c r="U968" s="44"/>
      <c r="V968" s="47"/>
      <c r="W968" s="44"/>
      <c r="Y968" s="44"/>
      <c r="AA968" s="32"/>
    </row>
    <row r="969">
      <c r="A969" s="45"/>
      <c r="B969" s="44"/>
      <c r="D969" s="44"/>
      <c r="F969" s="44"/>
      <c r="H969" s="44"/>
      <c r="J969" s="44"/>
      <c r="K969" s="32"/>
      <c r="L969" s="44"/>
      <c r="M969" s="32"/>
      <c r="N969" s="44"/>
      <c r="O969" s="32"/>
      <c r="P969" s="32"/>
      <c r="Q969" s="44"/>
      <c r="S969" s="44"/>
      <c r="U969" s="44"/>
      <c r="V969" s="47"/>
      <c r="W969" s="44"/>
      <c r="Y969" s="44"/>
      <c r="AA969" s="32"/>
    </row>
    <row r="970">
      <c r="A970" s="45"/>
      <c r="B970" s="44"/>
      <c r="D970" s="44"/>
      <c r="F970" s="44"/>
      <c r="H970" s="44"/>
      <c r="J970" s="44"/>
      <c r="K970" s="32"/>
      <c r="L970" s="44"/>
      <c r="M970" s="32"/>
      <c r="N970" s="44"/>
      <c r="O970" s="32"/>
      <c r="P970" s="32"/>
      <c r="Q970" s="44"/>
      <c r="S970" s="44"/>
      <c r="U970" s="44"/>
      <c r="V970" s="47"/>
      <c r="W970" s="44"/>
      <c r="Y970" s="44"/>
      <c r="AA970" s="32"/>
    </row>
    <row r="971">
      <c r="A971" s="45"/>
      <c r="B971" s="44"/>
      <c r="D971" s="44"/>
      <c r="F971" s="44"/>
      <c r="H971" s="44"/>
      <c r="J971" s="44"/>
      <c r="K971" s="32"/>
      <c r="L971" s="44"/>
      <c r="M971" s="32"/>
      <c r="N971" s="44"/>
      <c r="O971" s="32"/>
      <c r="P971" s="32"/>
      <c r="Q971" s="44"/>
      <c r="S971" s="44"/>
      <c r="U971" s="44"/>
      <c r="V971" s="47"/>
      <c r="W971" s="44"/>
      <c r="Y971" s="44"/>
      <c r="AA971" s="32"/>
    </row>
    <row r="972">
      <c r="A972" s="45"/>
      <c r="B972" s="44"/>
      <c r="D972" s="44"/>
      <c r="F972" s="44"/>
      <c r="H972" s="44"/>
      <c r="J972" s="44"/>
      <c r="K972" s="32"/>
      <c r="L972" s="44"/>
      <c r="M972" s="32"/>
      <c r="N972" s="44"/>
      <c r="O972" s="32"/>
      <c r="P972" s="32"/>
      <c r="Q972" s="44"/>
      <c r="S972" s="44"/>
      <c r="U972" s="44"/>
      <c r="V972" s="47"/>
      <c r="W972" s="44"/>
      <c r="Y972" s="44"/>
      <c r="AA972" s="32"/>
    </row>
    <row r="973">
      <c r="A973" s="45"/>
      <c r="B973" s="44"/>
      <c r="D973" s="44"/>
      <c r="F973" s="44"/>
      <c r="H973" s="44"/>
      <c r="J973" s="44"/>
      <c r="K973" s="32"/>
      <c r="L973" s="44"/>
      <c r="M973" s="32"/>
      <c r="N973" s="44"/>
      <c r="O973" s="32"/>
      <c r="P973" s="32"/>
      <c r="Q973" s="44"/>
      <c r="S973" s="44"/>
      <c r="U973" s="44"/>
      <c r="V973" s="47"/>
      <c r="W973" s="44"/>
      <c r="Y973" s="44"/>
      <c r="AA973" s="32"/>
    </row>
    <row r="974">
      <c r="A974" s="45"/>
      <c r="B974" s="44"/>
      <c r="D974" s="44"/>
      <c r="F974" s="44"/>
      <c r="H974" s="44"/>
      <c r="J974" s="44"/>
      <c r="K974" s="32"/>
      <c r="L974" s="44"/>
      <c r="M974" s="32"/>
      <c r="N974" s="44"/>
      <c r="O974" s="32"/>
      <c r="P974" s="32"/>
      <c r="Q974" s="44"/>
      <c r="S974" s="44"/>
      <c r="U974" s="44"/>
      <c r="V974" s="47"/>
      <c r="W974" s="44"/>
      <c r="Y974" s="44"/>
      <c r="AA974" s="32"/>
    </row>
    <row r="975">
      <c r="A975" s="45"/>
      <c r="B975" s="44"/>
      <c r="D975" s="44"/>
      <c r="F975" s="44"/>
      <c r="H975" s="44"/>
      <c r="J975" s="44"/>
      <c r="K975" s="32"/>
      <c r="L975" s="44"/>
      <c r="M975" s="32"/>
      <c r="N975" s="44"/>
      <c r="O975" s="32"/>
      <c r="P975" s="32"/>
      <c r="Q975" s="44"/>
      <c r="S975" s="44"/>
      <c r="U975" s="44"/>
      <c r="V975" s="47"/>
      <c r="W975" s="44"/>
      <c r="Y975" s="44"/>
      <c r="AA975" s="32"/>
    </row>
    <row r="976">
      <c r="A976" s="45"/>
      <c r="B976" s="44"/>
      <c r="D976" s="44"/>
      <c r="F976" s="44"/>
      <c r="H976" s="44"/>
      <c r="J976" s="44"/>
      <c r="K976" s="32"/>
      <c r="L976" s="44"/>
      <c r="M976" s="32"/>
      <c r="N976" s="44"/>
      <c r="O976" s="32"/>
      <c r="P976" s="32"/>
      <c r="Q976" s="44"/>
      <c r="S976" s="44"/>
      <c r="U976" s="44"/>
      <c r="V976" s="47"/>
      <c r="W976" s="44"/>
      <c r="Y976" s="44"/>
      <c r="AA976" s="32"/>
    </row>
    <row r="977">
      <c r="A977" s="45"/>
      <c r="B977" s="44"/>
      <c r="D977" s="44"/>
      <c r="F977" s="44"/>
      <c r="H977" s="44"/>
      <c r="J977" s="44"/>
      <c r="K977" s="32"/>
      <c r="L977" s="44"/>
      <c r="M977" s="32"/>
      <c r="N977" s="44"/>
      <c r="O977" s="32"/>
      <c r="P977" s="32"/>
      <c r="Q977" s="44"/>
      <c r="S977" s="44"/>
      <c r="U977" s="44"/>
      <c r="V977" s="47"/>
      <c r="W977" s="44"/>
      <c r="Y977" s="44"/>
      <c r="AA977" s="32"/>
    </row>
    <row r="978">
      <c r="A978" s="45"/>
      <c r="B978" s="44"/>
      <c r="D978" s="44"/>
      <c r="F978" s="44"/>
      <c r="H978" s="44"/>
      <c r="J978" s="44"/>
      <c r="K978" s="32"/>
      <c r="L978" s="44"/>
      <c r="M978" s="32"/>
      <c r="N978" s="44"/>
      <c r="O978" s="32"/>
      <c r="P978" s="32"/>
      <c r="Q978" s="44"/>
      <c r="S978" s="44"/>
      <c r="U978" s="44"/>
      <c r="V978" s="47"/>
      <c r="W978" s="44"/>
      <c r="Y978" s="44"/>
      <c r="AA978" s="32"/>
    </row>
    <row r="979">
      <c r="A979" s="45"/>
      <c r="B979" s="44"/>
      <c r="D979" s="44"/>
      <c r="F979" s="44"/>
      <c r="H979" s="44"/>
      <c r="J979" s="44"/>
      <c r="K979" s="32"/>
      <c r="L979" s="44"/>
      <c r="M979" s="32"/>
      <c r="N979" s="44"/>
      <c r="O979" s="32"/>
      <c r="P979" s="32"/>
      <c r="Q979" s="44"/>
      <c r="S979" s="44"/>
      <c r="U979" s="44"/>
      <c r="V979" s="47"/>
      <c r="W979" s="44"/>
      <c r="Y979" s="44"/>
      <c r="AA979" s="32"/>
    </row>
    <row r="980">
      <c r="A980" s="45"/>
      <c r="B980" s="44"/>
      <c r="D980" s="44"/>
      <c r="F980" s="44"/>
      <c r="H980" s="44"/>
      <c r="J980" s="44"/>
      <c r="K980" s="32"/>
      <c r="L980" s="44"/>
      <c r="M980" s="32"/>
      <c r="N980" s="44"/>
      <c r="O980" s="32"/>
      <c r="P980" s="32"/>
      <c r="Q980" s="44"/>
      <c r="S980" s="44"/>
      <c r="U980" s="44"/>
      <c r="V980" s="47"/>
      <c r="W980" s="44"/>
      <c r="Y980" s="44"/>
      <c r="AA980" s="32"/>
    </row>
    <row r="981">
      <c r="A981" s="45"/>
      <c r="B981" s="44"/>
      <c r="D981" s="44"/>
      <c r="F981" s="44"/>
      <c r="H981" s="44"/>
      <c r="J981" s="44"/>
      <c r="K981" s="32"/>
      <c r="L981" s="44"/>
      <c r="M981" s="32"/>
      <c r="N981" s="44"/>
      <c r="O981" s="32"/>
      <c r="P981" s="32"/>
      <c r="Q981" s="44"/>
      <c r="S981" s="44"/>
      <c r="U981" s="44"/>
      <c r="V981" s="47"/>
      <c r="W981" s="44"/>
      <c r="Y981" s="44"/>
      <c r="AA981" s="32"/>
    </row>
    <row r="982">
      <c r="A982" s="45"/>
      <c r="B982" s="44"/>
      <c r="D982" s="44"/>
      <c r="F982" s="44"/>
      <c r="H982" s="44"/>
      <c r="J982" s="44"/>
      <c r="K982" s="32"/>
      <c r="L982" s="44"/>
      <c r="M982" s="32"/>
      <c r="N982" s="44"/>
      <c r="O982" s="32"/>
      <c r="P982" s="32"/>
      <c r="Q982" s="44"/>
      <c r="S982" s="44"/>
      <c r="U982" s="44"/>
      <c r="V982" s="47"/>
      <c r="W982" s="44"/>
      <c r="Y982" s="44"/>
      <c r="AA982" s="32"/>
    </row>
    <row r="983">
      <c r="A983" s="45"/>
      <c r="B983" s="44"/>
      <c r="D983" s="44"/>
      <c r="F983" s="44"/>
      <c r="H983" s="44"/>
      <c r="J983" s="44"/>
      <c r="K983" s="32"/>
      <c r="L983" s="44"/>
      <c r="M983" s="32"/>
      <c r="N983" s="44"/>
      <c r="O983" s="32"/>
      <c r="P983" s="32"/>
      <c r="Q983" s="44"/>
      <c r="S983" s="44"/>
      <c r="U983" s="44"/>
      <c r="V983" s="47"/>
      <c r="W983" s="44"/>
      <c r="Y983" s="44"/>
      <c r="AA983" s="32"/>
    </row>
    <row r="984">
      <c r="A984" s="45"/>
      <c r="B984" s="44"/>
      <c r="D984" s="44"/>
      <c r="F984" s="44"/>
      <c r="H984" s="44"/>
      <c r="J984" s="44"/>
      <c r="K984" s="32"/>
      <c r="L984" s="44"/>
      <c r="M984" s="32"/>
      <c r="N984" s="44"/>
      <c r="O984" s="32"/>
      <c r="P984" s="32"/>
      <c r="Q984" s="44"/>
      <c r="S984" s="44"/>
      <c r="U984" s="44"/>
      <c r="V984" s="47"/>
      <c r="W984" s="44"/>
      <c r="Y984" s="44"/>
      <c r="AA984" s="32"/>
    </row>
    <row r="985">
      <c r="A985" s="45"/>
      <c r="B985" s="44"/>
      <c r="D985" s="44"/>
      <c r="F985" s="44"/>
      <c r="H985" s="44"/>
      <c r="J985" s="44"/>
      <c r="K985" s="32"/>
      <c r="L985" s="44"/>
      <c r="M985" s="32"/>
      <c r="N985" s="44"/>
      <c r="O985" s="32"/>
      <c r="P985" s="32"/>
      <c r="Q985" s="44"/>
      <c r="S985" s="44"/>
      <c r="U985" s="44"/>
      <c r="V985" s="47"/>
      <c r="W985" s="44"/>
      <c r="Y985" s="44"/>
      <c r="AA985" s="32"/>
    </row>
    <row r="986">
      <c r="A986" s="45"/>
      <c r="B986" s="44"/>
      <c r="D986" s="44"/>
      <c r="F986" s="44"/>
      <c r="H986" s="44"/>
      <c r="J986" s="44"/>
      <c r="K986" s="32"/>
      <c r="L986" s="44"/>
      <c r="M986" s="32"/>
      <c r="N986" s="44"/>
      <c r="O986" s="32"/>
      <c r="P986" s="32"/>
      <c r="Q986" s="44"/>
      <c r="S986" s="44"/>
      <c r="U986" s="44"/>
      <c r="V986" s="47"/>
      <c r="W986" s="44"/>
      <c r="Y986" s="44"/>
      <c r="AA986" s="32"/>
    </row>
    <row r="987">
      <c r="A987" s="45"/>
      <c r="B987" s="44"/>
      <c r="D987" s="44"/>
      <c r="F987" s="44"/>
      <c r="H987" s="44"/>
      <c r="J987" s="44"/>
      <c r="K987" s="32"/>
      <c r="L987" s="44"/>
      <c r="M987" s="32"/>
      <c r="N987" s="44"/>
      <c r="O987" s="32"/>
      <c r="P987" s="32"/>
      <c r="Q987" s="44"/>
      <c r="S987" s="44"/>
      <c r="U987" s="44"/>
      <c r="V987" s="47"/>
      <c r="W987" s="44"/>
      <c r="Y987" s="44"/>
      <c r="AA987" s="32"/>
    </row>
    <row r="988">
      <c r="A988" s="45"/>
      <c r="B988" s="44"/>
      <c r="D988" s="44"/>
      <c r="F988" s="44"/>
      <c r="H988" s="44"/>
      <c r="J988" s="44"/>
      <c r="K988" s="32"/>
      <c r="L988" s="44"/>
      <c r="M988" s="32"/>
      <c r="N988" s="44"/>
      <c r="O988" s="32"/>
      <c r="P988" s="32"/>
      <c r="Q988" s="44"/>
      <c r="S988" s="44"/>
      <c r="U988" s="44"/>
      <c r="V988" s="47"/>
      <c r="W988" s="44"/>
      <c r="Y988" s="44"/>
      <c r="AA988" s="32"/>
    </row>
    <row r="989">
      <c r="A989" s="45"/>
      <c r="B989" s="44"/>
      <c r="D989" s="44"/>
      <c r="F989" s="44"/>
      <c r="H989" s="44"/>
      <c r="J989" s="44"/>
      <c r="K989" s="32"/>
      <c r="L989" s="44"/>
      <c r="M989" s="32"/>
      <c r="N989" s="44"/>
      <c r="O989" s="32"/>
      <c r="P989" s="32"/>
      <c r="Q989" s="44"/>
      <c r="S989" s="44"/>
      <c r="U989" s="44"/>
      <c r="V989" s="47"/>
      <c r="W989" s="44"/>
      <c r="Y989" s="44"/>
      <c r="AA989" s="32"/>
    </row>
    <row r="990">
      <c r="A990" s="45"/>
      <c r="B990" s="44"/>
      <c r="D990" s="44"/>
      <c r="F990" s="44"/>
      <c r="H990" s="44"/>
      <c r="J990" s="44"/>
      <c r="K990" s="32"/>
      <c r="L990" s="44"/>
      <c r="M990" s="32"/>
      <c r="N990" s="44"/>
      <c r="O990" s="32"/>
      <c r="P990" s="32"/>
      <c r="Q990" s="44"/>
      <c r="S990" s="44"/>
      <c r="U990" s="44"/>
      <c r="V990" s="47"/>
      <c r="W990" s="44"/>
      <c r="Y990" s="44"/>
      <c r="AA990" s="32"/>
    </row>
    <row r="991">
      <c r="A991" s="45"/>
      <c r="B991" s="44"/>
      <c r="D991" s="44"/>
      <c r="F991" s="44"/>
      <c r="H991" s="44"/>
      <c r="J991" s="44"/>
      <c r="K991" s="32"/>
      <c r="L991" s="44"/>
      <c r="M991" s="32"/>
      <c r="N991" s="44"/>
      <c r="O991" s="32"/>
      <c r="P991" s="32"/>
      <c r="Q991" s="44"/>
      <c r="S991" s="44"/>
      <c r="U991" s="44"/>
      <c r="V991" s="47"/>
      <c r="W991" s="44"/>
      <c r="Y991" s="44"/>
      <c r="AA991" s="32"/>
    </row>
    <row r="992">
      <c r="A992" s="45"/>
      <c r="B992" s="44"/>
      <c r="D992" s="44"/>
      <c r="F992" s="44"/>
      <c r="H992" s="44"/>
      <c r="J992" s="44"/>
      <c r="K992" s="32"/>
      <c r="L992" s="44"/>
      <c r="M992" s="32"/>
      <c r="N992" s="44"/>
      <c r="O992" s="32"/>
      <c r="P992" s="32"/>
      <c r="Q992" s="44"/>
      <c r="S992" s="44"/>
      <c r="U992" s="44"/>
      <c r="V992" s="47"/>
      <c r="W992" s="44"/>
      <c r="Y992" s="44"/>
      <c r="AA992" s="32"/>
    </row>
    <row r="993">
      <c r="A993" s="45"/>
      <c r="B993" s="44"/>
      <c r="D993" s="44"/>
      <c r="F993" s="44"/>
      <c r="H993" s="44"/>
      <c r="J993" s="44"/>
      <c r="K993" s="32"/>
      <c r="L993" s="44"/>
      <c r="M993" s="32"/>
      <c r="N993" s="44"/>
      <c r="O993" s="32"/>
      <c r="P993" s="32"/>
      <c r="Q993" s="44"/>
      <c r="S993" s="44"/>
      <c r="U993" s="44"/>
      <c r="V993" s="47"/>
      <c r="W993" s="44"/>
      <c r="Y993" s="44"/>
      <c r="AA993" s="32"/>
    </row>
    <row r="994">
      <c r="A994" s="45"/>
      <c r="B994" s="44"/>
      <c r="D994" s="44"/>
      <c r="F994" s="44"/>
      <c r="H994" s="44"/>
      <c r="J994" s="44"/>
      <c r="K994" s="32"/>
      <c r="L994" s="44"/>
      <c r="M994" s="32"/>
      <c r="N994" s="44"/>
      <c r="O994" s="32"/>
      <c r="P994" s="32"/>
      <c r="Q994" s="44"/>
      <c r="S994" s="44"/>
      <c r="U994" s="44"/>
      <c r="V994" s="47"/>
      <c r="W994" s="44"/>
      <c r="Y994" s="44"/>
      <c r="AA994" s="32"/>
    </row>
    <row r="995">
      <c r="A995" s="45"/>
      <c r="B995" s="44"/>
      <c r="D995" s="44"/>
      <c r="F995" s="44"/>
      <c r="H995" s="44"/>
      <c r="J995" s="44"/>
      <c r="K995" s="32"/>
      <c r="L995" s="44"/>
      <c r="M995" s="32"/>
      <c r="N995" s="44"/>
      <c r="O995" s="32"/>
      <c r="P995" s="32"/>
      <c r="Q995" s="44"/>
      <c r="S995" s="44"/>
      <c r="U995" s="44"/>
      <c r="V995" s="47"/>
      <c r="W995" s="44"/>
      <c r="Y995" s="44"/>
      <c r="AA995" s="32"/>
    </row>
    <row r="996">
      <c r="A996" s="45"/>
      <c r="B996" s="44"/>
      <c r="D996" s="44"/>
      <c r="F996" s="44"/>
      <c r="H996" s="44"/>
      <c r="J996" s="44"/>
      <c r="K996" s="32"/>
      <c r="L996" s="44"/>
      <c r="M996" s="32"/>
      <c r="N996" s="44"/>
      <c r="O996" s="32"/>
      <c r="P996" s="32"/>
      <c r="Q996" s="44"/>
      <c r="S996" s="44"/>
      <c r="U996" s="44"/>
      <c r="V996" s="47"/>
      <c r="W996" s="44"/>
      <c r="Y996" s="44"/>
      <c r="AA996" s="32"/>
    </row>
    <row r="997">
      <c r="A997" s="45"/>
      <c r="B997" s="44"/>
      <c r="D997" s="44"/>
      <c r="F997" s="44"/>
      <c r="H997" s="44"/>
      <c r="J997" s="44"/>
      <c r="K997" s="32"/>
      <c r="L997" s="44"/>
      <c r="M997" s="32"/>
      <c r="N997" s="44"/>
      <c r="O997" s="32"/>
      <c r="P997" s="32"/>
      <c r="Q997" s="44"/>
      <c r="S997" s="44"/>
      <c r="U997" s="44"/>
      <c r="V997" s="47"/>
      <c r="W997" s="44"/>
      <c r="Y997" s="44"/>
      <c r="AA997" s="32"/>
    </row>
    <row r="998">
      <c r="A998" s="45"/>
      <c r="B998" s="44"/>
      <c r="D998" s="44"/>
      <c r="F998" s="44"/>
      <c r="H998" s="44"/>
      <c r="J998" s="44"/>
      <c r="K998" s="32"/>
      <c r="L998" s="44"/>
      <c r="M998" s="32"/>
      <c r="N998" s="44"/>
      <c r="O998" s="32"/>
      <c r="P998" s="32"/>
      <c r="Q998" s="44"/>
      <c r="S998" s="44"/>
      <c r="U998" s="44"/>
      <c r="V998" s="47"/>
      <c r="W998" s="44"/>
      <c r="Y998" s="44"/>
      <c r="AA998" s="32"/>
    </row>
    <row r="999">
      <c r="A999" s="45"/>
      <c r="B999" s="44"/>
      <c r="D999" s="44"/>
      <c r="F999" s="44"/>
      <c r="H999" s="44"/>
      <c r="J999" s="44"/>
      <c r="K999" s="32"/>
      <c r="L999" s="44"/>
      <c r="M999" s="32"/>
      <c r="N999" s="44"/>
      <c r="O999" s="32"/>
      <c r="P999" s="32"/>
      <c r="Q999" s="44"/>
      <c r="S999" s="44"/>
      <c r="U999" s="44"/>
      <c r="V999" s="47"/>
      <c r="W999" s="44"/>
      <c r="Y999" s="44"/>
      <c r="AA999" s="32"/>
    </row>
    <row r="1000">
      <c r="A1000" s="45"/>
      <c r="B1000" s="44"/>
      <c r="D1000" s="44"/>
      <c r="F1000" s="44"/>
      <c r="H1000" s="44"/>
      <c r="J1000" s="44"/>
      <c r="K1000" s="32"/>
      <c r="L1000" s="44"/>
      <c r="M1000" s="32"/>
      <c r="N1000" s="44"/>
      <c r="O1000" s="32"/>
      <c r="P1000" s="32"/>
      <c r="Q1000" s="44"/>
      <c r="S1000" s="44"/>
      <c r="U1000" s="44"/>
      <c r="V1000" s="47"/>
      <c r="W1000" s="44"/>
      <c r="Y1000" s="44"/>
      <c r="AA1000" s="32"/>
    </row>
    <row r="1001">
      <c r="A1001" s="45"/>
      <c r="B1001" s="44"/>
      <c r="D1001" s="44"/>
      <c r="F1001" s="44"/>
      <c r="H1001" s="44"/>
      <c r="J1001" s="44"/>
      <c r="K1001" s="32"/>
      <c r="L1001" s="44"/>
      <c r="M1001" s="32"/>
      <c r="N1001" s="44"/>
      <c r="O1001" s="32"/>
      <c r="P1001" s="32"/>
      <c r="Q1001" s="44"/>
      <c r="S1001" s="44"/>
      <c r="U1001" s="44"/>
      <c r="V1001" s="47"/>
      <c r="W1001" s="44"/>
      <c r="Y1001" s="44"/>
      <c r="AA1001" s="32"/>
    </row>
  </sheetData>
  <mergeCells count="12">
    <mergeCell ref="R1:S1"/>
    <mergeCell ref="T1:U1"/>
    <mergeCell ref="V1:W1"/>
    <mergeCell ref="X1:Y1"/>
    <mergeCell ref="Z1:AA1"/>
    <mergeCell ref="A1:B1"/>
    <mergeCell ref="C1:D1"/>
    <mergeCell ref="E1:F1"/>
    <mergeCell ref="G1:H1"/>
    <mergeCell ref="I1:J1"/>
    <mergeCell ref="K1:L1"/>
    <mergeCell ref="M1:N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5" max="5" width="40.0"/>
    <col customWidth="1" min="6" max="6" width="64.75"/>
  </cols>
  <sheetData>
    <row r="1">
      <c r="A1" s="48" t="s">
        <v>875</v>
      </c>
      <c r="B1" s="48" t="s">
        <v>876</v>
      </c>
      <c r="C1" s="48" t="s">
        <v>877</v>
      </c>
      <c r="D1" s="48" t="s">
        <v>878</v>
      </c>
      <c r="E1" s="48" t="s">
        <v>879</v>
      </c>
      <c r="F1" s="48" t="s">
        <v>5</v>
      </c>
    </row>
    <row r="2">
      <c r="A2" s="14">
        <v>0.0</v>
      </c>
      <c r="B2" t="str">
        <f t="shared" ref="B2:C2" si="1">DEC2HEX(HEX2DEC(C2)-1)</f>
        <v>BAD520</v>
      </c>
      <c r="C2" t="str">
        <f t="shared" si="1"/>
        <v>BAD521</v>
      </c>
      <c r="D2" s="14" t="str">
        <f t="shared" ref="D2:D256" si="3">DEC2HEX(HEX2DEC(D3)+4)</f>
        <v>BAD522</v>
      </c>
      <c r="E2" s="14" t="s">
        <v>880</v>
      </c>
    </row>
    <row r="3">
      <c r="A3" s="14">
        <v>1.0</v>
      </c>
      <c r="B3" t="str">
        <f t="shared" ref="B3:C3" si="2">DEC2HEX(HEX2DEC(C3)-1)</f>
        <v>BAD51C</v>
      </c>
      <c r="C3" t="str">
        <f t="shared" si="2"/>
        <v>BAD51D</v>
      </c>
      <c r="D3" s="14" t="str">
        <f t="shared" si="3"/>
        <v>BAD51E</v>
      </c>
      <c r="E3" s="14" t="s">
        <v>881</v>
      </c>
    </row>
    <row r="4">
      <c r="A4" s="14">
        <v>2.0</v>
      </c>
      <c r="B4" t="str">
        <f t="shared" ref="B4:C4" si="4">DEC2HEX(HEX2DEC(C4)-1)</f>
        <v>BAD518</v>
      </c>
      <c r="C4" t="str">
        <f t="shared" si="4"/>
        <v>BAD519</v>
      </c>
      <c r="D4" s="14" t="str">
        <f t="shared" si="3"/>
        <v>BAD51A</v>
      </c>
      <c r="E4" s="14" t="s">
        <v>882</v>
      </c>
    </row>
    <row r="5">
      <c r="A5" s="14">
        <v>3.0</v>
      </c>
      <c r="B5" t="str">
        <f t="shared" ref="B5:C5" si="5">DEC2HEX(HEX2DEC(C5)-1)</f>
        <v>BAD514</v>
      </c>
      <c r="C5" t="str">
        <f t="shared" si="5"/>
        <v>BAD515</v>
      </c>
      <c r="D5" s="14" t="str">
        <f t="shared" si="3"/>
        <v>BAD516</v>
      </c>
      <c r="E5" s="14" t="s">
        <v>883</v>
      </c>
    </row>
    <row r="6">
      <c r="A6" s="14">
        <v>4.0</v>
      </c>
      <c r="B6" t="str">
        <f t="shared" ref="B6:C6" si="6">DEC2HEX(HEX2DEC(C6)-1)</f>
        <v>BAD510</v>
      </c>
      <c r="C6" t="str">
        <f t="shared" si="6"/>
        <v>BAD511</v>
      </c>
      <c r="D6" s="14" t="str">
        <f t="shared" si="3"/>
        <v>BAD512</v>
      </c>
      <c r="E6" s="14" t="s">
        <v>123</v>
      </c>
    </row>
    <row r="7">
      <c r="A7" s="14">
        <v>5.0</v>
      </c>
      <c r="B7" t="str">
        <f t="shared" ref="B7:C7" si="7">DEC2HEX(HEX2DEC(C7)-1)</f>
        <v>BAD50C</v>
      </c>
      <c r="C7" t="str">
        <f t="shared" si="7"/>
        <v>BAD50D</v>
      </c>
      <c r="D7" s="14" t="str">
        <f t="shared" si="3"/>
        <v>BAD50E</v>
      </c>
      <c r="E7" s="14" t="s">
        <v>123</v>
      </c>
    </row>
    <row r="8">
      <c r="A8" s="14">
        <v>6.0</v>
      </c>
      <c r="B8" t="str">
        <f t="shared" ref="B8:C8" si="8">DEC2HEX(HEX2DEC(C8)-1)</f>
        <v>BAD508</v>
      </c>
      <c r="C8" t="str">
        <f t="shared" si="8"/>
        <v>BAD509</v>
      </c>
      <c r="D8" s="14" t="str">
        <f t="shared" si="3"/>
        <v>BAD50A</v>
      </c>
      <c r="E8" s="14" t="s">
        <v>123</v>
      </c>
    </row>
    <row r="9">
      <c r="A9" s="14">
        <v>7.0</v>
      </c>
      <c r="B9" t="str">
        <f t="shared" ref="B9:C9" si="9">DEC2HEX(HEX2DEC(C9)-1)</f>
        <v>BAD504</v>
      </c>
      <c r="C9" t="str">
        <f t="shared" si="9"/>
        <v>BAD505</v>
      </c>
      <c r="D9" s="14" t="str">
        <f t="shared" si="3"/>
        <v>BAD506</v>
      </c>
      <c r="E9" s="14" t="s">
        <v>884</v>
      </c>
    </row>
    <row r="10">
      <c r="A10" s="14">
        <v>8.0</v>
      </c>
      <c r="B10" t="str">
        <f t="shared" ref="B10:C10" si="10">DEC2HEX(HEX2DEC(C10)-1)</f>
        <v>BAD500</v>
      </c>
      <c r="C10" t="str">
        <f t="shared" si="10"/>
        <v>BAD501</v>
      </c>
      <c r="D10" s="14" t="str">
        <f t="shared" si="3"/>
        <v>BAD502</v>
      </c>
      <c r="E10" s="14" t="s">
        <v>884</v>
      </c>
    </row>
    <row r="11">
      <c r="A11" s="14">
        <v>9.0</v>
      </c>
      <c r="B11" t="str">
        <f t="shared" ref="B11:C11" si="11">DEC2HEX(HEX2DEC(C11)-1)</f>
        <v>BAD4FC</v>
      </c>
      <c r="C11" t="str">
        <f t="shared" si="11"/>
        <v>BAD4FD</v>
      </c>
      <c r="D11" s="14" t="str">
        <f t="shared" si="3"/>
        <v>BAD4FE</v>
      </c>
      <c r="E11" s="14" t="s">
        <v>884</v>
      </c>
    </row>
    <row r="12">
      <c r="A12" s="14">
        <v>10.0</v>
      </c>
      <c r="B12" t="str">
        <f t="shared" ref="B12:C12" si="12">DEC2HEX(HEX2DEC(C12)-1)</f>
        <v>BAD4F8</v>
      </c>
      <c r="C12" t="str">
        <f t="shared" si="12"/>
        <v>BAD4F9</v>
      </c>
      <c r="D12" s="14" t="str">
        <f t="shared" si="3"/>
        <v>BAD4FA</v>
      </c>
      <c r="E12" s="14" t="s">
        <v>884</v>
      </c>
    </row>
    <row r="13">
      <c r="A13" s="14">
        <v>11.0</v>
      </c>
      <c r="B13" t="str">
        <f t="shared" ref="B13:C13" si="13">DEC2HEX(HEX2DEC(C13)-1)</f>
        <v>BAD4F4</v>
      </c>
      <c r="C13" t="str">
        <f t="shared" si="13"/>
        <v>BAD4F5</v>
      </c>
      <c r="D13" s="14" t="str">
        <f t="shared" si="3"/>
        <v>BAD4F6</v>
      </c>
      <c r="E13" s="14" t="s">
        <v>884</v>
      </c>
    </row>
    <row r="14">
      <c r="A14" s="14">
        <v>12.0</v>
      </c>
      <c r="B14" t="str">
        <f t="shared" ref="B14:C14" si="14">DEC2HEX(HEX2DEC(C14)-1)</f>
        <v>BAD4F0</v>
      </c>
      <c r="C14" t="str">
        <f t="shared" si="14"/>
        <v>BAD4F1</v>
      </c>
      <c r="D14" s="14" t="str">
        <f t="shared" si="3"/>
        <v>BAD4F2</v>
      </c>
      <c r="E14" s="14" t="s">
        <v>884</v>
      </c>
    </row>
    <row r="15">
      <c r="A15" s="14">
        <v>13.0</v>
      </c>
      <c r="B15" t="str">
        <f t="shared" ref="B15:C15" si="15">DEC2HEX(HEX2DEC(C15)-1)</f>
        <v>BAD4EC</v>
      </c>
      <c r="C15" t="str">
        <f t="shared" si="15"/>
        <v>BAD4ED</v>
      </c>
      <c r="D15" s="14" t="str">
        <f t="shared" si="3"/>
        <v>BAD4EE</v>
      </c>
      <c r="E15" s="14" t="s">
        <v>885</v>
      </c>
    </row>
    <row r="16">
      <c r="A16" s="14">
        <v>14.0</v>
      </c>
      <c r="B16" t="str">
        <f t="shared" ref="B16:C16" si="16">DEC2HEX(HEX2DEC(C16)-1)</f>
        <v>BAD4E8</v>
      </c>
      <c r="C16" t="str">
        <f t="shared" si="16"/>
        <v>BAD4E9</v>
      </c>
      <c r="D16" s="14" t="str">
        <f t="shared" si="3"/>
        <v>BAD4EA</v>
      </c>
      <c r="E16" s="14" t="s">
        <v>885</v>
      </c>
    </row>
    <row r="17">
      <c r="A17" s="14">
        <v>15.0</v>
      </c>
      <c r="B17" t="str">
        <f t="shared" ref="B17:C17" si="17">DEC2HEX(HEX2DEC(C17)-1)</f>
        <v>BAD4E4</v>
      </c>
      <c r="C17" t="str">
        <f t="shared" si="17"/>
        <v>BAD4E5</v>
      </c>
      <c r="D17" s="14" t="str">
        <f t="shared" si="3"/>
        <v>BAD4E6</v>
      </c>
      <c r="E17" s="14" t="s">
        <v>885</v>
      </c>
    </row>
    <row r="18">
      <c r="A18" s="14">
        <v>16.0</v>
      </c>
      <c r="B18" t="str">
        <f t="shared" ref="B18:C18" si="18">DEC2HEX(HEX2DEC(C18)-1)</f>
        <v>BAD4E0</v>
      </c>
      <c r="C18" t="str">
        <f t="shared" si="18"/>
        <v>BAD4E1</v>
      </c>
      <c r="D18" s="14" t="str">
        <f t="shared" si="3"/>
        <v>BAD4E2</v>
      </c>
      <c r="E18" s="14" t="s">
        <v>885</v>
      </c>
    </row>
    <row r="19">
      <c r="A19" s="14">
        <v>17.0</v>
      </c>
      <c r="B19" t="str">
        <f t="shared" ref="B19:C19" si="19">DEC2HEX(HEX2DEC(C19)-1)</f>
        <v>BAD4DC</v>
      </c>
      <c r="C19" t="str">
        <f t="shared" si="19"/>
        <v>BAD4DD</v>
      </c>
      <c r="D19" s="14" t="str">
        <f t="shared" si="3"/>
        <v>BAD4DE</v>
      </c>
      <c r="E19" s="14" t="s">
        <v>885</v>
      </c>
    </row>
    <row r="20">
      <c r="A20" s="14">
        <v>18.0</v>
      </c>
      <c r="B20" t="str">
        <f t="shared" ref="B20:C20" si="20">DEC2HEX(HEX2DEC(C20)-1)</f>
        <v>BAD4D8</v>
      </c>
      <c r="C20" t="str">
        <f t="shared" si="20"/>
        <v>BAD4D9</v>
      </c>
      <c r="D20" s="14" t="str">
        <f t="shared" si="3"/>
        <v>BAD4DA</v>
      </c>
      <c r="E20" s="14" t="s">
        <v>885</v>
      </c>
    </row>
    <row r="21">
      <c r="A21" s="14">
        <v>19.0</v>
      </c>
      <c r="B21" t="str">
        <f t="shared" ref="B21:C21" si="21">DEC2HEX(HEX2DEC(C21)-1)</f>
        <v>BAD4D4</v>
      </c>
      <c r="C21" t="str">
        <f t="shared" si="21"/>
        <v>BAD4D5</v>
      </c>
      <c r="D21" s="14" t="str">
        <f t="shared" si="3"/>
        <v>BAD4D6</v>
      </c>
      <c r="E21" s="14" t="s">
        <v>885</v>
      </c>
    </row>
    <row r="22">
      <c r="A22" s="14">
        <v>20.0</v>
      </c>
      <c r="B22" t="str">
        <f t="shared" ref="B22:C22" si="22">DEC2HEX(HEX2DEC(C22)-1)</f>
        <v>BAD4D0</v>
      </c>
      <c r="C22" t="str">
        <f t="shared" si="22"/>
        <v>BAD4D1</v>
      </c>
      <c r="D22" s="14" t="str">
        <f t="shared" si="3"/>
        <v>BAD4D2</v>
      </c>
      <c r="E22" s="14" t="s">
        <v>885</v>
      </c>
    </row>
    <row r="23">
      <c r="A23" s="14">
        <v>21.0</v>
      </c>
      <c r="B23" t="str">
        <f t="shared" ref="B23:C23" si="23">DEC2HEX(HEX2DEC(C23)-1)</f>
        <v>BAD4CC</v>
      </c>
      <c r="C23" t="str">
        <f t="shared" si="23"/>
        <v>BAD4CD</v>
      </c>
      <c r="D23" s="14" t="str">
        <f t="shared" si="3"/>
        <v>BAD4CE</v>
      </c>
      <c r="E23" s="14" t="s">
        <v>885</v>
      </c>
    </row>
    <row r="24">
      <c r="A24" s="14">
        <v>22.0</v>
      </c>
      <c r="B24" t="str">
        <f t="shared" ref="B24:C24" si="24">DEC2HEX(HEX2DEC(C24)-1)</f>
        <v>BAD4C8</v>
      </c>
      <c r="C24" t="str">
        <f t="shared" si="24"/>
        <v>BAD4C9</v>
      </c>
      <c r="D24" s="14" t="str">
        <f t="shared" si="3"/>
        <v>BAD4CA</v>
      </c>
      <c r="E24" s="14" t="s">
        <v>885</v>
      </c>
    </row>
    <row r="25">
      <c r="A25" s="14">
        <v>23.0</v>
      </c>
      <c r="B25" t="str">
        <f t="shared" ref="B25:C25" si="25">DEC2HEX(HEX2DEC(C25)-1)</f>
        <v>BAD4C4</v>
      </c>
      <c r="C25" t="str">
        <f t="shared" si="25"/>
        <v>BAD4C5</v>
      </c>
      <c r="D25" s="14" t="str">
        <f t="shared" si="3"/>
        <v>BAD4C6</v>
      </c>
      <c r="E25" s="14" t="s">
        <v>885</v>
      </c>
    </row>
    <row r="26">
      <c r="A26" s="14">
        <v>24.0</v>
      </c>
      <c r="B26" t="str">
        <f t="shared" ref="B26:C26" si="26">DEC2HEX(HEX2DEC(C26)-1)</f>
        <v>BAD4C0</v>
      </c>
      <c r="C26" t="str">
        <f t="shared" si="26"/>
        <v>BAD4C1</v>
      </c>
      <c r="D26" s="14" t="str">
        <f t="shared" si="3"/>
        <v>BAD4C2</v>
      </c>
      <c r="E26" s="14" t="s">
        <v>885</v>
      </c>
    </row>
    <row r="27">
      <c r="A27" s="14">
        <v>25.0</v>
      </c>
      <c r="B27" t="str">
        <f t="shared" ref="B27:C27" si="27">DEC2HEX(HEX2DEC(C27)-1)</f>
        <v>BAD4BC</v>
      </c>
      <c r="C27" t="str">
        <f t="shared" si="27"/>
        <v>BAD4BD</v>
      </c>
      <c r="D27" s="14" t="str">
        <f t="shared" si="3"/>
        <v>BAD4BE</v>
      </c>
      <c r="E27" s="14" t="s">
        <v>885</v>
      </c>
    </row>
    <row r="28">
      <c r="A28" s="14">
        <v>26.0</v>
      </c>
      <c r="B28" t="str">
        <f t="shared" ref="B28:C28" si="28">DEC2HEX(HEX2DEC(C28)-1)</f>
        <v>BAD4B8</v>
      </c>
      <c r="C28" t="str">
        <f t="shared" si="28"/>
        <v>BAD4B9</v>
      </c>
      <c r="D28" s="14" t="str">
        <f t="shared" si="3"/>
        <v>BAD4BA</v>
      </c>
      <c r="E28" s="14" t="s">
        <v>885</v>
      </c>
    </row>
    <row r="29">
      <c r="A29" s="14">
        <v>27.0</v>
      </c>
      <c r="B29" t="str">
        <f t="shared" ref="B29:C29" si="29">DEC2HEX(HEX2DEC(C29)-1)</f>
        <v>BAD4B4</v>
      </c>
      <c r="C29" t="str">
        <f t="shared" si="29"/>
        <v>BAD4B5</v>
      </c>
      <c r="D29" s="14" t="str">
        <f t="shared" si="3"/>
        <v>BAD4B6</v>
      </c>
      <c r="E29" s="14" t="s">
        <v>885</v>
      </c>
    </row>
    <row r="30">
      <c r="A30" s="14">
        <v>28.0</v>
      </c>
      <c r="B30" t="str">
        <f t="shared" ref="B30:C30" si="30">DEC2HEX(HEX2DEC(C30)-1)</f>
        <v>BAD4B0</v>
      </c>
      <c r="C30" t="str">
        <f t="shared" si="30"/>
        <v>BAD4B1</v>
      </c>
      <c r="D30" s="14" t="str">
        <f t="shared" si="3"/>
        <v>BAD4B2</v>
      </c>
      <c r="E30" s="14" t="s">
        <v>885</v>
      </c>
    </row>
    <row r="31">
      <c r="A31" s="14">
        <v>29.0</v>
      </c>
      <c r="B31" t="str">
        <f t="shared" ref="B31:C31" si="31">DEC2HEX(HEX2DEC(C31)-1)</f>
        <v>BAD4AC</v>
      </c>
      <c r="C31" t="str">
        <f t="shared" si="31"/>
        <v>BAD4AD</v>
      </c>
      <c r="D31" s="14" t="str">
        <f t="shared" si="3"/>
        <v>BAD4AE</v>
      </c>
      <c r="E31" s="14" t="s">
        <v>885</v>
      </c>
    </row>
    <row r="32">
      <c r="A32" s="14">
        <v>30.0</v>
      </c>
      <c r="B32" t="str">
        <f t="shared" ref="B32:C32" si="32">DEC2HEX(HEX2DEC(C32)-1)</f>
        <v>BAD4A8</v>
      </c>
      <c r="C32" t="str">
        <f t="shared" si="32"/>
        <v>BAD4A9</v>
      </c>
      <c r="D32" s="14" t="str">
        <f t="shared" si="3"/>
        <v>BAD4AA</v>
      </c>
      <c r="E32" s="14" t="s">
        <v>885</v>
      </c>
    </row>
    <row r="33">
      <c r="A33" s="14">
        <v>31.0</v>
      </c>
      <c r="B33" t="str">
        <f t="shared" ref="B33:C33" si="33">DEC2HEX(HEX2DEC(C33)-1)</f>
        <v>BAD4A4</v>
      </c>
      <c r="C33" t="str">
        <f t="shared" si="33"/>
        <v>BAD4A5</v>
      </c>
      <c r="D33" s="14" t="str">
        <f t="shared" si="3"/>
        <v>BAD4A6</v>
      </c>
      <c r="E33" s="14" t="s">
        <v>885</v>
      </c>
    </row>
    <row r="34">
      <c r="A34" s="14">
        <v>32.0</v>
      </c>
      <c r="B34" t="str">
        <f t="shared" ref="B34:C34" si="34">DEC2HEX(HEX2DEC(C34)-1)</f>
        <v>BAD4A0</v>
      </c>
      <c r="C34" t="str">
        <f t="shared" si="34"/>
        <v>BAD4A1</v>
      </c>
      <c r="D34" s="14" t="str">
        <f t="shared" si="3"/>
        <v>BAD4A2</v>
      </c>
      <c r="E34" s="14" t="s">
        <v>885</v>
      </c>
    </row>
    <row r="35">
      <c r="A35" s="14">
        <v>33.0</v>
      </c>
      <c r="B35" t="str">
        <f t="shared" ref="B35:C35" si="35">DEC2HEX(HEX2DEC(C35)-1)</f>
        <v>BAD49C</v>
      </c>
      <c r="C35" t="str">
        <f t="shared" si="35"/>
        <v>BAD49D</v>
      </c>
      <c r="D35" s="14" t="str">
        <f t="shared" si="3"/>
        <v>BAD49E</v>
      </c>
      <c r="E35" s="14" t="s">
        <v>884</v>
      </c>
    </row>
    <row r="36">
      <c r="A36" s="14">
        <v>34.0</v>
      </c>
      <c r="B36" t="str">
        <f t="shared" ref="B36:C36" si="36">DEC2HEX(HEX2DEC(C36)-1)</f>
        <v>BAD498</v>
      </c>
      <c r="C36" t="str">
        <f t="shared" si="36"/>
        <v>BAD499</v>
      </c>
      <c r="D36" s="14" t="str">
        <f t="shared" si="3"/>
        <v>BAD49A</v>
      </c>
      <c r="E36" s="14" t="s">
        <v>884</v>
      </c>
    </row>
    <row r="37">
      <c r="A37" s="14">
        <v>35.0</v>
      </c>
      <c r="B37" t="str">
        <f t="shared" ref="B37:C37" si="37">DEC2HEX(HEX2DEC(C37)-1)</f>
        <v>BAD494</v>
      </c>
      <c r="C37" t="str">
        <f t="shared" si="37"/>
        <v>BAD495</v>
      </c>
      <c r="D37" s="14" t="str">
        <f t="shared" si="3"/>
        <v>BAD496</v>
      </c>
      <c r="E37" s="14" t="s">
        <v>884</v>
      </c>
    </row>
    <row r="38">
      <c r="A38" s="14">
        <v>36.0</v>
      </c>
      <c r="B38" t="str">
        <f t="shared" ref="B38:C38" si="38">DEC2HEX(HEX2DEC(C38)-1)</f>
        <v>BAD490</v>
      </c>
      <c r="C38" t="str">
        <f t="shared" si="38"/>
        <v>BAD491</v>
      </c>
      <c r="D38" s="14" t="str">
        <f t="shared" si="3"/>
        <v>BAD492</v>
      </c>
      <c r="E38" s="14" t="s">
        <v>884</v>
      </c>
    </row>
    <row r="39">
      <c r="A39" s="14">
        <v>37.0</v>
      </c>
      <c r="B39" t="str">
        <f t="shared" ref="B39:C39" si="39">DEC2HEX(HEX2DEC(C39)-1)</f>
        <v>BAD48C</v>
      </c>
      <c r="C39" t="str">
        <f t="shared" si="39"/>
        <v>BAD48D</v>
      </c>
      <c r="D39" s="14" t="str">
        <f t="shared" si="3"/>
        <v>BAD48E</v>
      </c>
      <c r="E39" s="14" t="s">
        <v>884</v>
      </c>
    </row>
    <row r="40">
      <c r="A40" s="14">
        <v>38.0</v>
      </c>
      <c r="B40" t="str">
        <f t="shared" ref="B40:C40" si="40">DEC2HEX(HEX2DEC(C40)-1)</f>
        <v>BAD488</v>
      </c>
      <c r="C40" t="str">
        <f t="shared" si="40"/>
        <v>BAD489</v>
      </c>
      <c r="D40" s="14" t="str">
        <f t="shared" si="3"/>
        <v>BAD48A</v>
      </c>
      <c r="E40" s="14" t="s">
        <v>884</v>
      </c>
    </row>
    <row r="41">
      <c r="A41" s="14">
        <v>39.0</v>
      </c>
      <c r="B41" t="str">
        <f t="shared" ref="B41:C41" si="41">DEC2HEX(HEX2DEC(C41)-1)</f>
        <v>BAD484</v>
      </c>
      <c r="C41" t="str">
        <f t="shared" si="41"/>
        <v>BAD485</v>
      </c>
      <c r="D41" s="14" t="str">
        <f t="shared" si="3"/>
        <v>BAD486</v>
      </c>
      <c r="E41" s="14" t="s">
        <v>886</v>
      </c>
    </row>
    <row r="42">
      <c r="A42" s="14">
        <v>40.0</v>
      </c>
      <c r="B42" t="str">
        <f t="shared" ref="B42:C42" si="42">DEC2HEX(HEX2DEC(C42)-1)</f>
        <v>BAD480</v>
      </c>
      <c r="C42" t="str">
        <f t="shared" si="42"/>
        <v>BAD481</v>
      </c>
      <c r="D42" s="14" t="str">
        <f t="shared" si="3"/>
        <v>BAD482</v>
      </c>
      <c r="E42" s="14" t="s">
        <v>886</v>
      </c>
    </row>
    <row r="43">
      <c r="A43" s="14">
        <v>41.0</v>
      </c>
      <c r="B43" t="str">
        <f t="shared" ref="B43:C43" si="43">DEC2HEX(HEX2DEC(C43)-1)</f>
        <v>BAD47C</v>
      </c>
      <c r="C43" t="str">
        <f t="shared" si="43"/>
        <v>BAD47D</v>
      </c>
      <c r="D43" s="14" t="str">
        <f t="shared" si="3"/>
        <v>BAD47E</v>
      </c>
      <c r="E43" s="14" t="s">
        <v>886</v>
      </c>
    </row>
    <row r="44">
      <c r="A44" s="14">
        <v>42.0</v>
      </c>
      <c r="B44" t="str">
        <f t="shared" ref="B44:C44" si="44">DEC2HEX(HEX2DEC(C44)-1)</f>
        <v>BAD478</v>
      </c>
      <c r="C44" t="str">
        <f t="shared" si="44"/>
        <v>BAD479</v>
      </c>
      <c r="D44" s="14" t="str">
        <f t="shared" si="3"/>
        <v>BAD47A</v>
      </c>
      <c r="E44" s="14" t="s">
        <v>886</v>
      </c>
    </row>
    <row r="45">
      <c r="A45" s="14">
        <v>43.0</v>
      </c>
      <c r="B45" t="str">
        <f t="shared" ref="B45:C45" si="45">DEC2HEX(HEX2DEC(C45)-1)</f>
        <v>BAD474</v>
      </c>
      <c r="C45" t="str">
        <f t="shared" si="45"/>
        <v>BAD475</v>
      </c>
      <c r="D45" s="14" t="str">
        <f t="shared" si="3"/>
        <v>BAD476</v>
      </c>
      <c r="E45" s="14" t="s">
        <v>886</v>
      </c>
    </row>
    <row r="46">
      <c r="A46" s="14">
        <v>44.0</v>
      </c>
      <c r="B46" t="str">
        <f t="shared" ref="B46:C46" si="46">DEC2HEX(HEX2DEC(C46)-1)</f>
        <v>BAD470</v>
      </c>
      <c r="C46" t="str">
        <f t="shared" si="46"/>
        <v>BAD471</v>
      </c>
      <c r="D46" s="14" t="str">
        <f t="shared" si="3"/>
        <v>BAD472</v>
      </c>
      <c r="E46" s="14" t="s">
        <v>886</v>
      </c>
    </row>
    <row r="47">
      <c r="A47" s="14">
        <v>45.0</v>
      </c>
      <c r="B47" t="str">
        <f t="shared" ref="B47:C47" si="47">DEC2HEX(HEX2DEC(C47)-1)</f>
        <v>BAD46C</v>
      </c>
      <c r="C47" t="str">
        <f t="shared" si="47"/>
        <v>BAD46D</v>
      </c>
      <c r="D47" s="14" t="str">
        <f t="shared" si="3"/>
        <v>BAD46E</v>
      </c>
      <c r="E47" s="14" t="s">
        <v>886</v>
      </c>
    </row>
    <row r="48">
      <c r="A48" s="14">
        <v>46.0</v>
      </c>
      <c r="B48" t="str">
        <f t="shared" ref="B48:C48" si="48">DEC2HEX(HEX2DEC(C48)-1)</f>
        <v>BAD468</v>
      </c>
      <c r="C48" t="str">
        <f t="shared" si="48"/>
        <v>BAD469</v>
      </c>
      <c r="D48" s="14" t="str">
        <f t="shared" si="3"/>
        <v>BAD46A</v>
      </c>
      <c r="E48" s="14" t="s">
        <v>886</v>
      </c>
    </row>
    <row r="49">
      <c r="A49" s="14">
        <v>47.0</v>
      </c>
      <c r="B49" t="str">
        <f t="shared" ref="B49:C49" si="49">DEC2HEX(HEX2DEC(C49)-1)</f>
        <v>BAD464</v>
      </c>
      <c r="C49" t="str">
        <f t="shared" si="49"/>
        <v>BAD465</v>
      </c>
      <c r="D49" s="14" t="str">
        <f t="shared" si="3"/>
        <v>BAD466</v>
      </c>
      <c r="E49" s="14" t="s">
        <v>886</v>
      </c>
    </row>
    <row r="50">
      <c r="A50" s="14">
        <v>48.0</v>
      </c>
      <c r="B50" t="str">
        <f t="shared" ref="B50:C50" si="50">DEC2HEX(HEX2DEC(C50)-1)</f>
        <v>BAD460</v>
      </c>
      <c r="C50" t="str">
        <f t="shared" si="50"/>
        <v>BAD461</v>
      </c>
      <c r="D50" s="14" t="str">
        <f t="shared" si="3"/>
        <v>BAD462</v>
      </c>
      <c r="E50" s="14" t="s">
        <v>886</v>
      </c>
    </row>
    <row r="51">
      <c r="A51" s="14">
        <v>49.0</v>
      </c>
      <c r="B51" t="str">
        <f t="shared" ref="B51:C51" si="51">DEC2HEX(HEX2DEC(C51)-1)</f>
        <v>BAD45C</v>
      </c>
      <c r="C51" t="str">
        <f t="shared" si="51"/>
        <v>BAD45D</v>
      </c>
      <c r="D51" s="14" t="str">
        <f t="shared" si="3"/>
        <v>BAD45E</v>
      </c>
      <c r="E51" s="14" t="s">
        <v>886</v>
      </c>
    </row>
    <row r="52">
      <c r="A52" s="14">
        <v>50.0</v>
      </c>
      <c r="B52" t="str">
        <f t="shared" ref="B52:C52" si="52">DEC2HEX(HEX2DEC(C52)-1)</f>
        <v>BAD458</v>
      </c>
      <c r="C52" t="str">
        <f t="shared" si="52"/>
        <v>BAD459</v>
      </c>
      <c r="D52" s="14" t="str">
        <f t="shared" si="3"/>
        <v>BAD45A</v>
      </c>
      <c r="E52" s="14" t="s">
        <v>886</v>
      </c>
    </row>
    <row r="53">
      <c r="A53" s="14">
        <v>51.0</v>
      </c>
      <c r="B53" t="str">
        <f t="shared" ref="B53:C53" si="53">DEC2HEX(HEX2DEC(C53)-1)</f>
        <v>BAD454</v>
      </c>
      <c r="C53" t="str">
        <f t="shared" si="53"/>
        <v>BAD455</v>
      </c>
      <c r="D53" s="14" t="str">
        <f t="shared" si="3"/>
        <v>BAD456</v>
      </c>
      <c r="E53" s="14" t="s">
        <v>886</v>
      </c>
    </row>
    <row r="54">
      <c r="A54" s="14">
        <v>52.0</v>
      </c>
      <c r="B54" t="str">
        <f t="shared" ref="B54:C54" si="54">DEC2HEX(HEX2DEC(C54)-1)</f>
        <v>BAD450</v>
      </c>
      <c r="C54" t="str">
        <f t="shared" si="54"/>
        <v>BAD451</v>
      </c>
      <c r="D54" s="14" t="str">
        <f t="shared" si="3"/>
        <v>BAD452</v>
      </c>
      <c r="E54" s="14" t="s">
        <v>886</v>
      </c>
    </row>
    <row r="55">
      <c r="A55" s="14">
        <v>53.0</v>
      </c>
      <c r="B55" t="str">
        <f t="shared" ref="B55:C55" si="55">DEC2HEX(HEX2DEC(C55)-1)</f>
        <v>BAD44C</v>
      </c>
      <c r="C55" t="str">
        <f t="shared" si="55"/>
        <v>BAD44D</v>
      </c>
      <c r="D55" s="14" t="str">
        <f t="shared" si="3"/>
        <v>BAD44E</v>
      </c>
      <c r="E55" s="14" t="s">
        <v>886</v>
      </c>
    </row>
    <row r="56">
      <c r="A56" s="14">
        <v>54.0</v>
      </c>
      <c r="B56" t="str">
        <f t="shared" ref="B56:C56" si="56">DEC2HEX(HEX2DEC(C56)-1)</f>
        <v>BAD448</v>
      </c>
      <c r="C56" t="str">
        <f t="shared" si="56"/>
        <v>BAD449</v>
      </c>
      <c r="D56" s="14" t="str">
        <f t="shared" si="3"/>
        <v>BAD44A</v>
      </c>
      <c r="E56" s="14" t="s">
        <v>886</v>
      </c>
    </row>
    <row r="57">
      <c r="A57" s="14">
        <v>55.0</v>
      </c>
      <c r="B57" t="str">
        <f t="shared" ref="B57:C57" si="57">DEC2HEX(HEX2DEC(C57)-1)</f>
        <v>BAD444</v>
      </c>
      <c r="C57" t="str">
        <f t="shared" si="57"/>
        <v>BAD445</v>
      </c>
      <c r="D57" s="14" t="str">
        <f t="shared" si="3"/>
        <v>BAD446</v>
      </c>
      <c r="E57" s="14" t="s">
        <v>886</v>
      </c>
    </row>
    <row r="58">
      <c r="A58" s="14">
        <v>56.0</v>
      </c>
      <c r="B58" t="str">
        <f t="shared" ref="B58:C58" si="58">DEC2HEX(HEX2DEC(C58)-1)</f>
        <v>BAD440</v>
      </c>
      <c r="C58" t="str">
        <f t="shared" si="58"/>
        <v>BAD441</v>
      </c>
      <c r="D58" s="14" t="str">
        <f t="shared" si="3"/>
        <v>BAD442</v>
      </c>
      <c r="E58" s="14" t="s">
        <v>886</v>
      </c>
    </row>
    <row r="59">
      <c r="A59" s="14">
        <v>57.0</v>
      </c>
      <c r="B59" t="str">
        <f t="shared" ref="B59:C59" si="59">DEC2HEX(HEX2DEC(C59)-1)</f>
        <v>BAD43C</v>
      </c>
      <c r="C59" t="str">
        <f t="shared" si="59"/>
        <v>BAD43D</v>
      </c>
      <c r="D59" s="14" t="str">
        <f t="shared" si="3"/>
        <v>BAD43E</v>
      </c>
      <c r="E59" s="14" t="s">
        <v>886</v>
      </c>
    </row>
    <row r="60">
      <c r="A60" s="14">
        <v>58.0</v>
      </c>
      <c r="B60" t="str">
        <f t="shared" ref="B60:C60" si="60">DEC2HEX(HEX2DEC(C60)-1)</f>
        <v>BAD438</v>
      </c>
      <c r="C60" t="str">
        <f t="shared" si="60"/>
        <v>BAD439</v>
      </c>
      <c r="D60" s="14" t="str">
        <f t="shared" si="3"/>
        <v>BAD43A</v>
      </c>
      <c r="E60" s="14" t="s">
        <v>886</v>
      </c>
    </row>
    <row r="61">
      <c r="A61" s="14">
        <v>59.0</v>
      </c>
      <c r="B61" t="str">
        <f t="shared" ref="B61:C61" si="61">DEC2HEX(HEX2DEC(C61)-1)</f>
        <v>BAD434</v>
      </c>
      <c r="C61" t="str">
        <f t="shared" si="61"/>
        <v>BAD435</v>
      </c>
      <c r="D61" s="14" t="str">
        <f t="shared" si="3"/>
        <v>BAD436</v>
      </c>
      <c r="E61" s="14" t="s">
        <v>884</v>
      </c>
    </row>
    <row r="62">
      <c r="A62" s="14">
        <v>60.0</v>
      </c>
      <c r="B62" t="str">
        <f t="shared" ref="B62:C62" si="62">DEC2HEX(HEX2DEC(C62)-1)</f>
        <v>BAD430</v>
      </c>
      <c r="C62" t="str">
        <f t="shared" si="62"/>
        <v>BAD431</v>
      </c>
      <c r="D62" s="14" t="str">
        <f t="shared" si="3"/>
        <v>BAD432</v>
      </c>
      <c r="E62" s="14" t="s">
        <v>884</v>
      </c>
    </row>
    <row r="63">
      <c r="A63" s="14">
        <v>61.0</v>
      </c>
      <c r="B63" t="str">
        <f t="shared" ref="B63:C63" si="63">DEC2HEX(HEX2DEC(C63)-1)</f>
        <v>BAD42C</v>
      </c>
      <c r="C63" t="str">
        <f t="shared" si="63"/>
        <v>BAD42D</v>
      </c>
      <c r="D63" s="14" t="str">
        <f t="shared" si="3"/>
        <v>BAD42E</v>
      </c>
      <c r="E63" s="14" t="s">
        <v>884</v>
      </c>
    </row>
    <row r="64">
      <c r="A64" s="14">
        <v>62.0</v>
      </c>
      <c r="B64" t="str">
        <f t="shared" ref="B64:C64" si="64">DEC2HEX(HEX2DEC(C64)-1)</f>
        <v>BAD428</v>
      </c>
      <c r="C64" t="str">
        <f t="shared" si="64"/>
        <v>BAD429</v>
      </c>
      <c r="D64" s="14" t="str">
        <f t="shared" si="3"/>
        <v>BAD42A</v>
      </c>
      <c r="E64" s="14" t="s">
        <v>884</v>
      </c>
    </row>
    <row r="65">
      <c r="A65" s="14">
        <v>63.0</v>
      </c>
      <c r="B65" t="str">
        <f t="shared" ref="B65:C65" si="65">DEC2HEX(HEX2DEC(C65)-1)</f>
        <v>BAD424</v>
      </c>
      <c r="C65" t="str">
        <f t="shared" si="65"/>
        <v>BAD425</v>
      </c>
      <c r="D65" s="14" t="str">
        <f t="shared" si="3"/>
        <v>BAD426</v>
      </c>
      <c r="E65" s="14" t="s">
        <v>884</v>
      </c>
    </row>
    <row r="66">
      <c r="A66" s="14">
        <v>64.0</v>
      </c>
      <c r="B66" t="str">
        <f t="shared" ref="B66:C66" si="66">DEC2HEX(HEX2DEC(C66)-1)</f>
        <v>BAD420</v>
      </c>
      <c r="C66" t="str">
        <f t="shared" si="66"/>
        <v>BAD421</v>
      </c>
      <c r="D66" s="14" t="str">
        <f t="shared" si="3"/>
        <v>BAD422</v>
      </c>
      <c r="E66" s="14" t="s">
        <v>884</v>
      </c>
    </row>
    <row r="67">
      <c r="A67" s="14">
        <v>65.0</v>
      </c>
      <c r="B67" t="str">
        <f t="shared" ref="B67:C67" si="67">DEC2HEX(HEX2DEC(C67)-1)</f>
        <v>BAD41C</v>
      </c>
      <c r="C67" t="str">
        <f t="shared" si="67"/>
        <v>BAD41D</v>
      </c>
      <c r="D67" s="14" t="str">
        <f t="shared" si="3"/>
        <v>BAD41E</v>
      </c>
      <c r="E67" s="14" t="s">
        <v>887</v>
      </c>
    </row>
    <row r="68">
      <c r="A68" s="14">
        <v>66.0</v>
      </c>
      <c r="B68" t="str">
        <f t="shared" ref="B68:C68" si="68">DEC2HEX(HEX2DEC(C68)-1)</f>
        <v>BAD418</v>
      </c>
      <c r="C68" t="str">
        <f t="shared" si="68"/>
        <v>BAD419</v>
      </c>
      <c r="D68" s="14" t="str">
        <f t="shared" si="3"/>
        <v>BAD41A</v>
      </c>
      <c r="E68" s="14" t="s">
        <v>887</v>
      </c>
    </row>
    <row r="69">
      <c r="A69" s="14">
        <v>67.0</v>
      </c>
      <c r="B69" t="str">
        <f t="shared" ref="B69:C69" si="69">DEC2HEX(HEX2DEC(C69)-1)</f>
        <v>BAD414</v>
      </c>
      <c r="C69" t="str">
        <f t="shared" si="69"/>
        <v>BAD415</v>
      </c>
      <c r="D69" s="14" t="str">
        <f t="shared" si="3"/>
        <v>BAD416</v>
      </c>
      <c r="E69" s="14" t="s">
        <v>887</v>
      </c>
    </row>
    <row r="70">
      <c r="A70" s="14">
        <v>68.0</v>
      </c>
      <c r="B70" t="str">
        <f t="shared" ref="B70:C70" si="70">DEC2HEX(HEX2DEC(C70)-1)</f>
        <v>BAD410</v>
      </c>
      <c r="C70" t="str">
        <f t="shared" si="70"/>
        <v>BAD411</v>
      </c>
      <c r="D70" s="14" t="str">
        <f t="shared" si="3"/>
        <v>BAD412</v>
      </c>
      <c r="E70" s="14" t="s">
        <v>887</v>
      </c>
    </row>
    <row r="71">
      <c r="A71" s="14">
        <v>69.0</v>
      </c>
      <c r="B71" t="str">
        <f t="shared" ref="B71:C71" si="71">DEC2HEX(HEX2DEC(C71)-1)</f>
        <v>BAD40C</v>
      </c>
      <c r="C71" t="str">
        <f t="shared" si="71"/>
        <v>BAD40D</v>
      </c>
      <c r="D71" s="14" t="str">
        <f t="shared" si="3"/>
        <v>BAD40E</v>
      </c>
      <c r="E71" s="14" t="s">
        <v>887</v>
      </c>
    </row>
    <row r="72">
      <c r="A72" s="14">
        <v>70.0</v>
      </c>
      <c r="B72" t="str">
        <f t="shared" ref="B72:C72" si="72">DEC2HEX(HEX2DEC(C72)-1)</f>
        <v>BAD408</v>
      </c>
      <c r="C72" t="str">
        <f t="shared" si="72"/>
        <v>BAD409</v>
      </c>
      <c r="D72" s="14" t="str">
        <f t="shared" si="3"/>
        <v>BAD40A</v>
      </c>
      <c r="E72" s="14" t="s">
        <v>887</v>
      </c>
    </row>
    <row r="73">
      <c r="A73" s="14">
        <v>71.0</v>
      </c>
      <c r="B73" t="str">
        <f t="shared" ref="B73:C73" si="73">DEC2HEX(HEX2DEC(C73)-1)</f>
        <v>BAD404</v>
      </c>
      <c r="C73" t="str">
        <f t="shared" si="73"/>
        <v>BAD405</v>
      </c>
      <c r="D73" s="14" t="str">
        <f t="shared" si="3"/>
        <v>BAD406</v>
      </c>
      <c r="E73" s="14" t="s">
        <v>887</v>
      </c>
    </row>
    <row r="74">
      <c r="A74" s="14">
        <v>72.0</v>
      </c>
      <c r="B74" t="str">
        <f t="shared" ref="B74:C74" si="74">DEC2HEX(HEX2DEC(C74)-1)</f>
        <v>BAD400</v>
      </c>
      <c r="C74" t="str">
        <f t="shared" si="74"/>
        <v>BAD401</v>
      </c>
      <c r="D74" s="14" t="str">
        <f t="shared" si="3"/>
        <v>BAD402</v>
      </c>
      <c r="E74" s="14" t="s">
        <v>887</v>
      </c>
    </row>
    <row r="75">
      <c r="A75" s="14">
        <v>73.0</v>
      </c>
      <c r="B75" t="str">
        <f t="shared" ref="B75:C75" si="75">DEC2HEX(HEX2DEC(C75)-1)</f>
        <v>BAD3FC</v>
      </c>
      <c r="C75" t="str">
        <f t="shared" si="75"/>
        <v>BAD3FD</v>
      </c>
      <c r="D75" s="14" t="str">
        <f t="shared" si="3"/>
        <v>BAD3FE</v>
      </c>
      <c r="E75" s="14" t="s">
        <v>887</v>
      </c>
    </row>
    <row r="76">
      <c r="A76" s="14">
        <v>74.0</v>
      </c>
      <c r="B76" t="str">
        <f t="shared" ref="B76:C76" si="76">DEC2HEX(HEX2DEC(C76)-1)</f>
        <v>BAD3F8</v>
      </c>
      <c r="C76" t="str">
        <f t="shared" si="76"/>
        <v>BAD3F9</v>
      </c>
      <c r="D76" s="14" t="str">
        <f t="shared" si="3"/>
        <v>BAD3FA</v>
      </c>
      <c r="E76" s="14" t="s">
        <v>887</v>
      </c>
    </row>
    <row r="77">
      <c r="A77" s="14">
        <v>75.0</v>
      </c>
      <c r="B77" t="str">
        <f t="shared" ref="B77:C77" si="77">DEC2HEX(HEX2DEC(C77)-1)</f>
        <v>BAD3F4</v>
      </c>
      <c r="C77" t="str">
        <f t="shared" si="77"/>
        <v>BAD3F5</v>
      </c>
      <c r="D77" s="14" t="str">
        <f t="shared" si="3"/>
        <v>BAD3F6</v>
      </c>
      <c r="E77" s="14" t="s">
        <v>887</v>
      </c>
    </row>
    <row r="78">
      <c r="A78" s="14">
        <v>76.0</v>
      </c>
      <c r="B78" t="str">
        <f t="shared" ref="B78:C78" si="78">DEC2HEX(HEX2DEC(C78)-1)</f>
        <v>BAD3F0</v>
      </c>
      <c r="C78" t="str">
        <f t="shared" si="78"/>
        <v>BAD3F1</v>
      </c>
      <c r="D78" s="14" t="str">
        <f t="shared" si="3"/>
        <v>BAD3F2</v>
      </c>
      <c r="E78" s="14" t="s">
        <v>887</v>
      </c>
    </row>
    <row r="79">
      <c r="A79" s="14">
        <v>77.0</v>
      </c>
      <c r="B79" t="str">
        <f t="shared" ref="B79:C79" si="79">DEC2HEX(HEX2DEC(C79)-1)</f>
        <v>BAD3EC</v>
      </c>
      <c r="C79" t="str">
        <f t="shared" si="79"/>
        <v>BAD3ED</v>
      </c>
      <c r="D79" s="14" t="str">
        <f t="shared" si="3"/>
        <v>BAD3EE</v>
      </c>
      <c r="E79" s="14" t="s">
        <v>887</v>
      </c>
    </row>
    <row r="80">
      <c r="A80" s="14">
        <v>78.0</v>
      </c>
      <c r="B80" t="str">
        <f t="shared" ref="B80:C80" si="80">DEC2HEX(HEX2DEC(C80)-1)</f>
        <v>BAD3E8</v>
      </c>
      <c r="C80" t="str">
        <f t="shared" si="80"/>
        <v>BAD3E9</v>
      </c>
      <c r="D80" s="14" t="str">
        <f t="shared" si="3"/>
        <v>BAD3EA</v>
      </c>
      <c r="E80" s="14" t="s">
        <v>887</v>
      </c>
    </row>
    <row r="81">
      <c r="A81" s="14">
        <v>79.0</v>
      </c>
      <c r="B81" t="str">
        <f t="shared" ref="B81:C81" si="81">DEC2HEX(HEX2DEC(C81)-1)</f>
        <v>BAD3E4</v>
      </c>
      <c r="C81" t="str">
        <f t="shared" si="81"/>
        <v>BAD3E5</v>
      </c>
      <c r="D81" s="14" t="str">
        <f t="shared" si="3"/>
        <v>BAD3E6</v>
      </c>
      <c r="E81" s="14" t="s">
        <v>887</v>
      </c>
    </row>
    <row r="82">
      <c r="A82" s="14">
        <v>80.0</v>
      </c>
      <c r="B82" t="str">
        <f t="shared" ref="B82:C82" si="82">DEC2HEX(HEX2DEC(C82)-1)</f>
        <v>BAD3E0</v>
      </c>
      <c r="C82" t="str">
        <f t="shared" si="82"/>
        <v>BAD3E1</v>
      </c>
      <c r="D82" s="14" t="str">
        <f t="shared" si="3"/>
        <v>BAD3E2</v>
      </c>
      <c r="E82" s="14" t="s">
        <v>887</v>
      </c>
    </row>
    <row r="83">
      <c r="A83" s="14">
        <v>81.0</v>
      </c>
      <c r="B83" t="str">
        <f t="shared" ref="B83:C83" si="83">DEC2HEX(HEX2DEC(C83)-1)</f>
        <v>BAD3DC</v>
      </c>
      <c r="C83" t="str">
        <f t="shared" si="83"/>
        <v>BAD3DD</v>
      </c>
      <c r="D83" s="14" t="str">
        <f t="shared" si="3"/>
        <v>BAD3DE</v>
      </c>
      <c r="E83" s="14" t="s">
        <v>887</v>
      </c>
    </row>
    <row r="84">
      <c r="A84" s="14">
        <v>82.0</v>
      </c>
      <c r="B84" t="str">
        <f t="shared" ref="B84:C84" si="84">DEC2HEX(HEX2DEC(C84)-1)</f>
        <v>BAD3D8</v>
      </c>
      <c r="C84" t="str">
        <f t="shared" si="84"/>
        <v>BAD3D9</v>
      </c>
      <c r="D84" s="14" t="str">
        <f t="shared" si="3"/>
        <v>BAD3DA</v>
      </c>
      <c r="E84" s="14" t="s">
        <v>887</v>
      </c>
    </row>
    <row r="85">
      <c r="A85" s="14">
        <v>83.0</v>
      </c>
      <c r="B85" t="str">
        <f t="shared" ref="B85:C85" si="85">DEC2HEX(HEX2DEC(C85)-1)</f>
        <v>BAD3D4</v>
      </c>
      <c r="C85" t="str">
        <f t="shared" si="85"/>
        <v>BAD3D5</v>
      </c>
      <c r="D85" s="14" t="str">
        <f t="shared" si="3"/>
        <v>BAD3D6</v>
      </c>
      <c r="E85" s="14" t="s">
        <v>887</v>
      </c>
    </row>
    <row r="86">
      <c r="A86" s="14">
        <v>84.0</v>
      </c>
      <c r="B86" t="str">
        <f t="shared" ref="B86:C86" si="86">DEC2HEX(HEX2DEC(C86)-1)</f>
        <v>BAD3D0</v>
      </c>
      <c r="C86" t="str">
        <f t="shared" si="86"/>
        <v>BAD3D1</v>
      </c>
      <c r="D86" s="14" t="str">
        <f t="shared" si="3"/>
        <v>BAD3D2</v>
      </c>
      <c r="E86" s="14" t="s">
        <v>887</v>
      </c>
    </row>
    <row r="87">
      <c r="A87" s="14">
        <v>85.0</v>
      </c>
      <c r="B87" t="str">
        <f t="shared" ref="B87:C87" si="87">DEC2HEX(HEX2DEC(C87)-1)</f>
        <v>BAD3CC</v>
      </c>
      <c r="C87" t="str">
        <f t="shared" si="87"/>
        <v>BAD3CD</v>
      </c>
      <c r="D87" s="14" t="str">
        <f t="shared" si="3"/>
        <v>BAD3CE</v>
      </c>
      <c r="E87" s="14" t="s">
        <v>884</v>
      </c>
    </row>
    <row r="88">
      <c r="A88" s="14">
        <v>86.0</v>
      </c>
      <c r="B88" t="str">
        <f t="shared" ref="B88:C88" si="88">DEC2HEX(HEX2DEC(C88)-1)</f>
        <v>BAD3C8</v>
      </c>
      <c r="C88" t="str">
        <f t="shared" si="88"/>
        <v>BAD3C9</v>
      </c>
      <c r="D88" s="14" t="str">
        <f t="shared" si="3"/>
        <v>BAD3CA</v>
      </c>
      <c r="E88" s="14" t="s">
        <v>884</v>
      </c>
    </row>
    <row r="89">
      <c r="A89" s="14">
        <v>87.0</v>
      </c>
      <c r="B89" t="str">
        <f t="shared" ref="B89:C89" si="89">DEC2HEX(HEX2DEC(C89)-1)</f>
        <v>BAD3C4</v>
      </c>
      <c r="C89" t="str">
        <f t="shared" si="89"/>
        <v>BAD3C5</v>
      </c>
      <c r="D89" s="14" t="str">
        <f t="shared" si="3"/>
        <v>BAD3C6</v>
      </c>
      <c r="E89" s="14" t="s">
        <v>884</v>
      </c>
    </row>
    <row r="90">
      <c r="A90" s="14">
        <v>88.0</v>
      </c>
      <c r="B90" t="str">
        <f t="shared" ref="B90:C90" si="90">DEC2HEX(HEX2DEC(C90)-1)</f>
        <v>BAD3C0</v>
      </c>
      <c r="C90" t="str">
        <f t="shared" si="90"/>
        <v>BAD3C1</v>
      </c>
      <c r="D90" s="14" t="str">
        <f t="shared" si="3"/>
        <v>BAD3C2</v>
      </c>
      <c r="E90" s="14" t="s">
        <v>884</v>
      </c>
    </row>
    <row r="91">
      <c r="A91" s="14">
        <v>89.0</v>
      </c>
      <c r="B91" t="str">
        <f t="shared" ref="B91:C91" si="91">DEC2HEX(HEX2DEC(C91)-1)</f>
        <v>BAD3BC</v>
      </c>
      <c r="C91" t="str">
        <f t="shared" si="91"/>
        <v>BAD3BD</v>
      </c>
      <c r="D91" s="14" t="str">
        <f t="shared" si="3"/>
        <v>BAD3BE</v>
      </c>
      <c r="E91" s="14" t="s">
        <v>884</v>
      </c>
    </row>
    <row r="92">
      <c r="A92" s="14">
        <v>90.0</v>
      </c>
      <c r="B92" t="str">
        <f t="shared" ref="B92:C92" si="92">DEC2HEX(HEX2DEC(C92)-1)</f>
        <v>BAD3B8</v>
      </c>
      <c r="C92" t="str">
        <f t="shared" si="92"/>
        <v>BAD3B9</v>
      </c>
      <c r="D92" s="14" t="str">
        <f t="shared" si="3"/>
        <v>BAD3BA</v>
      </c>
      <c r="E92" s="14" t="s">
        <v>884</v>
      </c>
    </row>
    <row r="93">
      <c r="A93" s="14">
        <v>91.0</v>
      </c>
      <c r="B93" t="str">
        <f t="shared" ref="B93:C93" si="93">DEC2HEX(HEX2DEC(C93)-1)</f>
        <v>BAD3B4</v>
      </c>
      <c r="C93" t="str">
        <f t="shared" si="93"/>
        <v>BAD3B5</v>
      </c>
      <c r="D93" s="14" t="str">
        <f t="shared" si="3"/>
        <v>BAD3B6</v>
      </c>
      <c r="E93" s="14" t="s">
        <v>888</v>
      </c>
    </row>
    <row r="94">
      <c r="A94" s="14">
        <v>92.0</v>
      </c>
      <c r="B94" t="str">
        <f t="shared" ref="B94:C94" si="94">DEC2HEX(HEX2DEC(C94)-1)</f>
        <v>BAD3B0</v>
      </c>
      <c r="C94" t="str">
        <f t="shared" si="94"/>
        <v>BAD3B1</v>
      </c>
      <c r="D94" s="14" t="str">
        <f t="shared" si="3"/>
        <v>BAD3B2</v>
      </c>
      <c r="E94" s="14" t="s">
        <v>888</v>
      </c>
    </row>
    <row r="95">
      <c r="A95" s="14">
        <v>93.0</v>
      </c>
      <c r="B95" t="str">
        <f t="shared" ref="B95:C95" si="95">DEC2HEX(HEX2DEC(C95)-1)</f>
        <v>BAD3AC</v>
      </c>
      <c r="C95" t="str">
        <f t="shared" si="95"/>
        <v>BAD3AD</v>
      </c>
      <c r="D95" s="14" t="str">
        <f t="shared" si="3"/>
        <v>BAD3AE</v>
      </c>
      <c r="E95" s="14" t="s">
        <v>888</v>
      </c>
    </row>
    <row r="96">
      <c r="A96" s="14">
        <v>94.0</v>
      </c>
      <c r="B96" t="str">
        <f t="shared" ref="B96:C96" si="96">DEC2HEX(HEX2DEC(C96)-1)</f>
        <v>BAD3A8</v>
      </c>
      <c r="C96" t="str">
        <f t="shared" si="96"/>
        <v>BAD3A9</v>
      </c>
      <c r="D96" s="14" t="str">
        <f t="shared" si="3"/>
        <v>BAD3AA</v>
      </c>
      <c r="E96" s="14" t="s">
        <v>888</v>
      </c>
    </row>
    <row r="97">
      <c r="A97" s="14">
        <v>95.0</v>
      </c>
      <c r="B97" t="str">
        <f t="shared" ref="B97:C97" si="97">DEC2HEX(HEX2DEC(C97)-1)</f>
        <v>BAD3A4</v>
      </c>
      <c r="C97" t="str">
        <f t="shared" si="97"/>
        <v>BAD3A5</v>
      </c>
      <c r="D97" s="14" t="str">
        <f t="shared" si="3"/>
        <v>BAD3A6</v>
      </c>
      <c r="E97" s="14" t="s">
        <v>888</v>
      </c>
    </row>
    <row r="98">
      <c r="A98" s="14">
        <v>96.0</v>
      </c>
      <c r="B98" t="str">
        <f t="shared" ref="B98:C98" si="98">DEC2HEX(HEX2DEC(C98)-1)</f>
        <v>BAD3A0</v>
      </c>
      <c r="C98" t="str">
        <f t="shared" si="98"/>
        <v>BAD3A1</v>
      </c>
      <c r="D98" s="14" t="str">
        <f t="shared" si="3"/>
        <v>BAD3A2</v>
      </c>
      <c r="E98" s="14" t="s">
        <v>888</v>
      </c>
    </row>
    <row r="99">
      <c r="A99" s="14">
        <v>97.0</v>
      </c>
      <c r="B99" t="str">
        <f t="shared" ref="B99:C99" si="99">DEC2HEX(HEX2DEC(C99)-1)</f>
        <v>BAD39C</v>
      </c>
      <c r="C99" t="str">
        <f t="shared" si="99"/>
        <v>BAD39D</v>
      </c>
      <c r="D99" s="14" t="str">
        <f t="shared" si="3"/>
        <v>BAD39E</v>
      </c>
      <c r="E99" s="14" t="s">
        <v>888</v>
      </c>
    </row>
    <row r="100">
      <c r="A100" s="14">
        <v>98.0</v>
      </c>
      <c r="B100" t="str">
        <f t="shared" ref="B100:C100" si="100">DEC2HEX(HEX2DEC(C100)-1)</f>
        <v>BAD398</v>
      </c>
      <c r="C100" t="str">
        <f t="shared" si="100"/>
        <v>BAD399</v>
      </c>
      <c r="D100" s="14" t="str">
        <f t="shared" si="3"/>
        <v>BAD39A</v>
      </c>
      <c r="E100" s="14" t="s">
        <v>888</v>
      </c>
    </row>
    <row r="101">
      <c r="A101" s="14">
        <v>99.0</v>
      </c>
      <c r="B101" t="str">
        <f t="shared" ref="B101:C101" si="101">DEC2HEX(HEX2DEC(C101)-1)</f>
        <v>BAD394</v>
      </c>
      <c r="C101" t="str">
        <f t="shared" si="101"/>
        <v>BAD395</v>
      </c>
      <c r="D101" s="14" t="str">
        <f t="shared" si="3"/>
        <v>BAD396</v>
      </c>
      <c r="E101" s="14" t="s">
        <v>888</v>
      </c>
    </row>
    <row r="102">
      <c r="A102" s="14">
        <v>100.0</v>
      </c>
      <c r="B102" t="str">
        <f t="shared" ref="B102:C102" si="102">DEC2HEX(HEX2DEC(C102)-1)</f>
        <v>BAD390</v>
      </c>
      <c r="C102" t="str">
        <f t="shared" si="102"/>
        <v>BAD391</v>
      </c>
      <c r="D102" s="14" t="str">
        <f t="shared" si="3"/>
        <v>BAD392</v>
      </c>
      <c r="E102" s="14" t="s">
        <v>888</v>
      </c>
    </row>
    <row r="103">
      <c r="A103" s="14">
        <v>101.0</v>
      </c>
      <c r="B103" t="str">
        <f t="shared" ref="B103:C103" si="103">DEC2HEX(HEX2DEC(C103)-1)</f>
        <v>BAD38C</v>
      </c>
      <c r="C103" t="str">
        <f t="shared" si="103"/>
        <v>BAD38D</v>
      </c>
      <c r="D103" s="14" t="str">
        <f t="shared" si="3"/>
        <v>BAD38E</v>
      </c>
      <c r="E103" s="14" t="s">
        <v>888</v>
      </c>
    </row>
    <row r="104">
      <c r="A104" s="14">
        <v>102.0</v>
      </c>
      <c r="B104" t="str">
        <f t="shared" ref="B104:C104" si="104">DEC2HEX(HEX2DEC(C104)-1)</f>
        <v>BAD388</v>
      </c>
      <c r="C104" t="str">
        <f t="shared" si="104"/>
        <v>BAD389</v>
      </c>
      <c r="D104" s="14" t="str">
        <f t="shared" si="3"/>
        <v>BAD38A</v>
      </c>
      <c r="E104" s="14" t="s">
        <v>888</v>
      </c>
    </row>
    <row r="105">
      <c r="A105" s="14">
        <v>103.0</v>
      </c>
      <c r="B105" t="str">
        <f t="shared" ref="B105:C105" si="105">DEC2HEX(HEX2DEC(C105)-1)</f>
        <v>BAD384</v>
      </c>
      <c r="C105" t="str">
        <f t="shared" si="105"/>
        <v>BAD385</v>
      </c>
      <c r="D105" s="14" t="str">
        <f t="shared" si="3"/>
        <v>BAD386</v>
      </c>
      <c r="E105" s="14" t="s">
        <v>888</v>
      </c>
    </row>
    <row r="106">
      <c r="A106" s="14">
        <v>104.0</v>
      </c>
      <c r="B106" t="str">
        <f t="shared" ref="B106:C106" si="106">DEC2HEX(HEX2DEC(C106)-1)</f>
        <v>BAD380</v>
      </c>
      <c r="C106" t="str">
        <f t="shared" si="106"/>
        <v>BAD381</v>
      </c>
      <c r="D106" s="14" t="str">
        <f t="shared" si="3"/>
        <v>BAD382</v>
      </c>
      <c r="E106" s="14" t="s">
        <v>888</v>
      </c>
    </row>
    <row r="107">
      <c r="A107" s="14">
        <v>105.0</v>
      </c>
      <c r="B107" t="str">
        <f t="shared" ref="B107:C107" si="107">DEC2HEX(HEX2DEC(C107)-1)</f>
        <v>BAD37C</v>
      </c>
      <c r="C107" t="str">
        <f t="shared" si="107"/>
        <v>BAD37D</v>
      </c>
      <c r="D107" s="14" t="str">
        <f t="shared" si="3"/>
        <v>BAD37E</v>
      </c>
      <c r="E107" s="14" t="s">
        <v>888</v>
      </c>
    </row>
    <row r="108">
      <c r="A108" s="14">
        <v>106.0</v>
      </c>
      <c r="B108" t="str">
        <f t="shared" ref="B108:C108" si="108">DEC2HEX(HEX2DEC(C108)-1)</f>
        <v>BAD378</v>
      </c>
      <c r="C108" t="str">
        <f t="shared" si="108"/>
        <v>BAD379</v>
      </c>
      <c r="D108" s="14" t="str">
        <f t="shared" si="3"/>
        <v>BAD37A</v>
      </c>
      <c r="E108" s="14" t="s">
        <v>888</v>
      </c>
    </row>
    <row r="109">
      <c r="A109" s="14">
        <v>107.0</v>
      </c>
      <c r="B109" t="str">
        <f t="shared" ref="B109:C109" si="109">DEC2HEX(HEX2DEC(C109)-1)</f>
        <v>BAD374</v>
      </c>
      <c r="C109" t="str">
        <f t="shared" si="109"/>
        <v>BAD375</v>
      </c>
      <c r="D109" s="14" t="str">
        <f t="shared" si="3"/>
        <v>BAD376</v>
      </c>
      <c r="E109" s="14" t="s">
        <v>888</v>
      </c>
    </row>
    <row r="110">
      <c r="A110" s="14">
        <v>108.0</v>
      </c>
      <c r="B110" t="str">
        <f t="shared" ref="B110:C110" si="110">DEC2HEX(HEX2DEC(C110)-1)</f>
        <v>BAD370</v>
      </c>
      <c r="C110" t="str">
        <f t="shared" si="110"/>
        <v>BAD371</v>
      </c>
      <c r="D110" s="14" t="str">
        <f t="shared" si="3"/>
        <v>BAD372</v>
      </c>
      <c r="E110" s="14" t="s">
        <v>888</v>
      </c>
    </row>
    <row r="111">
      <c r="A111" s="14">
        <v>109.0</v>
      </c>
      <c r="B111" t="str">
        <f t="shared" ref="B111:C111" si="111">DEC2HEX(HEX2DEC(C111)-1)</f>
        <v>BAD36C</v>
      </c>
      <c r="C111" t="str">
        <f t="shared" si="111"/>
        <v>BAD36D</v>
      </c>
      <c r="D111" s="14" t="str">
        <f t="shared" si="3"/>
        <v>BAD36E</v>
      </c>
      <c r="E111" s="14" t="s">
        <v>888</v>
      </c>
    </row>
    <row r="112">
      <c r="A112" s="14">
        <v>110.0</v>
      </c>
      <c r="B112" t="str">
        <f t="shared" ref="B112:C112" si="112">DEC2HEX(HEX2DEC(C112)-1)</f>
        <v>BAD368</v>
      </c>
      <c r="C112" t="str">
        <f t="shared" si="112"/>
        <v>BAD369</v>
      </c>
      <c r="D112" s="14" t="str">
        <f t="shared" si="3"/>
        <v>BAD36A</v>
      </c>
      <c r="E112" s="14" t="s">
        <v>888</v>
      </c>
    </row>
    <row r="113">
      <c r="A113" s="14">
        <v>111.0</v>
      </c>
      <c r="B113" t="str">
        <f t="shared" ref="B113:C113" si="113">DEC2HEX(HEX2DEC(C113)-1)</f>
        <v>BAD364</v>
      </c>
      <c r="C113" t="str">
        <f t="shared" si="113"/>
        <v>BAD365</v>
      </c>
      <c r="D113" s="14" t="str">
        <f t="shared" si="3"/>
        <v>BAD366</v>
      </c>
      <c r="E113" s="14" t="s">
        <v>884</v>
      </c>
    </row>
    <row r="114">
      <c r="A114" s="14">
        <v>112.0</v>
      </c>
      <c r="B114" t="str">
        <f t="shared" ref="B114:C114" si="114">DEC2HEX(HEX2DEC(C114)-1)</f>
        <v>BAD360</v>
      </c>
      <c r="C114" t="str">
        <f t="shared" si="114"/>
        <v>BAD361</v>
      </c>
      <c r="D114" s="14" t="str">
        <f t="shared" si="3"/>
        <v>BAD362</v>
      </c>
      <c r="E114" s="14" t="s">
        <v>884</v>
      </c>
    </row>
    <row r="115">
      <c r="A115" s="14">
        <v>113.0</v>
      </c>
      <c r="B115" t="str">
        <f t="shared" ref="B115:C115" si="115">DEC2HEX(HEX2DEC(C115)-1)</f>
        <v>BAD35C</v>
      </c>
      <c r="C115" t="str">
        <f t="shared" si="115"/>
        <v>BAD35D</v>
      </c>
      <c r="D115" s="14" t="str">
        <f t="shared" si="3"/>
        <v>BAD35E</v>
      </c>
      <c r="E115" s="14" t="s">
        <v>884</v>
      </c>
    </row>
    <row r="116">
      <c r="A116" s="14">
        <v>114.0</v>
      </c>
      <c r="B116" t="str">
        <f t="shared" ref="B116:C116" si="116">DEC2HEX(HEX2DEC(C116)-1)</f>
        <v>BAD358</v>
      </c>
      <c r="C116" t="str">
        <f t="shared" si="116"/>
        <v>BAD359</v>
      </c>
      <c r="D116" s="14" t="str">
        <f t="shared" si="3"/>
        <v>BAD35A</v>
      </c>
      <c r="E116" s="14" t="s">
        <v>884</v>
      </c>
    </row>
    <row r="117">
      <c r="A117" s="14">
        <v>115.0</v>
      </c>
      <c r="B117" t="str">
        <f t="shared" ref="B117:C117" si="117">DEC2HEX(HEX2DEC(C117)-1)</f>
        <v>BAD354</v>
      </c>
      <c r="C117" t="str">
        <f t="shared" si="117"/>
        <v>BAD355</v>
      </c>
      <c r="D117" s="14" t="str">
        <f t="shared" si="3"/>
        <v>BAD356</v>
      </c>
      <c r="E117" s="14" t="s">
        <v>884</v>
      </c>
    </row>
    <row r="118">
      <c r="A118" s="14">
        <v>116.0</v>
      </c>
      <c r="B118" t="str">
        <f t="shared" ref="B118:C118" si="118">DEC2HEX(HEX2DEC(C118)-1)</f>
        <v>BAD350</v>
      </c>
      <c r="C118" t="str">
        <f t="shared" si="118"/>
        <v>BAD351</v>
      </c>
      <c r="D118" s="14" t="str">
        <f t="shared" si="3"/>
        <v>BAD352</v>
      </c>
      <c r="E118" s="14" t="s">
        <v>884</v>
      </c>
    </row>
    <row r="119">
      <c r="A119" s="14">
        <v>117.0</v>
      </c>
      <c r="B119" t="str">
        <f t="shared" ref="B119:C119" si="119">DEC2HEX(HEX2DEC(C119)-1)</f>
        <v>BAD34C</v>
      </c>
      <c r="C119" t="str">
        <f t="shared" si="119"/>
        <v>BAD34D</v>
      </c>
      <c r="D119" s="14" t="str">
        <f t="shared" si="3"/>
        <v>BAD34E</v>
      </c>
      <c r="E119" s="14" t="s">
        <v>889</v>
      </c>
    </row>
    <row r="120">
      <c r="A120" s="14">
        <v>118.0</v>
      </c>
      <c r="B120" t="str">
        <f t="shared" ref="B120:C120" si="120">DEC2HEX(HEX2DEC(C120)-1)</f>
        <v>BAD348</v>
      </c>
      <c r="C120" t="str">
        <f t="shared" si="120"/>
        <v>BAD349</v>
      </c>
      <c r="D120" s="14" t="str">
        <f t="shared" si="3"/>
        <v>BAD34A</v>
      </c>
      <c r="E120" s="14" t="s">
        <v>889</v>
      </c>
    </row>
    <row r="121">
      <c r="A121" s="14">
        <v>119.0</v>
      </c>
      <c r="B121" t="str">
        <f t="shared" ref="B121:C121" si="121">DEC2HEX(HEX2DEC(C121)-1)</f>
        <v>BAD344</v>
      </c>
      <c r="C121" t="str">
        <f t="shared" si="121"/>
        <v>BAD345</v>
      </c>
      <c r="D121" s="14" t="str">
        <f t="shared" si="3"/>
        <v>BAD346</v>
      </c>
      <c r="E121" s="14" t="s">
        <v>889</v>
      </c>
    </row>
    <row r="122">
      <c r="A122" s="14">
        <v>120.0</v>
      </c>
      <c r="B122" t="str">
        <f t="shared" ref="B122:C122" si="122">DEC2HEX(HEX2DEC(C122)-1)</f>
        <v>BAD340</v>
      </c>
      <c r="C122" t="str">
        <f t="shared" si="122"/>
        <v>BAD341</v>
      </c>
      <c r="D122" s="14" t="str">
        <f t="shared" si="3"/>
        <v>BAD342</v>
      </c>
      <c r="E122" s="14" t="s">
        <v>889</v>
      </c>
    </row>
    <row r="123">
      <c r="A123" s="14">
        <v>121.0</v>
      </c>
      <c r="B123" t="str">
        <f t="shared" ref="B123:C123" si="123">DEC2HEX(HEX2DEC(C123)-1)</f>
        <v>BAD33C</v>
      </c>
      <c r="C123" t="str">
        <f t="shared" si="123"/>
        <v>BAD33D</v>
      </c>
      <c r="D123" s="14" t="str">
        <f t="shared" si="3"/>
        <v>BAD33E</v>
      </c>
      <c r="E123" s="14" t="s">
        <v>889</v>
      </c>
    </row>
    <row r="124">
      <c r="A124" s="14">
        <v>122.0</v>
      </c>
      <c r="B124" t="str">
        <f t="shared" ref="B124:C124" si="124">DEC2HEX(HEX2DEC(C124)-1)</f>
        <v>BAD338</v>
      </c>
      <c r="C124" t="str">
        <f t="shared" si="124"/>
        <v>BAD339</v>
      </c>
      <c r="D124" s="14" t="str">
        <f t="shared" si="3"/>
        <v>BAD33A</v>
      </c>
      <c r="E124" s="14" t="s">
        <v>889</v>
      </c>
    </row>
    <row r="125">
      <c r="A125" s="14">
        <v>123.0</v>
      </c>
      <c r="B125" t="str">
        <f t="shared" ref="B125:C125" si="125">DEC2HEX(HEX2DEC(C125)-1)</f>
        <v>BAD334</v>
      </c>
      <c r="C125" t="str">
        <f t="shared" si="125"/>
        <v>BAD335</v>
      </c>
      <c r="D125" s="14" t="str">
        <f t="shared" si="3"/>
        <v>BAD336</v>
      </c>
      <c r="E125" s="14" t="s">
        <v>889</v>
      </c>
    </row>
    <row r="126">
      <c r="A126" s="14">
        <v>124.0</v>
      </c>
      <c r="B126" t="str">
        <f t="shared" ref="B126:C126" si="126">DEC2HEX(HEX2DEC(C126)-1)</f>
        <v>BAD330</v>
      </c>
      <c r="C126" t="str">
        <f t="shared" si="126"/>
        <v>BAD331</v>
      </c>
      <c r="D126" s="14" t="str">
        <f t="shared" si="3"/>
        <v>BAD332</v>
      </c>
      <c r="E126" s="14" t="s">
        <v>889</v>
      </c>
    </row>
    <row r="127">
      <c r="A127" s="14">
        <v>125.0</v>
      </c>
      <c r="B127" t="str">
        <f t="shared" ref="B127:C127" si="127">DEC2HEX(HEX2DEC(C127)-1)</f>
        <v>BAD32C</v>
      </c>
      <c r="C127" t="str">
        <f t="shared" si="127"/>
        <v>BAD32D</v>
      </c>
      <c r="D127" s="14" t="str">
        <f t="shared" si="3"/>
        <v>BAD32E</v>
      </c>
      <c r="E127" s="14" t="s">
        <v>889</v>
      </c>
    </row>
    <row r="128">
      <c r="A128" s="14">
        <v>126.0</v>
      </c>
      <c r="B128" t="str">
        <f t="shared" ref="B128:C128" si="128">DEC2HEX(HEX2DEC(C128)-1)</f>
        <v>BAD328</v>
      </c>
      <c r="C128" t="str">
        <f t="shared" si="128"/>
        <v>BAD329</v>
      </c>
      <c r="D128" s="14" t="str">
        <f t="shared" si="3"/>
        <v>BAD32A</v>
      </c>
      <c r="E128" s="14" t="s">
        <v>889</v>
      </c>
    </row>
    <row r="129">
      <c r="A129" s="14">
        <v>127.0</v>
      </c>
      <c r="B129" t="str">
        <f t="shared" ref="B129:C129" si="129">DEC2HEX(HEX2DEC(C129)-1)</f>
        <v>BAD324</v>
      </c>
      <c r="C129" t="str">
        <f t="shared" si="129"/>
        <v>BAD325</v>
      </c>
      <c r="D129" s="14" t="str">
        <f t="shared" si="3"/>
        <v>BAD326</v>
      </c>
      <c r="E129" s="14" t="s">
        <v>889</v>
      </c>
    </row>
    <row r="130">
      <c r="A130" s="14">
        <v>128.0</v>
      </c>
      <c r="B130" t="str">
        <f t="shared" ref="B130:C130" si="130">DEC2HEX(HEX2DEC(C130)-1)</f>
        <v>BAD320</v>
      </c>
      <c r="C130" t="str">
        <f t="shared" si="130"/>
        <v>BAD321</v>
      </c>
      <c r="D130" s="14" t="str">
        <f t="shared" si="3"/>
        <v>BAD322</v>
      </c>
      <c r="E130" s="14" t="s">
        <v>889</v>
      </c>
    </row>
    <row r="131">
      <c r="A131" s="14">
        <v>129.0</v>
      </c>
      <c r="B131" t="str">
        <f t="shared" ref="B131:C131" si="131">DEC2HEX(HEX2DEC(C131)-1)</f>
        <v>BAD31C</v>
      </c>
      <c r="C131" t="str">
        <f t="shared" si="131"/>
        <v>BAD31D</v>
      </c>
      <c r="D131" s="14" t="str">
        <f t="shared" si="3"/>
        <v>BAD31E</v>
      </c>
      <c r="E131" s="14" t="s">
        <v>889</v>
      </c>
    </row>
    <row r="132">
      <c r="A132" s="14">
        <v>130.0</v>
      </c>
      <c r="B132" t="str">
        <f t="shared" ref="B132:C132" si="132">DEC2HEX(HEX2DEC(C132)-1)</f>
        <v>BAD318</v>
      </c>
      <c r="C132" t="str">
        <f t="shared" si="132"/>
        <v>BAD319</v>
      </c>
      <c r="D132" s="14" t="str">
        <f t="shared" si="3"/>
        <v>BAD31A</v>
      </c>
      <c r="E132" s="14" t="s">
        <v>889</v>
      </c>
    </row>
    <row r="133">
      <c r="A133" s="14">
        <v>131.0</v>
      </c>
      <c r="B133" t="str">
        <f t="shared" ref="B133:C133" si="133">DEC2HEX(HEX2DEC(C133)-1)</f>
        <v>BAD314</v>
      </c>
      <c r="C133" t="str">
        <f t="shared" si="133"/>
        <v>BAD315</v>
      </c>
      <c r="D133" s="14" t="str">
        <f t="shared" si="3"/>
        <v>BAD316</v>
      </c>
      <c r="E133" s="14" t="s">
        <v>889</v>
      </c>
    </row>
    <row r="134">
      <c r="A134" s="14">
        <v>132.0</v>
      </c>
      <c r="B134" t="str">
        <f t="shared" ref="B134:C134" si="134">DEC2HEX(HEX2DEC(C134)-1)</f>
        <v>BAD310</v>
      </c>
      <c r="C134" t="str">
        <f t="shared" si="134"/>
        <v>BAD311</v>
      </c>
      <c r="D134" s="14" t="str">
        <f t="shared" si="3"/>
        <v>BAD312</v>
      </c>
      <c r="E134" s="14" t="s">
        <v>889</v>
      </c>
    </row>
    <row r="135">
      <c r="A135" s="14">
        <v>133.0</v>
      </c>
      <c r="B135" t="str">
        <f t="shared" ref="B135:C135" si="135">DEC2HEX(HEX2DEC(C135)-1)</f>
        <v>BAD30C</v>
      </c>
      <c r="C135" t="str">
        <f t="shared" si="135"/>
        <v>BAD30D</v>
      </c>
      <c r="D135" s="14" t="str">
        <f t="shared" si="3"/>
        <v>BAD30E</v>
      </c>
      <c r="E135" s="14" t="s">
        <v>889</v>
      </c>
    </row>
    <row r="136">
      <c r="A136" s="14">
        <v>134.0</v>
      </c>
      <c r="B136" t="str">
        <f t="shared" ref="B136:C136" si="136">DEC2HEX(HEX2DEC(C136)-1)</f>
        <v>BAD308</v>
      </c>
      <c r="C136" t="str">
        <f t="shared" si="136"/>
        <v>BAD309</v>
      </c>
      <c r="D136" s="14" t="str">
        <f t="shared" si="3"/>
        <v>BAD30A</v>
      </c>
      <c r="E136" s="14" t="s">
        <v>889</v>
      </c>
    </row>
    <row r="137">
      <c r="A137" s="14">
        <v>135.0</v>
      </c>
      <c r="B137" t="str">
        <f t="shared" ref="B137:C137" si="137">DEC2HEX(HEX2DEC(C137)-1)</f>
        <v>BAD304</v>
      </c>
      <c r="C137" t="str">
        <f t="shared" si="137"/>
        <v>BAD305</v>
      </c>
      <c r="D137" s="14" t="str">
        <f t="shared" si="3"/>
        <v>BAD306</v>
      </c>
      <c r="E137" s="14" t="s">
        <v>889</v>
      </c>
    </row>
    <row r="138">
      <c r="A138" s="14">
        <v>136.0</v>
      </c>
      <c r="B138" t="str">
        <f t="shared" ref="B138:C138" si="138">DEC2HEX(HEX2DEC(C138)-1)</f>
        <v>BAD300</v>
      </c>
      <c r="C138" t="str">
        <f t="shared" si="138"/>
        <v>BAD301</v>
      </c>
      <c r="D138" s="14" t="str">
        <f t="shared" si="3"/>
        <v>BAD302</v>
      </c>
      <c r="E138" s="14" t="s">
        <v>889</v>
      </c>
    </row>
    <row r="139">
      <c r="A139" s="14">
        <v>137.0</v>
      </c>
      <c r="B139" t="str">
        <f t="shared" ref="B139:C139" si="139">DEC2HEX(HEX2DEC(C139)-1)</f>
        <v>BAD2FC</v>
      </c>
      <c r="C139" t="str">
        <f t="shared" si="139"/>
        <v>BAD2FD</v>
      </c>
      <c r="D139" s="14" t="str">
        <f t="shared" si="3"/>
        <v>BAD2FE</v>
      </c>
      <c r="E139" s="14" t="s">
        <v>884</v>
      </c>
    </row>
    <row r="140">
      <c r="A140" s="14">
        <v>138.0</v>
      </c>
      <c r="B140" t="str">
        <f t="shared" ref="B140:C140" si="140">DEC2HEX(HEX2DEC(C140)-1)</f>
        <v>BAD2F8</v>
      </c>
      <c r="C140" t="str">
        <f t="shared" si="140"/>
        <v>BAD2F9</v>
      </c>
      <c r="D140" s="14" t="str">
        <f t="shared" si="3"/>
        <v>BAD2FA</v>
      </c>
      <c r="E140" s="14" t="s">
        <v>884</v>
      </c>
    </row>
    <row r="141">
      <c r="A141" s="14">
        <v>139.0</v>
      </c>
      <c r="B141" t="str">
        <f t="shared" ref="B141:C141" si="141">DEC2HEX(HEX2DEC(C141)-1)</f>
        <v>BAD2F4</v>
      </c>
      <c r="C141" t="str">
        <f t="shared" si="141"/>
        <v>BAD2F5</v>
      </c>
      <c r="D141" s="14" t="str">
        <f t="shared" si="3"/>
        <v>BAD2F6</v>
      </c>
      <c r="E141" s="14" t="s">
        <v>884</v>
      </c>
    </row>
    <row r="142">
      <c r="A142" s="14">
        <v>140.0</v>
      </c>
      <c r="B142" t="str">
        <f t="shared" ref="B142:C142" si="142">DEC2HEX(HEX2DEC(C142)-1)</f>
        <v>BAD2F0</v>
      </c>
      <c r="C142" t="str">
        <f t="shared" si="142"/>
        <v>BAD2F1</v>
      </c>
      <c r="D142" s="14" t="str">
        <f t="shared" si="3"/>
        <v>BAD2F2</v>
      </c>
      <c r="E142" s="14" t="s">
        <v>884</v>
      </c>
    </row>
    <row r="143">
      <c r="A143" s="14">
        <v>141.0</v>
      </c>
      <c r="B143" t="str">
        <f t="shared" ref="B143:C143" si="143">DEC2HEX(HEX2DEC(C143)-1)</f>
        <v>BAD2EC</v>
      </c>
      <c r="C143" t="str">
        <f t="shared" si="143"/>
        <v>BAD2ED</v>
      </c>
      <c r="D143" s="14" t="str">
        <f t="shared" si="3"/>
        <v>BAD2EE</v>
      </c>
      <c r="E143" s="14" t="s">
        <v>884</v>
      </c>
    </row>
    <row r="144">
      <c r="A144" s="14">
        <v>142.0</v>
      </c>
      <c r="B144" t="str">
        <f t="shared" ref="B144:C144" si="144">DEC2HEX(HEX2DEC(C144)-1)</f>
        <v>BAD2E8</v>
      </c>
      <c r="C144" t="str">
        <f t="shared" si="144"/>
        <v>BAD2E9</v>
      </c>
      <c r="D144" s="14" t="str">
        <f t="shared" si="3"/>
        <v>BAD2EA</v>
      </c>
      <c r="E144" s="14" t="s">
        <v>884</v>
      </c>
    </row>
    <row r="145">
      <c r="A145" s="14">
        <v>143.0</v>
      </c>
      <c r="B145" t="str">
        <f t="shared" ref="B145:C145" si="145">DEC2HEX(HEX2DEC(C145)-1)</f>
        <v>BAD2E4</v>
      </c>
      <c r="C145" t="str">
        <f t="shared" si="145"/>
        <v>BAD2E5</v>
      </c>
      <c r="D145" s="14" t="str">
        <f t="shared" si="3"/>
        <v>BAD2E6</v>
      </c>
      <c r="E145" s="14" t="s">
        <v>890</v>
      </c>
    </row>
    <row r="146">
      <c r="A146" s="14">
        <v>144.0</v>
      </c>
      <c r="B146" t="str">
        <f t="shared" ref="B146:C146" si="146">DEC2HEX(HEX2DEC(C146)-1)</f>
        <v>BAD2E0</v>
      </c>
      <c r="C146" t="str">
        <f t="shared" si="146"/>
        <v>BAD2E1</v>
      </c>
      <c r="D146" s="14" t="str">
        <f t="shared" si="3"/>
        <v>BAD2E2</v>
      </c>
      <c r="E146" s="14" t="s">
        <v>890</v>
      </c>
    </row>
    <row r="147">
      <c r="A147" s="14">
        <v>145.0</v>
      </c>
      <c r="B147" t="str">
        <f t="shared" ref="B147:C147" si="147">DEC2HEX(HEX2DEC(C147)-1)</f>
        <v>BAD2DC</v>
      </c>
      <c r="C147" t="str">
        <f t="shared" si="147"/>
        <v>BAD2DD</v>
      </c>
      <c r="D147" s="14" t="str">
        <f t="shared" si="3"/>
        <v>BAD2DE</v>
      </c>
      <c r="E147" s="14" t="s">
        <v>890</v>
      </c>
    </row>
    <row r="148">
      <c r="A148" s="14">
        <v>146.0</v>
      </c>
      <c r="B148" t="str">
        <f t="shared" ref="B148:C148" si="148">DEC2HEX(HEX2DEC(C148)-1)</f>
        <v>BAD2D8</v>
      </c>
      <c r="C148" t="str">
        <f t="shared" si="148"/>
        <v>BAD2D9</v>
      </c>
      <c r="D148" s="14" t="str">
        <f t="shared" si="3"/>
        <v>BAD2DA</v>
      </c>
      <c r="E148" s="14" t="s">
        <v>890</v>
      </c>
    </row>
    <row r="149">
      <c r="A149" s="14">
        <v>147.0</v>
      </c>
      <c r="B149" t="str">
        <f t="shared" ref="B149:C149" si="149">DEC2HEX(HEX2DEC(C149)-1)</f>
        <v>BAD2D4</v>
      </c>
      <c r="C149" t="str">
        <f t="shared" si="149"/>
        <v>BAD2D5</v>
      </c>
      <c r="D149" s="14" t="str">
        <f t="shared" si="3"/>
        <v>BAD2D6</v>
      </c>
      <c r="E149" s="14" t="s">
        <v>890</v>
      </c>
    </row>
    <row r="150">
      <c r="A150" s="14">
        <v>148.0</v>
      </c>
      <c r="B150" t="str">
        <f t="shared" ref="B150:C150" si="150">DEC2HEX(HEX2DEC(C150)-1)</f>
        <v>BAD2D0</v>
      </c>
      <c r="C150" t="str">
        <f t="shared" si="150"/>
        <v>BAD2D1</v>
      </c>
      <c r="D150" s="14" t="str">
        <f t="shared" si="3"/>
        <v>BAD2D2</v>
      </c>
      <c r="E150" s="14" t="s">
        <v>890</v>
      </c>
    </row>
    <row r="151">
      <c r="A151" s="14">
        <v>149.0</v>
      </c>
      <c r="B151" t="str">
        <f t="shared" ref="B151:C151" si="151">DEC2HEX(HEX2DEC(C151)-1)</f>
        <v>BAD2CC</v>
      </c>
      <c r="C151" t="str">
        <f t="shared" si="151"/>
        <v>BAD2CD</v>
      </c>
      <c r="D151" s="14" t="str">
        <f t="shared" si="3"/>
        <v>BAD2CE</v>
      </c>
      <c r="E151" s="14" t="s">
        <v>891</v>
      </c>
    </row>
    <row r="152">
      <c r="A152" s="14">
        <v>150.0</v>
      </c>
      <c r="B152" t="str">
        <f t="shared" ref="B152:C152" si="152">DEC2HEX(HEX2DEC(C152)-1)</f>
        <v>BAD2C8</v>
      </c>
      <c r="C152" t="str">
        <f t="shared" si="152"/>
        <v>BAD2C9</v>
      </c>
      <c r="D152" s="14" t="str">
        <f t="shared" si="3"/>
        <v>BAD2CA</v>
      </c>
      <c r="E152" s="14" t="s">
        <v>890</v>
      </c>
    </row>
    <row r="153">
      <c r="A153" s="14">
        <v>151.0</v>
      </c>
      <c r="B153" t="str">
        <f t="shared" ref="B153:C153" si="153">DEC2HEX(HEX2DEC(C153)-1)</f>
        <v>BAD2C4</v>
      </c>
      <c r="C153" t="str">
        <f t="shared" si="153"/>
        <v>BAD2C5</v>
      </c>
      <c r="D153" s="14" t="str">
        <f t="shared" si="3"/>
        <v>BAD2C6</v>
      </c>
      <c r="E153" s="14" t="s">
        <v>890</v>
      </c>
    </row>
    <row r="154">
      <c r="A154" s="14">
        <v>152.0</v>
      </c>
      <c r="B154" t="str">
        <f t="shared" ref="B154:C154" si="154">DEC2HEX(HEX2DEC(C154)-1)</f>
        <v>BAD2C0</v>
      </c>
      <c r="C154" t="str">
        <f t="shared" si="154"/>
        <v>BAD2C1</v>
      </c>
      <c r="D154" s="14" t="str">
        <f t="shared" si="3"/>
        <v>BAD2C2</v>
      </c>
      <c r="E154" s="14" t="s">
        <v>890</v>
      </c>
    </row>
    <row r="155">
      <c r="A155" s="14">
        <v>153.0</v>
      </c>
      <c r="B155" t="str">
        <f t="shared" ref="B155:C155" si="155">DEC2HEX(HEX2DEC(C155)-1)</f>
        <v>BAD2BC</v>
      </c>
      <c r="C155" t="str">
        <f t="shared" si="155"/>
        <v>BAD2BD</v>
      </c>
      <c r="D155" s="14" t="str">
        <f t="shared" si="3"/>
        <v>BAD2BE</v>
      </c>
      <c r="E155" s="14" t="s">
        <v>890</v>
      </c>
    </row>
    <row r="156">
      <c r="A156" s="14">
        <v>154.0</v>
      </c>
      <c r="B156" t="str">
        <f t="shared" ref="B156:C156" si="156">DEC2HEX(HEX2DEC(C156)-1)</f>
        <v>BAD2B8</v>
      </c>
      <c r="C156" t="str">
        <f t="shared" si="156"/>
        <v>BAD2B9</v>
      </c>
      <c r="D156" s="14" t="str">
        <f t="shared" si="3"/>
        <v>BAD2BA</v>
      </c>
      <c r="E156" s="14" t="s">
        <v>890</v>
      </c>
    </row>
    <row r="157">
      <c r="A157" s="14">
        <v>155.0</v>
      </c>
      <c r="B157" t="str">
        <f t="shared" ref="B157:C157" si="157">DEC2HEX(HEX2DEC(C157)-1)</f>
        <v>BAD2B4</v>
      </c>
      <c r="C157" t="str">
        <f t="shared" si="157"/>
        <v>BAD2B5</v>
      </c>
      <c r="D157" s="14" t="str">
        <f t="shared" si="3"/>
        <v>BAD2B6</v>
      </c>
      <c r="E157" s="14" t="s">
        <v>890</v>
      </c>
    </row>
    <row r="158">
      <c r="A158" s="14">
        <v>156.0</v>
      </c>
      <c r="B158" t="str">
        <f t="shared" ref="B158:C158" si="158">DEC2HEX(HEX2DEC(C158)-1)</f>
        <v>BAD2B0</v>
      </c>
      <c r="C158" t="str">
        <f t="shared" si="158"/>
        <v>BAD2B1</v>
      </c>
      <c r="D158" s="14" t="str">
        <f t="shared" si="3"/>
        <v>BAD2B2</v>
      </c>
      <c r="E158" s="14" t="s">
        <v>890</v>
      </c>
    </row>
    <row r="159">
      <c r="A159" s="14">
        <v>157.0</v>
      </c>
      <c r="B159" t="str">
        <f t="shared" ref="B159:C159" si="159">DEC2HEX(HEX2DEC(C159)-1)</f>
        <v>BAD2AC</v>
      </c>
      <c r="C159" t="str">
        <f t="shared" si="159"/>
        <v>BAD2AD</v>
      </c>
      <c r="D159" s="14" t="str">
        <f t="shared" si="3"/>
        <v>BAD2AE</v>
      </c>
      <c r="E159" s="14" t="s">
        <v>890</v>
      </c>
    </row>
    <row r="160">
      <c r="A160" s="14">
        <v>158.0</v>
      </c>
      <c r="B160" t="str">
        <f t="shared" ref="B160:C160" si="160">DEC2HEX(HEX2DEC(C160)-1)</f>
        <v>BAD2A8</v>
      </c>
      <c r="C160" t="str">
        <f t="shared" si="160"/>
        <v>BAD2A9</v>
      </c>
      <c r="D160" s="14" t="str">
        <f t="shared" si="3"/>
        <v>BAD2AA</v>
      </c>
      <c r="E160" s="14" t="s">
        <v>890</v>
      </c>
    </row>
    <row r="161">
      <c r="A161" s="14">
        <v>159.0</v>
      </c>
      <c r="B161" t="str">
        <f t="shared" ref="B161:C161" si="161">DEC2HEX(HEX2DEC(C161)-1)</f>
        <v>BAD2A4</v>
      </c>
      <c r="C161" t="str">
        <f t="shared" si="161"/>
        <v>BAD2A5</v>
      </c>
      <c r="D161" s="14" t="str">
        <f t="shared" si="3"/>
        <v>BAD2A6</v>
      </c>
      <c r="E161" s="14" t="s">
        <v>890</v>
      </c>
    </row>
    <row r="162">
      <c r="A162" s="14">
        <v>160.0</v>
      </c>
      <c r="B162" t="str">
        <f t="shared" ref="B162:C162" si="162">DEC2HEX(HEX2DEC(C162)-1)</f>
        <v>BAD2A0</v>
      </c>
      <c r="C162" t="str">
        <f t="shared" si="162"/>
        <v>BAD2A1</v>
      </c>
      <c r="D162" s="14" t="str">
        <f t="shared" si="3"/>
        <v>BAD2A2</v>
      </c>
      <c r="E162" s="14" t="s">
        <v>890</v>
      </c>
    </row>
    <row r="163">
      <c r="A163" s="14">
        <v>161.0</v>
      </c>
      <c r="B163" t="str">
        <f t="shared" ref="B163:C163" si="163">DEC2HEX(HEX2DEC(C163)-1)</f>
        <v>BAD29C</v>
      </c>
      <c r="C163" t="str">
        <f t="shared" si="163"/>
        <v>BAD29D</v>
      </c>
      <c r="D163" s="14" t="str">
        <f t="shared" si="3"/>
        <v>BAD29E</v>
      </c>
      <c r="E163" s="14" t="s">
        <v>890</v>
      </c>
    </row>
    <row r="164">
      <c r="A164" s="14">
        <v>162.0</v>
      </c>
      <c r="B164" t="str">
        <f t="shared" ref="B164:C164" si="164">DEC2HEX(HEX2DEC(C164)-1)</f>
        <v>BAD298</v>
      </c>
      <c r="C164" t="str">
        <f t="shared" si="164"/>
        <v>BAD299</v>
      </c>
      <c r="D164" s="14" t="str">
        <f t="shared" si="3"/>
        <v>BAD29A</v>
      </c>
      <c r="E164" s="14" t="s">
        <v>890</v>
      </c>
    </row>
    <row r="165">
      <c r="A165" s="14">
        <v>163.0</v>
      </c>
      <c r="B165" t="str">
        <f t="shared" ref="B165:C165" si="165">DEC2HEX(HEX2DEC(C165)-1)</f>
        <v>BAD294</v>
      </c>
      <c r="C165" t="str">
        <f t="shared" si="165"/>
        <v>BAD295</v>
      </c>
      <c r="D165" s="14" t="str">
        <f t="shared" si="3"/>
        <v>BAD296</v>
      </c>
      <c r="E165" s="14" t="s">
        <v>884</v>
      </c>
    </row>
    <row r="166">
      <c r="A166" s="14">
        <v>164.0</v>
      </c>
      <c r="B166" t="str">
        <f t="shared" ref="B166:C166" si="166">DEC2HEX(HEX2DEC(C166)-1)</f>
        <v>BAD290</v>
      </c>
      <c r="C166" t="str">
        <f t="shared" si="166"/>
        <v>BAD291</v>
      </c>
      <c r="D166" s="14" t="str">
        <f t="shared" si="3"/>
        <v>BAD292</v>
      </c>
      <c r="E166" s="14" t="s">
        <v>884</v>
      </c>
    </row>
    <row r="167">
      <c r="A167" s="14">
        <v>165.0</v>
      </c>
      <c r="B167" t="str">
        <f t="shared" ref="B167:C167" si="167">DEC2HEX(HEX2DEC(C167)-1)</f>
        <v>BAD28C</v>
      </c>
      <c r="C167" t="str">
        <f t="shared" si="167"/>
        <v>BAD28D</v>
      </c>
      <c r="D167" s="14" t="str">
        <f t="shared" si="3"/>
        <v>BAD28E</v>
      </c>
      <c r="E167" s="14" t="s">
        <v>884</v>
      </c>
    </row>
    <row r="168">
      <c r="A168" s="14">
        <v>166.0</v>
      </c>
      <c r="B168" t="str">
        <f t="shared" ref="B168:C168" si="168">DEC2HEX(HEX2DEC(C168)-1)</f>
        <v>BAD288</v>
      </c>
      <c r="C168" t="str">
        <f t="shared" si="168"/>
        <v>BAD289</v>
      </c>
      <c r="D168" s="14" t="str">
        <f t="shared" si="3"/>
        <v>BAD28A</v>
      </c>
      <c r="E168" s="14" t="s">
        <v>884</v>
      </c>
    </row>
    <row r="169">
      <c r="A169" s="14">
        <v>167.0</v>
      </c>
      <c r="B169" t="str">
        <f t="shared" ref="B169:C169" si="169">DEC2HEX(HEX2DEC(C169)-1)</f>
        <v>BAD284</v>
      </c>
      <c r="C169" t="str">
        <f t="shared" si="169"/>
        <v>BAD285</v>
      </c>
      <c r="D169" s="14" t="str">
        <f t="shared" si="3"/>
        <v>BAD286</v>
      </c>
      <c r="E169" s="14" t="s">
        <v>884</v>
      </c>
    </row>
    <row r="170">
      <c r="A170" s="14">
        <v>168.0</v>
      </c>
      <c r="B170" t="str">
        <f t="shared" ref="B170:C170" si="170">DEC2HEX(HEX2DEC(C170)-1)</f>
        <v>BAD280</v>
      </c>
      <c r="C170" t="str">
        <f t="shared" si="170"/>
        <v>BAD281</v>
      </c>
      <c r="D170" s="14" t="str">
        <f t="shared" si="3"/>
        <v>BAD282</v>
      </c>
      <c r="E170" s="14" t="s">
        <v>884</v>
      </c>
    </row>
    <row r="171">
      <c r="A171" s="14">
        <v>169.0</v>
      </c>
      <c r="B171" t="str">
        <f t="shared" ref="B171:C171" si="171">DEC2HEX(HEX2DEC(C171)-1)</f>
        <v>BAD27C</v>
      </c>
      <c r="C171" t="str">
        <f t="shared" si="171"/>
        <v>BAD27D</v>
      </c>
      <c r="D171" s="14" t="str">
        <f t="shared" si="3"/>
        <v>BAD27E</v>
      </c>
      <c r="E171" s="14" t="s">
        <v>892</v>
      </c>
    </row>
    <row r="172">
      <c r="A172" s="14">
        <v>170.0</v>
      </c>
      <c r="B172" t="str">
        <f t="shared" ref="B172:C172" si="172">DEC2HEX(HEX2DEC(C172)-1)</f>
        <v>BAD278</v>
      </c>
      <c r="C172" t="str">
        <f t="shared" si="172"/>
        <v>BAD279</v>
      </c>
      <c r="D172" s="14" t="str">
        <f t="shared" si="3"/>
        <v>BAD27A</v>
      </c>
      <c r="E172" s="14" t="s">
        <v>892</v>
      </c>
    </row>
    <row r="173">
      <c r="A173" s="14">
        <v>171.0</v>
      </c>
      <c r="B173" t="str">
        <f t="shared" ref="B173:C173" si="173">DEC2HEX(HEX2DEC(C173)-1)</f>
        <v>BAD274</v>
      </c>
      <c r="C173" t="str">
        <f t="shared" si="173"/>
        <v>BAD275</v>
      </c>
      <c r="D173" s="14" t="str">
        <f t="shared" si="3"/>
        <v>BAD276</v>
      </c>
      <c r="E173" s="14" t="s">
        <v>892</v>
      </c>
    </row>
    <row r="174">
      <c r="A174" s="14">
        <v>172.0</v>
      </c>
      <c r="B174" t="str">
        <f t="shared" ref="B174:C174" si="174">DEC2HEX(HEX2DEC(C174)-1)</f>
        <v>BAD270</v>
      </c>
      <c r="C174" t="str">
        <f t="shared" si="174"/>
        <v>BAD271</v>
      </c>
      <c r="D174" s="14" t="str">
        <f t="shared" si="3"/>
        <v>BAD272</v>
      </c>
      <c r="E174" s="14" t="s">
        <v>892</v>
      </c>
    </row>
    <row r="175">
      <c r="A175" s="14">
        <v>173.0</v>
      </c>
      <c r="B175" t="str">
        <f t="shared" ref="B175:C175" si="175">DEC2HEX(HEX2DEC(C175)-1)</f>
        <v>BAD26C</v>
      </c>
      <c r="C175" t="str">
        <f t="shared" si="175"/>
        <v>BAD26D</v>
      </c>
      <c r="D175" s="14" t="str">
        <f t="shared" si="3"/>
        <v>BAD26E</v>
      </c>
      <c r="E175" s="14" t="s">
        <v>892</v>
      </c>
    </row>
    <row r="176">
      <c r="A176" s="14">
        <v>174.0</v>
      </c>
      <c r="B176" t="str">
        <f t="shared" ref="B176:C176" si="176">DEC2HEX(HEX2DEC(C176)-1)</f>
        <v>BAD268</v>
      </c>
      <c r="C176" t="str">
        <f t="shared" si="176"/>
        <v>BAD269</v>
      </c>
      <c r="D176" s="14" t="str">
        <f t="shared" si="3"/>
        <v>BAD26A</v>
      </c>
      <c r="E176" s="14" t="s">
        <v>892</v>
      </c>
    </row>
    <row r="177">
      <c r="A177" s="14">
        <v>175.0</v>
      </c>
      <c r="B177" t="str">
        <f t="shared" ref="B177:C177" si="177">DEC2HEX(HEX2DEC(C177)-1)</f>
        <v>BAD264</v>
      </c>
      <c r="C177" t="str">
        <f t="shared" si="177"/>
        <v>BAD265</v>
      </c>
      <c r="D177" s="14" t="str">
        <f t="shared" si="3"/>
        <v>BAD266</v>
      </c>
      <c r="E177" s="14" t="s">
        <v>892</v>
      </c>
    </row>
    <row r="178">
      <c r="A178" s="14">
        <v>176.0</v>
      </c>
      <c r="B178" t="str">
        <f t="shared" ref="B178:C178" si="178">DEC2HEX(HEX2DEC(C178)-1)</f>
        <v>BAD260</v>
      </c>
      <c r="C178" t="str">
        <f t="shared" si="178"/>
        <v>BAD261</v>
      </c>
      <c r="D178" s="14" t="str">
        <f t="shared" si="3"/>
        <v>BAD262</v>
      </c>
      <c r="E178" s="14" t="s">
        <v>892</v>
      </c>
    </row>
    <row r="179">
      <c r="A179" s="14">
        <v>177.0</v>
      </c>
      <c r="B179" t="str">
        <f t="shared" ref="B179:C179" si="179">DEC2HEX(HEX2DEC(C179)-1)</f>
        <v>BAD25C</v>
      </c>
      <c r="C179" t="str">
        <f t="shared" si="179"/>
        <v>BAD25D</v>
      </c>
      <c r="D179" s="14" t="str">
        <f t="shared" si="3"/>
        <v>BAD25E</v>
      </c>
      <c r="E179" s="14" t="s">
        <v>892</v>
      </c>
    </row>
    <row r="180">
      <c r="A180" s="14">
        <v>178.0</v>
      </c>
      <c r="B180" t="str">
        <f t="shared" ref="B180:C180" si="180">DEC2HEX(HEX2DEC(C180)-1)</f>
        <v>BAD258</v>
      </c>
      <c r="C180" t="str">
        <f t="shared" si="180"/>
        <v>BAD259</v>
      </c>
      <c r="D180" s="14" t="str">
        <f t="shared" si="3"/>
        <v>BAD25A</v>
      </c>
      <c r="E180" s="14" t="s">
        <v>892</v>
      </c>
    </row>
    <row r="181">
      <c r="A181" s="14">
        <v>179.0</v>
      </c>
      <c r="B181" t="str">
        <f t="shared" ref="B181:C181" si="181">DEC2HEX(HEX2DEC(C181)-1)</f>
        <v>BAD254</v>
      </c>
      <c r="C181" t="str">
        <f t="shared" si="181"/>
        <v>BAD255</v>
      </c>
      <c r="D181" s="14" t="str">
        <f t="shared" si="3"/>
        <v>BAD256</v>
      </c>
      <c r="E181" s="14" t="s">
        <v>892</v>
      </c>
    </row>
    <row r="182">
      <c r="A182" s="14">
        <v>180.0</v>
      </c>
      <c r="B182" t="str">
        <f t="shared" ref="B182:C182" si="182">DEC2HEX(HEX2DEC(C182)-1)</f>
        <v>BAD250</v>
      </c>
      <c r="C182" t="str">
        <f t="shared" si="182"/>
        <v>BAD251</v>
      </c>
      <c r="D182" s="14" t="str">
        <f t="shared" si="3"/>
        <v>BAD252</v>
      </c>
      <c r="E182" s="14" t="s">
        <v>892</v>
      </c>
    </row>
    <row r="183">
      <c r="A183" s="14">
        <v>181.0</v>
      </c>
      <c r="B183" t="str">
        <f t="shared" ref="B183:C183" si="183">DEC2HEX(HEX2DEC(C183)-1)</f>
        <v>BAD24C</v>
      </c>
      <c r="C183" t="str">
        <f t="shared" si="183"/>
        <v>BAD24D</v>
      </c>
      <c r="D183" s="14" t="str">
        <f t="shared" si="3"/>
        <v>BAD24E</v>
      </c>
      <c r="E183" s="14" t="s">
        <v>892</v>
      </c>
    </row>
    <row r="184">
      <c r="A184" s="14">
        <v>182.0</v>
      </c>
      <c r="B184" t="str">
        <f t="shared" ref="B184:C184" si="184">DEC2HEX(HEX2DEC(C184)-1)</f>
        <v>BAD248</v>
      </c>
      <c r="C184" t="str">
        <f t="shared" si="184"/>
        <v>BAD249</v>
      </c>
      <c r="D184" s="14" t="str">
        <f t="shared" si="3"/>
        <v>BAD24A</v>
      </c>
      <c r="E184" s="14" t="s">
        <v>892</v>
      </c>
    </row>
    <row r="185">
      <c r="A185" s="14">
        <v>183.0</v>
      </c>
      <c r="B185" t="str">
        <f t="shared" ref="B185:C185" si="185">DEC2HEX(HEX2DEC(C185)-1)</f>
        <v>BAD244</v>
      </c>
      <c r="C185" t="str">
        <f t="shared" si="185"/>
        <v>BAD245</v>
      </c>
      <c r="D185" s="14" t="str">
        <f t="shared" si="3"/>
        <v>BAD246</v>
      </c>
      <c r="E185" s="14" t="s">
        <v>892</v>
      </c>
    </row>
    <row r="186">
      <c r="A186" s="14">
        <v>184.0</v>
      </c>
      <c r="B186" t="str">
        <f t="shared" ref="B186:C186" si="186">DEC2HEX(HEX2DEC(C186)-1)</f>
        <v>BAD240</v>
      </c>
      <c r="C186" t="str">
        <f t="shared" si="186"/>
        <v>BAD241</v>
      </c>
      <c r="D186" s="14" t="str">
        <f t="shared" si="3"/>
        <v>BAD242</v>
      </c>
      <c r="E186" s="14" t="s">
        <v>892</v>
      </c>
    </row>
    <row r="187">
      <c r="A187" s="14">
        <v>185.0</v>
      </c>
      <c r="B187" t="str">
        <f t="shared" ref="B187:C187" si="187">DEC2HEX(HEX2DEC(C187)-1)</f>
        <v>BAD23C</v>
      </c>
      <c r="C187" t="str">
        <f t="shared" si="187"/>
        <v>BAD23D</v>
      </c>
      <c r="D187" s="14" t="str">
        <f t="shared" si="3"/>
        <v>BAD23E</v>
      </c>
      <c r="E187" s="14" t="s">
        <v>892</v>
      </c>
    </row>
    <row r="188">
      <c r="A188" s="14">
        <v>186.0</v>
      </c>
      <c r="B188" t="str">
        <f t="shared" ref="B188:C188" si="188">DEC2HEX(HEX2DEC(C188)-1)</f>
        <v>BAD238</v>
      </c>
      <c r="C188" t="str">
        <f t="shared" si="188"/>
        <v>BAD239</v>
      </c>
      <c r="D188" s="14" t="str">
        <f t="shared" si="3"/>
        <v>BAD23A</v>
      </c>
      <c r="E188" s="14" t="s">
        <v>892</v>
      </c>
    </row>
    <row r="189">
      <c r="A189" s="14">
        <v>187.0</v>
      </c>
      <c r="B189" t="str">
        <f t="shared" ref="B189:C189" si="189">DEC2HEX(HEX2DEC(C189)-1)</f>
        <v>BAD234</v>
      </c>
      <c r="C189" t="str">
        <f t="shared" si="189"/>
        <v>BAD235</v>
      </c>
      <c r="D189" s="14" t="str">
        <f t="shared" si="3"/>
        <v>BAD236</v>
      </c>
      <c r="E189" s="14" t="s">
        <v>892</v>
      </c>
    </row>
    <row r="190">
      <c r="A190" s="14">
        <v>188.0</v>
      </c>
      <c r="B190" t="str">
        <f t="shared" ref="B190:C190" si="190">DEC2HEX(HEX2DEC(C190)-1)</f>
        <v>BAD230</v>
      </c>
      <c r="C190" t="str">
        <f t="shared" si="190"/>
        <v>BAD231</v>
      </c>
      <c r="D190" s="14" t="str">
        <f t="shared" si="3"/>
        <v>BAD232</v>
      </c>
      <c r="E190" s="14" t="s">
        <v>892</v>
      </c>
    </row>
    <row r="191">
      <c r="A191" s="14">
        <v>189.0</v>
      </c>
      <c r="B191" t="str">
        <f t="shared" ref="B191:C191" si="191">DEC2HEX(HEX2DEC(C191)-1)</f>
        <v>BAD22C</v>
      </c>
      <c r="C191" t="str">
        <f t="shared" si="191"/>
        <v>BAD22D</v>
      </c>
      <c r="D191" s="14" t="str">
        <f t="shared" si="3"/>
        <v>BAD22E</v>
      </c>
      <c r="E191" s="14" t="s">
        <v>884</v>
      </c>
    </row>
    <row r="192">
      <c r="A192" s="14">
        <v>190.0</v>
      </c>
      <c r="B192" t="str">
        <f t="shared" ref="B192:C192" si="192">DEC2HEX(HEX2DEC(C192)-1)</f>
        <v>BAD228</v>
      </c>
      <c r="C192" t="str">
        <f t="shared" si="192"/>
        <v>BAD229</v>
      </c>
      <c r="D192" s="14" t="str">
        <f t="shared" si="3"/>
        <v>BAD22A</v>
      </c>
      <c r="E192" s="14" t="s">
        <v>884</v>
      </c>
    </row>
    <row r="193">
      <c r="A193" s="14">
        <v>191.0</v>
      </c>
      <c r="B193" t="str">
        <f t="shared" ref="B193:C193" si="193">DEC2HEX(HEX2DEC(C193)-1)</f>
        <v>BAD224</v>
      </c>
      <c r="C193" t="str">
        <f t="shared" si="193"/>
        <v>BAD225</v>
      </c>
      <c r="D193" s="14" t="str">
        <f t="shared" si="3"/>
        <v>BAD226</v>
      </c>
      <c r="E193" s="14" t="s">
        <v>884</v>
      </c>
    </row>
    <row r="194">
      <c r="A194" s="14">
        <v>192.0</v>
      </c>
      <c r="B194" t="str">
        <f t="shared" ref="B194:C194" si="194">DEC2HEX(HEX2DEC(C194)-1)</f>
        <v>BAD220</v>
      </c>
      <c r="C194" t="str">
        <f t="shared" si="194"/>
        <v>BAD221</v>
      </c>
      <c r="D194" s="14" t="str">
        <f t="shared" si="3"/>
        <v>BAD222</v>
      </c>
      <c r="E194" s="14" t="s">
        <v>884</v>
      </c>
    </row>
    <row r="195">
      <c r="A195" s="14">
        <v>193.0</v>
      </c>
      <c r="B195" t="str">
        <f t="shared" ref="B195:C195" si="195">DEC2HEX(HEX2DEC(C195)-1)</f>
        <v>BAD21C</v>
      </c>
      <c r="C195" t="str">
        <f t="shared" si="195"/>
        <v>BAD21D</v>
      </c>
      <c r="D195" s="14" t="str">
        <f t="shared" si="3"/>
        <v>BAD21E</v>
      </c>
      <c r="E195" s="14" t="s">
        <v>884</v>
      </c>
    </row>
    <row r="196">
      <c r="A196" s="14">
        <v>194.0</v>
      </c>
      <c r="B196" t="str">
        <f t="shared" ref="B196:C196" si="196">DEC2HEX(HEX2DEC(C196)-1)</f>
        <v>BAD218</v>
      </c>
      <c r="C196" t="str">
        <f t="shared" si="196"/>
        <v>BAD219</v>
      </c>
      <c r="D196" s="14" t="str">
        <f t="shared" si="3"/>
        <v>BAD21A</v>
      </c>
      <c r="E196" s="14" t="s">
        <v>884</v>
      </c>
    </row>
    <row r="197">
      <c r="A197" s="14">
        <v>195.0</v>
      </c>
      <c r="B197" t="str">
        <f t="shared" ref="B197:C197" si="197">DEC2HEX(HEX2DEC(C197)-1)</f>
        <v>BAD214</v>
      </c>
      <c r="C197" t="str">
        <f t="shared" si="197"/>
        <v>BAD215</v>
      </c>
      <c r="D197" s="14" t="str">
        <f t="shared" si="3"/>
        <v>BAD216</v>
      </c>
      <c r="E197" s="14" t="s">
        <v>893</v>
      </c>
    </row>
    <row r="198">
      <c r="A198" s="14">
        <v>196.0</v>
      </c>
      <c r="B198" t="str">
        <f t="shared" ref="B198:C198" si="198">DEC2HEX(HEX2DEC(C198)-1)</f>
        <v>BAD210</v>
      </c>
      <c r="C198" t="str">
        <f t="shared" si="198"/>
        <v>BAD211</v>
      </c>
      <c r="D198" s="14" t="str">
        <f t="shared" si="3"/>
        <v>BAD212</v>
      </c>
      <c r="E198" s="14" t="s">
        <v>893</v>
      </c>
    </row>
    <row r="199">
      <c r="A199" s="14">
        <v>197.0</v>
      </c>
      <c r="B199" t="str">
        <f t="shared" ref="B199:C199" si="199">DEC2HEX(HEX2DEC(C199)-1)</f>
        <v>BAD20C</v>
      </c>
      <c r="C199" t="str">
        <f t="shared" si="199"/>
        <v>BAD20D</v>
      </c>
      <c r="D199" s="14" t="str">
        <f t="shared" si="3"/>
        <v>BAD20E</v>
      </c>
      <c r="E199" s="14" t="s">
        <v>893</v>
      </c>
    </row>
    <row r="200">
      <c r="A200" s="14">
        <v>198.0</v>
      </c>
      <c r="B200" t="str">
        <f t="shared" ref="B200:C200" si="200">DEC2HEX(HEX2DEC(C200)-1)</f>
        <v>BAD208</v>
      </c>
      <c r="C200" t="str">
        <f t="shared" si="200"/>
        <v>BAD209</v>
      </c>
      <c r="D200" s="14" t="str">
        <f t="shared" si="3"/>
        <v>BAD20A</v>
      </c>
      <c r="E200" s="14" t="s">
        <v>893</v>
      </c>
    </row>
    <row r="201">
      <c r="A201" s="14">
        <v>199.0</v>
      </c>
      <c r="B201" t="str">
        <f t="shared" ref="B201:C201" si="201">DEC2HEX(HEX2DEC(C201)-1)</f>
        <v>BAD204</v>
      </c>
      <c r="C201" t="str">
        <f t="shared" si="201"/>
        <v>BAD205</v>
      </c>
      <c r="D201" s="14" t="str">
        <f t="shared" si="3"/>
        <v>BAD206</v>
      </c>
      <c r="E201" s="14" t="s">
        <v>893</v>
      </c>
    </row>
    <row r="202">
      <c r="A202" s="14">
        <v>200.0</v>
      </c>
      <c r="B202" t="str">
        <f t="shared" ref="B202:C202" si="202">DEC2HEX(HEX2DEC(C202)-1)</f>
        <v>BAD200</v>
      </c>
      <c r="C202" t="str">
        <f t="shared" si="202"/>
        <v>BAD201</v>
      </c>
      <c r="D202" s="14" t="str">
        <f t="shared" si="3"/>
        <v>BAD202</v>
      </c>
      <c r="E202" s="14" t="s">
        <v>893</v>
      </c>
    </row>
    <row r="203">
      <c r="A203" s="14">
        <v>201.0</v>
      </c>
      <c r="B203" t="str">
        <f t="shared" ref="B203:C203" si="203">DEC2HEX(HEX2DEC(C203)-1)</f>
        <v>BAD1FC</v>
      </c>
      <c r="C203" t="str">
        <f t="shared" si="203"/>
        <v>BAD1FD</v>
      </c>
      <c r="D203" s="14" t="str">
        <f t="shared" si="3"/>
        <v>BAD1FE</v>
      </c>
      <c r="E203" s="14" t="s">
        <v>893</v>
      </c>
    </row>
    <row r="204">
      <c r="A204" s="14">
        <v>202.0</v>
      </c>
      <c r="B204" t="str">
        <f t="shared" ref="B204:C204" si="204">DEC2HEX(HEX2DEC(C204)-1)</f>
        <v>BAD1F8</v>
      </c>
      <c r="C204" t="str">
        <f t="shared" si="204"/>
        <v>BAD1F9</v>
      </c>
      <c r="D204" s="14" t="str">
        <f t="shared" si="3"/>
        <v>BAD1FA</v>
      </c>
      <c r="E204" s="14" t="s">
        <v>893</v>
      </c>
    </row>
    <row r="205">
      <c r="A205" s="14">
        <v>203.0</v>
      </c>
      <c r="B205" t="str">
        <f t="shared" ref="B205:C205" si="205">DEC2HEX(HEX2DEC(C205)-1)</f>
        <v>BAD1F4</v>
      </c>
      <c r="C205" t="str">
        <f t="shared" si="205"/>
        <v>BAD1F5</v>
      </c>
      <c r="D205" s="14" t="str">
        <f t="shared" si="3"/>
        <v>BAD1F6</v>
      </c>
      <c r="E205" s="14" t="s">
        <v>893</v>
      </c>
    </row>
    <row r="206">
      <c r="A206" s="14">
        <v>204.0</v>
      </c>
      <c r="B206" t="str">
        <f t="shared" ref="B206:C206" si="206">DEC2HEX(HEX2DEC(C206)-1)</f>
        <v>BAD1F0</v>
      </c>
      <c r="C206" t="str">
        <f t="shared" si="206"/>
        <v>BAD1F1</v>
      </c>
      <c r="D206" s="14" t="str">
        <f t="shared" si="3"/>
        <v>BAD1F2</v>
      </c>
      <c r="E206" s="14" t="s">
        <v>893</v>
      </c>
    </row>
    <row r="207">
      <c r="A207" s="14">
        <v>205.0</v>
      </c>
      <c r="B207" t="str">
        <f t="shared" ref="B207:C207" si="207">DEC2HEX(HEX2DEC(C207)-1)</f>
        <v>BAD1EC</v>
      </c>
      <c r="C207" t="str">
        <f t="shared" si="207"/>
        <v>BAD1ED</v>
      </c>
      <c r="D207" s="14" t="str">
        <f t="shared" si="3"/>
        <v>BAD1EE</v>
      </c>
      <c r="E207" s="14" t="s">
        <v>893</v>
      </c>
    </row>
    <row r="208">
      <c r="A208" s="14">
        <v>206.0</v>
      </c>
      <c r="B208" t="str">
        <f t="shared" ref="B208:C208" si="208">DEC2HEX(HEX2DEC(C208)-1)</f>
        <v>BAD1E8</v>
      </c>
      <c r="C208" t="str">
        <f t="shared" si="208"/>
        <v>BAD1E9</v>
      </c>
      <c r="D208" s="14" t="str">
        <f t="shared" si="3"/>
        <v>BAD1EA</v>
      </c>
      <c r="E208" s="14" t="s">
        <v>893</v>
      </c>
    </row>
    <row r="209">
      <c r="A209" s="14">
        <v>207.0</v>
      </c>
      <c r="B209" t="str">
        <f t="shared" ref="B209:C209" si="209">DEC2HEX(HEX2DEC(C209)-1)</f>
        <v>BAD1E4</v>
      </c>
      <c r="C209" t="str">
        <f t="shared" si="209"/>
        <v>BAD1E5</v>
      </c>
      <c r="D209" s="14" t="str">
        <f t="shared" si="3"/>
        <v>BAD1E6</v>
      </c>
      <c r="E209" s="14" t="s">
        <v>893</v>
      </c>
    </row>
    <row r="210">
      <c r="A210" s="14">
        <v>208.0</v>
      </c>
      <c r="B210" t="str">
        <f t="shared" ref="B210:C210" si="210">DEC2HEX(HEX2DEC(C210)-1)</f>
        <v>BAD1E0</v>
      </c>
      <c r="C210" t="str">
        <f t="shared" si="210"/>
        <v>BAD1E1</v>
      </c>
      <c r="D210" s="14" t="str">
        <f t="shared" si="3"/>
        <v>BAD1E2</v>
      </c>
      <c r="E210" s="14" t="s">
        <v>893</v>
      </c>
    </row>
    <row r="211">
      <c r="A211" s="14">
        <v>209.0</v>
      </c>
      <c r="B211" t="str">
        <f t="shared" ref="B211:C211" si="211">DEC2HEX(HEX2DEC(C211)-1)</f>
        <v>BAD1DC</v>
      </c>
      <c r="C211" t="str">
        <f t="shared" si="211"/>
        <v>BAD1DD</v>
      </c>
      <c r="D211" s="14" t="str">
        <f t="shared" si="3"/>
        <v>BAD1DE</v>
      </c>
      <c r="E211" s="14" t="s">
        <v>893</v>
      </c>
    </row>
    <row r="212">
      <c r="A212" s="14">
        <v>210.0</v>
      </c>
      <c r="B212" t="str">
        <f t="shared" ref="B212:C212" si="212">DEC2HEX(HEX2DEC(C212)-1)</f>
        <v>BAD1D8</v>
      </c>
      <c r="C212" t="str">
        <f t="shared" si="212"/>
        <v>BAD1D9</v>
      </c>
      <c r="D212" s="14" t="str">
        <f t="shared" si="3"/>
        <v>BAD1DA</v>
      </c>
      <c r="E212" s="14" t="s">
        <v>893</v>
      </c>
    </row>
    <row r="213">
      <c r="A213" s="14">
        <v>211.0</v>
      </c>
      <c r="B213" t="str">
        <f t="shared" ref="B213:C213" si="213">DEC2HEX(HEX2DEC(C213)-1)</f>
        <v>BAD1D4</v>
      </c>
      <c r="C213" t="str">
        <f t="shared" si="213"/>
        <v>BAD1D5</v>
      </c>
      <c r="D213" s="14" t="str">
        <f t="shared" si="3"/>
        <v>BAD1D6</v>
      </c>
      <c r="E213" s="14" t="s">
        <v>893</v>
      </c>
    </row>
    <row r="214">
      <c r="A214" s="14">
        <v>212.0</v>
      </c>
      <c r="B214" t="str">
        <f t="shared" ref="B214:C214" si="214">DEC2HEX(HEX2DEC(C214)-1)</f>
        <v>BAD1D0</v>
      </c>
      <c r="C214" t="str">
        <f t="shared" si="214"/>
        <v>BAD1D1</v>
      </c>
      <c r="D214" s="14" t="str">
        <f t="shared" si="3"/>
        <v>BAD1D2</v>
      </c>
      <c r="E214" s="14" t="s">
        <v>893</v>
      </c>
    </row>
    <row r="215">
      <c r="A215" s="14">
        <v>213.0</v>
      </c>
      <c r="B215" t="str">
        <f t="shared" ref="B215:C215" si="215">DEC2HEX(HEX2DEC(C215)-1)</f>
        <v>BAD1CC</v>
      </c>
      <c r="C215" t="str">
        <f t="shared" si="215"/>
        <v>BAD1CD</v>
      </c>
      <c r="D215" s="14" t="str">
        <f t="shared" si="3"/>
        <v>BAD1CE</v>
      </c>
      <c r="E215" s="14" t="s">
        <v>893</v>
      </c>
    </row>
    <row r="216">
      <c r="A216" s="14">
        <v>214.0</v>
      </c>
      <c r="B216" t="str">
        <f t="shared" ref="B216:C216" si="216">DEC2HEX(HEX2DEC(C216)-1)</f>
        <v>BAD1C8</v>
      </c>
      <c r="C216" t="str">
        <f t="shared" si="216"/>
        <v>BAD1C9</v>
      </c>
      <c r="D216" s="14" t="str">
        <f t="shared" si="3"/>
        <v>BAD1CA</v>
      </c>
      <c r="E216" s="14" t="s">
        <v>893</v>
      </c>
    </row>
    <row r="217">
      <c r="A217" s="14">
        <v>215.0</v>
      </c>
      <c r="B217" t="str">
        <f t="shared" ref="B217:C217" si="217">DEC2HEX(HEX2DEC(C217)-1)</f>
        <v>BAD1C4</v>
      </c>
      <c r="C217" t="str">
        <f t="shared" si="217"/>
        <v>BAD1C5</v>
      </c>
      <c r="D217" s="14" t="str">
        <f t="shared" si="3"/>
        <v>BAD1C6</v>
      </c>
      <c r="E217" s="14" t="s">
        <v>894</v>
      </c>
    </row>
    <row r="218">
      <c r="A218" s="14">
        <v>216.0</v>
      </c>
      <c r="B218" t="str">
        <f t="shared" ref="B218:C218" si="218">DEC2HEX(HEX2DEC(C218)-1)</f>
        <v>BAD1C0</v>
      </c>
      <c r="C218" t="str">
        <f t="shared" si="218"/>
        <v>BAD1C1</v>
      </c>
      <c r="D218" s="14" t="str">
        <f t="shared" si="3"/>
        <v>BAD1C2</v>
      </c>
      <c r="E218" s="14" t="s">
        <v>123</v>
      </c>
    </row>
    <row r="219">
      <c r="A219" s="14">
        <v>217.0</v>
      </c>
      <c r="B219" t="str">
        <f t="shared" ref="B219:C219" si="219">DEC2HEX(HEX2DEC(C219)-1)</f>
        <v>BAD1BC</v>
      </c>
      <c r="C219" t="str">
        <f t="shared" si="219"/>
        <v>BAD1BD</v>
      </c>
      <c r="D219" s="14" t="str">
        <f t="shared" si="3"/>
        <v>BAD1BE</v>
      </c>
      <c r="E219" s="14" t="s">
        <v>895</v>
      </c>
    </row>
    <row r="220">
      <c r="A220" s="14">
        <v>218.0</v>
      </c>
      <c r="B220" t="str">
        <f t="shared" ref="B220:C220" si="220">DEC2HEX(HEX2DEC(C220)-1)</f>
        <v>BAD1B8</v>
      </c>
      <c r="C220" t="str">
        <f t="shared" si="220"/>
        <v>BAD1B9</v>
      </c>
      <c r="D220" s="14" t="str">
        <f t="shared" si="3"/>
        <v>BAD1BA</v>
      </c>
      <c r="E220" s="14" t="s">
        <v>895</v>
      </c>
    </row>
    <row r="221">
      <c r="A221" s="14">
        <v>219.0</v>
      </c>
      <c r="B221" t="str">
        <f t="shared" ref="B221:C221" si="221">DEC2HEX(HEX2DEC(C221)-1)</f>
        <v>BAD1B4</v>
      </c>
      <c r="C221" t="str">
        <f t="shared" si="221"/>
        <v>BAD1B5</v>
      </c>
      <c r="D221" s="14" t="str">
        <f t="shared" si="3"/>
        <v>BAD1B6</v>
      </c>
      <c r="E221" s="14" t="s">
        <v>895</v>
      </c>
    </row>
    <row r="222">
      <c r="A222" s="14">
        <v>220.0</v>
      </c>
      <c r="B222" t="str">
        <f t="shared" ref="B222:C222" si="222">DEC2HEX(HEX2DEC(C222)-1)</f>
        <v>BAD1B0</v>
      </c>
      <c r="C222" t="str">
        <f t="shared" si="222"/>
        <v>BAD1B1</v>
      </c>
      <c r="D222" s="14" t="str">
        <f t="shared" si="3"/>
        <v>BAD1B2</v>
      </c>
      <c r="E222" s="14" t="s">
        <v>895</v>
      </c>
    </row>
    <row r="223">
      <c r="A223" s="14">
        <v>221.0</v>
      </c>
      <c r="B223" t="str">
        <f t="shared" ref="B223:C223" si="223">DEC2HEX(HEX2DEC(C223)-1)</f>
        <v>BAD1AC</v>
      </c>
      <c r="C223" t="str">
        <f t="shared" si="223"/>
        <v>BAD1AD</v>
      </c>
      <c r="D223" s="14" t="str">
        <f t="shared" si="3"/>
        <v>BAD1AE</v>
      </c>
      <c r="E223" s="14" t="s">
        <v>123</v>
      </c>
    </row>
    <row r="224">
      <c r="A224" s="14">
        <v>222.0</v>
      </c>
      <c r="B224" t="str">
        <f t="shared" ref="B224:C224" si="224">DEC2HEX(HEX2DEC(C224)-1)</f>
        <v>BAD1A8</v>
      </c>
      <c r="C224" t="str">
        <f t="shared" si="224"/>
        <v>BAD1A9</v>
      </c>
      <c r="D224" s="14" t="str">
        <f t="shared" si="3"/>
        <v>BAD1AA</v>
      </c>
      <c r="E224" s="14" t="s">
        <v>123</v>
      </c>
    </row>
    <row r="225">
      <c r="A225" s="14">
        <v>223.0</v>
      </c>
      <c r="B225" t="str">
        <f t="shared" ref="B225:C225" si="225">DEC2HEX(HEX2DEC(C225)-1)</f>
        <v>BAD1A4</v>
      </c>
      <c r="C225" t="str">
        <f t="shared" si="225"/>
        <v>BAD1A5</v>
      </c>
      <c r="D225" s="14" t="str">
        <f t="shared" si="3"/>
        <v>BAD1A6</v>
      </c>
      <c r="E225" s="14" t="s">
        <v>896</v>
      </c>
    </row>
    <row r="226">
      <c r="A226" s="14">
        <v>224.0</v>
      </c>
      <c r="B226" t="str">
        <f t="shared" ref="B226:C226" si="226">DEC2HEX(HEX2DEC(C226)-1)</f>
        <v>BAD1A0</v>
      </c>
      <c r="C226" t="str">
        <f t="shared" si="226"/>
        <v>BAD1A1</v>
      </c>
      <c r="D226" s="14" t="str">
        <f t="shared" si="3"/>
        <v>BAD1A2</v>
      </c>
      <c r="E226" s="14" t="s">
        <v>897</v>
      </c>
    </row>
    <row r="227">
      <c r="A227" s="14">
        <v>225.0</v>
      </c>
      <c r="B227" t="str">
        <f t="shared" ref="B227:C227" si="227">DEC2HEX(HEX2DEC(C227)-1)</f>
        <v>BAD19C</v>
      </c>
      <c r="C227" t="str">
        <f t="shared" si="227"/>
        <v>BAD19D</v>
      </c>
      <c r="D227" s="14" t="str">
        <f t="shared" si="3"/>
        <v>BAD19E</v>
      </c>
      <c r="E227" s="14" t="s">
        <v>123</v>
      </c>
    </row>
    <row r="228">
      <c r="A228" s="14">
        <v>226.0</v>
      </c>
      <c r="B228" t="str">
        <f t="shared" ref="B228:C228" si="228">DEC2HEX(HEX2DEC(C228)-1)</f>
        <v>BAD198</v>
      </c>
      <c r="C228" t="str">
        <f t="shared" si="228"/>
        <v>BAD199</v>
      </c>
      <c r="D228" s="14" t="str">
        <f t="shared" si="3"/>
        <v>BAD19A</v>
      </c>
      <c r="E228" s="14" t="s">
        <v>898</v>
      </c>
    </row>
    <row r="229">
      <c r="A229" s="14">
        <v>227.0</v>
      </c>
      <c r="B229" t="str">
        <f t="shared" ref="B229:C229" si="229">DEC2HEX(HEX2DEC(C229)-1)</f>
        <v>BAD194</v>
      </c>
      <c r="C229" t="str">
        <f t="shared" si="229"/>
        <v>BAD195</v>
      </c>
      <c r="D229" s="14" t="str">
        <f t="shared" si="3"/>
        <v>BAD196</v>
      </c>
      <c r="E229" s="14" t="s">
        <v>899</v>
      </c>
    </row>
    <row r="230">
      <c r="A230" s="14">
        <v>228.0</v>
      </c>
      <c r="B230" t="str">
        <f t="shared" ref="B230:C230" si="230">DEC2HEX(HEX2DEC(C230)-1)</f>
        <v>BAD190</v>
      </c>
      <c r="C230" t="str">
        <f t="shared" si="230"/>
        <v>BAD191</v>
      </c>
      <c r="D230" s="14" t="str">
        <f t="shared" si="3"/>
        <v>BAD192</v>
      </c>
      <c r="E230" s="14" t="s">
        <v>900</v>
      </c>
    </row>
    <row r="231">
      <c r="A231" s="14">
        <v>229.0</v>
      </c>
      <c r="B231" t="str">
        <f t="shared" ref="B231:C231" si="231">DEC2HEX(HEX2DEC(C231)-1)</f>
        <v>BAD18C</v>
      </c>
      <c r="C231" t="str">
        <f t="shared" si="231"/>
        <v>BAD18D</v>
      </c>
      <c r="D231" s="14" t="str">
        <f t="shared" si="3"/>
        <v>BAD18E</v>
      </c>
      <c r="E231" s="14" t="s">
        <v>901</v>
      </c>
    </row>
    <row r="232">
      <c r="A232" s="14">
        <v>230.0</v>
      </c>
      <c r="B232" t="str">
        <f t="shared" ref="B232:C232" si="232">DEC2HEX(HEX2DEC(C232)-1)</f>
        <v>BAD188</v>
      </c>
      <c r="C232" t="str">
        <f t="shared" si="232"/>
        <v>BAD189</v>
      </c>
      <c r="D232" s="14" t="str">
        <f t="shared" si="3"/>
        <v>BAD18A</v>
      </c>
      <c r="E232" s="14" t="s">
        <v>123</v>
      </c>
    </row>
    <row r="233">
      <c r="A233" s="14">
        <v>231.0</v>
      </c>
      <c r="B233" t="str">
        <f t="shared" ref="B233:C233" si="233">DEC2HEX(HEX2DEC(C233)-1)</f>
        <v>BAD184</v>
      </c>
      <c r="C233" t="str">
        <f t="shared" si="233"/>
        <v>BAD185</v>
      </c>
      <c r="D233" s="14" t="str">
        <f t="shared" si="3"/>
        <v>BAD186</v>
      </c>
      <c r="E233" s="14" t="s">
        <v>902</v>
      </c>
      <c r="F233" s="14" t="s">
        <v>903</v>
      </c>
    </row>
    <row r="234">
      <c r="A234" s="14">
        <v>232.0</v>
      </c>
      <c r="B234" t="str">
        <f t="shared" ref="B234:C234" si="234">DEC2HEX(HEX2DEC(C234)-1)</f>
        <v>BAD180</v>
      </c>
      <c r="C234" t="str">
        <f t="shared" si="234"/>
        <v>BAD181</v>
      </c>
      <c r="D234" s="14" t="str">
        <f t="shared" si="3"/>
        <v>BAD182</v>
      </c>
      <c r="E234" s="14" t="s">
        <v>904</v>
      </c>
      <c r="F234" s="14" t="s">
        <v>905</v>
      </c>
    </row>
    <row r="235">
      <c r="A235" s="14">
        <v>233.0</v>
      </c>
      <c r="B235" t="str">
        <f t="shared" ref="B235:C235" si="235">DEC2HEX(HEX2DEC(C235)-1)</f>
        <v>BAD17C</v>
      </c>
      <c r="C235" t="str">
        <f t="shared" si="235"/>
        <v>BAD17D</v>
      </c>
      <c r="D235" s="14" t="str">
        <f t="shared" si="3"/>
        <v>BAD17E</v>
      </c>
      <c r="E235" s="14" t="s">
        <v>906</v>
      </c>
      <c r="F235" s="14" t="s">
        <v>907</v>
      </c>
    </row>
    <row r="236">
      <c r="A236" s="14">
        <v>234.0</v>
      </c>
      <c r="B236" t="str">
        <f t="shared" ref="B236:C236" si="236">DEC2HEX(HEX2DEC(C236)-1)</f>
        <v>BAD178</v>
      </c>
      <c r="C236" t="str">
        <f t="shared" si="236"/>
        <v>BAD179</v>
      </c>
      <c r="D236" s="14" t="str">
        <f t="shared" si="3"/>
        <v>BAD17A</v>
      </c>
      <c r="E236" s="14" t="s">
        <v>908</v>
      </c>
      <c r="F236" s="14" t="s">
        <v>909</v>
      </c>
    </row>
    <row r="237">
      <c r="A237" s="14">
        <v>235.0</v>
      </c>
      <c r="B237" t="str">
        <f t="shared" ref="B237:C237" si="237">DEC2HEX(HEX2DEC(C237)-1)</f>
        <v>BAD174</v>
      </c>
      <c r="C237" t="str">
        <f t="shared" si="237"/>
        <v>BAD175</v>
      </c>
      <c r="D237" s="14" t="str">
        <f t="shared" si="3"/>
        <v>BAD176</v>
      </c>
      <c r="E237" s="14" t="s">
        <v>910</v>
      </c>
    </row>
    <row r="238">
      <c r="A238" s="14">
        <v>236.0</v>
      </c>
      <c r="B238" t="str">
        <f t="shared" ref="B238:C238" si="238">DEC2HEX(HEX2DEC(C238)-1)</f>
        <v>BAD170</v>
      </c>
      <c r="C238" t="str">
        <f t="shared" si="238"/>
        <v>BAD171</v>
      </c>
      <c r="D238" s="14" t="str">
        <f t="shared" si="3"/>
        <v>BAD172</v>
      </c>
      <c r="E238" s="14" t="s">
        <v>911</v>
      </c>
    </row>
    <row r="239">
      <c r="A239" s="14">
        <v>237.0</v>
      </c>
      <c r="B239" t="str">
        <f t="shared" ref="B239:C239" si="239">DEC2HEX(HEX2DEC(C239)-1)</f>
        <v>BAD16C</v>
      </c>
      <c r="C239" t="str">
        <f t="shared" si="239"/>
        <v>BAD16D</v>
      </c>
      <c r="D239" s="14" t="str">
        <f t="shared" si="3"/>
        <v>BAD16E</v>
      </c>
      <c r="E239" s="14" t="s">
        <v>911</v>
      </c>
    </row>
    <row r="240">
      <c r="A240" s="14">
        <v>238.0</v>
      </c>
      <c r="B240" t="str">
        <f t="shared" ref="B240:C240" si="240">DEC2HEX(HEX2DEC(C240)-1)</f>
        <v>BAD168</v>
      </c>
      <c r="C240" t="str">
        <f t="shared" si="240"/>
        <v>BAD169</v>
      </c>
      <c r="D240" s="14" t="str">
        <f t="shared" si="3"/>
        <v>BAD16A</v>
      </c>
      <c r="E240" s="14" t="s">
        <v>911</v>
      </c>
    </row>
    <row r="241">
      <c r="A241" s="14">
        <v>239.0</v>
      </c>
      <c r="B241" t="str">
        <f t="shared" ref="B241:C241" si="241">DEC2HEX(HEX2DEC(C241)-1)</f>
        <v>BAD164</v>
      </c>
      <c r="C241" t="str">
        <f t="shared" si="241"/>
        <v>BAD165</v>
      </c>
      <c r="D241" s="14" t="str">
        <f t="shared" si="3"/>
        <v>BAD166</v>
      </c>
      <c r="E241" s="14" t="s">
        <v>911</v>
      </c>
    </row>
    <row r="242">
      <c r="A242" s="14">
        <v>240.0</v>
      </c>
      <c r="B242" t="str">
        <f t="shared" ref="B242:C242" si="242">DEC2HEX(HEX2DEC(C242)-1)</f>
        <v>BAD160</v>
      </c>
      <c r="C242" t="str">
        <f t="shared" si="242"/>
        <v>BAD161</v>
      </c>
      <c r="D242" s="14" t="str">
        <f t="shared" si="3"/>
        <v>BAD162</v>
      </c>
      <c r="E242" s="14" t="s">
        <v>912</v>
      </c>
    </row>
    <row r="243">
      <c r="A243" s="14">
        <v>241.0</v>
      </c>
      <c r="B243" t="str">
        <f t="shared" ref="B243:C243" si="243">DEC2HEX(HEX2DEC(C243)-1)</f>
        <v>BAD15C</v>
      </c>
      <c r="C243" t="str">
        <f t="shared" si="243"/>
        <v>BAD15D</v>
      </c>
      <c r="D243" s="14" t="str">
        <f t="shared" si="3"/>
        <v>BAD15E</v>
      </c>
      <c r="E243" s="14" t="s">
        <v>913</v>
      </c>
    </row>
    <row r="244">
      <c r="A244" s="14">
        <v>242.0</v>
      </c>
      <c r="B244" t="str">
        <f t="shared" ref="B244:C244" si="244">DEC2HEX(HEX2DEC(C244)-1)</f>
        <v>BAD158</v>
      </c>
      <c r="C244" t="str">
        <f t="shared" si="244"/>
        <v>BAD159</v>
      </c>
      <c r="D244" s="14" t="str">
        <f t="shared" si="3"/>
        <v>BAD15A</v>
      </c>
      <c r="E244" s="14" t="s">
        <v>914</v>
      </c>
    </row>
    <row r="245">
      <c r="A245" s="14">
        <v>243.0</v>
      </c>
      <c r="B245" t="str">
        <f t="shared" ref="B245:C245" si="245">DEC2HEX(HEX2DEC(C245)-1)</f>
        <v>BAD154</v>
      </c>
      <c r="C245" t="str">
        <f t="shared" si="245"/>
        <v>BAD155</v>
      </c>
      <c r="D245" s="14" t="str">
        <f t="shared" si="3"/>
        <v>BAD156</v>
      </c>
      <c r="E245" s="14" t="s">
        <v>915</v>
      </c>
    </row>
    <row r="246">
      <c r="A246" s="14">
        <v>244.0</v>
      </c>
      <c r="B246" t="str">
        <f t="shared" ref="B246:C246" si="246">DEC2HEX(HEX2DEC(C246)-1)</f>
        <v>BAD150</v>
      </c>
      <c r="C246" t="str">
        <f t="shared" si="246"/>
        <v>BAD151</v>
      </c>
      <c r="D246" s="14" t="str">
        <f t="shared" si="3"/>
        <v>BAD152</v>
      </c>
      <c r="E246" s="14" t="s">
        <v>916</v>
      </c>
    </row>
    <row r="247">
      <c r="A247" s="14">
        <v>245.0</v>
      </c>
      <c r="B247" t="str">
        <f t="shared" ref="B247:C247" si="247">DEC2HEX(HEX2DEC(C247)-1)</f>
        <v>BAD14C</v>
      </c>
      <c r="C247" t="str">
        <f t="shared" si="247"/>
        <v>BAD14D</v>
      </c>
      <c r="D247" s="14" t="str">
        <f t="shared" si="3"/>
        <v>BAD14E</v>
      </c>
      <c r="E247" s="14" t="s">
        <v>917</v>
      </c>
    </row>
    <row r="248">
      <c r="A248" s="14">
        <v>246.0</v>
      </c>
      <c r="B248" t="str">
        <f t="shared" ref="B248:C248" si="248">DEC2HEX(HEX2DEC(C248)-1)</f>
        <v>BAD148</v>
      </c>
      <c r="C248" t="str">
        <f t="shared" si="248"/>
        <v>BAD149</v>
      </c>
      <c r="D248" s="14" t="str">
        <f t="shared" si="3"/>
        <v>BAD14A</v>
      </c>
      <c r="E248" s="14" t="s">
        <v>918</v>
      </c>
      <c r="F248" s="14" t="s">
        <v>919</v>
      </c>
    </row>
    <row r="249">
      <c r="A249" s="14">
        <v>247.0</v>
      </c>
      <c r="B249" t="str">
        <f t="shared" ref="B249:C249" si="249">DEC2HEX(HEX2DEC(C249)-1)</f>
        <v>BAD144</v>
      </c>
      <c r="C249" t="str">
        <f t="shared" si="249"/>
        <v>BAD145</v>
      </c>
      <c r="D249" s="14" t="str">
        <f t="shared" si="3"/>
        <v>BAD146</v>
      </c>
      <c r="E249" s="14" t="s">
        <v>920</v>
      </c>
    </row>
    <row r="250">
      <c r="A250" s="14">
        <v>248.0</v>
      </c>
      <c r="B250" t="str">
        <f t="shared" ref="B250:C250" si="250">DEC2HEX(HEX2DEC(C250)-1)</f>
        <v>BAD140</v>
      </c>
      <c r="C250" t="str">
        <f t="shared" si="250"/>
        <v>BAD141</v>
      </c>
      <c r="D250" s="14" t="str">
        <f t="shared" si="3"/>
        <v>BAD142</v>
      </c>
      <c r="E250" s="14" t="s">
        <v>921</v>
      </c>
    </row>
    <row r="251">
      <c r="A251" s="14">
        <v>249.0</v>
      </c>
      <c r="B251" t="str">
        <f t="shared" ref="B251:C251" si="251">DEC2HEX(HEX2DEC(C251)-1)</f>
        <v>BAD13C</v>
      </c>
      <c r="C251" t="str">
        <f t="shared" si="251"/>
        <v>BAD13D</v>
      </c>
      <c r="D251" s="14" t="str">
        <f t="shared" si="3"/>
        <v>BAD13E</v>
      </c>
      <c r="E251" s="14" t="s">
        <v>123</v>
      </c>
    </row>
    <row r="252">
      <c r="A252" s="14">
        <v>250.0</v>
      </c>
      <c r="B252" t="str">
        <f t="shared" ref="B252:C252" si="252">DEC2HEX(HEX2DEC(C252)-1)</f>
        <v>BAD138</v>
      </c>
      <c r="C252" t="str">
        <f t="shared" si="252"/>
        <v>BAD139</v>
      </c>
      <c r="D252" s="14" t="str">
        <f t="shared" si="3"/>
        <v>BAD13A</v>
      </c>
      <c r="E252" s="14" t="s">
        <v>922</v>
      </c>
    </row>
    <row r="253">
      <c r="A253" s="14">
        <v>251.0</v>
      </c>
      <c r="B253" t="str">
        <f t="shared" ref="B253:C253" si="253">DEC2HEX(HEX2DEC(C253)-1)</f>
        <v>BAD134</v>
      </c>
      <c r="C253" t="str">
        <f t="shared" si="253"/>
        <v>BAD135</v>
      </c>
      <c r="D253" s="14" t="str">
        <f t="shared" si="3"/>
        <v>BAD136</v>
      </c>
      <c r="E253" s="14" t="s">
        <v>123</v>
      </c>
    </row>
    <row r="254">
      <c r="A254" s="14">
        <v>252.0</v>
      </c>
      <c r="B254" t="str">
        <f t="shared" ref="B254:C254" si="254">DEC2HEX(HEX2DEC(C254)-1)</f>
        <v>BAD130</v>
      </c>
      <c r="C254" t="str">
        <f t="shared" si="254"/>
        <v>BAD131</v>
      </c>
      <c r="D254" s="14" t="str">
        <f t="shared" si="3"/>
        <v>BAD132</v>
      </c>
      <c r="E254" s="14" t="s">
        <v>123</v>
      </c>
    </row>
    <row r="255">
      <c r="A255" s="14">
        <v>253.0</v>
      </c>
      <c r="B255" t="str">
        <f t="shared" ref="B255:C255" si="255">DEC2HEX(HEX2DEC(C255)-1)</f>
        <v>BAD12C</v>
      </c>
      <c r="C255" t="str">
        <f t="shared" si="255"/>
        <v>BAD12D</v>
      </c>
      <c r="D255" s="14" t="str">
        <f t="shared" si="3"/>
        <v>BAD12E</v>
      </c>
      <c r="E255" s="14" t="s">
        <v>123</v>
      </c>
    </row>
    <row r="256">
      <c r="A256" s="14">
        <v>254.0</v>
      </c>
      <c r="B256" t="str">
        <f t="shared" ref="B256:C256" si="256">DEC2HEX(HEX2DEC(C256)-1)</f>
        <v>BAD128</v>
      </c>
      <c r="C256" t="str">
        <f t="shared" si="256"/>
        <v>BAD129</v>
      </c>
      <c r="D256" s="14" t="str">
        <f t="shared" si="3"/>
        <v>BAD12A</v>
      </c>
      <c r="E256" s="14" t="s">
        <v>123</v>
      </c>
    </row>
    <row r="257">
      <c r="A257" s="14">
        <v>255.0</v>
      </c>
      <c r="B257" t="str">
        <f t="shared" ref="B257:C257" si="257">DEC2HEX(HEX2DEC(C257)-1)</f>
        <v>BAD124</v>
      </c>
      <c r="C257" t="str">
        <f t="shared" si="257"/>
        <v>BAD125</v>
      </c>
      <c r="D257" s="14" t="s">
        <v>923</v>
      </c>
      <c r="E257" s="14" t="s">
        <v>924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5200C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63"/>
    <col customWidth="1" min="2" max="2" width="11.38"/>
    <col customWidth="1" min="3" max="3" width="26.25"/>
    <col customWidth="1" min="4" max="4" width="46.0"/>
  </cols>
  <sheetData>
    <row r="1">
      <c r="A1" s="48" t="s">
        <v>71</v>
      </c>
      <c r="B1" s="48" t="s">
        <v>925</v>
      </c>
      <c r="C1" s="48" t="s">
        <v>926</v>
      </c>
      <c r="D1" s="48" t="s">
        <v>927</v>
      </c>
    </row>
    <row r="2">
      <c r="A2" s="14" t="s">
        <v>928</v>
      </c>
      <c r="B2" s="14" t="s">
        <v>929</v>
      </c>
      <c r="C2" s="14" t="s">
        <v>930</v>
      </c>
      <c r="D2" s="14" t="s">
        <v>931</v>
      </c>
    </row>
    <row r="3">
      <c r="A3" s="14" t="s">
        <v>932</v>
      </c>
      <c r="B3" s="14" t="s">
        <v>933</v>
      </c>
      <c r="C3" s="14" t="s">
        <v>934</v>
      </c>
      <c r="D3" s="14" t="s">
        <v>935</v>
      </c>
    </row>
    <row r="4">
      <c r="A4" s="14" t="s">
        <v>936</v>
      </c>
      <c r="B4" s="14" t="s">
        <v>937</v>
      </c>
      <c r="C4" s="14" t="s">
        <v>938</v>
      </c>
      <c r="D4" s="14" t="s">
        <v>939</v>
      </c>
    </row>
    <row r="5">
      <c r="A5" s="14" t="s">
        <v>940</v>
      </c>
      <c r="B5" s="14" t="s">
        <v>941</v>
      </c>
      <c r="C5" s="14" t="s">
        <v>942</v>
      </c>
      <c r="D5" s="14" t="s">
        <v>943</v>
      </c>
    </row>
    <row r="6">
      <c r="A6" s="49" t="s">
        <v>944</v>
      </c>
      <c r="B6" s="49" t="s">
        <v>937</v>
      </c>
      <c r="C6" s="49" t="s">
        <v>945</v>
      </c>
      <c r="D6" s="14"/>
    </row>
    <row r="7">
      <c r="A7" s="49" t="s">
        <v>946</v>
      </c>
      <c r="B7" s="49" t="s">
        <v>937</v>
      </c>
      <c r="C7" s="49" t="s">
        <v>945</v>
      </c>
      <c r="D7" s="14"/>
    </row>
    <row r="8">
      <c r="A8" s="14" t="s">
        <v>947</v>
      </c>
      <c r="B8" s="14" t="s">
        <v>937</v>
      </c>
      <c r="C8" s="14" t="s">
        <v>102</v>
      </c>
      <c r="D8" s="14" t="s">
        <v>948</v>
      </c>
    </row>
    <row r="9">
      <c r="A9" s="50" t="s">
        <v>949</v>
      </c>
      <c r="B9" s="50" t="s">
        <v>937</v>
      </c>
      <c r="C9" s="50" t="s">
        <v>945</v>
      </c>
      <c r="D9" s="51"/>
    </row>
    <row r="10">
      <c r="A10" s="14" t="s">
        <v>950</v>
      </c>
      <c r="B10" s="14" t="s">
        <v>937</v>
      </c>
      <c r="C10" s="14" t="s">
        <v>951</v>
      </c>
      <c r="D10" s="14" t="s">
        <v>95</v>
      </c>
    </row>
    <row r="11">
      <c r="A11" s="14" t="s">
        <v>952</v>
      </c>
      <c r="B11" s="14" t="s">
        <v>937</v>
      </c>
      <c r="C11" s="14" t="s">
        <v>953</v>
      </c>
      <c r="D11" s="14" t="s">
        <v>95</v>
      </c>
    </row>
    <row r="12">
      <c r="A12" s="50" t="s">
        <v>954</v>
      </c>
      <c r="B12" s="50" t="s">
        <v>937</v>
      </c>
      <c r="C12" s="50" t="s">
        <v>945</v>
      </c>
      <c r="D12" s="51"/>
    </row>
    <row r="13">
      <c r="A13" s="50" t="s">
        <v>955</v>
      </c>
      <c r="B13" s="50" t="s">
        <v>937</v>
      </c>
      <c r="C13" s="50" t="s">
        <v>945</v>
      </c>
      <c r="D13" s="51"/>
    </row>
    <row r="14">
      <c r="A14" s="14" t="s">
        <v>956</v>
      </c>
      <c r="B14" s="14" t="s">
        <v>937</v>
      </c>
      <c r="C14" s="14" t="s">
        <v>957</v>
      </c>
      <c r="D14" s="14" t="s">
        <v>95</v>
      </c>
    </row>
    <row r="15">
      <c r="A15" s="50" t="s">
        <v>958</v>
      </c>
      <c r="B15" s="50" t="s">
        <v>937</v>
      </c>
      <c r="C15" s="50" t="s">
        <v>945</v>
      </c>
      <c r="D15" s="51"/>
    </row>
    <row r="16">
      <c r="A16" s="50" t="s">
        <v>959</v>
      </c>
      <c r="B16" s="50" t="s">
        <v>937</v>
      </c>
      <c r="C16" s="50" t="s">
        <v>945</v>
      </c>
      <c r="D16" s="51"/>
    </row>
    <row r="17">
      <c r="A17" s="50" t="s">
        <v>960</v>
      </c>
      <c r="B17" s="50" t="s">
        <v>937</v>
      </c>
      <c r="C17" s="50" t="s">
        <v>945</v>
      </c>
      <c r="D17" s="51"/>
    </row>
    <row r="18">
      <c r="A18" s="14" t="s">
        <v>961</v>
      </c>
      <c r="B18" s="14" t="s">
        <v>937</v>
      </c>
      <c r="C18" s="14" t="s">
        <v>962</v>
      </c>
      <c r="D18" s="14" t="s">
        <v>963</v>
      </c>
    </row>
    <row r="19">
      <c r="A19" s="50" t="s">
        <v>964</v>
      </c>
      <c r="B19" s="50" t="s">
        <v>937</v>
      </c>
      <c r="C19" s="50" t="s">
        <v>945</v>
      </c>
      <c r="D19" s="51"/>
    </row>
    <row r="20">
      <c r="A20" s="50" t="s">
        <v>965</v>
      </c>
      <c r="B20" s="50" t="s">
        <v>937</v>
      </c>
      <c r="C20" s="50" t="s">
        <v>945</v>
      </c>
      <c r="D20" s="51"/>
    </row>
    <row r="21">
      <c r="A21" s="50" t="s">
        <v>966</v>
      </c>
      <c r="B21" s="50" t="s">
        <v>937</v>
      </c>
      <c r="C21" s="50" t="s">
        <v>945</v>
      </c>
      <c r="D21" s="51"/>
    </row>
    <row r="22">
      <c r="A22" s="14" t="s">
        <v>967</v>
      </c>
      <c r="B22" s="14" t="s">
        <v>937</v>
      </c>
      <c r="C22" s="14" t="s">
        <v>968</v>
      </c>
      <c r="D22" s="14" t="s">
        <v>969</v>
      </c>
    </row>
    <row r="23">
      <c r="A23" s="14" t="s">
        <v>970</v>
      </c>
      <c r="B23" s="14" t="s">
        <v>937</v>
      </c>
      <c r="C23" s="14" t="s">
        <v>971</v>
      </c>
      <c r="D23" s="14" t="s">
        <v>972</v>
      </c>
    </row>
    <row r="24">
      <c r="A24" s="14" t="s">
        <v>973</v>
      </c>
      <c r="B24" s="14" t="s">
        <v>937</v>
      </c>
      <c r="C24" s="14" t="s">
        <v>974</v>
      </c>
      <c r="D24" s="14" t="s">
        <v>975</v>
      </c>
    </row>
    <row r="25">
      <c r="A25" s="14" t="s">
        <v>976</v>
      </c>
      <c r="B25" s="14" t="s">
        <v>937</v>
      </c>
      <c r="C25" s="14" t="s">
        <v>977</v>
      </c>
      <c r="D25" s="14" t="s">
        <v>95</v>
      </c>
    </row>
    <row r="26">
      <c r="A26" s="14" t="s">
        <v>978</v>
      </c>
      <c r="B26" s="14" t="s">
        <v>937</v>
      </c>
      <c r="C26" s="14" t="s">
        <v>979</v>
      </c>
      <c r="D26" s="14" t="s">
        <v>980</v>
      </c>
    </row>
    <row r="27">
      <c r="A27" s="14" t="s">
        <v>981</v>
      </c>
      <c r="B27" s="14" t="s">
        <v>937</v>
      </c>
      <c r="C27" s="14" t="s">
        <v>982</v>
      </c>
      <c r="D27" s="14" t="s">
        <v>983</v>
      </c>
    </row>
    <row r="28">
      <c r="A28" s="14" t="s">
        <v>984</v>
      </c>
      <c r="B28" s="14" t="s">
        <v>937</v>
      </c>
      <c r="C28" s="14" t="s">
        <v>985</v>
      </c>
      <c r="D28" s="14" t="s">
        <v>95</v>
      </c>
    </row>
    <row r="29">
      <c r="A29" s="50" t="s">
        <v>986</v>
      </c>
      <c r="B29" s="50" t="s">
        <v>937</v>
      </c>
      <c r="C29" s="50" t="s">
        <v>945</v>
      </c>
      <c r="D29" s="51"/>
    </row>
    <row r="30">
      <c r="A30" s="14" t="s">
        <v>987</v>
      </c>
      <c r="B30" s="14" t="s">
        <v>937</v>
      </c>
      <c r="C30" s="14" t="s">
        <v>988</v>
      </c>
      <c r="D30" s="14" t="s">
        <v>95</v>
      </c>
    </row>
    <row r="31">
      <c r="A31" s="14" t="s">
        <v>989</v>
      </c>
      <c r="B31" s="14" t="s">
        <v>937</v>
      </c>
      <c r="C31" s="14" t="s">
        <v>990</v>
      </c>
      <c r="D31" s="14" t="s">
        <v>95</v>
      </c>
    </row>
    <row r="32">
      <c r="A32" s="14" t="s">
        <v>991</v>
      </c>
      <c r="B32" s="14" t="s">
        <v>937</v>
      </c>
      <c r="C32" s="14" t="s">
        <v>992</v>
      </c>
      <c r="D32" s="14" t="s">
        <v>95</v>
      </c>
    </row>
    <row r="33">
      <c r="A33" s="14" t="s">
        <v>993</v>
      </c>
      <c r="B33" s="14" t="s">
        <v>937</v>
      </c>
      <c r="C33" s="14" t="s">
        <v>994</v>
      </c>
      <c r="D33" s="14" t="s">
        <v>95</v>
      </c>
    </row>
    <row r="34">
      <c r="A34" s="14" t="s">
        <v>995</v>
      </c>
      <c r="B34" s="14" t="s">
        <v>937</v>
      </c>
      <c r="C34" s="14" t="s">
        <v>996</v>
      </c>
      <c r="D34" s="14" t="s">
        <v>95</v>
      </c>
    </row>
    <row r="35">
      <c r="A35" s="14" t="s">
        <v>997</v>
      </c>
      <c r="B35" s="14" t="s">
        <v>937</v>
      </c>
      <c r="C35" s="14" t="s">
        <v>998</v>
      </c>
      <c r="D35" s="14" t="s">
        <v>95</v>
      </c>
    </row>
    <row r="36">
      <c r="A36" s="50" t="s">
        <v>999</v>
      </c>
      <c r="B36" s="50" t="s">
        <v>937</v>
      </c>
      <c r="C36" s="50" t="s">
        <v>945</v>
      </c>
      <c r="D36" s="51"/>
    </row>
    <row r="37">
      <c r="A37" s="50" t="s">
        <v>1000</v>
      </c>
      <c r="B37" s="50" t="s">
        <v>929</v>
      </c>
      <c r="C37" s="50" t="s">
        <v>945</v>
      </c>
      <c r="D37" s="51"/>
    </row>
    <row r="38">
      <c r="A38" s="50" t="s">
        <v>1001</v>
      </c>
      <c r="B38" s="50" t="s">
        <v>929</v>
      </c>
      <c r="C38" s="50" t="s">
        <v>945</v>
      </c>
      <c r="D38" s="51"/>
    </row>
    <row r="39">
      <c r="A39" s="50" t="s">
        <v>1002</v>
      </c>
      <c r="B39" s="50" t="s">
        <v>929</v>
      </c>
      <c r="C39" s="50" t="s">
        <v>945</v>
      </c>
      <c r="D39" s="51"/>
    </row>
    <row r="40">
      <c r="A40" s="52" t="s">
        <v>1003</v>
      </c>
      <c r="B40" s="52" t="s">
        <v>941</v>
      </c>
      <c r="C40" s="52" t="s">
        <v>1004</v>
      </c>
      <c r="D40" s="52" t="s">
        <v>95</v>
      </c>
    </row>
    <row r="41">
      <c r="A41" s="14" t="s">
        <v>1005</v>
      </c>
      <c r="B41" s="14" t="s">
        <v>937</v>
      </c>
      <c r="C41" s="14" t="s">
        <v>1006</v>
      </c>
      <c r="D41" s="14" t="s">
        <v>95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7BA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6.63"/>
  </cols>
  <sheetData>
    <row r="1">
      <c r="A1" s="48" t="s">
        <v>1007</v>
      </c>
      <c r="B1" s="48" t="s">
        <v>1008</v>
      </c>
      <c r="C1" s="48" t="s">
        <v>1009</v>
      </c>
      <c r="D1" s="48" t="s">
        <v>879</v>
      </c>
      <c r="E1" s="48" t="s">
        <v>1010</v>
      </c>
      <c r="F1" s="48" t="s">
        <v>1011</v>
      </c>
      <c r="G1" s="48" t="s">
        <v>1012</v>
      </c>
      <c r="H1" s="48" t="s">
        <v>1013</v>
      </c>
      <c r="I1" s="48" t="s">
        <v>1014</v>
      </c>
      <c r="J1" s="48" t="s">
        <v>1015</v>
      </c>
      <c r="K1" s="48" t="s">
        <v>1016</v>
      </c>
      <c r="L1" s="48" t="s">
        <v>1017</v>
      </c>
      <c r="M1" s="48" t="s">
        <v>1018</v>
      </c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</row>
    <row r="2">
      <c r="A2" s="14" t="str">
        <f t="shared" ref="A2:A3" si="3">DEC2HEX(HEX2DEC(A3)+16)</f>
        <v>BAD4E0</v>
      </c>
      <c r="B2" s="53" t="str">
        <f t="shared" ref="B2:C2" si="1">DEC2HEX(HEX2DEC(A2)+1)</f>
        <v>BAD4E1</v>
      </c>
      <c r="C2" s="53" t="str">
        <f t="shared" si="1"/>
        <v>BAD4E2</v>
      </c>
      <c r="D2" s="14" t="s">
        <v>123</v>
      </c>
      <c r="E2" s="54" t="s">
        <v>95</v>
      </c>
      <c r="F2" s="14">
        <v>260.0</v>
      </c>
      <c r="G2">
        <f t="shared" ref="G2:AS2" si="2">F2+256</f>
        <v>516</v>
      </c>
      <c r="H2">
        <f t="shared" si="2"/>
        <v>772</v>
      </c>
      <c r="I2">
        <f t="shared" si="2"/>
        <v>1028</v>
      </c>
      <c r="J2">
        <f t="shared" si="2"/>
        <v>1284</v>
      </c>
      <c r="K2">
        <f t="shared" si="2"/>
        <v>1540</v>
      </c>
      <c r="L2">
        <f t="shared" si="2"/>
        <v>1796</v>
      </c>
      <c r="M2">
        <f t="shared" si="2"/>
        <v>2052</v>
      </c>
      <c r="N2">
        <f t="shared" si="2"/>
        <v>2308</v>
      </c>
      <c r="O2">
        <f t="shared" si="2"/>
        <v>2564</v>
      </c>
      <c r="P2">
        <f t="shared" si="2"/>
        <v>2820</v>
      </c>
      <c r="Q2">
        <f t="shared" si="2"/>
        <v>3076</v>
      </c>
      <c r="R2">
        <f t="shared" si="2"/>
        <v>3332</v>
      </c>
      <c r="S2">
        <f t="shared" si="2"/>
        <v>3588</v>
      </c>
      <c r="T2">
        <f t="shared" si="2"/>
        <v>3844</v>
      </c>
      <c r="U2">
        <f t="shared" si="2"/>
        <v>4100</v>
      </c>
      <c r="V2">
        <f t="shared" si="2"/>
        <v>4356</v>
      </c>
      <c r="W2">
        <f t="shared" si="2"/>
        <v>4612</v>
      </c>
      <c r="X2">
        <f t="shared" si="2"/>
        <v>4868</v>
      </c>
      <c r="Y2">
        <f t="shared" si="2"/>
        <v>5124</v>
      </c>
      <c r="Z2">
        <f t="shared" si="2"/>
        <v>5380</v>
      </c>
      <c r="AA2">
        <f t="shared" si="2"/>
        <v>5636</v>
      </c>
      <c r="AB2">
        <f t="shared" si="2"/>
        <v>5892</v>
      </c>
      <c r="AC2">
        <f t="shared" si="2"/>
        <v>6148</v>
      </c>
      <c r="AD2">
        <f t="shared" si="2"/>
        <v>6404</v>
      </c>
      <c r="AE2">
        <f t="shared" si="2"/>
        <v>6660</v>
      </c>
      <c r="AF2">
        <f t="shared" si="2"/>
        <v>6916</v>
      </c>
      <c r="AG2">
        <f t="shared" si="2"/>
        <v>7172</v>
      </c>
      <c r="AH2">
        <f t="shared" si="2"/>
        <v>7428</v>
      </c>
      <c r="AI2">
        <f t="shared" si="2"/>
        <v>7684</v>
      </c>
      <c r="AJ2">
        <f t="shared" si="2"/>
        <v>7940</v>
      </c>
      <c r="AK2">
        <f t="shared" si="2"/>
        <v>8196</v>
      </c>
      <c r="AL2">
        <f t="shared" si="2"/>
        <v>8452</v>
      </c>
      <c r="AM2">
        <f t="shared" si="2"/>
        <v>8708</v>
      </c>
      <c r="AN2">
        <f t="shared" si="2"/>
        <v>8964</v>
      </c>
      <c r="AO2">
        <f t="shared" si="2"/>
        <v>9220</v>
      </c>
      <c r="AP2">
        <f t="shared" si="2"/>
        <v>9476</v>
      </c>
      <c r="AQ2">
        <f t="shared" si="2"/>
        <v>9732</v>
      </c>
      <c r="AR2">
        <f t="shared" si="2"/>
        <v>9988</v>
      </c>
      <c r="AS2">
        <f t="shared" si="2"/>
        <v>10244</v>
      </c>
    </row>
    <row r="3">
      <c r="A3" s="14" t="str">
        <f t="shared" si="3"/>
        <v>BAD4D0</v>
      </c>
      <c r="B3" s="53" t="str">
        <f t="shared" ref="B3:C3" si="4">DEC2HEX(HEX2DEC(A3)+1)</f>
        <v>BAD4D1</v>
      </c>
      <c r="C3" s="53" t="str">
        <f t="shared" si="4"/>
        <v>BAD4D2</v>
      </c>
      <c r="D3" s="14" t="s">
        <v>123</v>
      </c>
      <c r="E3" s="54" t="s">
        <v>95</v>
      </c>
      <c r="F3" s="14">
        <v>264.0</v>
      </c>
      <c r="G3">
        <f t="shared" ref="G3:AS3" si="5">F3+256</f>
        <v>520</v>
      </c>
      <c r="H3">
        <f t="shared" si="5"/>
        <v>776</v>
      </c>
      <c r="I3">
        <f t="shared" si="5"/>
        <v>1032</v>
      </c>
      <c r="J3">
        <f t="shared" si="5"/>
        <v>1288</v>
      </c>
      <c r="K3">
        <f t="shared" si="5"/>
        <v>1544</v>
      </c>
      <c r="L3">
        <f t="shared" si="5"/>
        <v>1800</v>
      </c>
      <c r="M3">
        <f t="shared" si="5"/>
        <v>2056</v>
      </c>
      <c r="N3">
        <f t="shared" si="5"/>
        <v>2312</v>
      </c>
      <c r="O3">
        <f t="shared" si="5"/>
        <v>2568</v>
      </c>
      <c r="P3">
        <f t="shared" si="5"/>
        <v>2824</v>
      </c>
      <c r="Q3">
        <f t="shared" si="5"/>
        <v>3080</v>
      </c>
      <c r="R3">
        <f t="shared" si="5"/>
        <v>3336</v>
      </c>
      <c r="S3">
        <f t="shared" si="5"/>
        <v>3592</v>
      </c>
      <c r="T3">
        <f t="shared" si="5"/>
        <v>3848</v>
      </c>
      <c r="U3">
        <f t="shared" si="5"/>
        <v>4104</v>
      </c>
      <c r="V3">
        <f t="shared" si="5"/>
        <v>4360</v>
      </c>
      <c r="W3">
        <f t="shared" si="5"/>
        <v>4616</v>
      </c>
      <c r="X3">
        <f t="shared" si="5"/>
        <v>4872</v>
      </c>
      <c r="Y3">
        <f t="shared" si="5"/>
        <v>5128</v>
      </c>
      <c r="Z3">
        <f t="shared" si="5"/>
        <v>5384</v>
      </c>
      <c r="AA3">
        <f t="shared" si="5"/>
        <v>5640</v>
      </c>
      <c r="AB3">
        <f t="shared" si="5"/>
        <v>5896</v>
      </c>
      <c r="AC3">
        <f t="shared" si="5"/>
        <v>6152</v>
      </c>
      <c r="AD3">
        <f t="shared" si="5"/>
        <v>6408</v>
      </c>
      <c r="AE3">
        <f t="shared" si="5"/>
        <v>6664</v>
      </c>
      <c r="AF3">
        <f t="shared" si="5"/>
        <v>6920</v>
      </c>
      <c r="AG3">
        <f t="shared" si="5"/>
        <v>7176</v>
      </c>
      <c r="AH3">
        <f t="shared" si="5"/>
        <v>7432</v>
      </c>
      <c r="AI3">
        <f t="shared" si="5"/>
        <v>7688</v>
      </c>
      <c r="AJ3">
        <f t="shared" si="5"/>
        <v>7944</v>
      </c>
      <c r="AK3">
        <f t="shared" si="5"/>
        <v>8200</v>
      </c>
      <c r="AL3">
        <f t="shared" si="5"/>
        <v>8456</v>
      </c>
      <c r="AM3">
        <f t="shared" si="5"/>
        <v>8712</v>
      </c>
      <c r="AN3">
        <f t="shared" si="5"/>
        <v>8968</v>
      </c>
      <c r="AO3">
        <f t="shared" si="5"/>
        <v>9224</v>
      </c>
      <c r="AP3">
        <f t="shared" si="5"/>
        <v>9480</v>
      </c>
      <c r="AQ3">
        <f t="shared" si="5"/>
        <v>9736</v>
      </c>
      <c r="AR3">
        <f t="shared" si="5"/>
        <v>9992</v>
      </c>
      <c r="AS3">
        <f t="shared" si="5"/>
        <v>10248</v>
      </c>
    </row>
    <row r="4">
      <c r="A4" s="14" t="s">
        <v>1019</v>
      </c>
      <c r="B4" s="53" t="str">
        <f t="shared" ref="B4:C4" si="6">DEC2HEX(HEX2DEC(A4)+1)</f>
        <v>BAD4C1</v>
      </c>
      <c r="C4" s="53" t="str">
        <f t="shared" si="6"/>
        <v>BAD4C2</v>
      </c>
      <c r="D4" s="14" t="s">
        <v>123</v>
      </c>
      <c r="E4" s="54" t="s">
        <v>95</v>
      </c>
      <c r="F4" s="14">
        <v>268.0</v>
      </c>
      <c r="G4">
        <f t="shared" ref="G4:AS4" si="7">F4+256</f>
        <v>524</v>
      </c>
      <c r="H4">
        <f t="shared" si="7"/>
        <v>780</v>
      </c>
      <c r="I4">
        <f t="shared" si="7"/>
        <v>1036</v>
      </c>
      <c r="J4">
        <f t="shared" si="7"/>
        <v>1292</v>
      </c>
      <c r="K4">
        <f t="shared" si="7"/>
        <v>1548</v>
      </c>
      <c r="L4">
        <f t="shared" si="7"/>
        <v>1804</v>
      </c>
      <c r="M4">
        <f t="shared" si="7"/>
        <v>2060</v>
      </c>
      <c r="N4">
        <f t="shared" si="7"/>
        <v>2316</v>
      </c>
      <c r="O4">
        <f t="shared" si="7"/>
        <v>2572</v>
      </c>
      <c r="P4">
        <f t="shared" si="7"/>
        <v>2828</v>
      </c>
      <c r="Q4">
        <f t="shared" si="7"/>
        <v>3084</v>
      </c>
      <c r="R4">
        <f t="shared" si="7"/>
        <v>3340</v>
      </c>
      <c r="S4">
        <f t="shared" si="7"/>
        <v>3596</v>
      </c>
      <c r="T4">
        <f t="shared" si="7"/>
        <v>3852</v>
      </c>
      <c r="U4">
        <f t="shared" si="7"/>
        <v>4108</v>
      </c>
      <c r="V4">
        <f t="shared" si="7"/>
        <v>4364</v>
      </c>
      <c r="W4">
        <f t="shared" si="7"/>
        <v>4620</v>
      </c>
      <c r="X4">
        <f t="shared" si="7"/>
        <v>4876</v>
      </c>
      <c r="Y4">
        <f t="shared" si="7"/>
        <v>5132</v>
      </c>
      <c r="Z4">
        <f t="shared" si="7"/>
        <v>5388</v>
      </c>
      <c r="AA4">
        <f t="shared" si="7"/>
        <v>5644</v>
      </c>
      <c r="AB4">
        <f t="shared" si="7"/>
        <v>5900</v>
      </c>
      <c r="AC4">
        <f t="shared" si="7"/>
        <v>6156</v>
      </c>
      <c r="AD4">
        <f t="shared" si="7"/>
        <v>6412</v>
      </c>
      <c r="AE4">
        <f t="shared" si="7"/>
        <v>6668</v>
      </c>
      <c r="AF4">
        <f t="shared" si="7"/>
        <v>6924</v>
      </c>
      <c r="AG4">
        <f t="shared" si="7"/>
        <v>7180</v>
      </c>
      <c r="AH4">
        <f t="shared" si="7"/>
        <v>7436</v>
      </c>
      <c r="AI4">
        <f t="shared" si="7"/>
        <v>7692</v>
      </c>
      <c r="AJ4">
        <f t="shared" si="7"/>
        <v>7948</v>
      </c>
      <c r="AK4">
        <f t="shared" si="7"/>
        <v>8204</v>
      </c>
      <c r="AL4">
        <f t="shared" si="7"/>
        <v>8460</v>
      </c>
      <c r="AM4">
        <f t="shared" si="7"/>
        <v>8716</v>
      </c>
      <c r="AN4">
        <f t="shared" si="7"/>
        <v>8972</v>
      </c>
      <c r="AO4">
        <f t="shared" si="7"/>
        <v>9228</v>
      </c>
      <c r="AP4">
        <f t="shared" si="7"/>
        <v>9484</v>
      </c>
      <c r="AQ4">
        <f t="shared" si="7"/>
        <v>9740</v>
      </c>
      <c r="AR4">
        <f t="shared" si="7"/>
        <v>9996</v>
      </c>
      <c r="AS4">
        <f t="shared" si="7"/>
        <v>10252</v>
      </c>
    </row>
    <row r="5">
      <c r="A5" s="14" t="str">
        <f t="shared" ref="A5:A54" si="10">DEC2HEX(HEX2DEC(A6)+16)</f>
        <v>BAD4B0</v>
      </c>
      <c r="B5" s="53" t="str">
        <f t="shared" ref="B5:C5" si="8">DEC2HEX(HEX2DEC(A5)+1)</f>
        <v>BAD4B1</v>
      </c>
      <c r="C5" s="53" t="str">
        <f t="shared" si="8"/>
        <v>BAD4B2</v>
      </c>
      <c r="D5" s="14" t="s">
        <v>123</v>
      </c>
      <c r="E5" s="54" t="s">
        <v>95</v>
      </c>
      <c r="F5" s="14">
        <v>272.0</v>
      </c>
      <c r="G5">
        <f t="shared" ref="G5:AS5" si="9">F5+256</f>
        <v>528</v>
      </c>
      <c r="H5">
        <f t="shared" si="9"/>
        <v>784</v>
      </c>
      <c r="I5">
        <f t="shared" si="9"/>
        <v>1040</v>
      </c>
      <c r="J5">
        <f t="shared" si="9"/>
        <v>1296</v>
      </c>
      <c r="K5">
        <f t="shared" si="9"/>
        <v>1552</v>
      </c>
      <c r="L5">
        <f t="shared" si="9"/>
        <v>1808</v>
      </c>
      <c r="M5">
        <f t="shared" si="9"/>
        <v>2064</v>
      </c>
      <c r="N5">
        <f t="shared" si="9"/>
        <v>2320</v>
      </c>
      <c r="O5">
        <f t="shared" si="9"/>
        <v>2576</v>
      </c>
      <c r="P5">
        <f t="shared" si="9"/>
        <v>2832</v>
      </c>
      <c r="Q5">
        <f t="shared" si="9"/>
        <v>3088</v>
      </c>
      <c r="R5">
        <f t="shared" si="9"/>
        <v>3344</v>
      </c>
      <c r="S5">
        <f t="shared" si="9"/>
        <v>3600</v>
      </c>
      <c r="T5">
        <f t="shared" si="9"/>
        <v>3856</v>
      </c>
      <c r="U5">
        <f t="shared" si="9"/>
        <v>4112</v>
      </c>
      <c r="V5">
        <f t="shared" si="9"/>
        <v>4368</v>
      </c>
      <c r="W5">
        <f t="shared" si="9"/>
        <v>4624</v>
      </c>
      <c r="X5">
        <f t="shared" si="9"/>
        <v>4880</v>
      </c>
      <c r="Y5">
        <f t="shared" si="9"/>
        <v>5136</v>
      </c>
      <c r="Z5">
        <f t="shared" si="9"/>
        <v>5392</v>
      </c>
      <c r="AA5">
        <f t="shared" si="9"/>
        <v>5648</v>
      </c>
      <c r="AB5">
        <f t="shared" si="9"/>
        <v>5904</v>
      </c>
      <c r="AC5">
        <f t="shared" si="9"/>
        <v>6160</v>
      </c>
      <c r="AD5">
        <f t="shared" si="9"/>
        <v>6416</v>
      </c>
      <c r="AE5">
        <f t="shared" si="9"/>
        <v>6672</v>
      </c>
      <c r="AF5">
        <f t="shared" si="9"/>
        <v>6928</v>
      </c>
      <c r="AG5">
        <f t="shared" si="9"/>
        <v>7184</v>
      </c>
      <c r="AH5">
        <f t="shared" si="9"/>
        <v>7440</v>
      </c>
      <c r="AI5">
        <f t="shared" si="9"/>
        <v>7696</v>
      </c>
      <c r="AJ5">
        <f t="shared" si="9"/>
        <v>7952</v>
      </c>
      <c r="AK5">
        <f t="shared" si="9"/>
        <v>8208</v>
      </c>
      <c r="AL5">
        <f t="shared" si="9"/>
        <v>8464</v>
      </c>
      <c r="AM5">
        <f t="shared" si="9"/>
        <v>8720</v>
      </c>
      <c r="AN5">
        <f t="shared" si="9"/>
        <v>8976</v>
      </c>
      <c r="AO5">
        <f t="shared" si="9"/>
        <v>9232</v>
      </c>
      <c r="AP5">
        <f t="shared" si="9"/>
        <v>9488</v>
      </c>
      <c r="AQ5">
        <f t="shared" si="9"/>
        <v>9744</v>
      </c>
      <c r="AR5">
        <f t="shared" si="9"/>
        <v>10000</v>
      </c>
      <c r="AS5">
        <f t="shared" si="9"/>
        <v>10256</v>
      </c>
    </row>
    <row r="6">
      <c r="A6" s="14" t="str">
        <f t="shared" si="10"/>
        <v>BAD4A0</v>
      </c>
      <c r="B6" s="53" t="str">
        <f t="shared" ref="B6:C6" si="11">DEC2HEX(HEX2DEC(A6)+1)</f>
        <v>BAD4A1</v>
      </c>
      <c r="C6" s="53" t="str">
        <f t="shared" si="11"/>
        <v>BAD4A2</v>
      </c>
      <c r="D6" s="14" t="s">
        <v>1020</v>
      </c>
      <c r="E6" s="55">
        <v>20.0</v>
      </c>
      <c r="F6">
        <f t="shared" ref="F6:AS6" si="12">E6+256</f>
        <v>276</v>
      </c>
      <c r="G6">
        <f t="shared" si="12"/>
        <v>532</v>
      </c>
      <c r="H6">
        <f t="shared" si="12"/>
        <v>788</v>
      </c>
      <c r="I6">
        <f t="shared" si="12"/>
        <v>1044</v>
      </c>
      <c r="J6">
        <f t="shared" si="12"/>
        <v>1300</v>
      </c>
      <c r="K6">
        <f t="shared" si="12"/>
        <v>1556</v>
      </c>
      <c r="L6">
        <f t="shared" si="12"/>
        <v>1812</v>
      </c>
      <c r="M6">
        <f t="shared" si="12"/>
        <v>2068</v>
      </c>
      <c r="N6">
        <f t="shared" si="12"/>
        <v>2324</v>
      </c>
      <c r="O6">
        <f t="shared" si="12"/>
        <v>2580</v>
      </c>
      <c r="P6">
        <f t="shared" si="12"/>
        <v>2836</v>
      </c>
      <c r="Q6">
        <f t="shared" si="12"/>
        <v>3092</v>
      </c>
      <c r="R6">
        <f t="shared" si="12"/>
        <v>3348</v>
      </c>
      <c r="S6">
        <f t="shared" si="12"/>
        <v>3604</v>
      </c>
      <c r="T6">
        <f t="shared" si="12"/>
        <v>3860</v>
      </c>
      <c r="U6">
        <f t="shared" si="12"/>
        <v>4116</v>
      </c>
      <c r="V6">
        <f t="shared" si="12"/>
        <v>4372</v>
      </c>
      <c r="W6">
        <f t="shared" si="12"/>
        <v>4628</v>
      </c>
      <c r="X6">
        <f t="shared" si="12"/>
        <v>4884</v>
      </c>
      <c r="Y6">
        <f t="shared" si="12"/>
        <v>5140</v>
      </c>
      <c r="Z6">
        <f t="shared" si="12"/>
        <v>5396</v>
      </c>
      <c r="AA6">
        <f t="shared" si="12"/>
        <v>5652</v>
      </c>
      <c r="AB6">
        <f t="shared" si="12"/>
        <v>5908</v>
      </c>
      <c r="AC6">
        <f t="shared" si="12"/>
        <v>6164</v>
      </c>
      <c r="AD6">
        <f t="shared" si="12"/>
        <v>6420</v>
      </c>
      <c r="AE6">
        <f t="shared" si="12"/>
        <v>6676</v>
      </c>
      <c r="AF6">
        <f t="shared" si="12"/>
        <v>6932</v>
      </c>
      <c r="AG6">
        <f t="shared" si="12"/>
        <v>7188</v>
      </c>
      <c r="AH6">
        <f t="shared" si="12"/>
        <v>7444</v>
      </c>
      <c r="AI6">
        <f t="shared" si="12"/>
        <v>7700</v>
      </c>
      <c r="AJ6">
        <f t="shared" si="12"/>
        <v>7956</v>
      </c>
      <c r="AK6">
        <f t="shared" si="12"/>
        <v>8212</v>
      </c>
      <c r="AL6">
        <f t="shared" si="12"/>
        <v>8468</v>
      </c>
      <c r="AM6">
        <f t="shared" si="12"/>
        <v>8724</v>
      </c>
      <c r="AN6">
        <f t="shared" si="12"/>
        <v>8980</v>
      </c>
      <c r="AO6">
        <f t="shared" si="12"/>
        <v>9236</v>
      </c>
      <c r="AP6">
        <f t="shared" si="12"/>
        <v>9492</v>
      </c>
      <c r="AQ6">
        <f t="shared" si="12"/>
        <v>9748</v>
      </c>
      <c r="AR6">
        <f t="shared" si="12"/>
        <v>10004</v>
      </c>
      <c r="AS6">
        <f t="shared" si="12"/>
        <v>10260</v>
      </c>
    </row>
    <row r="7">
      <c r="A7" s="14" t="str">
        <f t="shared" si="10"/>
        <v>BAD490</v>
      </c>
      <c r="B7" s="53" t="str">
        <f t="shared" ref="B7:C7" si="13">DEC2HEX(HEX2DEC(A7)+1)</f>
        <v>BAD491</v>
      </c>
      <c r="C7" s="53" t="str">
        <f t="shared" si="13"/>
        <v>BAD492</v>
      </c>
      <c r="D7" s="14" t="s">
        <v>1020</v>
      </c>
      <c r="E7" s="55">
        <v>24.0</v>
      </c>
      <c r="F7">
        <f t="shared" ref="F7:AS7" si="14">E7+256</f>
        <v>280</v>
      </c>
      <c r="G7">
        <f t="shared" si="14"/>
        <v>536</v>
      </c>
      <c r="H7">
        <f t="shared" si="14"/>
        <v>792</v>
      </c>
      <c r="I7">
        <f t="shared" si="14"/>
        <v>1048</v>
      </c>
      <c r="J7">
        <f t="shared" si="14"/>
        <v>1304</v>
      </c>
      <c r="K7">
        <f t="shared" si="14"/>
        <v>1560</v>
      </c>
      <c r="L7">
        <f t="shared" si="14"/>
        <v>1816</v>
      </c>
      <c r="M7">
        <f t="shared" si="14"/>
        <v>2072</v>
      </c>
      <c r="N7">
        <f t="shared" si="14"/>
        <v>2328</v>
      </c>
      <c r="O7">
        <f t="shared" si="14"/>
        <v>2584</v>
      </c>
      <c r="P7">
        <f t="shared" si="14"/>
        <v>2840</v>
      </c>
      <c r="Q7">
        <f t="shared" si="14"/>
        <v>3096</v>
      </c>
      <c r="R7">
        <f t="shared" si="14"/>
        <v>3352</v>
      </c>
      <c r="S7">
        <f t="shared" si="14"/>
        <v>3608</v>
      </c>
      <c r="T7">
        <f t="shared" si="14"/>
        <v>3864</v>
      </c>
      <c r="U7">
        <f t="shared" si="14"/>
        <v>4120</v>
      </c>
      <c r="V7">
        <f t="shared" si="14"/>
        <v>4376</v>
      </c>
      <c r="W7">
        <f t="shared" si="14"/>
        <v>4632</v>
      </c>
      <c r="X7">
        <f t="shared" si="14"/>
        <v>4888</v>
      </c>
      <c r="Y7">
        <f t="shared" si="14"/>
        <v>5144</v>
      </c>
      <c r="Z7">
        <f t="shared" si="14"/>
        <v>5400</v>
      </c>
      <c r="AA7">
        <f t="shared" si="14"/>
        <v>5656</v>
      </c>
      <c r="AB7">
        <f t="shared" si="14"/>
        <v>5912</v>
      </c>
      <c r="AC7">
        <f t="shared" si="14"/>
        <v>6168</v>
      </c>
      <c r="AD7">
        <f t="shared" si="14"/>
        <v>6424</v>
      </c>
      <c r="AE7">
        <f t="shared" si="14"/>
        <v>6680</v>
      </c>
      <c r="AF7">
        <f t="shared" si="14"/>
        <v>6936</v>
      </c>
      <c r="AG7">
        <f t="shared" si="14"/>
        <v>7192</v>
      </c>
      <c r="AH7">
        <f t="shared" si="14"/>
        <v>7448</v>
      </c>
      <c r="AI7">
        <f t="shared" si="14"/>
        <v>7704</v>
      </c>
      <c r="AJ7">
        <f t="shared" si="14"/>
        <v>7960</v>
      </c>
      <c r="AK7">
        <f t="shared" si="14"/>
        <v>8216</v>
      </c>
      <c r="AL7">
        <f t="shared" si="14"/>
        <v>8472</v>
      </c>
      <c r="AM7">
        <f t="shared" si="14"/>
        <v>8728</v>
      </c>
      <c r="AN7">
        <f t="shared" si="14"/>
        <v>8984</v>
      </c>
      <c r="AO7">
        <f t="shared" si="14"/>
        <v>9240</v>
      </c>
      <c r="AP7">
        <f t="shared" si="14"/>
        <v>9496</v>
      </c>
      <c r="AQ7">
        <f t="shared" si="14"/>
        <v>9752</v>
      </c>
      <c r="AR7">
        <f t="shared" si="14"/>
        <v>10008</v>
      </c>
      <c r="AS7">
        <f t="shared" si="14"/>
        <v>10264</v>
      </c>
    </row>
    <row r="8">
      <c r="A8" s="14" t="str">
        <f t="shared" si="10"/>
        <v>BAD480</v>
      </c>
      <c r="B8" s="53" t="str">
        <f t="shared" ref="B8:C8" si="15">DEC2HEX(HEX2DEC(A8)+1)</f>
        <v>BAD481</v>
      </c>
      <c r="C8" s="53" t="str">
        <f t="shared" si="15"/>
        <v>BAD482</v>
      </c>
      <c r="D8" s="14" t="s">
        <v>1020</v>
      </c>
      <c r="E8" s="55">
        <v>28.0</v>
      </c>
      <c r="F8">
        <f t="shared" ref="F8:AS8" si="16">E8+256</f>
        <v>284</v>
      </c>
      <c r="G8">
        <f t="shared" si="16"/>
        <v>540</v>
      </c>
      <c r="H8">
        <f t="shared" si="16"/>
        <v>796</v>
      </c>
      <c r="I8">
        <f t="shared" si="16"/>
        <v>1052</v>
      </c>
      <c r="J8">
        <f t="shared" si="16"/>
        <v>1308</v>
      </c>
      <c r="K8">
        <f t="shared" si="16"/>
        <v>1564</v>
      </c>
      <c r="L8">
        <f t="shared" si="16"/>
        <v>1820</v>
      </c>
      <c r="M8">
        <f t="shared" si="16"/>
        <v>2076</v>
      </c>
      <c r="N8">
        <f t="shared" si="16"/>
        <v>2332</v>
      </c>
      <c r="O8">
        <f t="shared" si="16"/>
        <v>2588</v>
      </c>
      <c r="P8">
        <f t="shared" si="16"/>
        <v>2844</v>
      </c>
      <c r="Q8">
        <f t="shared" si="16"/>
        <v>3100</v>
      </c>
      <c r="R8">
        <f t="shared" si="16"/>
        <v>3356</v>
      </c>
      <c r="S8">
        <f t="shared" si="16"/>
        <v>3612</v>
      </c>
      <c r="T8">
        <f t="shared" si="16"/>
        <v>3868</v>
      </c>
      <c r="U8">
        <f t="shared" si="16"/>
        <v>4124</v>
      </c>
      <c r="V8">
        <f t="shared" si="16"/>
        <v>4380</v>
      </c>
      <c r="W8">
        <f t="shared" si="16"/>
        <v>4636</v>
      </c>
      <c r="X8">
        <f t="shared" si="16"/>
        <v>4892</v>
      </c>
      <c r="Y8">
        <f t="shared" si="16"/>
        <v>5148</v>
      </c>
      <c r="Z8">
        <f t="shared" si="16"/>
        <v>5404</v>
      </c>
      <c r="AA8">
        <f t="shared" si="16"/>
        <v>5660</v>
      </c>
      <c r="AB8">
        <f t="shared" si="16"/>
        <v>5916</v>
      </c>
      <c r="AC8">
        <f t="shared" si="16"/>
        <v>6172</v>
      </c>
      <c r="AD8">
        <f t="shared" si="16"/>
        <v>6428</v>
      </c>
      <c r="AE8">
        <f t="shared" si="16"/>
        <v>6684</v>
      </c>
      <c r="AF8">
        <f t="shared" si="16"/>
        <v>6940</v>
      </c>
      <c r="AG8">
        <f t="shared" si="16"/>
        <v>7196</v>
      </c>
      <c r="AH8">
        <f t="shared" si="16"/>
        <v>7452</v>
      </c>
      <c r="AI8">
        <f t="shared" si="16"/>
        <v>7708</v>
      </c>
      <c r="AJ8">
        <f t="shared" si="16"/>
        <v>7964</v>
      </c>
      <c r="AK8">
        <f t="shared" si="16"/>
        <v>8220</v>
      </c>
      <c r="AL8">
        <f t="shared" si="16"/>
        <v>8476</v>
      </c>
      <c r="AM8">
        <f t="shared" si="16"/>
        <v>8732</v>
      </c>
      <c r="AN8">
        <f t="shared" si="16"/>
        <v>8988</v>
      </c>
      <c r="AO8">
        <f t="shared" si="16"/>
        <v>9244</v>
      </c>
      <c r="AP8">
        <f t="shared" si="16"/>
        <v>9500</v>
      </c>
      <c r="AQ8">
        <f t="shared" si="16"/>
        <v>9756</v>
      </c>
      <c r="AR8">
        <f t="shared" si="16"/>
        <v>10012</v>
      </c>
      <c r="AS8">
        <f t="shared" si="16"/>
        <v>10268</v>
      </c>
    </row>
    <row r="9">
      <c r="A9" s="14" t="str">
        <f t="shared" si="10"/>
        <v>BAD470</v>
      </c>
      <c r="B9" s="53" t="str">
        <f t="shared" ref="B9:C9" si="17">DEC2HEX(HEX2DEC(A9)+1)</f>
        <v>BAD471</v>
      </c>
      <c r="C9" s="53" t="str">
        <f t="shared" si="17"/>
        <v>BAD472</v>
      </c>
      <c r="D9" s="14" t="s">
        <v>1020</v>
      </c>
      <c r="E9" s="55">
        <v>32.0</v>
      </c>
      <c r="F9">
        <f t="shared" ref="F9:AS9" si="18">E9+256</f>
        <v>288</v>
      </c>
      <c r="G9">
        <f t="shared" si="18"/>
        <v>544</v>
      </c>
      <c r="H9">
        <f t="shared" si="18"/>
        <v>800</v>
      </c>
      <c r="I9">
        <f t="shared" si="18"/>
        <v>1056</v>
      </c>
      <c r="J9">
        <f t="shared" si="18"/>
        <v>1312</v>
      </c>
      <c r="K9">
        <f t="shared" si="18"/>
        <v>1568</v>
      </c>
      <c r="L9">
        <f t="shared" si="18"/>
        <v>1824</v>
      </c>
      <c r="M9">
        <f t="shared" si="18"/>
        <v>2080</v>
      </c>
      <c r="N9">
        <f t="shared" si="18"/>
        <v>2336</v>
      </c>
      <c r="O9">
        <f t="shared" si="18"/>
        <v>2592</v>
      </c>
      <c r="P9">
        <f t="shared" si="18"/>
        <v>2848</v>
      </c>
      <c r="Q9">
        <f t="shared" si="18"/>
        <v>3104</v>
      </c>
      <c r="R9">
        <f t="shared" si="18"/>
        <v>3360</v>
      </c>
      <c r="S9">
        <f t="shared" si="18"/>
        <v>3616</v>
      </c>
      <c r="T9">
        <f t="shared" si="18"/>
        <v>3872</v>
      </c>
      <c r="U9">
        <f t="shared" si="18"/>
        <v>4128</v>
      </c>
      <c r="V9">
        <f t="shared" si="18"/>
        <v>4384</v>
      </c>
      <c r="W9">
        <f t="shared" si="18"/>
        <v>4640</v>
      </c>
      <c r="X9">
        <f t="shared" si="18"/>
        <v>4896</v>
      </c>
      <c r="Y9">
        <f t="shared" si="18"/>
        <v>5152</v>
      </c>
      <c r="Z9">
        <f t="shared" si="18"/>
        <v>5408</v>
      </c>
      <c r="AA9">
        <f t="shared" si="18"/>
        <v>5664</v>
      </c>
      <c r="AB9">
        <f t="shared" si="18"/>
        <v>5920</v>
      </c>
      <c r="AC9">
        <f t="shared" si="18"/>
        <v>6176</v>
      </c>
      <c r="AD9">
        <f t="shared" si="18"/>
        <v>6432</v>
      </c>
      <c r="AE9">
        <f t="shared" si="18"/>
        <v>6688</v>
      </c>
      <c r="AF9">
        <f t="shared" si="18"/>
        <v>6944</v>
      </c>
      <c r="AG9">
        <f t="shared" si="18"/>
        <v>7200</v>
      </c>
      <c r="AH9">
        <f t="shared" si="18"/>
        <v>7456</v>
      </c>
      <c r="AI9">
        <f t="shared" si="18"/>
        <v>7712</v>
      </c>
      <c r="AJ9">
        <f t="shared" si="18"/>
        <v>7968</v>
      </c>
      <c r="AK9">
        <f t="shared" si="18"/>
        <v>8224</v>
      </c>
      <c r="AL9">
        <f t="shared" si="18"/>
        <v>8480</v>
      </c>
      <c r="AM9">
        <f t="shared" si="18"/>
        <v>8736</v>
      </c>
      <c r="AN9">
        <f t="shared" si="18"/>
        <v>8992</v>
      </c>
      <c r="AO9">
        <f t="shared" si="18"/>
        <v>9248</v>
      </c>
      <c r="AP9">
        <f t="shared" si="18"/>
        <v>9504</v>
      </c>
      <c r="AQ9">
        <f t="shared" si="18"/>
        <v>9760</v>
      </c>
      <c r="AR9">
        <f t="shared" si="18"/>
        <v>10016</v>
      </c>
      <c r="AS9">
        <f t="shared" si="18"/>
        <v>10272</v>
      </c>
    </row>
    <row r="10">
      <c r="A10" s="14" t="str">
        <f t="shared" si="10"/>
        <v>BAD460</v>
      </c>
      <c r="B10" s="53" t="str">
        <f t="shared" ref="B10:C10" si="19">DEC2HEX(HEX2DEC(A10)+1)</f>
        <v>BAD461</v>
      </c>
      <c r="C10" s="53" t="str">
        <f t="shared" si="19"/>
        <v>BAD462</v>
      </c>
      <c r="D10" s="14" t="s">
        <v>1021</v>
      </c>
      <c r="E10" s="55">
        <v>36.0</v>
      </c>
      <c r="F10">
        <f t="shared" ref="F10:AS10" si="20">E10+256</f>
        <v>292</v>
      </c>
      <c r="G10">
        <f t="shared" si="20"/>
        <v>548</v>
      </c>
      <c r="H10">
        <f t="shared" si="20"/>
        <v>804</v>
      </c>
      <c r="I10">
        <f t="shared" si="20"/>
        <v>1060</v>
      </c>
      <c r="J10">
        <f t="shared" si="20"/>
        <v>1316</v>
      </c>
      <c r="K10">
        <f t="shared" si="20"/>
        <v>1572</v>
      </c>
      <c r="L10">
        <f t="shared" si="20"/>
        <v>1828</v>
      </c>
      <c r="M10">
        <f t="shared" si="20"/>
        <v>2084</v>
      </c>
      <c r="N10">
        <f t="shared" si="20"/>
        <v>2340</v>
      </c>
      <c r="O10">
        <f t="shared" si="20"/>
        <v>2596</v>
      </c>
      <c r="P10">
        <f t="shared" si="20"/>
        <v>2852</v>
      </c>
      <c r="Q10">
        <f t="shared" si="20"/>
        <v>3108</v>
      </c>
      <c r="R10">
        <f t="shared" si="20"/>
        <v>3364</v>
      </c>
      <c r="S10">
        <f t="shared" si="20"/>
        <v>3620</v>
      </c>
      <c r="T10">
        <f t="shared" si="20"/>
        <v>3876</v>
      </c>
      <c r="U10">
        <f t="shared" si="20"/>
        <v>4132</v>
      </c>
      <c r="V10">
        <f t="shared" si="20"/>
        <v>4388</v>
      </c>
      <c r="W10">
        <f t="shared" si="20"/>
        <v>4644</v>
      </c>
      <c r="X10">
        <f t="shared" si="20"/>
        <v>4900</v>
      </c>
      <c r="Y10">
        <f t="shared" si="20"/>
        <v>5156</v>
      </c>
      <c r="Z10">
        <f t="shared" si="20"/>
        <v>5412</v>
      </c>
      <c r="AA10">
        <f t="shared" si="20"/>
        <v>5668</v>
      </c>
      <c r="AB10">
        <f t="shared" si="20"/>
        <v>5924</v>
      </c>
      <c r="AC10">
        <f t="shared" si="20"/>
        <v>6180</v>
      </c>
      <c r="AD10">
        <f t="shared" si="20"/>
        <v>6436</v>
      </c>
      <c r="AE10">
        <f t="shared" si="20"/>
        <v>6692</v>
      </c>
      <c r="AF10">
        <f t="shared" si="20"/>
        <v>6948</v>
      </c>
      <c r="AG10">
        <f t="shared" si="20"/>
        <v>7204</v>
      </c>
      <c r="AH10">
        <f t="shared" si="20"/>
        <v>7460</v>
      </c>
      <c r="AI10">
        <f t="shared" si="20"/>
        <v>7716</v>
      </c>
      <c r="AJ10">
        <f t="shared" si="20"/>
        <v>7972</v>
      </c>
      <c r="AK10">
        <f t="shared" si="20"/>
        <v>8228</v>
      </c>
      <c r="AL10">
        <f t="shared" si="20"/>
        <v>8484</v>
      </c>
      <c r="AM10">
        <f t="shared" si="20"/>
        <v>8740</v>
      </c>
      <c r="AN10">
        <f t="shared" si="20"/>
        <v>8996</v>
      </c>
      <c r="AO10">
        <f t="shared" si="20"/>
        <v>9252</v>
      </c>
      <c r="AP10">
        <f t="shared" si="20"/>
        <v>9508</v>
      </c>
      <c r="AQ10">
        <f t="shared" si="20"/>
        <v>9764</v>
      </c>
      <c r="AR10">
        <f t="shared" si="20"/>
        <v>10020</v>
      </c>
      <c r="AS10">
        <f t="shared" si="20"/>
        <v>10276</v>
      </c>
    </row>
    <row r="11">
      <c r="A11" s="14" t="str">
        <f t="shared" si="10"/>
        <v>BAD450</v>
      </c>
      <c r="B11" s="53" t="str">
        <f t="shared" ref="B11:C11" si="21">DEC2HEX(HEX2DEC(A11)+1)</f>
        <v>BAD451</v>
      </c>
      <c r="C11" s="53" t="str">
        <f t="shared" si="21"/>
        <v>BAD452</v>
      </c>
      <c r="D11" s="14" t="s">
        <v>123</v>
      </c>
      <c r="E11" s="55">
        <v>40.0</v>
      </c>
      <c r="F11">
        <f t="shared" ref="F11:AS11" si="22">E11+256</f>
        <v>296</v>
      </c>
      <c r="G11">
        <f t="shared" si="22"/>
        <v>552</v>
      </c>
      <c r="H11">
        <f t="shared" si="22"/>
        <v>808</v>
      </c>
      <c r="I11">
        <f t="shared" si="22"/>
        <v>1064</v>
      </c>
      <c r="J11">
        <f t="shared" si="22"/>
        <v>1320</v>
      </c>
      <c r="K11">
        <f t="shared" si="22"/>
        <v>1576</v>
      </c>
      <c r="L11">
        <f t="shared" si="22"/>
        <v>1832</v>
      </c>
      <c r="M11">
        <f t="shared" si="22"/>
        <v>2088</v>
      </c>
      <c r="N11">
        <f t="shared" si="22"/>
        <v>2344</v>
      </c>
      <c r="O11">
        <f t="shared" si="22"/>
        <v>2600</v>
      </c>
      <c r="P11">
        <f t="shared" si="22"/>
        <v>2856</v>
      </c>
      <c r="Q11">
        <f t="shared" si="22"/>
        <v>3112</v>
      </c>
      <c r="R11">
        <f t="shared" si="22"/>
        <v>3368</v>
      </c>
      <c r="S11">
        <f t="shared" si="22"/>
        <v>3624</v>
      </c>
      <c r="T11">
        <f t="shared" si="22"/>
        <v>3880</v>
      </c>
      <c r="U11">
        <f t="shared" si="22"/>
        <v>4136</v>
      </c>
      <c r="V11">
        <f t="shared" si="22"/>
        <v>4392</v>
      </c>
      <c r="W11">
        <f t="shared" si="22"/>
        <v>4648</v>
      </c>
      <c r="X11">
        <f t="shared" si="22"/>
        <v>4904</v>
      </c>
      <c r="Y11">
        <f t="shared" si="22"/>
        <v>5160</v>
      </c>
      <c r="Z11">
        <f t="shared" si="22"/>
        <v>5416</v>
      </c>
      <c r="AA11">
        <f t="shared" si="22"/>
        <v>5672</v>
      </c>
      <c r="AB11">
        <f t="shared" si="22"/>
        <v>5928</v>
      </c>
      <c r="AC11">
        <f t="shared" si="22"/>
        <v>6184</v>
      </c>
      <c r="AD11">
        <f t="shared" si="22"/>
        <v>6440</v>
      </c>
      <c r="AE11">
        <f t="shared" si="22"/>
        <v>6696</v>
      </c>
      <c r="AF11">
        <f t="shared" si="22"/>
        <v>6952</v>
      </c>
      <c r="AG11">
        <f t="shared" si="22"/>
        <v>7208</v>
      </c>
      <c r="AH11">
        <f t="shared" si="22"/>
        <v>7464</v>
      </c>
      <c r="AI11">
        <f t="shared" si="22"/>
        <v>7720</v>
      </c>
      <c r="AJ11">
        <f t="shared" si="22"/>
        <v>7976</v>
      </c>
      <c r="AK11">
        <f t="shared" si="22"/>
        <v>8232</v>
      </c>
      <c r="AL11">
        <f t="shared" si="22"/>
        <v>8488</v>
      </c>
      <c r="AM11">
        <f t="shared" si="22"/>
        <v>8744</v>
      </c>
      <c r="AN11">
        <f t="shared" si="22"/>
        <v>9000</v>
      </c>
      <c r="AO11">
        <f t="shared" si="22"/>
        <v>9256</v>
      </c>
      <c r="AP11">
        <f t="shared" si="22"/>
        <v>9512</v>
      </c>
      <c r="AQ11">
        <f t="shared" si="22"/>
        <v>9768</v>
      </c>
      <c r="AR11">
        <f t="shared" si="22"/>
        <v>10024</v>
      </c>
      <c r="AS11">
        <f t="shared" si="22"/>
        <v>10280</v>
      </c>
    </row>
    <row r="12">
      <c r="A12" s="14" t="str">
        <f t="shared" si="10"/>
        <v>BAD440</v>
      </c>
      <c r="B12" s="53" t="str">
        <f t="shared" ref="B12:C12" si="23">DEC2HEX(HEX2DEC(A12)+1)</f>
        <v>BAD441</v>
      </c>
      <c r="C12" s="53" t="str">
        <f t="shared" si="23"/>
        <v>BAD442</v>
      </c>
      <c r="D12" s="14" t="s">
        <v>123</v>
      </c>
      <c r="E12" s="55">
        <v>44.0</v>
      </c>
      <c r="F12">
        <f t="shared" ref="F12:AS12" si="24">E12+256</f>
        <v>300</v>
      </c>
      <c r="G12">
        <f t="shared" si="24"/>
        <v>556</v>
      </c>
      <c r="H12">
        <f t="shared" si="24"/>
        <v>812</v>
      </c>
      <c r="I12">
        <f t="shared" si="24"/>
        <v>1068</v>
      </c>
      <c r="J12">
        <f t="shared" si="24"/>
        <v>1324</v>
      </c>
      <c r="K12">
        <f t="shared" si="24"/>
        <v>1580</v>
      </c>
      <c r="L12">
        <f t="shared" si="24"/>
        <v>1836</v>
      </c>
      <c r="M12">
        <f t="shared" si="24"/>
        <v>2092</v>
      </c>
      <c r="N12">
        <f t="shared" si="24"/>
        <v>2348</v>
      </c>
      <c r="O12">
        <f t="shared" si="24"/>
        <v>2604</v>
      </c>
      <c r="P12">
        <f t="shared" si="24"/>
        <v>2860</v>
      </c>
      <c r="Q12">
        <f t="shared" si="24"/>
        <v>3116</v>
      </c>
      <c r="R12">
        <f t="shared" si="24"/>
        <v>3372</v>
      </c>
      <c r="S12">
        <f t="shared" si="24"/>
        <v>3628</v>
      </c>
      <c r="T12">
        <f t="shared" si="24"/>
        <v>3884</v>
      </c>
      <c r="U12">
        <f t="shared" si="24"/>
        <v>4140</v>
      </c>
      <c r="V12">
        <f t="shared" si="24"/>
        <v>4396</v>
      </c>
      <c r="W12">
        <f t="shared" si="24"/>
        <v>4652</v>
      </c>
      <c r="X12">
        <f t="shared" si="24"/>
        <v>4908</v>
      </c>
      <c r="Y12">
        <f t="shared" si="24"/>
        <v>5164</v>
      </c>
      <c r="Z12">
        <f t="shared" si="24"/>
        <v>5420</v>
      </c>
      <c r="AA12">
        <f t="shared" si="24"/>
        <v>5676</v>
      </c>
      <c r="AB12">
        <f t="shared" si="24"/>
        <v>5932</v>
      </c>
      <c r="AC12">
        <f t="shared" si="24"/>
        <v>6188</v>
      </c>
      <c r="AD12">
        <f t="shared" si="24"/>
        <v>6444</v>
      </c>
      <c r="AE12">
        <f t="shared" si="24"/>
        <v>6700</v>
      </c>
      <c r="AF12">
        <f t="shared" si="24"/>
        <v>6956</v>
      </c>
      <c r="AG12">
        <f t="shared" si="24"/>
        <v>7212</v>
      </c>
      <c r="AH12">
        <f t="shared" si="24"/>
        <v>7468</v>
      </c>
      <c r="AI12">
        <f t="shared" si="24"/>
        <v>7724</v>
      </c>
      <c r="AJ12">
        <f t="shared" si="24"/>
        <v>7980</v>
      </c>
      <c r="AK12">
        <f t="shared" si="24"/>
        <v>8236</v>
      </c>
      <c r="AL12">
        <f t="shared" si="24"/>
        <v>8492</v>
      </c>
      <c r="AM12">
        <f t="shared" si="24"/>
        <v>8748</v>
      </c>
      <c r="AN12">
        <f t="shared" si="24"/>
        <v>9004</v>
      </c>
      <c r="AO12">
        <f t="shared" si="24"/>
        <v>9260</v>
      </c>
      <c r="AP12">
        <f t="shared" si="24"/>
        <v>9516</v>
      </c>
      <c r="AQ12">
        <f t="shared" si="24"/>
        <v>9772</v>
      </c>
      <c r="AR12">
        <f t="shared" si="24"/>
        <v>10028</v>
      </c>
      <c r="AS12">
        <f t="shared" si="24"/>
        <v>10284</v>
      </c>
    </row>
    <row r="13">
      <c r="A13" s="14" t="str">
        <f t="shared" si="10"/>
        <v>BAD430</v>
      </c>
      <c r="B13" s="53" t="str">
        <f t="shared" ref="B13:C13" si="25">DEC2HEX(HEX2DEC(A13)+1)</f>
        <v>BAD431</v>
      </c>
      <c r="C13" s="53" t="str">
        <f t="shared" si="25"/>
        <v>BAD432</v>
      </c>
      <c r="D13" s="14" t="s">
        <v>123</v>
      </c>
      <c r="E13" s="55">
        <v>48.0</v>
      </c>
      <c r="F13">
        <f t="shared" ref="F13:AS13" si="26">E13+256</f>
        <v>304</v>
      </c>
      <c r="G13">
        <f t="shared" si="26"/>
        <v>560</v>
      </c>
      <c r="H13">
        <f t="shared" si="26"/>
        <v>816</v>
      </c>
      <c r="I13">
        <f t="shared" si="26"/>
        <v>1072</v>
      </c>
      <c r="J13">
        <f t="shared" si="26"/>
        <v>1328</v>
      </c>
      <c r="K13">
        <f t="shared" si="26"/>
        <v>1584</v>
      </c>
      <c r="L13">
        <f t="shared" si="26"/>
        <v>1840</v>
      </c>
      <c r="M13">
        <f t="shared" si="26"/>
        <v>2096</v>
      </c>
      <c r="N13">
        <f t="shared" si="26"/>
        <v>2352</v>
      </c>
      <c r="O13">
        <f t="shared" si="26"/>
        <v>2608</v>
      </c>
      <c r="P13">
        <f t="shared" si="26"/>
        <v>2864</v>
      </c>
      <c r="Q13">
        <f t="shared" si="26"/>
        <v>3120</v>
      </c>
      <c r="R13">
        <f t="shared" si="26"/>
        <v>3376</v>
      </c>
      <c r="S13">
        <f t="shared" si="26"/>
        <v>3632</v>
      </c>
      <c r="T13">
        <f t="shared" si="26"/>
        <v>3888</v>
      </c>
      <c r="U13">
        <f t="shared" si="26"/>
        <v>4144</v>
      </c>
      <c r="V13">
        <f t="shared" si="26"/>
        <v>4400</v>
      </c>
      <c r="W13">
        <f t="shared" si="26"/>
        <v>4656</v>
      </c>
      <c r="X13">
        <f t="shared" si="26"/>
        <v>4912</v>
      </c>
      <c r="Y13">
        <f t="shared" si="26"/>
        <v>5168</v>
      </c>
      <c r="Z13">
        <f t="shared" si="26"/>
        <v>5424</v>
      </c>
      <c r="AA13">
        <f t="shared" si="26"/>
        <v>5680</v>
      </c>
      <c r="AB13">
        <f t="shared" si="26"/>
        <v>5936</v>
      </c>
      <c r="AC13">
        <f t="shared" si="26"/>
        <v>6192</v>
      </c>
      <c r="AD13">
        <f t="shared" si="26"/>
        <v>6448</v>
      </c>
      <c r="AE13">
        <f t="shared" si="26"/>
        <v>6704</v>
      </c>
      <c r="AF13">
        <f t="shared" si="26"/>
        <v>6960</v>
      </c>
      <c r="AG13">
        <f t="shared" si="26"/>
        <v>7216</v>
      </c>
      <c r="AH13">
        <f t="shared" si="26"/>
        <v>7472</v>
      </c>
      <c r="AI13">
        <f t="shared" si="26"/>
        <v>7728</v>
      </c>
      <c r="AJ13">
        <f t="shared" si="26"/>
        <v>7984</v>
      </c>
      <c r="AK13">
        <f t="shared" si="26"/>
        <v>8240</v>
      </c>
      <c r="AL13">
        <f t="shared" si="26"/>
        <v>8496</v>
      </c>
      <c r="AM13">
        <f t="shared" si="26"/>
        <v>8752</v>
      </c>
      <c r="AN13">
        <f t="shared" si="26"/>
        <v>9008</v>
      </c>
      <c r="AO13">
        <f t="shared" si="26"/>
        <v>9264</v>
      </c>
      <c r="AP13">
        <f t="shared" si="26"/>
        <v>9520</v>
      </c>
      <c r="AQ13">
        <f t="shared" si="26"/>
        <v>9776</v>
      </c>
      <c r="AR13">
        <f t="shared" si="26"/>
        <v>10032</v>
      </c>
      <c r="AS13">
        <f t="shared" si="26"/>
        <v>10288</v>
      </c>
    </row>
    <row r="14">
      <c r="A14" s="14" t="str">
        <f t="shared" si="10"/>
        <v>BAD420</v>
      </c>
      <c r="B14" s="53" t="str">
        <f t="shared" ref="B14:C14" si="27">DEC2HEX(HEX2DEC(A14)+1)</f>
        <v>BAD421</v>
      </c>
      <c r="C14" s="53" t="str">
        <f t="shared" si="27"/>
        <v>BAD422</v>
      </c>
      <c r="D14" s="14" t="s">
        <v>123</v>
      </c>
      <c r="E14" s="55">
        <v>52.0</v>
      </c>
      <c r="F14">
        <f t="shared" ref="F14:AS14" si="28">E14+256</f>
        <v>308</v>
      </c>
      <c r="G14">
        <f t="shared" si="28"/>
        <v>564</v>
      </c>
      <c r="H14">
        <f t="shared" si="28"/>
        <v>820</v>
      </c>
      <c r="I14">
        <f t="shared" si="28"/>
        <v>1076</v>
      </c>
      <c r="J14">
        <f t="shared" si="28"/>
        <v>1332</v>
      </c>
      <c r="K14">
        <f t="shared" si="28"/>
        <v>1588</v>
      </c>
      <c r="L14">
        <f t="shared" si="28"/>
        <v>1844</v>
      </c>
      <c r="M14">
        <f t="shared" si="28"/>
        <v>2100</v>
      </c>
      <c r="N14">
        <f t="shared" si="28"/>
        <v>2356</v>
      </c>
      <c r="O14">
        <f t="shared" si="28"/>
        <v>2612</v>
      </c>
      <c r="P14">
        <f t="shared" si="28"/>
        <v>2868</v>
      </c>
      <c r="Q14">
        <f t="shared" si="28"/>
        <v>3124</v>
      </c>
      <c r="R14">
        <f t="shared" si="28"/>
        <v>3380</v>
      </c>
      <c r="S14">
        <f t="shared" si="28"/>
        <v>3636</v>
      </c>
      <c r="T14">
        <f t="shared" si="28"/>
        <v>3892</v>
      </c>
      <c r="U14">
        <f t="shared" si="28"/>
        <v>4148</v>
      </c>
      <c r="V14">
        <f t="shared" si="28"/>
        <v>4404</v>
      </c>
      <c r="W14">
        <f t="shared" si="28"/>
        <v>4660</v>
      </c>
      <c r="X14">
        <f t="shared" si="28"/>
        <v>4916</v>
      </c>
      <c r="Y14">
        <f t="shared" si="28"/>
        <v>5172</v>
      </c>
      <c r="Z14">
        <f t="shared" si="28"/>
        <v>5428</v>
      </c>
      <c r="AA14">
        <f t="shared" si="28"/>
        <v>5684</v>
      </c>
      <c r="AB14">
        <f t="shared" si="28"/>
        <v>5940</v>
      </c>
      <c r="AC14">
        <f t="shared" si="28"/>
        <v>6196</v>
      </c>
      <c r="AD14">
        <f t="shared" si="28"/>
        <v>6452</v>
      </c>
      <c r="AE14">
        <f t="shared" si="28"/>
        <v>6708</v>
      </c>
      <c r="AF14">
        <f t="shared" si="28"/>
        <v>6964</v>
      </c>
      <c r="AG14">
        <f t="shared" si="28"/>
        <v>7220</v>
      </c>
      <c r="AH14">
        <f t="shared" si="28"/>
        <v>7476</v>
      </c>
      <c r="AI14">
        <f t="shared" si="28"/>
        <v>7732</v>
      </c>
      <c r="AJ14">
        <f t="shared" si="28"/>
        <v>7988</v>
      </c>
      <c r="AK14">
        <f t="shared" si="28"/>
        <v>8244</v>
      </c>
      <c r="AL14">
        <f t="shared" si="28"/>
        <v>8500</v>
      </c>
      <c r="AM14">
        <f t="shared" si="28"/>
        <v>8756</v>
      </c>
      <c r="AN14">
        <f t="shared" si="28"/>
        <v>9012</v>
      </c>
      <c r="AO14">
        <f t="shared" si="28"/>
        <v>9268</v>
      </c>
      <c r="AP14">
        <f t="shared" si="28"/>
        <v>9524</v>
      </c>
      <c r="AQ14">
        <f t="shared" si="28"/>
        <v>9780</v>
      </c>
      <c r="AR14">
        <f t="shared" si="28"/>
        <v>10036</v>
      </c>
      <c r="AS14">
        <f t="shared" si="28"/>
        <v>10292</v>
      </c>
    </row>
    <row r="15">
      <c r="A15" s="14" t="str">
        <f t="shared" si="10"/>
        <v>BAD410</v>
      </c>
      <c r="B15" s="53" t="str">
        <f t="shared" ref="B15:C15" si="29">DEC2HEX(HEX2DEC(A15)+1)</f>
        <v>BAD411</v>
      </c>
      <c r="C15" s="53" t="str">
        <f t="shared" si="29"/>
        <v>BAD412</v>
      </c>
      <c r="D15" s="14" t="s">
        <v>123</v>
      </c>
      <c r="E15" s="55">
        <v>56.0</v>
      </c>
      <c r="F15">
        <f t="shared" ref="F15:AS15" si="30">E15+256</f>
        <v>312</v>
      </c>
      <c r="G15">
        <f t="shared" si="30"/>
        <v>568</v>
      </c>
      <c r="H15">
        <f t="shared" si="30"/>
        <v>824</v>
      </c>
      <c r="I15">
        <f t="shared" si="30"/>
        <v>1080</v>
      </c>
      <c r="J15">
        <f t="shared" si="30"/>
        <v>1336</v>
      </c>
      <c r="K15">
        <f t="shared" si="30"/>
        <v>1592</v>
      </c>
      <c r="L15">
        <f t="shared" si="30"/>
        <v>1848</v>
      </c>
      <c r="M15">
        <f t="shared" si="30"/>
        <v>2104</v>
      </c>
      <c r="N15">
        <f t="shared" si="30"/>
        <v>2360</v>
      </c>
      <c r="O15">
        <f t="shared" si="30"/>
        <v>2616</v>
      </c>
      <c r="P15">
        <f t="shared" si="30"/>
        <v>2872</v>
      </c>
      <c r="Q15">
        <f t="shared" si="30"/>
        <v>3128</v>
      </c>
      <c r="R15">
        <f t="shared" si="30"/>
        <v>3384</v>
      </c>
      <c r="S15">
        <f t="shared" si="30"/>
        <v>3640</v>
      </c>
      <c r="T15">
        <f t="shared" si="30"/>
        <v>3896</v>
      </c>
      <c r="U15">
        <f t="shared" si="30"/>
        <v>4152</v>
      </c>
      <c r="V15">
        <f t="shared" si="30"/>
        <v>4408</v>
      </c>
      <c r="W15">
        <f t="shared" si="30"/>
        <v>4664</v>
      </c>
      <c r="X15">
        <f t="shared" si="30"/>
        <v>4920</v>
      </c>
      <c r="Y15">
        <f t="shared" si="30"/>
        <v>5176</v>
      </c>
      <c r="Z15">
        <f t="shared" si="30"/>
        <v>5432</v>
      </c>
      <c r="AA15">
        <f t="shared" si="30"/>
        <v>5688</v>
      </c>
      <c r="AB15">
        <f t="shared" si="30"/>
        <v>5944</v>
      </c>
      <c r="AC15">
        <f t="shared" si="30"/>
        <v>6200</v>
      </c>
      <c r="AD15">
        <f t="shared" si="30"/>
        <v>6456</v>
      </c>
      <c r="AE15">
        <f t="shared" si="30"/>
        <v>6712</v>
      </c>
      <c r="AF15">
        <f t="shared" si="30"/>
        <v>6968</v>
      </c>
      <c r="AG15">
        <f t="shared" si="30"/>
        <v>7224</v>
      </c>
      <c r="AH15">
        <f t="shared" si="30"/>
        <v>7480</v>
      </c>
      <c r="AI15">
        <f t="shared" si="30"/>
        <v>7736</v>
      </c>
      <c r="AJ15">
        <f t="shared" si="30"/>
        <v>7992</v>
      </c>
      <c r="AK15">
        <f t="shared" si="30"/>
        <v>8248</v>
      </c>
      <c r="AL15">
        <f t="shared" si="30"/>
        <v>8504</v>
      </c>
      <c r="AM15">
        <f t="shared" si="30"/>
        <v>8760</v>
      </c>
      <c r="AN15">
        <f t="shared" si="30"/>
        <v>9016</v>
      </c>
      <c r="AO15">
        <f t="shared" si="30"/>
        <v>9272</v>
      </c>
      <c r="AP15">
        <f t="shared" si="30"/>
        <v>9528</v>
      </c>
      <c r="AQ15">
        <f t="shared" si="30"/>
        <v>9784</v>
      </c>
      <c r="AR15">
        <f t="shared" si="30"/>
        <v>10040</v>
      </c>
      <c r="AS15">
        <f t="shared" si="30"/>
        <v>10296</v>
      </c>
    </row>
    <row r="16">
      <c r="A16" s="14" t="str">
        <f t="shared" si="10"/>
        <v>BAD400</v>
      </c>
      <c r="B16" s="53" t="str">
        <f t="shared" ref="B16:C16" si="31">DEC2HEX(HEX2DEC(A16)+1)</f>
        <v>BAD401</v>
      </c>
      <c r="C16" s="53" t="str">
        <f t="shared" si="31"/>
        <v>BAD402</v>
      </c>
      <c r="D16" s="14" t="s">
        <v>123</v>
      </c>
      <c r="E16" s="55">
        <v>60.0</v>
      </c>
      <c r="F16">
        <f t="shared" ref="F16:AS16" si="32">E16+256</f>
        <v>316</v>
      </c>
      <c r="G16">
        <f t="shared" si="32"/>
        <v>572</v>
      </c>
      <c r="H16">
        <f t="shared" si="32"/>
        <v>828</v>
      </c>
      <c r="I16">
        <f t="shared" si="32"/>
        <v>1084</v>
      </c>
      <c r="J16">
        <f t="shared" si="32"/>
        <v>1340</v>
      </c>
      <c r="K16">
        <f t="shared" si="32"/>
        <v>1596</v>
      </c>
      <c r="L16">
        <f t="shared" si="32"/>
        <v>1852</v>
      </c>
      <c r="M16">
        <f t="shared" si="32"/>
        <v>2108</v>
      </c>
      <c r="N16">
        <f t="shared" si="32"/>
        <v>2364</v>
      </c>
      <c r="O16">
        <f t="shared" si="32"/>
        <v>2620</v>
      </c>
      <c r="P16">
        <f t="shared" si="32"/>
        <v>2876</v>
      </c>
      <c r="Q16">
        <f t="shared" si="32"/>
        <v>3132</v>
      </c>
      <c r="R16">
        <f t="shared" si="32"/>
        <v>3388</v>
      </c>
      <c r="S16">
        <f t="shared" si="32"/>
        <v>3644</v>
      </c>
      <c r="T16">
        <f t="shared" si="32"/>
        <v>3900</v>
      </c>
      <c r="U16">
        <f t="shared" si="32"/>
        <v>4156</v>
      </c>
      <c r="V16">
        <f t="shared" si="32"/>
        <v>4412</v>
      </c>
      <c r="W16">
        <f t="shared" si="32"/>
        <v>4668</v>
      </c>
      <c r="X16">
        <f t="shared" si="32"/>
        <v>4924</v>
      </c>
      <c r="Y16">
        <f t="shared" si="32"/>
        <v>5180</v>
      </c>
      <c r="Z16">
        <f t="shared" si="32"/>
        <v>5436</v>
      </c>
      <c r="AA16">
        <f t="shared" si="32"/>
        <v>5692</v>
      </c>
      <c r="AB16">
        <f t="shared" si="32"/>
        <v>5948</v>
      </c>
      <c r="AC16">
        <f t="shared" si="32"/>
        <v>6204</v>
      </c>
      <c r="AD16">
        <f t="shared" si="32"/>
        <v>6460</v>
      </c>
      <c r="AE16">
        <f t="shared" si="32"/>
        <v>6716</v>
      </c>
      <c r="AF16">
        <f t="shared" si="32"/>
        <v>6972</v>
      </c>
      <c r="AG16">
        <f t="shared" si="32"/>
        <v>7228</v>
      </c>
      <c r="AH16">
        <f t="shared" si="32"/>
        <v>7484</v>
      </c>
      <c r="AI16">
        <f t="shared" si="32"/>
        <v>7740</v>
      </c>
      <c r="AJ16">
        <f t="shared" si="32"/>
        <v>7996</v>
      </c>
      <c r="AK16">
        <f t="shared" si="32"/>
        <v>8252</v>
      </c>
      <c r="AL16">
        <f t="shared" si="32"/>
        <v>8508</v>
      </c>
      <c r="AM16">
        <f t="shared" si="32"/>
        <v>8764</v>
      </c>
      <c r="AN16">
        <f t="shared" si="32"/>
        <v>9020</v>
      </c>
      <c r="AO16">
        <f t="shared" si="32"/>
        <v>9276</v>
      </c>
      <c r="AP16">
        <f t="shared" si="32"/>
        <v>9532</v>
      </c>
      <c r="AQ16">
        <f t="shared" si="32"/>
        <v>9788</v>
      </c>
      <c r="AR16">
        <f t="shared" si="32"/>
        <v>10044</v>
      </c>
      <c r="AS16">
        <f t="shared" si="32"/>
        <v>10300</v>
      </c>
    </row>
    <row r="17">
      <c r="A17" s="14" t="str">
        <f t="shared" si="10"/>
        <v>BAD3F0</v>
      </c>
      <c r="B17" s="53" t="str">
        <f t="shared" ref="B17:C17" si="33">DEC2HEX(HEX2DEC(A17)+1)</f>
        <v>BAD3F1</v>
      </c>
      <c r="C17" s="53" t="str">
        <f t="shared" si="33"/>
        <v>BAD3F2</v>
      </c>
      <c r="D17" s="14" t="s">
        <v>123</v>
      </c>
      <c r="E17" s="55">
        <v>64.0</v>
      </c>
      <c r="F17">
        <f t="shared" ref="F17:AS17" si="34">E17+256</f>
        <v>320</v>
      </c>
      <c r="G17">
        <f t="shared" si="34"/>
        <v>576</v>
      </c>
      <c r="H17">
        <f t="shared" si="34"/>
        <v>832</v>
      </c>
      <c r="I17">
        <f t="shared" si="34"/>
        <v>1088</v>
      </c>
      <c r="J17">
        <f t="shared" si="34"/>
        <v>1344</v>
      </c>
      <c r="K17">
        <f t="shared" si="34"/>
        <v>1600</v>
      </c>
      <c r="L17">
        <f t="shared" si="34"/>
        <v>1856</v>
      </c>
      <c r="M17">
        <f t="shared" si="34"/>
        <v>2112</v>
      </c>
      <c r="N17">
        <f t="shared" si="34"/>
        <v>2368</v>
      </c>
      <c r="O17">
        <f t="shared" si="34"/>
        <v>2624</v>
      </c>
      <c r="P17">
        <f t="shared" si="34"/>
        <v>2880</v>
      </c>
      <c r="Q17">
        <f t="shared" si="34"/>
        <v>3136</v>
      </c>
      <c r="R17">
        <f t="shared" si="34"/>
        <v>3392</v>
      </c>
      <c r="S17">
        <f t="shared" si="34"/>
        <v>3648</v>
      </c>
      <c r="T17">
        <f t="shared" si="34"/>
        <v>3904</v>
      </c>
      <c r="U17">
        <f t="shared" si="34"/>
        <v>4160</v>
      </c>
      <c r="V17">
        <f t="shared" si="34"/>
        <v>4416</v>
      </c>
      <c r="W17">
        <f t="shared" si="34"/>
        <v>4672</v>
      </c>
      <c r="X17">
        <f t="shared" si="34"/>
        <v>4928</v>
      </c>
      <c r="Y17">
        <f t="shared" si="34"/>
        <v>5184</v>
      </c>
      <c r="Z17">
        <f t="shared" si="34"/>
        <v>5440</v>
      </c>
      <c r="AA17">
        <f t="shared" si="34"/>
        <v>5696</v>
      </c>
      <c r="AB17">
        <f t="shared" si="34"/>
        <v>5952</v>
      </c>
      <c r="AC17">
        <f t="shared" si="34"/>
        <v>6208</v>
      </c>
      <c r="AD17">
        <f t="shared" si="34"/>
        <v>6464</v>
      </c>
      <c r="AE17">
        <f t="shared" si="34"/>
        <v>6720</v>
      </c>
      <c r="AF17">
        <f t="shared" si="34"/>
        <v>6976</v>
      </c>
      <c r="AG17">
        <f t="shared" si="34"/>
        <v>7232</v>
      </c>
      <c r="AH17">
        <f t="shared" si="34"/>
        <v>7488</v>
      </c>
      <c r="AI17">
        <f t="shared" si="34"/>
        <v>7744</v>
      </c>
      <c r="AJ17">
        <f t="shared" si="34"/>
        <v>8000</v>
      </c>
      <c r="AK17">
        <f t="shared" si="34"/>
        <v>8256</v>
      </c>
      <c r="AL17">
        <f t="shared" si="34"/>
        <v>8512</v>
      </c>
      <c r="AM17">
        <f t="shared" si="34"/>
        <v>8768</v>
      </c>
      <c r="AN17">
        <f t="shared" si="34"/>
        <v>9024</v>
      </c>
      <c r="AO17">
        <f t="shared" si="34"/>
        <v>9280</v>
      </c>
      <c r="AP17">
        <f t="shared" si="34"/>
        <v>9536</v>
      </c>
      <c r="AQ17">
        <f t="shared" si="34"/>
        <v>9792</v>
      </c>
      <c r="AR17">
        <f t="shared" si="34"/>
        <v>10048</v>
      </c>
      <c r="AS17">
        <f t="shared" si="34"/>
        <v>10304</v>
      </c>
    </row>
    <row r="18">
      <c r="A18" s="14" t="str">
        <f t="shared" si="10"/>
        <v>BAD3E0</v>
      </c>
      <c r="B18" s="53" t="str">
        <f t="shared" ref="B18:C18" si="35">DEC2HEX(HEX2DEC(A18)+1)</f>
        <v>BAD3E1</v>
      </c>
      <c r="C18" s="53" t="str">
        <f t="shared" si="35"/>
        <v>BAD3E2</v>
      </c>
      <c r="D18" s="14" t="s">
        <v>123</v>
      </c>
      <c r="E18" s="55">
        <v>68.0</v>
      </c>
      <c r="F18">
        <f t="shared" ref="F18:AS18" si="36">E18+256</f>
        <v>324</v>
      </c>
      <c r="G18">
        <f t="shared" si="36"/>
        <v>580</v>
      </c>
      <c r="H18">
        <f t="shared" si="36"/>
        <v>836</v>
      </c>
      <c r="I18">
        <f t="shared" si="36"/>
        <v>1092</v>
      </c>
      <c r="J18">
        <f t="shared" si="36"/>
        <v>1348</v>
      </c>
      <c r="K18">
        <f t="shared" si="36"/>
        <v>1604</v>
      </c>
      <c r="L18">
        <f t="shared" si="36"/>
        <v>1860</v>
      </c>
      <c r="M18">
        <f t="shared" si="36"/>
        <v>2116</v>
      </c>
      <c r="N18">
        <f t="shared" si="36"/>
        <v>2372</v>
      </c>
      <c r="O18">
        <f t="shared" si="36"/>
        <v>2628</v>
      </c>
      <c r="P18">
        <f t="shared" si="36"/>
        <v>2884</v>
      </c>
      <c r="Q18">
        <f t="shared" si="36"/>
        <v>3140</v>
      </c>
      <c r="R18">
        <f t="shared" si="36"/>
        <v>3396</v>
      </c>
      <c r="S18">
        <f t="shared" si="36"/>
        <v>3652</v>
      </c>
      <c r="T18">
        <f t="shared" si="36"/>
        <v>3908</v>
      </c>
      <c r="U18">
        <f t="shared" si="36"/>
        <v>4164</v>
      </c>
      <c r="V18">
        <f t="shared" si="36"/>
        <v>4420</v>
      </c>
      <c r="W18">
        <f t="shared" si="36"/>
        <v>4676</v>
      </c>
      <c r="X18">
        <f t="shared" si="36"/>
        <v>4932</v>
      </c>
      <c r="Y18">
        <f t="shared" si="36"/>
        <v>5188</v>
      </c>
      <c r="Z18">
        <f t="shared" si="36"/>
        <v>5444</v>
      </c>
      <c r="AA18">
        <f t="shared" si="36"/>
        <v>5700</v>
      </c>
      <c r="AB18">
        <f t="shared" si="36"/>
        <v>5956</v>
      </c>
      <c r="AC18">
        <f t="shared" si="36"/>
        <v>6212</v>
      </c>
      <c r="AD18">
        <f t="shared" si="36"/>
        <v>6468</v>
      </c>
      <c r="AE18">
        <f t="shared" si="36"/>
        <v>6724</v>
      </c>
      <c r="AF18">
        <f t="shared" si="36"/>
        <v>6980</v>
      </c>
      <c r="AG18">
        <f t="shared" si="36"/>
        <v>7236</v>
      </c>
      <c r="AH18">
        <f t="shared" si="36"/>
        <v>7492</v>
      </c>
      <c r="AI18">
        <f t="shared" si="36"/>
        <v>7748</v>
      </c>
      <c r="AJ18">
        <f t="shared" si="36"/>
        <v>8004</v>
      </c>
      <c r="AK18">
        <f t="shared" si="36"/>
        <v>8260</v>
      </c>
      <c r="AL18">
        <f t="shared" si="36"/>
        <v>8516</v>
      </c>
      <c r="AM18">
        <f t="shared" si="36"/>
        <v>8772</v>
      </c>
      <c r="AN18">
        <f t="shared" si="36"/>
        <v>9028</v>
      </c>
      <c r="AO18">
        <f t="shared" si="36"/>
        <v>9284</v>
      </c>
      <c r="AP18">
        <f t="shared" si="36"/>
        <v>9540</v>
      </c>
      <c r="AQ18">
        <f t="shared" si="36"/>
        <v>9796</v>
      </c>
      <c r="AR18">
        <f t="shared" si="36"/>
        <v>10052</v>
      </c>
      <c r="AS18">
        <f t="shared" si="36"/>
        <v>10308</v>
      </c>
    </row>
    <row r="19">
      <c r="A19" s="14" t="str">
        <f t="shared" si="10"/>
        <v>BAD3D0</v>
      </c>
      <c r="B19" s="53" t="str">
        <f t="shared" ref="B19:C19" si="37">DEC2HEX(HEX2DEC(A19)+1)</f>
        <v>BAD3D1</v>
      </c>
      <c r="C19" s="53" t="str">
        <f t="shared" si="37"/>
        <v>BAD3D2</v>
      </c>
      <c r="D19" s="14" t="s">
        <v>123</v>
      </c>
      <c r="E19" s="55">
        <v>72.0</v>
      </c>
      <c r="F19">
        <f t="shared" ref="F19:AS19" si="38">E19+256</f>
        <v>328</v>
      </c>
      <c r="G19">
        <f t="shared" si="38"/>
        <v>584</v>
      </c>
      <c r="H19">
        <f t="shared" si="38"/>
        <v>840</v>
      </c>
      <c r="I19">
        <f t="shared" si="38"/>
        <v>1096</v>
      </c>
      <c r="J19">
        <f t="shared" si="38"/>
        <v>1352</v>
      </c>
      <c r="K19">
        <f t="shared" si="38"/>
        <v>1608</v>
      </c>
      <c r="L19">
        <f t="shared" si="38"/>
        <v>1864</v>
      </c>
      <c r="M19">
        <f t="shared" si="38"/>
        <v>2120</v>
      </c>
      <c r="N19">
        <f t="shared" si="38"/>
        <v>2376</v>
      </c>
      <c r="O19">
        <f t="shared" si="38"/>
        <v>2632</v>
      </c>
      <c r="P19">
        <f t="shared" si="38"/>
        <v>2888</v>
      </c>
      <c r="Q19">
        <f t="shared" si="38"/>
        <v>3144</v>
      </c>
      <c r="R19">
        <f t="shared" si="38"/>
        <v>3400</v>
      </c>
      <c r="S19">
        <f t="shared" si="38"/>
        <v>3656</v>
      </c>
      <c r="T19">
        <f t="shared" si="38"/>
        <v>3912</v>
      </c>
      <c r="U19">
        <f t="shared" si="38"/>
        <v>4168</v>
      </c>
      <c r="V19">
        <f t="shared" si="38"/>
        <v>4424</v>
      </c>
      <c r="W19">
        <f t="shared" si="38"/>
        <v>4680</v>
      </c>
      <c r="X19">
        <f t="shared" si="38"/>
        <v>4936</v>
      </c>
      <c r="Y19">
        <f t="shared" si="38"/>
        <v>5192</v>
      </c>
      <c r="Z19">
        <f t="shared" si="38"/>
        <v>5448</v>
      </c>
      <c r="AA19">
        <f t="shared" si="38"/>
        <v>5704</v>
      </c>
      <c r="AB19">
        <f t="shared" si="38"/>
        <v>5960</v>
      </c>
      <c r="AC19">
        <f t="shared" si="38"/>
        <v>6216</v>
      </c>
      <c r="AD19">
        <f t="shared" si="38"/>
        <v>6472</v>
      </c>
      <c r="AE19">
        <f t="shared" si="38"/>
        <v>6728</v>
      </c>
      <c r="AF19">
        <f t="shared" si="38"/>
        <v>6984</v>
      </c>
      <c r="AG19">
        <f t="shared" si="38"/>
        <v>7240</v>
      </c>
      <c r="AH19">
        <f t="shared" si="38"/>
        <v>7496</v>
      </c>
      <c r="AI19">
        <f t="shared" si="38"/>
        <v>7752</v>
      </c>
      <c r="AJ19">
        <f t="shared" si="38"/>
        <v>8008</v>
      </c>
      <c r="AK19">
        <f t="shared" si="38"/>
        <v>8264</v>
      </c>
      <c r="AL19">
        <f t="shared" si="38"/>
        <v>8520</v>
      </c>
      <c r="AM19">
        <f t="shared" si="38"/>
        <v>8776</v>
      </c>
      <c r="AN19">
        <f t="shared" si="38"/>
        <v>9032</v>
      </c>
      <c r="AO19">
        <f t="shared" si="38"/>
        <v>9288</v>
      </c>
      <c r="AP19">
        <f t="shared" si="38"/>
        <v>9544</v>
      </c>
      <c r="AQ19">
        <f t="shared" si="38"/>
        <v>9800</v>
      </c>
      <c r="AR19">
        <f t="shared" si="38"/>
        <v>10056</v>
      </c>
      <c r="AS19">
        <f t="shared" si="38"/>
        <v>10312</v>
      </c>
    </row>
    <row r="20">
      <c r="A20" s="14" t="str">
        <f t="shared" si="10"/>
        <v>BAD3C0</v>
      </c>
      <c r="B20" s="53" t="str">
        <f t="shared" ref="B20:C20" si="39">DEC2HEX(HEX2DEC(A20)+1)</f>
        <v>BAD3C1</v>
      </c>
      <c r="C20" s="53" t="str">
        <f t="shared" si="39"/>
        <v>BAD3C2</v>
      </c>
      <c r="D20" s="14" t="s">
        <v>123</v>
      </c>
      <c r="E20" s="55">
        <v>76.0</v>
      </c>
      <c r="F20">
        <f t="shared" ref="F20:AS20" si="40">E20+256</f>
        <v>332</v>
      </c>
      <c r="G20">
        <f t="shared" si="40"/>
        <v>588</v>
      </c>
      <c r="H20">
        <f t="shared" si="40"/>
        <v>844</v>
      </c>
      <c r="I20">
        <f t="shared" si="40"/>
        <v>1100</v>
      </c>
      <c r="J20">
        <f t="shared" si="40"/>
        <v>1356</v>
      </c>
      <c r="K20">
        <f t="shared" si="40"/>
        <v>1612</v>
      </c>
      <c r="L20">
        <f t="shared" si="40"/>
        <v>1868</v>
      </c>
      <c r="M20">
        <f t="shared" si="40"/>
        <v>2124</v>
      </c>
      <c r="N20">
        <f t="shared" si="40"/>
        <v>2380</v>
      </c>
      <c r="O20">
        <f t="shared" si="40"/>
        <v>2636</v>
      </c>
      <c r="P20">
        <f t="shared" si="40"/>
        <v>2892</v>
      </c>
      <c r="Q20">
        <f t="shared" si="40"/>
        <v>3148</v>
      </c>
      <c r="R20">
        <f t="shared" si="40"/>
        <v>3404</v>
      </c>
      <c r="S20">
        <f t="shared" si="40"/>
        <v>3660</v>
      </c>
      <c r="T20">
        <f t="shared" si="40"/>
        <v>3916</v>
      </c>
      <c r="U20">
        <f t="shared" si="40"/>
        <v>4172</v>
      </c>
      <c r="V20">
        <f t="shared" si="40"/>
        <v>4428</v>
      </c>
      <c r="W20">
        <f t="shared" si="40"/>
        <v>4684</v>
      </c>
      <c r="X20">
        <f t="shared" si="40"/>
        <v>4940</v>
      </c>
      <c r="Y20">
        <f t="shared" si="40"/>
        <v>5196</v>
      </c>
      <c r="Z20">
        <f t="shared" si="40"/>
        <v>5452</v>
      </c>
      <c r="AA20">
        <f t="shared" si="40"/>
        <v>5708</v>
      </c>
      <c r="AB20">
        <f t="shared" si="40"/>
        <v>5964</v>
      </c>
      <c r="AC20">
        <f t="shared" si="40"/>
        <v>6220</v>
      </c>
      <c r="AD20">
        <f t="shared" si="40"/>
        <v>6476</v>
      </c>
      <c r="AE20">
        <f t="shared" si="40"/>
        <v>6732</v>
      </c>
      <c r="AF20">
        <f t="shared" si="40"/>
        <v>6988</v>
      </c>
      <c r="AG20">
        <f t="shared" si="40"/>
        <v>7244</v>
      </c>
      <c r="AH20">
        <f t="shared" si="40"/>
        <v>7500</v>
      </c>
      <c r="AI20">
        <f t="shared" si="40"/>
        <v>7756</v>
      </c>
      <c r="AJ20">
        <f t="shared" si="40"/>
        <v>8012</v>
      </c>
      <c r="AK20">
        <f t="shared" si="40"/>
        <v>8268</v>
      </c>
      <c r="AL20">
        <f t="shared" si="40"/>
        <v>8524</v>
      </c>
      <c r="AM20">
        <f t="shared" si="40"/>
        <v>8780</v>
      </c>
      <c r="AN20">
        <f t="shared" si="40"/>
        <v>9036</v>
      </c>
      <c r="AO20">
        <f t="shared" si="40"/>
        <v>9292</v>
      </c>
      <c r="AP20">
        <f t="shared" si="40"/>
        <v>9548</v>
      </c>
      <c r="AQ20">
        <f t="shared" si="40"/>
        <v>9804</v>
      </c>
      <c r="AR20">
        <f t="shared" si="40"/>
        <v>10060</v>
      </c>
      <c r="AS20">
        <f t="shared" si="40"/>
        <v>10316</v>
      </c>
    </row>
    <row r="21">
      <c r="A21" s="14" t="str">
        <f t="shared" si="10"/>
        <v>BAD3B0</v>
      </c>
      <c r="B21" s="53" t="str">
        <f t="shared" ref="B21:C21" si="41">DEC2HEX(HEX2DEC(A21)+1)</f>
        <v>BAD3B1</v>
      </c>
      <c r="C21" s="53" t="str">
        <f t="shared" si="41"/>
        <v>BAD3B2</v>
      </c>
      <c r="D21" s="14" t="s">
        <v>123</v>
      </c>
      <c r="E21" s="55">
        <v>80.0</v>
      </c>
      <c r="F21">
        <f t="shared" ref="F21:AS21" si="42">E21+256</f>
        <v>336</v>
      </c>
      <c r="G21">
        <f t="shared" si="42"/>
        <v>592</v>
      </c>
      <c r="H21">
        <f t="shared" si="42"/>
        <v>848</v>
      </c>
      <c r="I21">
        <f t="shared" si="42"/>
        <v>1104</v>
      </c>
      <c r="J21">
        <f t="shared" si="42"/>
        <v>1360</v>
      </c>
      <c r="K21">
        <f t="shared" si="42"/>
        <v>1616</v>
      </c>
      <c r="L21">
        <f t="shared" si="42"/>
        <v>1872</v>
      </c>
      <c r="M21">
        <f t="shared" si="42"/>
        <v>2128</v>
      </c>
      <c r="N21">
        <f t="shared" si="42"/>
        <v>2384</v>
      </c>
      <c r="O21">
        <f t="shared" si="42"/>
        <v>2640</v>
      </c>
      <c r="P21">
        <f t="shared" si="42"/>
        <v>2896</v>
      </c>
      <c r="Q21">
        <f t="shared" si="42"/>
        <v>3152</v>
      </c>
      <c r="R21">
        <f t="shared" si="42"/>
        <v>3408</v>
      </c>
      <c r="S21">
        <f t="shared" si="42"/>
        <v>3664</v>
      </c>
      <c r="T21">
        <f t="shared" si="42"/>
        <v>3920</v>
      </c>
      <c r="U21">
        <f t="shared" si="42"/>
        <v>4176</v>
      </c>
      <c r="V21">
        <f t="shared" si="42"/>
        <v>4432</v>
      </c>
      <c r="W21">
        <f t="shared" si="42"/>
        <v>4688</v>
      </c>
      <c r="X21">
        <f t="shared" si="42"/>
        <v>4944</v>
      </c>
      <c r="Y21">
        <f t="shared" si="42"/>
        <v>5200</v>
      </c>
      <c r="Z21">
        <f t="shared" si="42"/>
        <v>5456</v>
      </c>
      <c r="AA21">
        <f t="shared" si="42"/>
        <v>5712</v>
      </c>
      <c r="AB21">
        <f t="shared" si="42"/>
        <v>5968</v>
      </c>
      <c r="AC21">
        <f t="shared" si="42"/>
        <v>6224</v>
      </c>
      <c r="AD21">
        <f t="shared" si="42"/>
        <v>6480</v>
      </c>
      <c r="AE21">
        <f t="shared" si="42"/>
        <v>6736</v>
      </c>
      <c r="AF21">
        <f t="shared" si="42"/>
        <v>6992</v>
      </c>
      <c r="AG21">
        <f t="shared" si="42"/>
        <v>7248</v>
      </c>
      <c r="AH21">
        <f t="shared" si="42"/>
        <v>7504</v>
      </c>
      <c r="AI21">
        <f t="shared" si="42"/>
        <v>7760</v>
      </c>
      <c r="AJ21">
        <f t="shared" si="42"/>
        <v>8016</v>
      </c>
      <c r="AK21">
        <f t="shared" si="42"/>
        <v>8272</v>
      </c>
      <c r="AL21">
        <f t="shared" si="42"/>
        <v>8528</v>
      </c>
      <c r="AM21">
        <f t="shared" si="42"/>
        <v>8784</v>
      </c>
      <c r="AN21">
        <f t="shared" si="42"/>
        <v>9040</v>
      </c>
      <c r="AO21">
        <f t="shared" si="42"/>
        <v>9296</v>
      </c>
      <c r="AP21">
        <f t="shared" si="42"/>
        <v>9552</v>
      </c>
      <c r="AQ21">
        <f t="shared" si="42"/>
        <v>9808</v>
      </c>
      <c r="AR21">
        <f t="shared" si="42"/>
        <v>10064</v>
      </c>
      <c r="AS21">
        <f t="shared" si="42"/>
        <v>10320</v>
      </c>
    </row>
    <row r="22">
      <c r="A22" s="14" t="str">
        <f t="shared" si="10"/>
        <v>BAD3A0</v>
      </c>
      <c r="B22" s="53" t="str">
        <f t="shared" ref="B22:C22" si="43">DEC2HEX(HEX2DEC(A22)+1)</f>
        <v>BAD3A1</v>
      </c>
      <c r="C22" s="53" t="str">
        <f t="shared" si="43"/>
        <v>BAD3A2</v>
      </c>
      <c r="D22" s="14" t="s">
        <v>123</v>
      </c>
      <c r="E22" s="55">
        <v>84.0</v>
      </c>
      <c r="F22">
        <f t="shared" ref="F22:AS22" si="44">E22+256</f>
        <v>340</v>
      </c>
      <c r="G22">
        <f t="shared" si="44"/>
        <v>596</v>
      </c>
      <c r="H22">
        <f t="shared" si="44"/>
        <v>852</v>
      </c>
      <c r="I22">
        <f t="shared" si="44"/>
        <v>1108</v>
      </c>
      <c r="J22">
        <f t="shared" si="44"/>
        <v>1364</v>
      </c>
      <c r="K22">
        <f t="shared" si="44"/>
        <v>1620</v>
      </c>
      <c r="L22">
        <f t="shared" si="44"/>
        <v>1876</v>
      </c>
      <c r="M22">
        <f t="shared" si="44"/>
        <v>2132</v>
      </c>
      <c r="N22">
        <f t="shared" si="44"/>
        <v>2388</v>
      </c>
      <c r="O22">
        <f t="shared" si="44"/>
        <v>2644</v>
      </c>
      <c r="P22">
        <f t="shared" si="44"/>
        <v>2900</v>
      </c>
      <c r="Q22">
        <f t="shared" si="44"/>
        <v>3156</v>
      </c>
      <c r="R22">
        <f t="shared" si="44"/>
        <v>3412</v>
      </c>
      <c r="S22">
        <f t="shared" si="44"/>
        <v>3668</v>
      </c>
      <c r="T22">
        <f t="shared" si="44"/>
        <v>3924</v>
      </c>
      <c r="U22">
        <f t="shared" si="44"/>
        <v>4180</v>
      </c>
      <c r="V22">
        <f t="shared" si="44"/>
        <v>4436</v>
      </c>
      <c r="W22">
        <f t="shared" si="44"/>
        <v>4692</v>
      </c>
      <c r="X22">
        <f t="shared" si="44"/>
        <v>4948</v>
      </c>
      <c r="Y22">
        <f t="shared" si="44"/>
        <v>5204</v>
      </c>
      <c r="Z22">
        <f t="shared" si="44"/>
        <v>5460</v>
      </c>
      <c r="AA22">
        <f t="shared" si="44"/>
        <v>5716</v>
      </c>
      <c r="AB22">
        <f t="shared" si="44"/>
        <v>5972</v>
      </c>
      <c r="AC22">
        <f t="shared" si="44"/>
        <v>6228</v>
      </c>
      <c r="AD22">
        <f t="shared" si="44"/>
        <v>6484</v>
      </c>
      <c r="AE22">
        <f t="shared" si="44"/>
        <v>6740</v>
      </c>
      <c r="AF22">
        <f t="shared" si="44"/>
        <v>6996</v>
      </c>
      <c r="AG22">
        <f t="shared" si="44"/>
        <v>7252</v>
      </c>
      <c r="AH22">
        <f t="shared" si="44"/>
        <v>7508</v>
      </c>
      <c r="AI22">
        <f t="shared" si="44"/>
        <v>7764</v>
      </c>
      <c r="AJ22">
        <f t="shared" si="44"/>
        <v>8020</v>
      </c>
      <c r="AK22">
        <f t="shared" si="44"/>
        <v>8276</v>
      </c>
      <c r="AL22">
        <f t="shared" si="44"/>
        <v>8532</v>
      </c>
      <c r="AM22">
        <f t="shared" si="44"/>
        <v>8788</v>
      </c>
      <c r="AN22">
        <f t="shared" si="44"/>
        <v>9044</v>
      </c>
      <c r="AO22">
        <f t="shared" si="44"/>
        <v>9300</v>
      </c>
      <c r="AP22">
        <f t="shared" si="44"/>
        <v>9556</v>
      </c>
      <c r="AQ22">
        <f t="shared" si="44"/>
        <v>9812</v>
      </c>
      <c r="AR22">
        <f t="shared" si="44"/>
        <v>10068</v>
      </c>
      <c r="AS22">
        <f t="shared" si="44"/>
        <v>10324</v>
      </c>
    </row>
    <row r="23">
      <c r="A23" s="14" t="str">
        <f t="shared" si="10"/>
        <v>BAD390</v>
      </c>
      <c r="B23" s="53" t="str">
        <f t="shared" ref="B23:C23" si="45">DEC2HEX(HEX2DEC(A23)+1)</f>
        <v>BAD391</v>
      </c>
      <c r="C23" s="53" t="str">
        <f t="shared" si="45"/>
        <v>BAD392</v>
      </c>
      <c r="D23" s="14" t="s">
        <v>123</v>
      </c>
      <c r="E23" s="55">
        <v>88.0</v>
      </c>
      <c r="F23">
        <f t="shared" ref="F23:AS23" si="46">E23+256</f>
        <v>344</v>
      </c>
      <c r="G23">
        <f t="shared" si="46"/>
        <v>600</v>
      </c>
      <c r="H23">
        <f t="shared" si="46"/>
        <v>856</v>
      </c>
      <c r="I23">
        <f t="shared" si="46"/>
        <v>1112</v>
      </c>
      <c r="J23">
        <f t="shared" si="46"/>
        <v>1368</v>
      </c>
      <c r="K23">
        <f t="shared" si="46"/>
        <v>1624</v>
      </c>
      <c r="L23">
        <f t="shared" si="46"/>
        <v>1880</v>
      </c>
      <c r="M23">
        <f t="shared" si="46"/>
        <v>2136</v>
      </c>
      <c r="N23">
        <f t="shared" si="46"/>
        <v>2392</v>
      </c>
      <c r="O23">
        <f t="shared" si="46"/>
        <v>2648</v>
      </c>
      <c r="P23">
        <f t="shared" si="46"/>
        <v>2904</v>
      </c>
      <c r="Q23">
        <f t="shared" si="46"/>
        <v>3160</v>
      </c>
      <c r="R23">
        <f t="shared" si="46"/>
        <v>3416</v>
      </c>
      <c r="S23">
        <f t="shared" si="46"/>
        <v>3672</v>
      </c>
      <c r="T23">
        <f t="shared" si="46"/>
        <v>3928</v>
      </c>
      <c r="U23">
        <f t="shared" si="46"/>
        <v>4184</v>
      </c>
      <c r="V23">
        <f t="shared" si="46"/>
        <v>4440</v>
      </c>
      <c r="W23">
        <f t="shared" si="46"/>
        <v>4696</v>
      </c>
      <c r="X23">
        <f t="shared" si="46"/>
        <v>4952</v>
      </c>
      <c r="Y23">
        <f t="shared" si="46"/>
        <v>5208</v>
      </c>
      <c r="Z23">
        <f t="shared" si="46"/>
        <v>5464</v>
      </c>
      <c r="AA23">
        <f t="shared" si="46"/>
        <v>5720</v>
      </c>
      <c r="AB23">
        <f t="shared" si="46"/>
        <v>5976</v>
      </c>
      <c r="AC23">
        <f t="shared" si="46"/>
        <v>6232</v>
      </c>
      <c r="AD23">
        <f t="shared" si="46"/>
        <v>6488</v>
      </c>
      <c r="AE23">
        <f t="shared" si="46"/>
        <v>6744</v>
      </c>
      <c r="AF23">
        <f t="shared" si="46"/>
        <v>7000</v>
      </c>
      <c r="AG23">
        <f t="shared" si="46"/>
        <v>7256</v>
      </c>
      <c r="AH23">
        <f t="shared" si="46"/>
        <v>7512</v>
      </c>
      <c r="AI23">
        <f t="shared" si="46"/>
        <v>7768</v>
      </c>
      <c r="AJ23">
        <f t="shared" si="46"/>
        <v>8024</v>
      </c>
      <c r="AK23">
        <f t="shared" si="46"/>
        <v>8280</v>
      </c>
      <c r="AL23">
        <f t="shared" si="46"/>
        <v>8536</v>
      </c>
      <c r="AM23">
        <f t="shared" si="46"/>
        <v>8792</v>
      </c>
      <c r="AN23">
        <f t="shared" si="46"/>
        <v>9048</v>
      </c>
      <c r="AO23">
        <f t="shared" si="46"/>
        <v>9304</v>
      </c>
      <c r="AP23">
        <f t="shared" si="46"/>
        <v>9560</v>
      </c>
      <c r="AQ23">
        <f t="shared" si="46"/>
        <v>9816</v>
      </c>
      <c r="AR23">
        <f t="shared" si="46"/>
        <v>10072</v>
      </c>
      <c r="AS23">
        <f t="shared" si="46"/>
        <v>10328</v>
      </c>
    </row>
    <row r="24">
      <c r="A24" s="14" t="str">
        <f t="shared" si="10"/>
        <v>BAD380</v>
      </c>
      <c r="B24" s="53" t="str">
        <f t="shared" ref="B24:C24" si="47">DEC2HEX(HEX2DEC(A24)+1)</f>
        <v>BAD381</v>
      </c>
      <c r="C24" s="53" t="str">
        <f t="shared" si="47"/>
        <v>BAD382</v>
      </c>
      <c r="D24" s="14" t="s">
        <v>123</v>
      </c>
      <c r="E24" s="55">
        <v>92.0</v>
      </c>
      <c r="F24">
        <f t="shared" ref="F24:AS24" si="48">E24+256</f>
        <v>348</v>
      </c>
      <c r="G24">
        <f t="shared" si="48"/>
        <v>604</v>
      </c>
      <c r="H24">
        <f t="shared" si="48"/>
        <v>860</v>
      </c>
      <c r="I24">
        <f t="shared" si="48"/>
        <v>1116</v>
      </c>
      <c r="J24">
        <f t="shared" si="48"/>
        <v>1372</v>
      </c>
      <c r="K24">
        <f t="shared" si="48"/>
        <v>1628</v>
      </c>
      <c r="L24">
        <f t="shared" si="48"/>
        <v>1884</v>
      </c>
      <c r="M24">
        <f t="shared" si="48"/>
        <v>2140</v>
      </c>
      <c r="N24">
        <f t="shared" si="48"/>
        <v>2396</v>
      </c>
      <c r="O24">
        <f t="shared" si="48"/>
        <v>2652</v>
      </c>
      <c r="P24">
        <f t="shared" si="48"/>
        <v>2908</v>
      </c>
      <c r="Q24">
        <f t="shared" si="48"/>
        <v>3164</v>
      </c>
      <c r="R24">
        <f t="shared" si="48"/>
        <v>3420</v>
      </c>
      <c r="S24">
        <f t="shared" si="48"/>
        <v>3676</v>
      </c>
      <c r="T24">
        <f t="shared" si="48"/>
        <v>3932</v>
      </c>
      <c r="U24">
        <f t="shared" si="48"/>
        <v>4188</v>
      </c>
      <c r="V24">
        <f t="shared" si="48"/>
        <v>4444</v>
      </c>
      <c r="W24">
        <f t="shared" si="48"/>
        <v>4700</v>
      </c>
      <c r="X24">
        <f t="shared" si="48"/>
        <v>4956</v>
      </c>
      <c r="Y24">
        <f t="shared" si="48"/>
        <v>5212</v>
      </c>
      <c r="Z24">
        <f t="shared" si="48"/>
        <v>5468</v>
      </c>
      <c r="AA24">
        <f t="shared" si="48"/>
        <v>5724</v>
      </c>
      <c r="AB24">
        <f t="shared" si="48"/>
        <v>5980</v>
      </c>
      <c r="AC24">
        <f t="shared" si="48"/>
        <v>6236</v>
      </c>
      <c r="AD24">
        <f t="shared" si="48"/>
        <v>6492</v>
      </c>
      <c r="AE24">
        <f t="shared" si="48"/>
        <v>6748</v>
      </c>
      <c r="AF24">
        <f t="shared" si="48"/>
        <v>7004</v>
      </c>
      <c r="AG24">
        <f t="shared" si="48"/>
        <v>7260</v>
      </c>
      <c r="AH24">
        <f t="shared" si="48"/>
        <v>7516</v>
      </c>
      <c r="AI24">
        <f t="shared" si="48"/>
        <v>7772</v>
      </c>
      <c r="AJ24">
        <f t="shared" si="48"/>
        <v>8028</v>
      </c>
      <c r="AK24">
        <f t="shared" si="48"/>
        <v>8284</v>
      </c>
      <c r="AL24">
        <f t="shared" si="48"/>
        <v>8540</v>
      </c>
      <c r="AM24">
        <f t="shared" si="48"/>
        <v>8796</v>
      </c>
      <c r="AN24">
        <f t="shared" si="48"/>
        <v>9052</v>
      </c>
      <c r="AO24">
        <f t="shared" si="48"/>
        <v>9308</v>
      </c>
      <c r="AP24">
        <f t="shared" si="48"/>
        <v>9564</v>
      </c>
      <c r="AQ24">
        <f t="shared" si="48"/>
        <v>9820</v>
      </c>
      <c r="AR24">
        <f t="shared" si="48"/>
        <v>10076</v>
      </c>
      <c r="AS24">
        <f t="shared" si="48"/>
        <v>10332</v>
      </c>
    </row>
    <row r="25">
      <c r="A25" s="14" t="str">
        <f t="shared" si="10"/>
        <v>BAD370</v>
      </c>
      <c r="B25" s="53" t="str">
        <f t="shared" ref="B25:C25" si="49">DEC2HEX(HEX2DEC(A25)+1)</f>
        <v>BAD371</v>
      </c>
      <c r="C25" s="53" t="str">
        <f t="shared" si="49"/>
        <v>BAD372</v>
      </c>
      <c r="D25" s="14" t="s">
        <v>123</v>
      </c>
      <c r="E25" s="55">
        <v>96.0</v>
      </c>
      <c r="F25">
        <f t="shared" ref="F25:AS25" si="50">E25+256</f>
        <v>352</v>
      </c>
      <c r="G25">
        <f t="shared" si="50"/>
        <v>608</v>
      </c>
      <c r="H25">
        <f t="shared" si="50"/>
        <v>864</v>
      </c>
      <c r="I25">
        <f t="shared" si="50"/>
        <v>1120</v>
      </c>
      <c r="J25">
        <f t="shared" si="50"/>
        <v>1376</v>
      </c>
      <c r="K25">
        <f t="shared" si="50"/>
        <v>1632</v>
      </c>
      <c r="L25">
        <f t="shared" si="50"/>
        <v>1888</v>
      </c>
      <c r="M25">
        <f t="shared" si="50"/>
        <v>2144</v>
      </c>
      <c r="N25">
        <f t="shared" si="50"/>
        <v>2400</v>
      </c>
      <c r="O25">
        <f t="shared" si="50"/>
        <v>2656</v>
      </c>
      <c r="P25">
        <f t="shared" si="50"/>
        <v>2912</v>
      </c>
      <c r="Q25">
        <f t="shared" si="50"/>
        <v>3168</v>
      </c>
      <c r="R25">
        <f t="shared" si="50"/>
        <v>3424</v>
      </c>
      <c r="S25">
        <f t="shared" si="50"/>
        <v>3680</v>
      </c>
      <c r="T25">
        <f t="shared" si="50"/>
        <v>3936</v>
      </c>
      <c r="U25">
        <f t="shared" si="50"/>
        <v>4192</v>
      </c>
      <c r="V25">
        <f t="shared" si="50"/>
        <v>4448</v>
      </c>
      <c r="W25">
        <f t="shared" si="50"/>
        <v>4704</v>
      </c>
      <c r="X25">
        <f t="shared" si="50"/>
        <v>4960</v>
      </c>
      <c r="Y25">
        <f t="shared" si="50"/>
        <v>5216</v>
      </c>
      <c r="Z25">
        <f t="shared" si="50"/>
        <v>5472</v>
      </c>
      <c r="AA25">
        <f t="shared" si="50"/>
        <v>5728</v>
      </c>
      <c r="AB25">
        <f t="shared" si="50"/>
        <v>5984</v>
      </c>
      <c r="AC25">
        <f t="shared" si="50"/>
        <v>6240</v>
      </c>
      <c r="AD25">
        <f t="shared" si="50"/>
        <v>6496</v>
      </c>
      <c r="AE25">
        <f t="shared" si="50"/>
        <v>6752</v>
      </c>
      <c r="AF25">
        <f t="shared" si="50"/>
        <v>7008</v>
      </c>
      <c r="AG25">
        <f t="shared" si="50"/>
        <v>7264</v>
      </c>
      <c r="AH25">
        <f t="shared" si="50"/>
        <v>7520</v>
      </c>
      <c r="AI25">
        <f t="shared" si="50"/>
        <v>7776</v>
      </c>
      <c r="AJ25">
        <f t="shared" si="50"/>
        <v>8032</v>
      </c>
      <c r="AK25">
        <f t="shared" si="50"/>
        <v>8288</v>
      </c>
      <c r="AL25">
        <f t="shared" si="50"/>
        <v>8544</v>
      </c>
      <c r="AM25">
        <f t="shared" si="50"/>
        <v>8800</v>
      </c>
      <c r="AN25">
        <f t="shared" si="50"/>
        <v>9056</v>
      </c>
      <c r="AO25">
        <f t="shared" si="50"/>
        <v>9312</v>
      </c>
      <c r="AP25">
        <f t="shared" si="50"/>
        <v>9568</v>
      </c>
      <c r="AQ25">
        <f t="shared" si="50"/>
        <v>9824</v>
      </c>
      <c r="AR25">
        <f t="shared" si="50"/>
        <v>10080</v>
      </c>
      <c r="AS25">
        <f t="shared" si="50"/>
        <v>10336</v>
      </c>
    </row>
    <row r="26">
      <c r="A26" s="14" t="str">
        <f t="shared" si="10"/>
        <v>BAD360</v>
      </c>
      <c r="B26" s="53" t="str">
        <f t="shared" ref="B26:C26" si="51">DEC2HEX(HEX2DEC(A26)+1)</f>
        <v>BAD361</v>
      </c>
      <c r="C26" s="53" t="str">
        <f t="shared" si="51"/>
        <v>BAD362</v>
      </c>
      <c r="D26" s="14" t="s">
        <v>123</v>
      </c>
      <c r="E26" s="55">
        <v>100.0</v>
      </c>
      <c r="F26">
        <f t="shared" ref="F26:AS26" si="52">E26+256</f>
        <v>356</v>
      </c>
      <c r="G26">
        <f t="shared" si="52"/>
        <v>612</v>
      </c>
      <c r="H26">
        <f t="shared" si="52"/>
        <v>868</v>
      </c>
      <c r="I26">
        <f t="shared" si="52"/>
        <v>1124</v>
      </c>
      <c r="J26">
        <f t="shared" si="52"/>
        <v>1380</v>
      </c>
      <c r="K26">
        <f t="shared" si="52"/>
        <v>1636</v>
      </c>
      <c r="L26">
        <f t="shared" si="52"/>
        <v>1892</v>
      </c>
      <c r="M26">
        <f t="shared" si="52"/>
        <v>2148</v>
      </c>
      <c r="N26">
        <f t="shared" si="52"/>
        <v>2404</v>
      </c>
      <c r="O26">
        <f t="shared" si="52"/>
        <v>2660</v>
      </c>
      <c r="P26">
        <f t="shared" si="52"/>
        <v>2916</v>
      </c>
      <c r="Q26">
        <f t="shared" si="52"/>
        <v>3172</v>
      </c>
      <c r="R26">
        <f t="shared" si="52"/>
        <v>3428</v>
      </c>
      <c r="S26">
        <f t="shared" si="52"/>
        <v>3684</v>
      </c>
      <c r="T26">
        <f t="shared" si="52"/>
        <v>3940</v>
      </c>
      <c r="U26">
        <f t="shared" si="52"/>
        <v>4196</v>
      </c>
      <c r="V26">
        <f t="shared" si="52"/>
        <v>4452</v>
      </c>
      <c r="W26">
        <f t="shared" si="52"/>
        <v>4708</v>
      </c>
      <c r="X26">
        <f t="shared" si="52"/>
        <v>4964</v>
      </c>
      <c r="Y26">
        <f t="shared" si="52"/>
        <v>5220</v>
      </c>
      <c r="Z26">
        <f t="shared" si="52"/>
        <v>5476</v>
      </c>
      <c r="AA26">
        <f t="shared" si="52"/>
        <v>5732</v>
      </c>
      <c r="AB26">
        <f t="shared" si="52"/>
        <v>5988</v>
      </c>
      <c r="AC26">
        <f t="shared" si="52"/>
        <v>6244</v>
      </c>
      <c r="AD26">
        <f t="shared" si="52"/>
        <v>6500</v>
      </c>
      <c r="AE26">
        <f t="shared" si="52"/>
        <v>6756</v>
      </c>
      <c r="AF26">
        <f t="shared" si="52"/>
        <v>7012</v>
      </c>
      <c r="AG26">
        <f t="shared" si="52"/>
        <v>7268</v>
      </c>
      <c r="AH26">
        <f t="shared" si="52"/>
        <v>7524</v>
      </c>
      <c r="AI26">
        <f t="shared" si="52"/>
        <v>7780</v>
      </c>
      <c r="AJ26">
        <f t="shared" si="52"/>
        <v>8036</v>
      </c>
      <c r="AK26">
        <f t="shared" si="52"/>
        <v>8292</v>
      </c>
      <c r="AL26">
        <f t="shared" si="52"/>
        <v>8548</v>
      </c>
      <c r="AM26">
        <f t="shared" si="52"/>
        <v>8804</v>
      </c>
      <c r="AN26">
        <f t="shared" si="52"/>
        <v>9060</v>
      </c>
      <c r="AO26">
        <f t="shared" si="52"/>
        <v>9316</v>
      </c>
      <c r="AP26">
        <f t="shared" si="52"/>
        <v>9572</v>
      </c>
      <c r="AQ26">
        <f t="shared" si="52"/>
        <v>9828</v>
      </c>
      <c r="AR26">
        <f t="shared" si="52"/>
        <v>10084</v>
      </c>
      <c r="AS26">
        <f t="shared" si="52"/>
        <v>10340</v>
      </c>
    </row>
    <row r="27">
      <c r="A27" s="14" t="str">
        <f t="shared" si="10"/>
        <v>BAD350</v>
      </c>
      <c r="B27" s="53" t="str">
        <f t="shared" ref="B27:C27" si="53">DEC2HEX(HEX2DEC(A27)+1)</f>
        <v>BAD351</v>
      </c>
      <c r="C27" s="53" t="str">
        <f t="shared" si="53"/>
        <v>BAD352</v>
      </c>
      <c r="D27" s="14" t="s">
        <v>123</v>
      </c>
      <c r="E27" s="55">
        <v>104.0</v>
      </c>
      <c r="F27">
        <f t="shared" ref="F27:AS27" si="54">E27+256</f>
        <v>360</v>
      </c>
      <c r="G27">
        <f t="shared" si="54"/>
        <v>616</v>
      </c>
      <c r="H27">
        <f t="shared" si="54"/>
        <v>872</v>
      </c>
      <c r="I27">
        <f t="shared" si="54"/>
        <v>1128</v>
      </c>
      <c r="J27">
        <f t="shared" si="54"/>
        <v>1384</v>
      </c>
      <c r="K27">
        <f t="shared" si="54"/>
        <v>1640</v>
      </c>
      <c r="L27">
        <f t="shared" si="54"/>
        <v>1896</v>
      </c>
      <c r="M27">
        <f t="shared" si="54"/>
        <v>2152</v>
      </c>
      <c r="N27">
        <f t="shared" si="54"/>
        <v>2408</v>
      </c>
      <c r="O27">
        <f t="shared" si="54"/>
        <v>2664</v>
      </c>
      <c r="P27">
        <f t="shared" si="54"/>
        <v>2920</v>
      </c>
      <c r="Q27">
        <f t="shared" si="54"/>
        <v>3176</v>
      </c>
      <c r="R27">
        <f t="shared" si="54"/>
        <v>3432</v>
      </c>
      <c r="S27">
        <f t="shared" si="54"/>
        <v>3688</v>
      </c>
      <c r="T27">
        <f t="shared" si="54"/>
        <v>3944</v>
      </c>
      <c r="U27">
        <f t="shared" si="54"/>
        <v>4200</v>
      </c>
      <c r="V27">
        <f t="shared" si="54"/>
        <v>4456</v>
      </c>
      <c r="W27">
        <f t="shared" si="54"/>
        <v>4712</v>
      </c>
      <c r="X27">
        <f t="shared" si="54"/>
        <v>4968</v>
      </c>
      <c r="Y27">
        <f t="shared" si="54"/>
        <v>5224</v>
      </c>
      <c r="Z27">
        <f t="shared" si="54"/>
        <v>5480</v>
      </c>
      <c r="AA27">
        <f t="shared" si="54"/>
        <v>5736</v>
      </c>
      <c r="AB27">
        <f t="shared" si="54"/>
        <v>5992</v>
      </c>
      <c r="AC27">
        <f t="shared" si="54"/>
        <v>6248</v>
      </c>
      <c r="AD27">
        <f t="shared" si="54"/>
        <v>6504</v>
      </c>
      <c r="AE27">
        <f t="shared" si="54"/>
        <v>6760</v>
      </c>
      <c r="AF27">
        <f t="shared" si="54"/>
        <v>7016</v>
      </c>
      <c r="AG27">
        <f t="shared" si="54"/>
        <v>7272</v>
      </c>
      <c r="AH27">
        <f t="shared" si="54"/>
        <v>7528</v>
      </c>
      <c r="AI27">
        <f t="shared" si="54"/>
        <v>7784</v>
      </c>
      <c r="AJ27">
        <f t="shared" si="54"/>
        <v>8040</v>
      </c>
      <c r="AK27">
        <f t="shared" si="54"/>
        <v>8296</v>
      </c>
      <c r="AL27">
        <f t="shared" si="54"/>
        <v>8552</v>
      </c>
      <c r="AM27">
        <f t="shared" si="54"/>
        <v>8808</v>
      </c>
      <c r="AN27">
        <f t="shared" si="54"/>
        <v>9064</v>
      </c>
      <c r="AO27">
        <f t="shared" si="54"/>
        <v>9320</v>
      </c>
      <c r="AP27">
        <f t="shared" si="54"/>
        <v>9576</v>
      </c>
      <c r="AQ27">
        <f t="shared" si="54"/>
        <v>9832</v>
      </c>
      <c r="AR27">
        <f t="shared" si="54"/>
        <v>10088</v>
      </c>
      <c r="AS27">
        <f t="shared" si="54"/>
        <v>10344</v>
      </c>
    </row>
    <row r="28">
      <c r="A28" s="14" t="str">
        <f t="shared" si="10"/>
        <v>BAD340</v>
      </c>
      <c r="B28" s="53" t="str">
        <f t="shared" ref="B28:C28" si="55">DEC2HEX(HEX2DEC(A28)+1)</f>
        <v>BAD341</v>
      </c>
      <c r="C28" s="53" t="str">
        <f t="shared" si="55"/>
        <v>BAD342</v>
      </c>
      <c r="D28" s="14" t="s">
        <v>123</v>
      </c>
      <c r="E28" s="55">
        <v>108.0</v>
      </c>
      <c r="F28">
        <f t="shared" ref="F28:AS28" si="56">E28+256</f>
        <v>364</v>
      </c>
      <c r="G28">
        <f t="shared" si="56"/>
        <v>620</v>
      </c>
      <c r="H28">
        <f t="shared" si="56"/>
        <v>876</v>
      </c>
      <c r="I28">
        <f t="shared" si="56"/>
        <v>1132</v>
      </c>
      <c r="J28">
        <f t="shared" si="56"/>
        <v>1388</v>
      </c>
      <c r="K28">
        <f t="shared" si="56"/>
        <v>1644</v>
      </c>
      <c r="L28">
        <f t="shared" si="56"/>
        <v>1900</v>
      </c>
      <c r="M28">
        <f t="shared" si="56"/>
        <v>2156</v>
      </c>
      <c r="N28">
        <f t="shared" si="56"/>
        <v>2412</v>
      </c>
      <c r="O28">
        <f t="shared" si="56"/>
        <v>2668</v>
      </c>
      <c r="P28">
        <f t="shared" si="56"/>
        <v>2924</v>
      </c>
      <c r="Q28">
        <f t="shared" si="56"/>
        <v>3180</v>
      </c>
      <c r="R28">
        <f t="shared" si="56"/>
        <v>3436</v>
      </c>
      <c r="S28">
        <f t="shared" si="56"/>
        <v>3692</v>
      </c>
      <c r="T28">
        <f t="shared" si="56"/>
        <v>3948</v>
      </c>
      <c r="U28">
        <f t="shared" si="56"/>
        <v>4204</v>
      </c>
      <c r="V28">
        <f t="shared" si="56"/>
        <v>4460</v>
      </c>
      <c r="W28">
        <f t="shared" si="56"/>
        <v>4716</v>
      </c>
      <c r="X28">
        <f t="shared" si="56"/>
        <v>4972</v>
      </c>
      <c r="Y28">
        <f t="shared" si="56"/>
        <v>5228</v>
      </c>
      <c r="Z28">
        <f t="shared" si="56"/>
        <v>5484</v>
      </c>
      <c r="AA28">
        <f t="shared" si="56"/>
        <v>5740</v>
      </c>
      <c r="AB28">
        <f t="shared" si="56"/>
        <v>5996</v>
      </c>
      <c r="AC28">
        <f t="shared" si="56"/>
        <v>6252</v>
      </c>
      <c r="AD28">
        <f t="shared" si="56"/>
        <v>6508</v>
      </c>
      <c r="AE28">
        <f t="shared" si="56"/>
        <v>6764</v>
      </c>
      <c r="AF28">
        <f t="shared" si="56"/>
        <v>7020</v>
      </c>
      <c r="AG28">
        <f t="shared" si="56"/>
        <v>7276</v>
      </c>
      <c r="AH28">
        <f t="shared" si="56"/>
        <v>7532</v>
      </c>
      <c r="AI28">
        <f t="shared" si="56"/>
        <v>7788</v>
      </c>
      <c r="AJ28">
        <f t="shared" si="56"/>
        <v>8044</v>
      </c>
      <c r="AK28">
        <f t="shared" si="56"/>
        <v>8300</v>
      </c>
      <c r="AL28">
        <f t="shared" si="56"/>
        <v>8556</v>
      </c>
      <c r="AM28">
        <f t="shared" si="56"/>
        <v>8812</v>
      </c>
      <c r="AN28">
        <f t="shared" si="56"/>
        <v>9068</v>
      </c>
      <c r="AO28">
        <f t="shared" si="56"/>
        <v>9324</v>
      </c>
      <c r="AP28">
        <f t="shared" si="56"/>
        <v>9580</v>
      </c>
      <c r="AQ28">
        <f t="shared" si="56"/>
        <v>9836</v>
      </c>
      <c r="AR28">
        <f t="shared" si="56"/>
        <v>10092</v>
      </c>
      <c r="AS28">
        <f t="shared" si="56"/>
        <v>10348</v>
      </c>
    </row>
    <row r="29">
      <c r="A29" s="14" t="str">
        <f t="shared" si="10"/>
        <v>BAD330</v>
      </c>
      <c r="B29" s="53" t="str">
        <f t="shared" ref="B29:C29" si="57">DEC2HEX(HEX2DEC(A29)+1)</f>
        <v>BAD331</v>
      </c>
      <c r="C29" s="53" t="str">
        <f t="shared" si="57"/>
        <v>BAD332</v>
      </c>
      <c r="D29" s="14" t="s">
        <v>123</v>
      </c>
      <c r="E29" s="55">
        <v>112.0</v>
      </c>
      <c r="F29">
        <f t="shared" ref="F29:AS29" si="58">E29+256</f>
        <v>368</v>
      </c>
      <c r="G29">
        <f t="shared" si="58"/>
        <v>624</v>
      </c>
      <c r="H29">
        <f t="shared" si="58"/>
        <v>880</v>
      </c>
      <c r="I29">
        <f t="shared" si="58"/>
        <v>1136</v>
      </c>
      <c r="J29">
        <f t="shared" si="58"/>
        <v>1392</v>
      </c>
      <c r="K29">
        <f t="shared" si="58"/>
        <v>1648</v>
      </c>
      <c r="L29">
        <f t="shared" si="58"/>
        <v>1904</v>
      </c>
      <c r="M29">
        <f t="shared" si="58"/>
        <v>2160</v>
      </c>
      <c r="N29">
        <f t="shared" si="58"/>
        <v>2416</v>
      </c>
      <c r="O29">
        <f t="shared" si="58"/>
        <v>2672</v>
      </c>
      <c r="P29">
        <f t="shared" si="58"/>
        <v>2928</v>
      </c>
      <c r="Q29">
        <f t="shared" si="58"/>
        <v>3184</v>
      </c>
      <c r="R29">
        <f t="shared" si="58"/>
        <v>3440</v>
      </c>
      <c r="S29">
        <f t="shared" si="58"/>
        <v>3696</v>
      </c>
      <c r="T29">
        <f t="shared" si="58"/>
        <v>3952</v>
      </c>
      <c r="U29">
        <f t="shared" si="58"/>
        <v>4208</v>
      </c>
      <c r="V29">
        <f t="shared" si="58"/>
        <v>4464</v>
      </c>
      <c r="W29">
        <f t="shared" si="58"/>
        <v>4720</v>
      </c>
      <c r="X29">
        <f t="shared" si="58"/>
        <v>4976</v>
      </c>
      <c r="Y29">
        <f t="shared" si="58"/>
        <v>5232</v>
      </c>
      <c r="Z29">
        <f t="shared" si="58"/>
        <v>5488</v>
      </c>
      <c r="AA29">
        <f t="shared" si="58"/>
        <v>5744</v>
      </c>
      <c r="AB29">
        <f t="shared" si="58"/>
        <v>6000</v>
      </c>
      <c r="AC29">
        <f t="shared" si="58"/>
        <v>6256</v>
      </c>
      <c r="AD29">
        <f t="shared" si="58"/>
        <v>6512</v>
      </c>
      <c r="AE29">
        <f t="shared" si="58"/>
        <v>6768</v>
      </c>
      <c r="AF29">
        <f t="shared" si="58"/>
        <v>7024</v>
      </c>
      <c r="AG29">
        <f t="shared" si="58"/>
        <v>7280</v>
      </c>
      <c r="AH29">
        <f t="shared" si="58"/>
        <v>7536</v>
      </c>
      <c r="AI29">
        <f t="shared" si="58"/>
        <v>7792</v>
      </c>
      <c r="AJ29">
        <f t="shared" si="58"/>
        <v>8048</v>
      </c>
      <c r="AK29">
        <f t="shared" si="58"/>
        <v>8304</v>
      </c>
      <c r="AL29">
        <f t="shared" si="58"/>
        <v>8560</v>
      </c>
      <c r="AM29">
        <f t="shared" si="58"/>
        <v>8816</v>
      </c>
      <c r="AN29">
        <f t="shared" si="58"/>
        <v>9072</v>
      </c>
      <c r="AO29">
        <f t="shared" si="58"/>
        <v>9328</v>
      </c>
      <c r="AP29">
        <f t="shared" si="58"/>
        <v>9584</v>
      </c>
      <c r="AQ29">
        <f t="shared" si="58"/>
        <v>9840</v>
      </c>
      <c r="AR29">
        <f t="shared" si="58"/>
        <v>10096</v>
      </c>
      <c r="AS29">
        <f t="shared" si="58"/>
        <v>10352</v>
      </c>
    </row>
    <row r="30">
      <c r="A30" s="14" t="str">
        <f t="shared" si="10"/>
        <v>BAD320</v>
      </c>
      <c r="B30" s="53" t="str">
        <f t="shared" ref="B30:C30" si="59">DEC2HEX(HEX2DEC(A30)+1)</f>
        <v>BAD321</v>
      </c>
      <c r="C30" s="53" t="str">
        <f t="shared" si="59"/>
        <v>BAD322</v>
      </c>
      <c r="D30" s="14" t="s">
        <v>123</v>
      </c>
      <c r="E30" s="55">
        <v>116.0</v>
      </c>
      <c r="F30">
        <f t="shared" ref="F30:AS30" si="60">E30+256</f>
        <v>372</v>
      </c>
      <c r="G30">
        <f t="shared" si="60"/>
        <v>628</v>
      </c>
      <c r="H30">
        <f t="shared" si="60"/>
        <v>884</v>
      </c>
      <c r="I30">
        <f t="shared" si="60"/>
        <v>1140</v>
      </c>
      <c r="J30">
        <f t="shared" si="60"/>
        <v>1396</v>
      </c>
      <c r="K30">
        <f t="shared" si="60"/>
        <v>1652</v>
      </c>
      <c r="L30">
        <f t="shared" si="60"/>
        <v>1908</v>
      </c>
      <c r="M30">
        <f t="shared" si="60"/>
        <v>2164</v>
      </c>
      <c r="N30">
        <f t="shared" si="60"/>
        <v>2420</v>
      </c>
      <c r="O30">
        <f t="shared" si="60"/>
        <v>2676</v>
      </c>
      <c r="P30">
        <f t="shared" si="60"/>
        <v>2932</v>
      </c>
      <c r="Q30">
        <f t="shared" si="60"/>
        <v>3188</v>
      </c>
      <c r="R30">
        <f t="shared" si="60"/>
        <v>3444</v>
      </c>
      <c r="S30">
        <f t="shared" si="60"/>
        <v>3700</v>
      </c>
      <c r="T30">
        <f t="shared" si="60"/>
        <v>3956</v>
      </c>
      <c r="U30">
        <f t="shared" si="60"/>
        <v>4212</v>
      </c>
      <c r="V30">
        <f t="shared" si="60"/>
        <v>4468</v>
      </c>
      <c r="W30">
        <f t="shared" si="60"/>
        <v>4724</v>
      </c>
      <c r="X30">
        <f t="shared" si="60"/>
        <v>4980</v>
      </c>
      <c r="Y30">
        <f t="shared" si="60"/>
        <v>5236</v>
      </c>
      <c r="Z30">
        <f t="shared" si="60"/>
        <v>5492</v>
      </c>
      <c r="AA30">
        <f t="shared" si="60"/>
        <v>5748</v>
      </c>
      <c r="AB30">
        <f t="shared" si="60"/>
        <v>6004</v>
      </c>
      <c r="AC30">
        <f t="shared" si="60"/>
        <v>6260</v>
      </c>
      <c r="AD30">
        <f t="shared" si="60"/>
        <v>6516</v>
      </c>
      <c r="AE30">
        <f t="shared" si="60"/>
        <v>6772</v>
      </c>
      <c r="AF30">
        <f t="shared" si="60"/>
        <v>7028</v>
      </c>
      <c r="AG30">
        <f t="shared" si="60"/>
        <v>7284</v>
      </c>
      <c r="AH30">
        <f t="shared" si="60"/>
        <v>7540</v>
      </c>
      <c r="AI30">
        <f t="shared" si="60"/>
        <v>7796</v>
      </c>
      <c r="AJ30">
        <f t="shared" si="60"/>
        <v>8052</v>
      </c>
      <c r="AK30">
        <f t="shared" si="60"/>
        <v>8308</v>
      </c>
      <c r="AL30">
        <f t="shared" si="60"/>
        <v>8564</v>
      </c>
      <c r="AM30">
        <f t="shared" si="60"/>
        <v>8820</v>
      </c>
      <c r="AN30">
        <f t="shared" si="60"/>
        <v>9076</v>
      </c>
      <c r="AO30">
        <f t="shared" si="60"/>
        <v>9332</v>
      </c>
      <c r="AP30">
        <f t="shared" si="60"/>
        <v>9588</v>
      </c>
      <c r="AQ30">
        <f t="shared" si="60"/>
        <v>9844</v>
      </c>
      <c r="AR30">
        <f t="shared" si="60"/>
        <v>10100</v>
      </c>
      <c r="AS30">
        <f t="shared" si="60"/>
        <v>10356</v>
      </c>
    </row>
    <row r="31">
      <c r="A31" s="14" t="str">
        <f t="shared" si="10"/>
        <v>BAD310</v>
      </c>
      <c r="B31" s="53" t="str">
        <f t="shared" ref="B31:C31" si="61">DEC2HEX(HEX2DEC(A31)+1)</f>
        <v>BAD311</v>
      </c>
      <c r="C31" s="53" t="str">
        <f t="shared" si="61"/>
        <v>BAD312</v>
      </c>
      <c r="D31" s="14" t="s">
        <v>123</v>
      </c>
      <c r="E31" s="55">
        <v>120.0</v>
      </c>
      <c r="F31">
        <f t="shared" ref="F31:AS31" si="62">E31+256</f>
        <v>376</v>
      </c>
      <c r="G31">
        <f t="shared" si="62"/>
        <v>632</v>
      </c>
      <c r="H31">
        <f t="shared" si="62"/>
        <v>888</v>
      </c>
      <c r="I31">
        <f t="shared" si="62"/>
        <v>1144</v>
      </c>
      <c r="J31">
        <f t="shared" si="62"/>
        <v>1400</v>
      </c>
      <c r="K31">
        <f t="shared" si="62"/>
        <v>1656</v>
      </c>
      <c r="L31">
        <f t="shared" si="62"/>
        <v>1912</v>
      </c>
      <c r="M31">
        <f t="shared" si="62"/>
        <v>2168</v>
      </c>
      <c r="N31">
        <f t="shared" si="62"/>
        <v>2424</v>
      </c>
      <c r="O31">
        <f t="shared" si="62"/>
        <v>2680</v>
      </c>
      <c r="P31">
        <f t="shared" si="62"/>
        <v>2936</v>
      </c>
      <c r="Q31">
        <f t="shared" si="62"/>
        <v>3192</v>
      </c>
      <c r="R31">
        <f t="shared" si="62"/>
        <v>3448</v>
      </c>
      <c r="S31">
        <f t="shared" si="62"/>
        <v>3704</v>
      </c>
      <c r="T31">
        <f t="shared" si="62"/>
        <v>3960</v>
      </c>
      <c r="U31">
        <f t="shared" si="62"/>
        <v>4216</v>
      </c>
      <c r="V31">
        <f t="shared" si="62"/>
        <v>4472</v>
      </c>
      <c r="W31">
        <f t="shared" si="62"/>
        <v>4728</v>
      </c>
      <c r="X31">
        <f t="shared" si="62"/>
        <v>4984</v>
      </c>
      <c r="Y31">
        <f t="shared" si="62"/>
        <v>5240</v>
      </c>
      <c r="Z31">
        <f t="shared" si="62"/>
        <v>5496</v>
      </c>
      <c r="AA31">
        <f t="shared" si="62"/>
        <v>5752</v>
      </c>
      <c r="AB31">
        <f t="shared" si="62"/>
        <v>6008</v>
      </c>
      <c r="AC31">
        <f t="shared" si="62"/>
        <v>6264</v>
      </c>
      <c r="AD31">
        <f t="shared" si="62"/>
        <v>6520</v>
      </c>
      <c r="AE31">
        <f t="shared" si="62"/>
        <v>6776</v>
      </c>
      <c r="AF31">
        <f t="shared" si="62"/>
        <v>7032</v>
      </c>
      <c r="AG31">
        <f t="shared" si="62"/>
        <v>7288</v>
      </c>
      <c r="AH31">
        <f t="shared" si="62"/>
        <v>7544</v>
      </c>
      <c r="AI31">
        <f t="shared" si="62"/>
        <v>7800</v>
      </c>
      <c r="AJ31">
        <f t="shared" si="62"/>
        <v>8056</v>
      </c>
      <c r="AK31">
        <f t="shared" si="62"/>
        <v>8312</v>
      </c>
      <c r="AL31">
        <f t="shared" si="62"/>
        <v>8568</v>
      </c>
      <c r="AM31">
        <f t="shared" si="62"/>
        <v>8824</v>
      </c>
      <c r="AN31">
        <f t="shared" si="62"/>
        <v>9080</v>
      </c>
      <c r="AO31">
        <f t="shared" si="62"/>
        <v>9336</v>
      </c>
      <c r="AP31">
        <f t="shared" si="62"/>
        <v>9592</v>
      </c>
      <c r="AQ31">
        <f t="shared" si="62"/>
        <v>9848</v>
      </c>
      <c r="AR31">
        <f t="shared" si="62"/>
        <v>10104</v>
      </c>
      <c r="AS31">
        <f t="shared" si="62"/>
        <v>10360</v>
      </c>
    </row>
    <row r="32">
      <c r="A32" s="14" t="str">
        <f t="shared" si="10"/>
        <v>BAD300</v>
      </c>
      <c r="B32" s="53" t="str">
        <f t="shared" ref="B32:C32" si="63">DEC2HEX(HEX2DEC(A32)+1)</f>
        <v>BAD301</v>
      </c>
      <c r="C32" s="53" t="str">
        <f t="shared" si="63"/>
        <v>BAD302</v>
      </c>
      <c r="D32" s="14" t="s">
        <v>123</v>
      </c>
      <c r="E32" s="55">
        <v>124.0</v>
      </c>
      <c r="F32">
        <f t="shared" ref="F32:AS32" si="64">E32+256</f>
        <v>380</v>
      </c>
      <c r="G32">
        <f t="shared" si="64"/>
        <v>636</v>
      </c>
      <c r="H32">
        <f t="shared" si="64"/>
        <v>892</v>
      </c>
      <c r="I32">
        <f t="shared" si="64"/>
        <v>1148</v>
      </c>
      <c r="J32">
        <f t="shared" si="64"/>
        <v>1404</v>
      </c>
      <c r="K32">
        <f t="shared" si="64"/>
        <v>1660</v>
      </c>
      <c r="L32">
        <f t="shared" si="64"/>
        <v>1916</v>
      </c>
      <c r="M32">
        <f t="shared" si="64"/>
        <v>2172</v>
      </c>
      <c r="N32">
        <f t="shared" si="64"/>
        <v>2428</v>
      </c>
      <c r="O32">
        <f t="shared" si="64"/>
        <v>2684</v>
      </c>
      <c r="P32">
        <f t="shared" si="64"/>
        <v>2940</v>
      </c>
      <c r="Q32">
        <f t="shared" si="64"/>
        <v>3196</v>
      </c>
      <c r="R32">
        <f t="shared" si="64"/>
        <v>3452</v>
      </c>
      <c r="S32">
        <f t="shared" si="64"/>
        <v>3708</v>
      </c>
      <c r="T32">
        <f t="shared" si="64"/>
        <v>3964</v>
      </c>
      <c r="U32">
        <f t="shared" si="64"/>
        <v>4220</v>
      </c>
      <c r="V32">
        <f t="shared" si="64"/>
        <v>4476</v>
      </c>
      <c r="W32">
        <f t="shared" si="64"/>
        <v>4732</v>
      </c>
      <c r="X32">
        <f t="shared" si="64"/>
        <v>4988</v>
      </c>
      <c r="Y32">
        <f t="shared" si="64"/>
        <v>5244</v>
      </c>
      <c r="Z32">
        <f t="shared" si="64"/>
        <v>5500</v>
      </c>
      <c r="AA32">
        <f t="shared" si="64"/>
        <v>5756</v>
      </c>
      <c r="AB32">
        <f t="shared" si="64"/>
        <v>6012</v>
      </c>
      <c r="AC32">
        <f t="shared" si="64"/>
        <v>6268</v>
      </c>
      <c r="AD32">
        <f t="shared" si="64"/>
        <v>6524</v>
      </c>
      <c r="AE32">
        <f t="shared" si="64"/>
        <v>6780</v>
      </c>
      <c r="AF32">
        <f t="shared" si="64"/>
        <v>7036</v>
      </c>
      <c r="AG32">
        <f t="shared" si="64"/>
        <v>7292</v>
      </c>
      <c r="AH32">
        <f t="shared" si="64"/>
        <v>7548</v>
      </c>
      <c r="AI32">
        <f t="shared" si="64"/>
        <v>7804</v>
      </c>
      <c r="AJ32">
        <f t="shared" si="64"/>
        <v>8060</v>
      </c>
      <c r="AK32">
        <f t="shared" si="64"/>
        <v>8316</v>
      </c>
      <c r="AL32">
        <f t="shared" si="64"/>
        <v>8572</v>
      </c>
      <c r="AM32">
        <f t="shared" si="64"/>
        <v>8828</v>
      </c>
      <c r="AN32">
        <f t="shared" si="64"/>
        <v>9084</v>
      </c>
      <c r="AO32">
        <f t="shared" si="64"/>
        <v>9340</v>
      </c>
      <c r="AP32">
        <f t="shared" si="64"/>
        <v>9596</v>
      </c>
      <c r="AQ32">
        <f t="shared" si="64"/>
        <v>9852</v>
      </c>
      <c r="AR32">
        <f t="shared" si="64"/>
        <v>10108</v>
      </c>
      <c r="AS32">
        <f t="shared" si="64"/>
        <v>10364</v>
      </c>
    </row>
    <row r="33">
      <c r="A33" s="14" t="str">
        <f t="shared" si="10"/>
        <v>BAD2F0</v>
      </c>
      <c r="B33" s="53" t="str">
        <f t="shared" ref="B33:C33" si="65">DEC2HEX(HEX2DEC(A33)+1)</f>
        <v>BAD2F1</v>
      </c>
      <c r="C33" s="53" t="str">
        <f t="shared" si="65"/>
        <v>BAD2F2</v>
      </c>
      <c r="D33" s="14" t="s">
        <v>123</v>
      </c>
      <c r="E33" s="55">
        <v>128.0</v>
      </c>
      <c r="F33">
        <f t="shared" ref="F33:AS33" si="66">E33+256</f>
        <v>384</v>
      </c>
      <c r="G33">
        <f t="shared" si="66"/>
        <v>640</v>
      </c>
      <c r="H33">
        <f t="shared" si="66"/>
        <v>896</v>
      </c>
      <c r="I33">
        <f t="shared" si="66"/>
        <v>1152</v>
      </c>
      <c r="J33">
        <f t="shared" si="66"/>
        <v>1408</v>
      </c>
      <c r="K33">
        <f t="shared" si="66"/>
        <v>1664</v>
      </c>
      <c r="L33">
        <f t="shared" si="66"/>
        <v>1920</v>
      </c>
      <c r="M33">
        <f t="shared" si="66"/>
        <v>2176</v>
      </c>
      <c r="N33">
        <f t="shared" si="66"/>
        <v>2432</v>
      </c>
      <c r="O33">
        <f t="shared" si="66"/>
        <v>2688</v>
      </c>
      <c r="P33">
        <f t="shared" si="66"/>
        <v>2944</v>
      </c>
      <c r="Q33">
        <f t="shared" si="66"/>
        <v>3200</v>
      </c>
      <c r="R33">
        <f t="shared" si="66"/>
        <v>3456</v>
      </c>
      <c r="S33">
        <f t="shared" si="66"/>
        <v>3712</v>
      </c>
      <c r="T33">
        <f t="shared" si="66"/>
        <v>3968</v>
      </c>
      <c r="U33">
        <f t="shared" si="66"/>
        <v>4224</v>
      </c>
      <c r="V33">
        <f t="shared" si="66"/>
        <v>4480</v>
      </c>
      <c r="W33">
        <f t="shared" si="66"/>
        <v>4736</v>
      </c>
      <c r="X33">
        <f t="shared" si="66"/>
        <v>4992</v>
      </c>
      <c r="Y33">
        <f t="shared" si="66"/>
        <v>5248</v>
      </c>
      <c r="Z33">
        <f t="shared" si="66"/>
        <v>5504</v>
      </c>
      <c r="AA33">
        <f t="shared" si="66"/>
        <v>5760</v>
      </c>
      <c r="AB33">
        <f t="shared" si="66"/>
        <v>6016</v>
      </c>
      <c r="AC33">
        <f t="shared" si="66"/>
        <v>6272</v>
      </c>
      <c r="AD33">
        <f t="shared" si="66"/>
        <v>6528</v>
      </c>
      <c r="AE33">
        <f t="shared" si="66"/>
        <v>6784</v>
      </c>
      <c r="AF33">
        <f t="shared" si="66"/>
        <v>7040</v>
      </c>
      <c r="AG33">
        <f t="shared" si="66"/>
        <v>7296</v>
      </c>
      <c r="AH33">
        <f t="shared" si="66"/>
        <v>7552</v>
      </c>
      <c r="AI33">
        <f t="shared" si="66"/>
        <v>7808</v>
      </c>
      <c r="AJ33">
        <f t="shared" si="66"/>
        <v>8064</v>
      </c>
      <c r="AK33">
        <f t="shared" si="66"/>
        <v>8320</v>
      </c>
      <c r="AL33">
        <f t="shared" si="66"/>
        <v>8576</v>
      </c>
      <c r="AM33">
        <f t="shared" si="66"/>
        <v>8832</v>
      </c>
      <c r="AN33">
        <f t="shared" si="66"/>
        <v>9088</v>
      </c>
      <c r="AO33">
        <f t="shared" si="66"/>
        <v>9344</v>
      </c>
      <c r="AP33">
        <f t="shared" si="66"/>
        <v>9600</v>
      </c>
      <c r="AQ33">
        <f t="shared" si="66"/>
        <v>9856</v>
      </c>
      <c r="AR33">
        <f t="shared" si="66"/>
        <v>10112</v>
      </c>
      <c r="AS33">
        <f t="shared" si="66"/>
        <v>10368</v>
      </c>
    </row>
    <row r="34">
      <c r="A34" s="14" t="str">
        <f t="shared" si="10"/>
        <v>BAD2E0</v>
      </c>
      <c r="B34" s="53" t="str">
        <f t="shared" ref="B34:C34" si="67">DEC2HEX(HEX2DEC(A34)+1)</f>
        <v>BAD2E1</v>
      </c>
      <c r="C34" s="53" t="str">
        <f t="shared" si="67"/>
        <v>BAD2E2</v>
      </c>
      <c r="D34" s="14" t="s">
        <v>123</v>
      </c>
      <c r="E34" s="55">
        <v>132.0</v>
      </c>
      <c r="F34">
        <f t="shared" ref="F34:AS34" si="68">E34+256</f>
        <v>388</v>
      </c>
      <c r="G34">
        <f t="shared" si="68"/>
        <v>644</v>
      </c>
      <c r="H34">
        <f t="shared" si="68"/>
        <v>900</v>
      </c>
      <c r="I34">
        <f t="shared" si="68"/>
        <v>1156</v>
      </c>
      <c r="J34">
        <f t="shared" si="68"/>
        <v>1412</v>
      </c>
      <c r="K34">
        <f t="shared" si="68"/>
        <v>1668</v>
      </c>
      <c r="L34">
        <f t="shared" si="68"/>
        <v>1924</v>
      </c>
      <c r="M34">
        <f t="shared" si="68"/>
        <v>2180</v>
      </c>
      <c r="N34">
        <f t="shared" si="68"/>
        <v>2436</v>
      </c>
      <c r="O34">
        <f t="shared" si="68"/>
        <v>2692</v>
      </c>
      <c r="P34">
        <f t="shared" si="68"/>
        <v>2948</v>
      </c>
      <c r="Q34">
        <f t="shared" si="68"/>
        <v>3204</v>
      </c>
      <c r="R34">
        <f t="shared" si="68"/>
        <v>3460</v>
      </c>
      <c r="S34">
        <f t="shared" si="68"/>
        <v>3716</v>
      </c>
      <c r="T34">
        <f t="shared" si="68"/>
        <v>3972</v>
      </c>
      <c r="U34">
        <f t="shared" si="68"/>
        <v>4228</v>
      </c>
      <c r="V34">
        <f t="shared" si="68"/>
        <v>4484</v>
      </c>
      <c r="W34">
        <f t="shared" si="68"/>
        <v>4740</v>
      </c>
      <c r="X34">
        <f t="shared" si="68"/>
        <v>4996</v>
      </c>
      <c r="Y34">
        <f t="shared" si="68"/>
        <v>5252</v>
      </c>
      <c r="Z34">
        <f t="shared" si="68"/>
        <v>5508</v>
      </c>
      <c r="AA34">
        <f t="shared" si="68"/>
        <v>5764</v>
      </c>
      <c r="AB34">
        <f t="shared" si="68"/>
        <v>6020</v>
      </c>
      <c r="AC34">
        <f t="shared" si="68"/>
        <v>6276</v>
      </c>
      <c r="AD34">
        <f t="shared" si="68"/>
        <v>6532</v>
      </c>
      <c r="AE34">
        <f t="shared" si="68"/>
        <v>6788</v>
      </c>
      <c r="AF34">
        <f t="shared" si="68"/>
        <v>7044</v>
      </c>
      <c r="AG34">
        <f t="shared" si="68"/>
        <v>7300</v>
      </c>
      <c r="AH34">
        <f t="shared" si="68"/>
        <v>7556</v>
      </c>
      <c r="AI34">
        <f t="shared" si="68"/>
        <v>7812</v>
      </c>
      <c r="AJ34">
        <f t="shared" si="68"/>
        <v>8068</v>
      </c>
      <c r="AK34">
        <f t="shared" si="68"/>
        <v>8324</v>
      </c>
      <c r="AL34">
        <f t="shared" si="68"/>
        <v>8580</v>
      </c>
      <c r="AM34">
        <f t="shared" si="68"/>
        <v>8836</v>
      </c>
      <c r="AN34">
        <f t="shared" si="68"/>
        <v>9092</v>
      </c>
      <c r="AO34">
        <f t="shared" si="68"/>
        <v>9348</v>
      </c>
      <c r="AP34">
        <f t="shared" si="68"/>
        <v>9604</v>
      </c>
      <c r="AQ34">
        <f t="shared" si="68"/>
        <v>9860</v>
      </c>
      <c r="AR34">
        <f t="shared" si="68"/>
        <v>10116</v>
      </c>
      <c r="AS34">
        <f t="shared" si="68"/>
        <v>10372</v>
      </c>
    </row>
    <row r="35">
      <c r="A35" s="14" t="str">
        <f t="shared" si="10"/>
        <v>BAD2D0</v>
      </c>
      <c r="B35" s="53" t="str">
        <f t="shared" ref="B35:C35" si="69">DEC2HEX(HEX2DEC(A35)+1)</f>
        <v>BAD2D1</v>
      </c>
      <c r="C35" s="53" t="str">
        <f t="shared" si="69"/>
        <v>BAD2D2</v>
      </c>
      <c r="D35" s="14" t="s">
        <v>123</v>
      </c>
      <c r="E35" s="55">
        <v>136.0</v>
      </c>
      <c r="F35">
        <f t="shared" ref="F35:AS35" si="70">E35+256</f>
        <v>392</v>
      </c>
      <c r="G35">
        <f t="shared" si="70"/>
        <v>648</v>
      </c>
      <c r="H35">
        <f t="shared" si="70"/>
        <v>904</v>
      </c>
      <c r="I35">
        <f t="shared" si="70"/>
        <v>1160</v>
      </c>
      <c r="J35">
        <f t="shared" si="70"/>
        <v>1416</v>
      </c>
      <c r="K35">
        <f t="shared" si="70"/>
        <v>1672</v>
      </c>
      <c r="L35">
        <f t="shared" si="70"/>
        <v>1928</v>
      </c>
      <c r="M35">
        <f t="shared" si="70"/>
        <v>2184</v>
      </c>
      <c r="N35">
        <f t="shared" si="70"/>
        <v>2440</v>
      </c>
      <c r="O35">
        <f t="shared" si="70"/>
        <v>2696</v>
      </c>
      <c r="P35">
        <f t="shared" si="70"/>
        <v>2952</v>
      </c>
      <c r="Q35">
        <f t="shared" si="70"/>
        <v>3208</v>
      </c>
      <c r="R35">
        <f t="shared" si="70"/>
        <v>3464</v>
      </c>
      <c r="S35">
        <f t="shared" si="70"/>
        <v>3720</v>
      </c>
      <c r="T35">
        <f t="shared" si="70"/>
        <v>3976</v>
      </c>
      <c r="U35">
        <f t="shared" si="70"/>
        <v>4232</v>
      </c>
      <c r="V35">
        <f t="shared" si="70"/>
        <v>4488</v>
      </c>
      <c r="W35">
        <f t="shared" si="70"/>
        <v>4744</v>
      </c>
      <c r="X35">
        <f t="shared" si="70"/>
        <v>5000</v>
      </c>
      <c r="Y35">
        <f t="shared" si="70"/>
        <v>5256</v>
      </c>
      <c r="Z35">
        <f t="shared" si="70"/>
        <v>5512</v>
      </c>
      <c r="AA35">
        <f t="shared" si="70"/>
        <v>5768</v>
      </c>
      <c r="AB35">
        <f t="shared" si="70"/>
        <v>6024</v>
      </c>
      <c r="AC35">
        <f t="shared" si="70"/>
        <v>6280</v>
      </c>
      <c r="AD35">
        <f t="shared" si="70"/>
        <v>6536</v>
      </c>
      <c r="AE35">
        <f t="shared" si="70"/>
        <v>6792</v>
      </c>
      <c r="AF35">
        <f t="shared" si="70"/>
        <v>7048</v>
      </c>
      <c r="AG35">
        <f t="shared" si="70"/>
        <v>7304</v>
      </c>
      <c r="AH35">
        <f t="shared" si="70"/>
        <v>7560</v>
      </c>
      <c r="AI35">
        <f t="shared" si="70"/>
        <v>7816</v>
      </c>
      <c r="AJ35">
        <f t="shared" si="70"/>
        <v>8072</v>
      </c>
      <c r="AK35">
        <f t="shared" si="70"/>
        <v>8328</v>
      </c>
      <c r="AL35">
        <f t="shared" si="70"/>
        <v>8584</v>
      </c>
      <c r="AM35">
        <f t="shared" si="70"/>
        <v>8840</v>
      </c>
      <c r="AN35">
        <f t="shared" si="70"/>
        <v>9096</v>
      </c>
      <c r="AO35">
        <f t="shared" si="70"/>
        <v>9352</v>
      </c>
      <c r="AP35">
        <f t="shared" si="70"/>
        <v>9608</v>
      </c>
      <c r="AQ35">
        <f t="shared" si="70"/>
        <v>9864</v>
      </c>
      <c r="AR35">
        <f t="shared" si="70"/>
        <v>10120</v>
      </c>
      <c r="AS35">
        <f t="shared" si="70"/>
        <v>10376</v>
      </c>
    </row>
    <row r="36">
      <c r="A36" s="14" t="str">
        <f t="shared" si="10"/>
        <v>BAD2C0</v>
      </c>
      <c r="B36" s="53" t="str">
        <f t="shared" ref="B36:C36" si="71">DEC2HEX(HEX2DEC(A36)+1)</f>
        <v>BAD2C1</v>
      </c>
      <c r="C36" s="53" t="str">
        <f t="shared" si="71"/>
        <v>BAD2C2</v>
      </c>
      <c r="D36" s="14" t="s">
        <v>123</v>
      </c>
      <c r="E36" s="55">
        <v>140.0</v>
      </c>
      <c r="F36">
        <f t="shared" ref="F36:AS36" si="72">E36+256</f>
        <v>396</v>
      </c>
      <c r="G36">
        <f t="shared" si="72"/>
        <v>652</v>
      </c>
      <c r="H36">
        <f t="shared" si="72"/>
        <v>908</v>
      </c>
      <c r="I36">
        <f t="shared" si="72"/>
        <v>1164</v>
      </c>
      <c r="J36">
        <f t="shared" si="72"/>
        <v>1420</v>
      </c>
      <c r="K36">
        <f t="shared" si="72"/>
        <v>1676</v>
      </c>
      <c r="L36">
        <f t="shared" si="72"/>
        <v>1932</v>
      </c>
      <c r="M36">
        <f t="shared" si="72"/>
        <v>2188</v>
      </c>
      <c r="N36">
        <f t="shared" si="72"/>
        <v>2444</v>
      </c>
      <c r="O36">
        <f t="shared" si="72"/>
        <v>2700</v>
      </c>
      <c r="P36">
        <f t="shared" si="72"/>
        <v>2956</v>
      </c>
      <c r="Q36">
        <f t="shared" si="72"/>
        <v>3212</v>
      </c>
      <c r="R36">
        <f t="shared" si="72"/>
        <v>3468</v>
      </c>
      <c r="S36">
        <f t="shared" si="72"/>
        <v>3724</v>
      </c>
      <c r="T36">
        <f t="shared" si="72"/>
        <v>3980</v>
      </c>
      <c r="U36">
        <f t="shared" si="72"/>
        <v>4236</v>
      </c>
      <c r="V36">
        <f t="shared" si="72"/>
        <v>4492</v>
      </c>
      <c r="W36">
        <f t="shared" si="72"/>
        <v>4748</v>
      </c>
      <c r="X36">
        <f t="shared" si="72"/>
        <v>5004</v>
      </c>
      <c r="Y36">
        <f t="shared" si="72"/>
        <v>5260</v>
      </c>
      <c r="Z36">
        <f t="shared" si="72"/>
        <v>5516</v>
      </c>
      <c r="AA36">
        <f t="shared" si="72"/>
        <v>5772</v>
      </c>
      <c r="AB36">
        <f t="shared" si="72"/>
        <v>6028</v>
      </c>
      <c r="AC36">
        <f t="shared" si="72"/>
        <v>6284</v>
      </c>
      <c r="AD36">
        <f t="shared" si="72"/>
        <v>6540</v>
      </c>
      <c r="AE36">
        <f t="shared" si="72"/>
        <v>6796</v>
      </c>
      <c r="AF36">
        <f t="shared" si="72"/>
        <v>7052</v>
      </c>
      <c r="AG36">
        <f t="shared" si="72"/>
        <v>7308</v>
      </c>
      <c r="AH36">
        <f t="shared" si="72"/>
        <v>7564</v>
      </c>
      <c r="AI36">
        <f t="shared" si="72"/>
        <v>7820</v>
      </c>
      <c r="AJ36">
        <f t="shared" si="72"/>
        <v>8076</v>
      </c>
      <c r="AK36">
        <f t="shared" si="72"/>
        <v>8332</v>
      </c>
      <c r="AL36">
        <f t="shared" si="72"/>
        <v>8588</v>
      </c>
      <c r="AM36">
        <f t="shared" si="72"/>
        <v>8844</v>
      </c>
      <c r="AN36">
        <f t="shared" si="72"/>
        <v>9100</v>
      </c>
      <c r="AO36">
        <f t="shared" si="72"/>
        <v>9356</v>
      </c>
      <c r="AP36">
        <f t="shared" si="72"/>
        <v>9612</v>
      </c>
      <c r="AQ36">
        <f t="shared" si="72"/>
        <v>9868</v>
      </c>
      <c r="AR36">
        <f t="shared" si="72"/>
        <v>10124</v>
      </c>
      <c r="AS36">
        <f t="shared" si="72"/>
        <v>10380</v>
      </c>
    </row>
    <row r="37">
      <c r="A37" s="14" t="str">
        <f t="shared" si="10"/>
        <v>BAD2B0</v>
      </c>
      <c r="B37" s="53" t="str">
        <f t="shared" ref="B37:C37" si="73">DEC2HEX(HEX2DEC(A37)+1)</f>
        <v>BAD2B1</v>
      </c>
      <c r="C37" s="53" t="str">
        <f t="shared" si="73"/>
        <v>BAD2B2</v>
      </c>
      <c r="D37" s="14" t="s">
        <v>123</v>
      </c>
      <c r="E37" s="55">
        <v>144.0</v>
      </c>
      <c r="F37">
        <f t="shared" ref="F37:AS37" si="74">E37+256</f>
        <v>400</v>
      </c>
      <c r="G37">
        <f t="shared" si="74"/>
        <v>656</v>
      </c>
      <c r="H37">
        <f t="shared" si="74"/>
        <v>912</v>
      </c>
      <c r="I37">
        <f t="shared" si="74"/>
        <v>1168</v>
      </c>
      <c r="J37">
        <f t="shared" si="74"/>
        <v>1424</v>
      </c>
      <c r="K37">
        <f t="shared" si="74"/>
        <v>1680</v>
      </c>
      <c r="L37">
        <f t="shared" si="74"/>
        <v>1936</v>
      </c>
      <c r="M37">
        <f t="shared" si="74"/>
        <v>2192</v>
      </c>
      <c r="N37">
        <f t="shared" si="74"/>
        <v>2448</v>
      </c>
      <c r="O37">
        <f t="shared" si="74"/>
        <v>2704</v>
      </c>
      <c r="P37">
        <f t="shared" si="74"/>
        <v>2960</v>
      </c>
      <c r="Q37">
        <f t="shared" si="74"/>
        <v>3216</v>
      </c>
      <c r="R37">
        <f t="shared" si="74"/>
        <v>3472</v>
      </c>
      <c r="S37">
        <f t="shared" si="74"/>
        <v>3728</v>
      </c>
      <c r="T37">
        <f t="shared" si="74"/>
        <v>3984</v>
      </c>
      <c r="U37">
        <f t="shared" si="74"/>
        <v>4240</v>
      </c>
      <c r="V37">
        <f t="shared" si="74"/>
        <v>4496</v>
      </c>
      <c r="W37">
        <f t="shared" si="74"/>
        <v>4752</v>
      </c>
      <c r="X37">
        <f t="shared" si="74"/>
        <v>5008</v>
      </c>
      <c r="Y37">
        <f t="shared" si="74"/>
        <v>5264</v>
      </c>
      <c r="Z37">
        <f t="shared" si="74"/>
        <v>5520</v>
      </c>
      <c r="AA37">
        <f t="shared" si="74"/>
        <v>5776</v>
      </c>
      <c r="AB37">
        <f t="shared" si="74"/>
        <v>6032</v>
      </c>
      <c r="AC37">
        <f t="shared" si="74"/>
        <v>6288</v>
      </c>
      <c r="AD37">
        <f t="shared" si="74"/>
        <v>6544</v>
      </c>
      <c r="AE37">
        <f t="shared" si="74"/>
        <v>6800</v>
      </c>
      <c r="AF37">
        <f t="shared" si="74"/>
        <v>7056</v>
      </c>
      <c r="AG37">
        <f t="shared" si="74"/>
        <v>7312</v>
      </c>
      <c r="AH37">
        <f t="shared" si="74"/>
        <v>7568</v>
      </c>
      <c r="AI37">
        <f t="shared" si="74"/>
        <v>7824</v>
      </c>
      <c r="AJ37">
        <f t="shared" si="74"/>
        <v>8080</v>
      </c>
      <c r="AK37">
        <f t="shared" si="74"/>
        <v>8336</v>
      </c>
      <c r="AL37">
        <f t="shared" si="74"/>
        <v>8592</v>
      </c>
      <c r="AM37">
        <f t="shared" si="74"/>
        <v>8848</v>
      </c>
      <c r="AN37">
        <f t="shared" si="74"/>
        <v>9104</v>
      </c>
      <c r="AO37">
        <f t="shared" si="74"/>
        <v>9360</v>
      </c>
      <c r="AP37">
        <f t="shared" si="74"/>
        <v>9616</v>
      </c>
      <c r="AQ37">
        <f t="shared" si="74"/>
        <v>9872</v>
      </c>
      <c r="AR37">
        <f t="shared" si="74"/>
        <v>10128</v>
      </c>
      <c r="AS37">
        <f t="shared" si="74"/>
        <v>10384</v>
      </c>
    </row>
    <row r="38">
      <c r="A38" s="14" t="str">
        <f t="shared" si="10"/>
        <v>BAD2A0</v>
      </c>
      <c r="B38" s="53" t="str">
        <f t="shared" ref="B38:C38" si="75">DEC2HEX(HEX2DEC(A38)+1)</f>
        <v>BAD2A1</v>
      </c>
      <c r="C38" s="53" t="str">
        <f t="shared" si="75"/>
        <v>BAD2A2</v>
      </c>
      <c r="D38" s="14" t="s">
        <v>123</v>
      </c>
      <c r="E38" s="55">
        <v>148.0</v>
      </c>
      <c r="F38">
        <f t="shared" ref="F38:AS38" si="76">E38+256</f>
        <v>404</v>
      </c>
      <c r="G38">
        <f t="shared" si="76"/>
        <v>660</v>
      </c>
      <c r="H38">
        <f t="shared" si="76"/>
        <v>916</v>
      </c>
      <c r="I38">
        <f t="shared" si="76"/>
        <v>1172</v>
      </c>
      <c r="J38">
        <f t="shared" si="76"/>
        <v>1428</v>
      </c>
      <c r="K38">
        <f t="shared" si="76"/>
        <v>1684</v>
      </c>
      <c r="L38">
        <f t="shared" si="76"/>
        <v>1940</v>
      </c>
      <c r="M38">
        <f t="shared" si="76"/>
        <v>2196</v>
      </c>
      <c r="N38">
        <f t="shared" si="76"/>
        <v>2452</v>
      </c>
      <c r="O38">
        <f t="shared" si="76"/>
        <v>2708</v>
      </c>
      <c r="P38">
        <f t="shared" si="76"/>
        <v>2964</v>
      </c>
      <c r="Q38">
        <f t="shared" si="76"/>
        <v>3220</v>
      </c>
      <c r="R38">
        <f t="shared" si="76"/>
        <v>3476</v>
      </c>
      <c r="S38">
        <f t="shared" si="76"/>
        <v>3732</v>
      </c>
      <c r="T38">
        <f t="shared" si="76"/>
        <v>3988</v>
      </c>
      <c r="U38">
        <f t="shared" si="76"/>
        <v>4244</v>
      </c>
      <c r="V38">
        <f t="shared" si="76"/>
        <v>4500</v>
      </c>
      <c r="W38">
        <f t="shared" si="76"/>
        <v>4756</v>
      </c>
      <c r="X38">
        <f t="shared" si="76"/>
        <v>5012</v>
      </c>
      <c r="Y38">
        <f t="shared" si="76"/>
        <v>5268</v>
      </c>
      <c r="Z38">
        <f t="shared" si="76"/>
        <v>5524</v>
      </c>
      <c r="AA38">
        <f t="shared" si="76"/>
        <v>5780</v>
      </c>
      <c r="AB38">
        <f t="shared" si="76"/>
        <v>6036</v>
      </c>
      <c r="AC38">
        <f t="shared" si="76"/>
        <v>6292</v>
      </c>
      <c r="AD38">
        <f t="shared" si="76"/>
        <v>6548</v>
      </c>
      <c r="AE38">
        <f t="shared" si="76"/>
        <v>6804</v>
      </c>
      <c r="AF38">
        <f t="shared" si="76"/>
        <v>7060</v>
      </c>
      <c r="AG38">
        <f t="shared" si="76"/>
        <v>7316</v>
      </c>
      <c r="AH38">
        <f t="shared" si="76"/>
        <v>7572</v>
      </c>
      <c r="AI38">
        <f t="shared" si="76"/>
        <v>7828</v>
      </c>
      <c r="AJ38">
        <f t="shared" si="76"/>
        <v>8084</v>
      </c>
      <c r="AK38">
        <f t="shared" si="76"/>
        <v>8340</v>
      </c>
      <c r="AL38">
        <f t="shared" si="76"/>
        <v>8596</v>
      </c>
      <c r="AM38">
        <f t="shared" si="76"/>
        <v>8852</v>
      </c>
      <c r="AN38">
        <f t="shared" si="76"/>
        <v>9108</v>
      </c>
      <c r="AO38">
        <f t="shared" si="76"/>
        <v>9364</v>
      </c>
      <c r="AP38">
        <f t="shared" si="76"/>
        <v>9620</v>
      </c>
      <c r="AQ38">
        <f t="shared" si="76"/>
        <v>9876</v>
      </c>
      <c r="AR38">
        <f t="shared" si="76"/>
        <v>10132</v>
      </c>
      <c r="AS38">
        <f t="shared" si="76"/>
        <v>10388</v>
      </c>
    </row>
    <row r="39">
      <c r="A39" s="14" t="str">
        <f t="shared" si="10"/>
        <v>BAD290</v>
      </c>
      <c r="B39" s="53" t="str">
        <f t="shared" ref="B39:C39" si="77">DEC2HEX(HEX2DEC(A39)+1)</f>
        <v>BAD291</v>
      </c>
      <c r="C39" s="53" t="str">
        <f t="shared" si="77"/>
        <v>BAD292</v>
      </c>
      <c r="D39" s="14" t="s">
        <v>123</v>
      </c>
      <c r="E39" s="55">
        <v>152.0</v>
      </c>
      <c r="F39">
        <f t="shared" ref="F39:AS39" si="78">E39+256</f>
        <v>408</v>
      </c>
      <c r="G39">
        <f t="shared" si="78"/>
        <v>664</v>
      </c>
      <c r="H39">
        <f t="shared" si="78"/>
        <v>920</v>
      </c>
      <c r="I39">
        <f t="shared" si="78"/>
        <v>1176</v>
      </c>
      <c r="J39">
        <f t="shared" si="78"/>
        <v>1432</v>
      </c>
      <c r="K39">
        <f t="shared" si="78"/>
        <v>1688</v>
      </c>
      <c r="L39">
        <f t="shared" si="78"/>
        <v>1944</v>
      </c>
      <c r="M39">
        <f t="shared" si="78"/>
        <v>2200</v>
      </c>
      <c r="N39">
        <f t="shared" si="78"/>
        <v>2456</v>
      </c>
      <c r="O39">
        <f t="shared" si="78"/>
        <v>2712</v>
      </c>
      <c r="P39">
        <f t="shared" si="78"/>
        <v>2968</v>
      </c>
      <c r="Q39">
        <f t="shared" si="78"/>
        <v>3224</v>
      </c>
      <c r="R39">
        <f t="shared" si="78"/>
        <v>3480</v>
      </c>
      <c r="S39">
        <f t="shared" si="78"/>
        <v>3736</v>
      </c>
      <c r="T39">
        <f t="shared" si="78"/>
        <v>3992</v>
      </c>
      <c r="U39">
        <f t="shared" si="78"/>
        <v>4248</v>
      </c>
      <c r="V39">
        <f t="shared" si="78"/>
        <v>4504</v>
      </c>
      <c r="W39">
        <f t="shared" si="78"/>
        <v>4760</v>
      </c>
      <c r="X39">
        <f t="shared" si="78"/>
        <v>5016</v>
      </c>
      <c r="Y39">
        <f t="shared" si="78"/>
        <v>5272</v>
      </c>
      <c r="Z39">
        <f t="shared" si="78"/>
        <v>5528</v>
      </c>
      <c r="AA39">
        <f t="shared" si="78"/>
        <v>5784</v>
      </c>
      <c r="AB39">
        <f t="shared" si="78"/>
        <v>6040</v>
      </c>
      <c r="AC39">
        <f t="shared" si="78"/>
        <v>6296</v>
      </c>
      <c r="AD39">
        <f t="shared" si="78"/>
        <v>6552</v>
      </c>
      <c r="AE39">
        <f t="shared" si="78"/>
        <v>6808</v>
      </c>
      <c r="AF39">
        <f t="shared" si="78"/>
        <v>7064</v>
      </c>
      <c r="AG39">
        <f t="shared" si="78"/>
        <v>7320</v>
      </c>
      <c r="AH39">
        <f t="shared" si="78"/>
        <v>7576</v>
      </c>
      <c r="AI39">
        <f t="shared" si="78"/>
        <v>7832</v>
      </c>
      <c r="AJ39">
        <f t="shared" si="78"/>
        <v>8088</v>
      </c>
      <c r="AK39">
        <f t="shared" si="78"/>
        <v>8344</v>
      </c>
      <c r="AL39">
        <f t="shared" si="78"/>
        <v>8600</v>
      </c>
      <c r="AM39">
        <f t="shared" si="78"/>
        <v>8856</v>
      </c>
      <c r="AN39">
        <f t="shared" si="78"/>
        <v>9112</v>
      </c>
      <c r="AO39">
        <f t="shared" si="78"/>
        <v>9368</v>
      </c>
      <c r="AP39">
        <f t="shared" si="78"/>
        <v>9624</v>
      </c>
      <c r="AQ39">
        <f t="shared" si="78"/>
        <v>9880</v>
      </c>
      <c r="AR39">
        <f t="shared" si="78"/>
        <v>10136</v>
      </c>
      <c r="AS39">
        <f t="shared" si="78"/>
        <v>10392</v>
      </c>
    </row>
    <row r="40">
      <c r="A40" s="14" t="str">
        <f t="shared" si="10"/>
        <v>BAD280</v>
      </c>
      <c r="B40" s="53" t="str">
        <f t="shared" ref="B40:C40" si="79">DEC2HEX(HEX2DEC(A40)+1)</f>
        <v>BAD281</v>
      </c>
      <c r="C40" s="53" t="str">
        <f t="shared" si="79"/>
        <v>BAD282</v>
      </c>
      <c r="D40" s="14" t="s">
        <v>123</v>
      </c>
      <c r="E40" s="14">
        <v>156.0</v>
      </c>
      <c r="F40">
        <f t="shared" ref="F40:AS40" si="80">E40+256</f>
        <v>412</v>
      </c>
      <c r="G40">
        <f t="shared" si="80"/>
        <v>668</v>
      </c>
      <c r="H40">
        <f t="shared" si="80"/>
        <v>924</v>
      </c>
      <c r="I40">
        <f t="shared" si="80"/>
        <v>1180</v>
      </c>
      <c r="J40">
        <f t="shared" si="80"/>
        <v>1436</v>
      </c>
      <c r="K40">
        <f t="shared" si="80"/>
        <v>1692</v>
      </c>
      <c r="L40">
        <f t="shared" si="80"/>
        <v>1948</v>
      </c>
      <c r="M40">
        <f t="shared" si="80"/>
        <v>2204</v>
      </c>
      <c r="N40">
        <f t="shared" si="80"/>
        <v>2460</v>
      </c>
      <c r="O40">
        <f t="shared" si="80"/>
        <v>2716</v>
      </c>
      <c r="P40">
        <f t="shared" si="80"/>
        <v>2972</v>
      </c>
      <c r="Q40">
        <f t="shared" si="80"/>
        <v>3228</v>
      </c>
      <c r="R40">
        <f t="shared" si="80"/>
        <v>3484</v>
      </c>
      <c r="S40">
        <f t="shared" si="80"/>
        <v>3740</v>
      </c>
      <c r="T40">
        <f t="shared" si="80"/>
        <v>3996</v>
      </c>
      <c r="U40">
        <f t="shared" si="80"/>
        <v>4252</v>
      </c>
      <c r="V40">
        <f t="shared" si="80"/>
        <v>4508</v>
      </c>
      <c r="W40">
        <f t="shared" si="80"/>
        <v>4764</v>
      </c>
      <c r="X40">
        <f t="shared" si="80"/>
        <v>5020</v>
      </c>
      <c r="Y40">
        <f t="shared" si="80"/>
        <v>5276</v>
      </c>
      <c r="Z40">
        <f t="shared" si="80"/>
        <v>5532</v>
      </c>
      <c r="AA40">
        <f t="shared" si="80"/>
        <v>5788</v>
      </c>
      <c r="AB40">
        <f t="shared" si="80"/>
        <v>6044</v>
      </c>
      <c r="AC40">
        <f t="shared" si="80"/>
        <v>6300</v>
      </c>
      <c r="AD40">
        <f t="shared" si="80"/>
        <v>6556</v>
      </c>
      <c r="AE40">
        <f t="shared" si="80"/>
        <v>6812</v>
      </c>
      <c r="AF40">
        <f t="shared" si="80"/>
        <v>7068</v>
      </c>
      <c r="AG40">
        <f t="shared" si="80"/>
        <v>7324</v>
      </c>
      <c r="AH40">
        <f t="shared" si="80"/>
        <v>7580</v>
      </c>
      <c r="AI40">
        <f t="shared" si="80"/>
        <v>7836</v>
      </c>
      <c r="AJ40">
        <f t="shared" si="80"/>
        <v>8092</v>
      </c>
      <c r="AK40">
        <f t="shared" si="80"/>
        <v>8348</v>
      </c>
      <c r="AL40">
        <f t="shared" si="80"/>
        <v>8604</v>
      </c>
      <c r="AM40">
        <f t="shared" si="80"/>
        <v>8860</v>
      </c>
      <c r="AN40">
        <f t="shared" si="80"/>
        <v>9116</v>
      </c>
      <c r="AO40">
        <f t="shared" si="80"/>
        <v>9372</v>
      </c>
      <c r="AP40">
        <f t="shared" si="80"/>
        <v>9628</v>
      </c>
      <c r="AQ40">
        <f t="shared" si="80"/>
        <v>9884</v>
      </c>
      <c r="AR40">
        <f t="shared" si="80"/>
        <v>10140</v>
      </c>
      <c r="AS40">
        <f t="shared" si="80"/>
        <v>10396</v>
      </c>
    </row>
    <row r="41">
      <c r="A41" s="14" t="str">
        <f t="shared" si="10"/>
        <v>BAD270</v>
      </c>
      <c r="B41" s="53" t="str">
        <f t="shared" ref="B41:C41" si="81">DEC2HEX(HEX2DEC(A41)+1)</f>
        <v>BAD271</v>
      </c>
      <c r="C41" s="53" t="str">
        <f t="shared" si="81"/>
        <v>BAD272</v>
      </c>
      <c r="D41" s="14" t="s">
        <v>123</v>
      </c>
      <c r="E41" s="14">
        <v>160.0</v>
      </c>
      <c r="F41">
        <f t="shared" ref="F41:AS41" si="82">E41+256</f>
        <v>416</v>
      </c>
      <c r="G41">
        <f t="shared" si="82"/>
        <v>672</v>
      </c>
      <c r="H41">
        <f t="shared" si="82"/>
        <v>928</v>
      </c>
      <c r="I41">
        <f t="shared" si="82"/>
        <v>1184</v>
      </c>
      <c r="J41">
        <f t="shared" si="82"/>
        <v>1440</v>
      </c>
      <c r="K41">
        <f t="shared" si="82"/>
        <v>1696</v>
      </c>
      <c r="L41">
        <f t="shared" si="82"/>
        <v>1952</v>
      </c>
      <c r="M41">
        <f t="shared" si="82"/>
        <v>2208</v>
      </c>
      <c r="N41">
        <f t="shared" si="82"/>
        <v>2464</v>
      </c>
      <c r="O41">
        <f t="shared" si="82"/>
        <v>2720</v>
      </c>
      <c r="P41">
        <f t="shared" si="82"/>
        <v>2976</v>
      </c>
      <c r="Q41">
        <f t="shared" si="82"/>
        <v>3232</v>
      </c>
      <c r="R41">
        <f t="shared" si="82"/>
        <v>3488</v>
      </c>
      <c r="S41">
        <f t="shared" si="82"/>
        <v>3744</v>
      </c>
      <c r="T41">
        <f t="shared" si="82"/>
        <v>4000</v>
      </c>
      <c r="U41">
        <f t="shared" si="82"/>
        <v>4256</v>
      </c>
      <c r="V41">
        <f t="shared" si="82"/>
        <v>4512</v>
      </c>
      <c r="W41">
        <f t="shared" si="82"/>
        <v>4768</v>
      </c>
      <c r="X41">
        <f t="shared" si="82"/>
        <v>5024</v>
      </c>
      <c r="Y41">
        <f t="shared" si="82"/>
        <v>5280</v>
      </c>
      <c r="Z41">
        <f t="shared" si="82"/>
        <v>5536</v>
      </c>
      <c r="AA41">
        <f t="shared" si="82"/>
        <v>5792</v>
      </c>
      <c r="AB41">
        <f t="shared" si="82"/>
        <v>6048</v>
      </c>
      <c r="AC41">
        <f t="shared" si="82"/>
        <v>6304</v>
      </c>
      <c r="AD41">
        <f t="shared" si="82"/>
        <v>6560</v>
      </c>
      <c r="AE41">
        <f t="shared" si="82"/>
        <v>6816</v>
      </c>
      <c r="AF41">
        <f t="shared" si="82"/>
        <v>7072</v>
      </c>
      <c r="AG41">
        <f t="shared" si="82"/>
        <v>7328</v>
      </c>
      <c r="AH41">
        <f t="shared" si="82"/>
        <v>7584</v>
      </c>
      <c r="AI41">
        <f t="shared" si="82"/>
        <v>7840</v>
      </c>
      <c r="AJ41">
        <f t="shared" si="82"/>
        <v>8096</v>
      </c>
      <c r="AK41">
        <f t="shared" si="82"/>
        <v>8352</v>
      </c>
      <c r="AL41">
        <f t="shared" si="82"/>
        <v>8608</v>
      </c>
      <c r="AM41">
        <f t="shared" si="82"/>
        <v>8864</v>
      </c>
      <c r="AN41">
        <f t="shared" si="82"/>
        <v>9120</v>
      </c>
      <c r="AO41">
        <f t="shared" si="82"/>
        <v>9376</v>
      </c>
      <c r="AP41">
        <f t="shared" si="82"/>
        <v>9632</v>
      </c>
      <c r="AQ41">
        <f t="shared" si="82"/>
        <v>9888</v>
      </c>
      <c r="AR41">
        <f t="shared" si="82"/>
        <v>10144</v>
      </c>
      <c r="AS41">
        <f t="shared" si="82"/>
        <v>10400</v>
      </c>
    </row>
    <row r="42">
      <c r="A42" s="14" t="str">
        <f t="shared" si="10"/>
        <v>BAD260</v>
      </c>
      <c r="B42" s="53" t="str">
        <f t="shared" ref="B42:C42" si="83">DEC2HEX(HEX2DEC(A42)+1)</f>
        <v>BAD261</v>
      </c>
      <c r="C42" s="53" t="str">
        <f t="shared" si="83"/>
        <v>BAD262</v>
      </c>
      <c r="D42" s="14" t="s">
        <v>123</v>
      </c>
      <c r="E42" s="14">
        <v>164.0</v>
      </c>
      <c r="F42">
        <f t="shared" ref="F42:AS42" si="84">E42+256</f>
        <v>420</v>
      </c>
      <c r="G42">
        <f t="shared" si="84"/>
        <v>676</v>
      </c>
      <c r="H42">
        <f t="shared" si="84"/>
        <v>932</v>
      </c>
      <c r="I42">
        <f t="shared" si="84"/>
        <v>1188</v>
      </c>
      <c r="J42">
        <f t="shared" si="84"/>
        <v>1444</v>
      </c>
      <c r="K42">
        <f t="shared" si="84"/>
        <v>1700</v>
      </c>
      <c r="L42">
        <f t="shared" si="84"/>
        <v>1956</v>
      </c>
      <c r="M42">
        <f t="shared" si="84"/>
        <v>2212</v>
      </c>
      <c r="N42">
        <f t="shared" si="84"/>
        <v>2468</v>
      </c>
      <c r="O42">
        <f t="shared" si="84"/>
        <v>2724</v>
      </c>
      <c r="P42">
        <f t="shared" si="84"/>
        <v>2980</v>
      </c>
      <c r="Q42">
        <f t="shared" si="84"/>
        <v>3236</v>
      </c>
      <c r="R42">
        <f t="shared" si="84"/>
        <v>3492</v>
      </c>
      <c r="S42">
        <f t="shared" si="84"/>
        <v>3748</v>
      </c>
      <c r="T42">
        <f t="shared" si="84"/>
        <v>4004</v>
      </c>
      <c r="U42">
        <f t="shared" si="84"/>
        <v>4260</v>
      </c>
      <c r="V42">
        <f t="shared" si="84"/>
        <v>4516</v>
      </c>
      <c r="W42">
        <f t="shared" si="84"/>
        <v>4772</v>
      </c>
      <c r="X42">
        <f t="shared" si="84"/>
        <v>5028</v>
      </c>
      <c r="Y42">
        <f t="shared" si="84"/>
        <v>5284</v>
      </c>
      <c r="Z42">
        <f t="shared" si="84"/>
        <v>5540</v>
      </c>
      <c r="AA42">
        <f t="shared" si="84"/>
        <v>5796</v>
      </c>
      <c r="AB42">
        <f t="shared" si="84"/>
        <v>6052</v>
      </c>
      <c r="AC42">
        <f t="shared" si="84"/>
        <v>6308</v>
      </c>
      <c r="AD42">
        <f t="shared" si="84"/>
        <v>6564</v>
      </c>
      <c r="AE42">
        <f t="shared" si="84"/>
        <v>6820</v>
      </c>
      <c r="AF42">
        <f t="shared" si="84"/>
        <v>7076</v>
      </c>
      <c r="AG42">
        <f t="shared" si="84"/>
        <v>7332</v>
      </c>
      <c r="AH42">
        <f t="shared" si="84"/>
        <v>7588</v>
      </c>
      <c r="AI42">
        <f t="shared" si="84"/>
        <v>7844</v>
      </c>
      <c r="AJ42">
        <f t="shared" si="84"/>
        <v>8100</v>
      </c>
      <c r="AK42">
        <f t="shared" si="84"/>
        <v>8356</v>
      </c>
      <c r="AL42">
        <f t="shared" si="84"/>
        <v>8612</v>
      </c>
      <c r="AM42">
        <f t="shared" si="84"/>
        <v>8868</v>
      </c>
      <c r="AN42">
        <f t="shared" si="84"/>
        <v>9124</v>
      </c>
      <c r="AO42">
        <f t="shared" si="84"/>
        <v>9380</v>
      </c>
      <c r="AP42">
        <f t="shared" si="84"/>
        <v>9636</v>
      </c>
      <c r="AQ42">
        <f t="shared" si="84"/>
        <v>9892</v>
      </c>
      <c r="AR42">
        <f t="shared" si="84"/>
        <v>10148</v>
      </c>
      <c r="AS42">
        <f t="shared" si="84"/>
        <v>10404</v>
      </c>
    </row>
    <row r="43">
      <c r="A43" s="14" t="str">
        <f t="shared" si="10"/>
        <v>BAD250</v>
      </c>
      <c r="B43" s="53" t="str">
        <f t="shared" ref="B43:C43" si="85">DEC2HEX(HEX2DEC(A43)+1)</f>
        <v>BAD251</v>
      </c>
      <c r="C43" s="53" t="str">
        <f t="shared" si="85"/>
        <v>BAD252</v>
      </c>
      <c r="D43" s="14" t="s">
        <v>1022</v>
      </c>
      <c r="E43" s="14">
        <v>168.0</v>
      </c>
      <c r="F43">
        <f t="shared" ref="F43:AS43" si="86">E43+256</f>
        <v>424</v>
      </c>
      <c r="G43">
        <f t="shared" si="86"/>
        <v>680</v>
      </c>
      <c r="H43">
        <f t="shared" si="86"/>
        <v>936</v>
      </c>
      <c r="I43">
        <f t="shared" si="86"/>
        <v>1192</v>
      </c>
      <c r="J43">
        <f t="shared" si="86"/>
        <v>1448</v>
      </c>
      <c r="K43">
        <f t="shared" si="86"/>
        <v>1704</v>
      </c>
      <c r="L43">
        <f t="shared" si="86"/>
        <v>1960</v>
      </c>
      <c r="M43">
        <f t="shared" si="86"/>
        <v>2216</v>
      </c>
      <c r="N43">
        <f t="shared" si="86"/>
        <v>2472</v>
      </c>
      <c r="O43">
        <f t="shared" si="86"/>
        <v>2728</v>
      </c>
      <c r="P43">
        <f t="shared" si="86"/>
        <v>2984</v>
      </c>
      <c r="Q43">
        <f t="shared" si="86"/>
        <v>3240</v>
      </c>
      <c r="R43">
        <f t="shared" si="86"/>
        <v>3496</v>
      </c>
      <c r="S43">
        <f t="shared" si="86"/>
        <v>3752</v>
      </c>
      <c r="T43">
        <f t="shared" si="86"/>
        <v>4008</v>
      </c>
      <c r="U43">
        <f t="shared" si="86"/>
        <v>4264</v>
      </c>
      <c r="V43">
        <f t="shared" si="86"/>
        <v>4520</v>
      </c>
      <c r="W43">
        <f t="shared" si="86"/>
        <v>4776</v>
      </c>
      <c r="X43">
        <f t="shared" si="86"/>
        <v>5032</v>
      </c>
      <c r="Y43">
        <f t="shared" si="86"/>
        <v>5288</v>
      </c>
      <c r="Z43">
        <f t="shared" si="86"/>
        <v>5544</v>
      </c>
      <c r="AA43">
        <f t="shared" si="86"/>
        <v>5800</v>
      </c>
      <c r="AB43">
        <f t="shared" si="86"/>
        <v>6056</v>
      </c>
      <c r="AC43">
        <f t="shared" si="86"/>
        <v>6312</v>
      </c>
      <c r="AD43">
        <f t="shared" si="86"/>
        <v>6568</v>
      </c>
      <c r="AE43">
        <f t="shared" si="86"/>
        <v>6824</v>
      </c>
      <c r="AF43">
        <f t="shared" si="86"/>
        <v>7080</v>
      </c>
      <c r="AG43">
        <f t="shared" si="86"/>
        <v>7336</v>
      </c>
      <c r="AH43">
        <f t="shared" si="86"/>
        <v>7592</v>
      </c>
      <c r="AI43">
        <f t="shared" si="86"/>
        <v>7848</v>
      </c>
      <c r="AJ43">
        <f t="shared" si="86"/>
        <v>8104</v>
      </c>
      <c r="AK43">
        <f t="shared" si="86"/>
        <v>8360</v>
      </c>
      <c r="AL43">
        <f t="shared" si="86"/>
        <v>8616</v>
      </c>
      <c r="AM43">
        <f t="shared" si="86"/>
        <v>8872</v>
      </c>
      <c r="AN43">
        <f t="shared" si="86"/>
        <v>9128</v>
      </c>
      <c r="AO43">
        <f t="shared" si="86"/>
        <v>9384</v>
      </c>
      <c r="AP43">
        <f t="shared" si="86"/>
        <v>9640</v>
      </c>
      <c r="AQ43">
        <f t="shared" si="86"/>
        <v>9896</v>
      </c>
      <c r="AR43">
        <f t="shared" si="86"/>
        <v>10152</v>
      </c>
      <c r="AS43">
        <f t="shared" si="86"/>
        <v>10408</v>
      </c>
    </row>
    <row r="44">
      <c r="A44" s="14" t="str">
        <f t="shared" si="10"/>
        <v>BAD240</v>
      </c>
      <c r="B44" s="53" t="str">
        <f t="shared" ref="B44:C44" si="87">DEC2HEX(HEX2DEC(A44)+1)</f>
        <v>BAD241</v>
      </c>
      <c r="C44" s="53" t="str">
        <f t="shared" si="87"/>
        <v>BAD242</v>
      </c>
      <c r="D44" s="14" t="s">
        <v>1023</v>
      </c>
      <c r="E44" s="14">
        <v>172.0</v>
      </c>
      <c r="F44">
        <f t="shared" ref="F44:AS44" si="88">E44+256</f>
        <v>428</v>
      </c>
      <c r="G44">
        <f t="shared" si="88"/>
        <v>684</v>
      </c>
      <c r="H44">
        <f t="shared" si="88"/>
        <v>940</v>
      </c>
      <c r="I44">
        <f t="shared" si="88"/>
        <v>1196</v>
      </c>
      <c r="J44">
        <f t="shared" si="88"/>
        <v>1452</v>
      </c>
      <c r="K44">
        <f t="shared" si="88"/>
        <v>1708</v>
      </c>
      <c r="L44">
        <f t="shared" si="88"/>
        <v>1964</v>
      </c>
      <c r="M44">
        <f t="shared" si="88"/>
        <v>2220</v>
      </c>
      <c r="N44">
        <f t="shared" si="88"/>
        <v>2476</v>
      </c>
      <c r="O44">
        <f t="shared" si="88"/>
        <v>2732</v>
      </c>
      <c r="P44">
        <f t="shared" si="88"/>
        <v>2988</v>
      </c>
      <c r="Q44">
        <f t="shared" si="88"/>
        <v>3244</v>
      </c>
      <c r="R44">
        <f t="shared" si="88"/>
        <v>3500</v>
      </c>
      <c r="S44">
        <f t="shared" si="88"/>
        <v>3756</v>
      </c>
      <c r="T44">
        <f t="shared" si="88"/>
        <v>4012</v>
      </c>
      <c r="U44">
        <f t="shared" si="88"/>
        <v>4268</v>
      </c>
      <c r="V44">
        <f t="shared" si="88"/>
        <v>4524</v>
      </c>
      <c r="W44">
        <f t="shared" si="88"/>
        <v>4780</v>
      </c>
      <c r="X44">
        <f t="shared" si="88"/>
        <v>5036</v>
      </c>
      <c r="Y44">
        <f t="shared" si="88"/>
        <v>5292</v>
      </c>
      <c r="Z44">
        <f t="shared" si="88"/>
        <v>5548</v>
      </c>
      <c r="AA44">
        <f t="shared" si="88"/>
        <v>5804</v>
      </c>
      <c r="AB44">
        <f t="shared" si="88"/>
        <v>6060</v>
      </c>
      <c r="AC44">
        <f t="shared" si="88"/>
        <v>6316</v>
      </c>
      <c r="AD44">
        <f t="shared" si="88"/>
        <v>6572</v>
      </c>
      <c r="AE44">
        <f t="shared" si="88"/>
        <v>6828</v>
      </c>
      <c r="AF44">
        <f t="shared" si="88"/>
        <v>7084</v>
      </c>
      <c r="AG44">
        <f t="shared" si="88"/>
        <v>7340</v>
      </c>
      <c r="AH44">
        <f t="shared" si="88"/>
        <v>7596</v>
      </c>
      <c r="AI44">
        <f t="shared" si="88"/>
        <v>7852</v>
      </c>
      <c r="AJ44">
        <f t="shared" si="88"/>
        <v>8108</v>
      </c>
      <c r="AK44">
        <f t="shared" si="88"/>
        <v>8364</v>
      </c>
      <c r="AL44">
        <f t="shared" si="88"/>
        <v>8620</v>
      </c>
      <c r="AM44">
        <f t="shared" si="88"/>
        <v>8876</v>
      </c>
      <c r="AN44">
        <f t="shared" si="88"/>
        <v>9132</v>
      </c>
      <c r="AO44">
        <f t="shared" si="88"/>
        <v>9388</v>
      </c>
      <c r="AP44">
        <f t="shared" si="88"/>
        <v>9644</v>
      </c>
      <c r="AQ44">
        <f t="shared" si="88"/>
        <v>9900</v>
      </c>
      <c r="AR44">
        <f t="shared" si="88"/>
        <v>10156</v>
      </c>
      <c r="AS44">
        <f t="shared" si="88"/>
        <v>10412</v>
      </c>
    </row>
    <row r="45">
      <c r="A45" s="14" t="str">
        <f t="shared" si="10"/>
        <v>BAD230</v>
      </c>
      <c r="B45" s="53" t="str">
        <f t="shared" ref="B45:C45" si="89">DEC2HEX(HEX2DEC(A45)+1)</f>
        <v>BAD231</v>
      </c>
      <c r="C45" s="53" t="str">
        <f t="shared" si="89"/>
        <v>BAD232</v>
      </c>
      <c r="D45" s="14" t="s">
        <v>1024</v>
      </c>
      <c r="E45" s="14">
        <v>176.0</v>
      </c>
      <c r="F45">
        <f t="shared" ref="F45:AS45" si="90">E45+256</f>
        <v>432</v>
      </c>
      <c r="G45">
        <f t="shared" si="90"/>
        <v>688</v>
      </c>
      <c r="H45">
        <f t="shared" si="90"/>
        <v>944</v>
      </c>
      <c r="I45">
        <f t="shared" si="90"/>
        <v>1200</v>
      </c>
      <c r="J45">
        <f t="shared" si="90"/>
        <v>1456</v>
      </c>
      <c r="K45">
        <f t="shared" si="90"/>
        <v>1712</v>
      </c>
      <c r="L45">
        <f t="shared" si="90"/>
        <v>1968</v>
      </c>
      <c r="M45">
        <f t="shared" si="90"/>
        <v>2224</v>
      </c>
      <c r="N45">
        <f t="shared" si="90"/>
        <v>2480</v>
      </c>
      <c r="O45">
        <f t="shared" si="90"/>
        <v>2736</v>
      </c>
      <c r="P45">
        <f t="shared" si="90"/>
        <v>2992</v>
      </c>
      <c r="Q45">
        <f t="shared" si="90"/>
        <v>3248</v>
      </c>
      <c r="R45">
        <f t="shared" si="90"/>
        <v>3504</v>
      </c>
      <c r="S45">
        <f t="shared" si="90"/>
        <v>3760</v>
      </c>
      <c r="T45">
        <f t="shared" si="90"/>
        <v>4016</v>
      </c>
      <c r="U45">
        <f t="shared" si="90"/>
        <v>4272</v>
      </c>
      <c r="V45">
        <f t="shared" si="90"/>
        <v>4528</v>
      </c>
      <c r="W45">
        <f t="shared" si="90"/>
        <v>4784</v>
      </c>
      <c r="X45">
        <f t="shared" si="90"/>
        <v>5040</v>
      </c>
      <c r="Y45">
        <f t="shared" si="90"/>
        <v>5296</v>
      </c>
      <c r="Z45">
        <f t="shared" si="90"/>
        <v>5552</v>
      </c>
      <c r="AA45">
        <f t="shared" si="90"/>
        <v>5808</v>
      </c>
      <c r="AB45">
        <f t="shared" si="90"/>
        <v>6064</v>
      </c>
      <c r="AC45">
        <f t="shared" si="90"/>
        <v>6320</v>
      </c>
      <c r="AD45">
        <f t="shared" si="90"/>
        <v>6576</v>
      </c>
      <c r="AE45">
        <f t="shared" si="90"/>
        <v>6832</v>
      </c>
      <c r="AF45">
        <f t="shared" si="90"/>
        <v>7088</v>
      </c>
      <c r="AG45">
        <f t="shared" si="90"/>
        <v>7344</v>
      </c>
      <c r="AH45">
        <f t="shared" si="90"/>
        <v>7600</v>
      </c>
      <c r="AI45">
        <f t="shared" si="90"/>
        <v>7856</v>
      </c>
      <c r="AJ45">
        <f t="shared" si="90"/>
        <v>8112</v>
      </c>
      <c r="AK45">
        <f t="shared" si="90"/>
        <v>8368</v>
      </c>
      <c r="AL45">
        <f t="shared" si="90"/>
        <v>8624</v>
      </c>
      <c r="AM45">
        <f t="shared" si="90"/>
        <v>8880</v>
      </c>
      <c r="AN45">
        <f t="shared" si="90"/>
        <v>9136</v>
      </c>
      <c r="AO45">
        <f t="shared" si="90"/>
        <v>9392</v>
      </c>
      <c r="AP45">
        <f t="shared" si="90"/>
        <v>9648</v>
      </c>
      <c r="AQ45">
        <f t="shared" si="90"/>
        <v>9904</v>
      </c>
      <c r="AR45">
        <f t="shared" si="90"/>
        <v>10160</v>
      </c>
      <c r="AS45">
        <f t="shared" si="90"/>
        <v>10416</v>
      </c>
    </row>
    <row r="46">
      <c r="A46" s="14" t="str">
        <f t="shared" si="10"/>
        <v>BAD220</v>
      </c>
      <c r="B46" s="53" t="str">
        <f t="shared" ref="B46:C46" si="91">DEC2HEX(HEX2DEC(A46)+1)</f>
        <v>BAD221</v>
      </c>
      <c r="C46" s="53" t="str">
        <f t="shared" si="91"/>
        <v>BAD222</v>
      </c>
      <c r="D46" s="14" t="s">
        <v>1025</v>
      </c>
      <c r="E46" s="14">
        <v>180.0</v>
      </c>
      <c r="F46">
        <f t="shared" ref="F46:AS46" si="92">E46+256</f>
        <v>436</v>
      </c>
      <c r="G46">
        <f t="shared" si="92"/>
        <v>692</v>
      </c>
      <c r="H46">
        <f t="shared" si="92"/>
        <v>948</v>
      </c>
      <c r="I46">
        <f t="shared" si="92"/>
        <v>1204</v>
      </c>
      <c r="J46">
        <f t="shared" si="92"/>
        <v>1460</v>
      </c>
      <c r="K46">
        <f t="shared" si="92"/>
        <v>1716</v>
      </c>
      <c r="L46">
        <f t="shared" si="92"/>
        <v>1972</v>
      </c>
      <c r="M46">
        <f t="shared" si="92"/>
        <v>2228</v>
      </c>
      <c r="N46">
        <f t="shared" si="92"/>
        <v>2484</v>
      </c>
      <c r="O46">
        <f t="shared" si="92"/>
        <v>2740</v>
      </c>
      <c r="P46">
        <f t="shared" si="92"/>
        <v>2996</v>
      </c>
      <c r="Q46">
        <f t="shared" si="92"/>
        <v>3252</v>
      </c>
      <c r="R46">
        <f t="shared" si="92"/>
        <v>3508</v>
      </c>
      <c r="S46">
        <f t="shared" si="92"/>
        <v>3764</v>
      </c>
      <c r="T46">
        <f t="shared" si="92"/>
        <v>4020</v>
      </c>
      <c r="U46">
        <f t="shared" si="92"/>
        <v>4276</v>
      </c>
      <c r="V46">
        <f t="shared" si="92"/>
        <v>4532</v>
      </c>
      <c r="W46">
        <f t="shared" si="92"/>
        <v>4788</v>
      </c>
      <c r="X46">
        <f t="shared" si="92"/>
        <v>5044</v>
      </c>
      <c r="Y46">
        <f t="shared" si="92"/>
        <v>5300</v>
      </c>
      <c r="Z46">
        <f t="shared" si="92"/>
        <v>5556</v>
      </c>
      <c r="AA46">
        <f t="shared" si="92"/>
        <v>5812</v>
      </c>
      <c r="AB46">
        <f t="shared" si="92"/>
        <v>6068</v>
      </c>
      <c r="AC46">
        <f t="shared" si="92"/>
        <v>6324</v>
      </c>
      <c r="AD46">
        <f t="shared" si="92"/>
        <v>6580</v>
      </c>
      <c r="AE46">
        <f t="shared" si="92"/>
        <v>6836</v>
      </c>
      <c r="AF46">
        <f t="shared" si="92"/>
        <v>7092</v>
      </c>
      <c r="AG46">
        <f t="shared" si="92"/>
        <v>7348</v>
      </c>
      <c r="AH46">
        <f t="shared" si="92"/>
        <v>7604</v>
      </c>
      <c r="AI46">
        <f t="shared" si="92"/>
        <v>7860</v>
      </c>
      <c r="AJ46">
        <f t="shared" si="92"/>
        <v>8116</v>
      </c>
      <c r="AK46">
        <f t="shared" si="92"/>
        <v>8372</v>
      </c>
      <c r="AL46">
        <f t="shared" si="92"/>
        <v>8628</v>
      </c>
      <c r="AM46">
        <f t="shared" si="92"/>
        <v>8884</v>
      </c>
      <c r="AN46">
        <f t="shared" si="92"/>
        <v>9140</v>
      </c>
      <c r="AO46">
        <f t="shared" si="92"/>
        <v>9396</v>
      </c>
      <c r="AP46">
        <f t="shared" si="92"/>
        <v>9652</v>
      </c>
      <c r="AQ46">
        <f t="shared" si="92"/>
        <v>9908</v>
      </c>
      <c r="AR46">
        <f t="shared" si="92"/>
        <v>10164</v>
      </c>
      <c r="AS46">
        <f t="shared" si="92"/>
        <v>10420</v>
      </c>
    </row>
    <row r="47">
      <c r="A47" s="14" t="str">
        <f t="shared" si="10"/>
        <v>BAD210</v>
      </c>
      <c r="B47" s="53" t="str">
        <f t="shared" ref="B47:C47" si="93">DEC2HEX(HEX2DEC(A47)+1)</f>
        <v>BAD211</v>
      </c>
      <c r="C47" s="53" t="str">
        <f t="shared" si="93"/>
        <v>BAD212</v>
      </c>
      <c r="D47" s="14" t="s">
        <v>123</v>
      </c>
      <c r="E47" s="14">
        <v>184.0</v>
      </c>
      <c r="F47">
        <f t="shared" ref="F47:AS47" si="94">E47+256</f>
        <v>440</v>
      </c>
      <c r="G47">
        <f t="shared" si="94"/>
        <v>696</v>
      </c>
      <c r="H47">
        <f t="shared" si="94"/>
        <v>952</v>
      </c>
      <c r="I47">
        <f t="shared" si="94"/>
        <v>1208</v>
      </c>
      <c r="J47">
        <f t="shared" si="94"/>
        <v>1464</v>
      </c>
      <c r="K47">
        <f t="shared" si="94"/>
        <v>1720</v>
      </c>
      <c r="L47">
        <f t="shared" si="94"/>
        <v>1976</v>
      </c>
      <c r="M47">
        <f t="shared" si="94"/>
        <v>2232</v>
      </c>
      <c r="N47">
        <f t="shared" si="94"/>
        <v>2488</v>
      </c>
      <c r="O47">
        <f t="shared" si="94"/>
        <v>2744</v>
      </c>
      <c r="P47">
        <f t="shared" si="94"/>
        <v>3000</v>
      </c>
      <c r="Q47">
        <f t="shared" si="94"/>
        <v>3256</v>
      </c>
      <c r="R47">
        <f t="shared" si="94"/>
        <v>3512</v>
      </c>
      <c r="S47">
        <f t="shared" si="94"/>
        <v>3768</v>
      </c>
      <c r="T47">
        <f t="shared" si="94"/>
        <v>4024</v>
      </c>
      <c r="U47">
        <f t="shared" si="94"/>
        <v>4280</v>
      </c>
      <c r="V47">
        <f t="shared" si="94"/>
        <v>4536</v>
      </c>
      <c r="W47">
        <f t="shared" si="94"/>
        <v>4792</v>
      </c>
      <c r="X47">
        <f t="shared" si="94"/>
        <v>5048</v>
      </c>
      <c r="Y47">
        <f t="shared" si="94"/>
        <v>5304</v>
      </c>
      <c r="Z47">
        <f t="shared" si="94"/>
        <v>5560</v>
      </c>
      <c r="AA47">
        <f t="shared" si="94"/>
        <v>5816</v>
      </c>
      <c r="AB47">
        <f t="shared" si="94"/>
        <v>6072</v>
      </c>
      <c r="AC47">
        <f t="shared" si="94"/>
        <v>6328</v>
      </c>
      <c r="AD47">
        <f t="shared" si="94"/>
        <v>6584</v>
      </c>
      <c r="AE47">
        <f t="shared" si="94"/>
        <v>6840</v>
      </c>
      <c r="AF47">
        <f t="shared" si="94"/>
        <v>7096</v>
      </c>
      <c r="AG47">
        <f t="shared" si="94"/>
        <v>7352</v>
      </c>
      <c r="AH47">
        <f t="shared" si="94"/>
        <v>7608</v>
      </c>
      <c r="AI47">
        <f t="shared" si="94"/>
        <v>7864</v>
      </c>
      <c r="AJ47">
        <f t="shared" si="94"/>
        <v>8120</v>
      </c>
      <c r="AK47">
        <f t="shared" si="94"/>
        <v>8376</v>
      </c>
      <c r="AL47">
        <f t="shared" si="94"/>
        <v>8632</v>
      </c>
      <c r="AM47">
        <f t="shared" si="94"/>
        <v>8888</v>
      </c>
      <c r="AN47">
        <f t="shared" si="94"/>
        <v>9144</v>
      </c>
      <c r="AO47">
        <f t="shared" si="94"/>
        <v>9400</v>
      </c>
      <c r="AP47">
        <f t="shared" si="94"/>
        <v>9656</v>
      </c>
      <c r="AQ47">
        <f t="shared" si="94"/>
        <v>9912</v>
      </c>
      <c r="AR47">
        <f t="shared" si="94"/>
        <v>10168</v>
      </c>
      <c r="AS47">
        <f t="shared" si="94"/>
        <v>10424</v>
      </c>
    </row>
    <row r="48">
      <c r="A48" s="14" t="str">
        <f t="shared" si="10"/>
        <v>BAD200</v>
      </c>
      <c r="B48" s="53" t="str">
        <f t="shared" ref="B48:C48" si="95">DEC2HEX(HEX2DEC(A48)+1)</f>
        <v>BAD201</v>
      </c>
      <c r="C48" s="53" t="str">
        <f t="shared" si="95"/>
        <v>BAD202</v>
      </c>
      <c r="D48" s="14" t="s">
        <v>123</v>
      </c>
      <c r="E48" s="14">
        <v>188.0</v>
      </c>
      <c r="F48">
        <f t="shared" ref="F48:AS48" si="96">E48+256</f>
        <v>444</v>
      </c>
      <c r="G48">
        <f t="shared" si="96"/>
        <v>700</v>
      </c>
      <c r="H48">
        <f t="shared" si="96"/>
        <v>956</v>
      </c>
      <c r="I48">
        <f t="shared" si="96"/>
        <v>1212</v>
      </c>
      <c r="J48">
        <f t="shared" si="96"/>
        <v>1468</v>
      </c>
      <c r="K48">
        <f t="shared" si="96"/>
        <v>1724</v>
      </c>
      <c r="L48">
        <f t="shared" si="96"/>
        <v>1980</v>
      </c>
      <c r="M48">
        <f t="shared" si="96"/>
        <v>2236</v>
      </c>
      <c r="N48">
        <f t="shared" si="96"/>
        <v>2492</v>
      </c>
      <c r="O48">
        <f t="shared" si="96"/>
        <v>2748</v>
      </c>
      <c r="P48">
        <f t="shared" si="96"/>
        <v>3004</v>
      </c>
      <c r="Q48">
        <f t="shared" si="96"/>
        <v>3260</v>
      </c>
      <c r="R48">
        <f t="shared" si="96"/>
        <v>3516</v>
      </c>
      <c r="S48">
        <f t="shared" si="96"/>
        <v>3772</v>
      </c>
      <c r="T48">
        <f t="shared" si="96"/>
        <v>4028</v>
      </c>
      <c r="U48">
        <f t="shared" si="96"/>
        <v>4284</v>
      </c>
      <c r="V48">
        <f t="shared" si="96"/>
        <v>4540</v>
      </c>
      <c r="W48">
        <f t="shared" si="96"/>
        <v>4796</v>
      </c>
      <c r="X48">
        <f t="shared" si="96"/>
        <v>5052</v>
      </c>
      <c r="Y48">
        <f t="shared" si="96"/>
        <v>5308</v>
      </c>
      <c r="Z48">
        <f t="shared" si="96"/>
        <v>5564</v>
      </c>
      <c r="AA48">
        <f t="shared" si="96"/>
        <v>5820</v>
      </c>
      <c r="AB48">
        <f t="shared" si="96"/>
        <v>6076</v>
      </c>
      <c r="AC48">
        <f t="shared" si="96"/>
        <v>6332</v>
      </c>
      <c r="AD48">
        <f t="shared" si="96"/>
        <v>6588</v>
      </c>
      <c r="AE48">
        <f t="shared" si="96"/>
        <v>6844</v>
      </c>
      <c r="AF48">
        <f t="shared" si="96"/>
        <v>7100</v>
      </c>
      <c r="AG48">
        <f t="shared" si="96"/>
        <v>7356</v>
      </c>
      <c r="AH48">
        <f t="shared" si="96"/>
        <v>7612</v>
      </c>
      <c r="AI48">
        <f t="shared" si="96"/>
        <v>7868</v>
      </c>
      <c r="AJ48">
        <f t="shared" si="96"/>
        <v>8124</v>
      </c>
      <c r="AK48">
        <f t="shared" si="96"/>
        <v>8380</v>
      </c>
      <c r="AL48">
        <f t="shared" si="96"/>
        <v>8636</v>
      </c>
      <c r="AM48">
        <f t="shared" si="96"/>
        <v>8892</v>
      </c>
      <c r="AN48">
        <f t="shared" si="96"/>
        <v>9148</v>
      </c>
      <c r="AO48">
        <f t="shared" si="96"/>
        <v>9404</v>
      </c>
      <c r="AP48">
        <f t="shared" si="96"/>
        <v>9660</v>
      </c>
      <c r="AQ48">
        <f t="shared" si="96"/>
        <v>9916</v>
      </c>
      <c r="AR48">
        <f t="shared" si="96"/>
        <v>10172</v>
      </c>
      <c r="AS48">
        <f t="shared" si="96"/>
        <v>10428</v>
      </c>
    </row>
    <row r="49">
      <c r="A49" s="14" t="str">
        <f t="shared" si="10"/>
        <v>BAD1F0</v>
      </c>
      <c r="B49" s="53" t="str">
        <f t="shared" ref="B49:C49" si="97">DEC2HEX(HEX2DEC(A49)+1)</f>
        <v>BAD1F1</v>
      </c>
      <c r="C49" s="53" t="str">
        <f t="shared" si="97"/>
        <v>BAD1F2</v>
      </c>
      <c r="D49" s="14" t="s">
        <v>123</v>
      </c>
      <c r="E49" s="14">
        <v>192.0</v>
      </c>
      <c r="F49">
        <f t="shared" ref="F49:AS49" si="98">E49+256</f>
        <v>448</v>
      </c>
      <c r="G49">
        <f t="shared" si="98"/>
        <v>704</v>
      </c>
      <c r="H49">
        <f t="shared" si="98"/>
        <v>960</v>
      </c>
      <c r="I49">
        <f t="shared" si="98"/>
        <v>1216</v>
      </c>
      <c r="J49">
        <f t="shared" si="98"/>
        <v>1472</v>
      </c>
      <c r="K49">
        <f t="shared" si="98"/>
        <v>1728</v>
      </c>
      <c r="L49">
        <f t="shared" si="98"/>
        <v>1984</v>
      </c>
      <c r="M49">
        <f t="shared" si="98"/>
        <v>2240</v>
      </c>
      <c r="N49">
        <f t="shared" si="98"/>
        <v>2496</v>
      </c>
      <c r="O49">
        <f t="shared" si="98"/>
        <v>2752</v>
      </c>
      <c r="P49">
        <f t="shared" si="98"/>
        <v>3008</v>
      </c>
      <c r="Q49">
        <f t="shared" si="98"/>
        <v>3264</v>
      </c>
      <c r="R49">
        <f t="shared" si="98"/>
        <v>3520</v>
      </c>
      <c r="S49">
        <f t="shared" si="98"/>
        <v>3776</v>
      </c>
      <c r="T49">
        <f t="shared" si="98"/>
        <v>4032</v>
      </c>
      <c r="U49">
        <f t="shared" si="98"/>
        <v>4288</v>
      </c>
      <c r="V49">
        <f t="shared" si="98"/>
        <v>4544</v>
      </c>
      <c r="W49">
        <f t="shared" si="98"/>
        <v>4800</v>
      </c>
      <c r="X49">
        <f t="shared" si="98"/>
        <v>5056</v>
      </c>
      <c r="Y49">
        <f t="shared" si="98"/>
        <v>5312</v>
      </c>
      <c r="Z49">
        <f t="shared" si="98"/>
        <v>5568</v>
      </c>
      <c r="AA49">
        <f t="shared" si="98"/>
        <v>5824</v>
      </c>
      <c r="AB49">
        <f t="shared" si="98"/>
        <v>6080</v>
      </c>
      <c r="AC49">
        <f t="shared" si="98"/>
        <v>6336</v>
      </c>
      <c r="AD49">
        <f t="shared" si="98"/>
        <v>6592</v>
      </c>
      <c r="AE49">
        <f t="shared" si="98"/>
        <v>6848</v>
      </c>
      <c r="AF49">
        <f t="shared" si="98"/>
        <v>7104</v>
      </c>
      <c r="AG49">
        <f t="shared" si="98"/>
        <v>7360</v>
      </c>
      <c r="AH49">
        <f t="shared" si="98"/>
        <v>7616</v>
      </c>
      <c r="AI49">
        <f t="shared" si="98"/>
        <v>7872</v>
      </c>
      <c r="AJ49">
        <f t="shared" si="98"/>
        <v>8128</v>
      </c>
      <c r="AK49">
        <f t="shared" si="98"/>
        <v>8384</v>
      </c>
      <c r="AL49">
        <f t="shared" si="98"/>
        <v>8640</v>
      </c>
      <c r="AM49">
        <f t="shared" si="98"/>
        <v>8896</v>
      </c>
      <c r="AN49">
        <f t="shared" si="98"/>
        <v>9152</v>
      </c>
      <c r="AO49">
        <f t="shared" si="98"/>
        <v>9408</v>
      </c>
      <c r="AP49">
        <f t="shared" si="98"/>
        <v>9664</v>
      </c>
      <c r="AQ49">
        <f t="shared" si="98"/>
        <v>9920</v>
      </c>
      <c r="AR49">
        <f t="shared" si="98"/>
        <v>10176</v>
      </c>
      <c r="AS49">
        <f t="shared" si="98"/>
        <v>10432</v>
      </c>
    </row>
    <row r="50">
      <c r="A50" s="14" t="str">
        <f t="shared" si="10"/>
        <v>BAD1E0</v>
      </c>
      <c r="B50" s="53" t="str">
        <f t="shared" ref="B50:C50" si="99">DEC2HEX(HEX2DEC(A50)+1)</f>
        <v>BAD1E1</v>
      </c>
      <c r="C50" s="53" t="str">
        <f t="shared" si="99"/>
        <v>BAD1E2</v>
      </c>
      <c r="D50" s="14" t="s">
        <v>123</v>
      </c>
      <c r="E50" s="14">
        <v>196.0</v>
      </c>
      <c r="F50">
        <f t="shared" ref="F50:AS50" si="100">E50+256</f>
        <v>452</v>
      </c>
      <c r="G50">
        <f t="shared" si="100"/>
        <v>708</v>
      </c>
      <c r="H50">
        <f t="shared" si="100"/>
        <v>964</v>
      </c>
      <c r="I50">
        <f t="shared" si="100"/>
        <v>1220</v>
      </c>
      <c r="J50">
        <f t="shared" si="100"/>
        <v>1476</v>
      </c>
      <c r="K50">
        <f t="shared" si="100"/>
        <v>1732</v>
      </c>
      <c r="L50">
        <f t="shared" si="100"/>
        <v>1988</v>
      </c>
      <c r="M50">
        <f t="shared" si="100"/>
        <v>2244</v>
      </c>
      <c r="N50">
        <f t="shared" si="100"/>
        <v>2500</v>
      </c>
      <c r="O50">
        <f t="shared" si="100"/>
        <v>2756</v>
      </c>
      <c r="P50">
        <f t="shared" si="100"/>
        <v>3012</v>
      </c>
      <c r="Q50">
        <f t="shared" si="100"/>
        <v>3268</v>
      </c>
      <c r="R50">
        <f t="shared" si="100"/>
        <v>3524</v>
      </c>
      <c r="S50">
        <f t="shared" si="100"/>
        <v>3780</v>
      </c>
      <c r="T50">
        <f t="shared" si="100"/>
        <v>4036</v>
      </c>
      <c r="U50">
        <f t="shared" si="100"/>
        <v>4292</v>
      </c>
      <c r="V50">
        <f t="shared" si="100"/>
        <v>4548</v>
      </c>
      <c r="W50">
        <f t="shared" si="100"/>
        <v>4804</v>
      </c>
      <c r="X50">
        <f t="shared" si="100"/>
        <v>5060</v>
      </c>
      <c r="Y50">
        <f t="shared" si="100"/>
        <v>5316</v>
      </c>
      <c r="Z50">
        <f t="shared" si="100"/>
        <v>5572</v>
      </c>
      <c r="AA50">
        <f t="shared" si="100"/>
        <v>5828</v>
      </c>
      <c r="AB50">
        <f t="shared" si="100"/>
        <v>6084</v>
      </c>
      <c r="AC50">
        <f t="shared" si="100"/>
        <v>6340</v>
      </c>
      <c r="AD50">
        <f t="shared" si="100"/>
        <v>6596</v>
      </c>
      <c r="AE50">
        <f t="shared" si="100"/>
        <v>6852</v>
      </c>
      <c r="AF50">
        <f t="shared" si="100"/>
        <v>7108</v>
      </c>
      <c r="AG50">
        <f t="shared" si="100"/>
        <v>7364</v>
      </c>
      <c r="AH50">
        <f t="shared" si="100"/>
        <v>7620</v>
      </c>
      <c r="AI50">
        <f t="shared" si="100"/>
        <v>7876</v>
      </c>
      <c r="AJ50">
        <f t="shared" si="100"/>
        <v>8132</v>
      </c>
      <c r="AK50">
        <f t="shared" si="100"/>
        <v>8388</v>
      </c>
      <c r="AL50">
        <f t="shared" si="100"/>
        <v>8644</v>
      </c>
      <c r="AM50">
        <f t="shared" si="100"/>
        <v>8900</v>
      </c>
      <c r="AN50">
        <f t="shared" si="100"/>
        <v>9156</v>
      </c>
      <c r="AO50">
        <f t="shared" si="100"/>
        <v>9412</v>
      </c>
      <c r="AP50">
        <f t="shared" si="100"/>
        <v>9668</v>
      </c>
      <c r="AQ50">
        <f t="shared" si="100"/>
        <v>9924</v>
      </c>
      <c r="AR50">
        <f t="shared" si="100"/>
        <v>10180</v>
      </c>
      <c r="AS50">
        <f t="shared" si="100"/>
        <v>10436</v>
      </c>
    </row>
    <row r="51">
      <c r="A51" s="14" t="str">
        <f t="shared" si="10"/>
        <v>BAD1D0</v>
      </c>
      <c r="B51" s="53" t="str">
        <f t="shared" ref="B51:C51" si="101">DEC2HEX(HEX2DEC(A51)+1)</f>
        <v>BAD1D1</v>
      </c>
      <c r="C51" s="53" t="str">
        <f t="shared" si="101"/>
        <v>BAD1D2</v>
      </c>
      <c r="D51" s="14" t="s">
        <v>123</v>
      </c>
      <c r="E51" s="14">
        <v>200.0</v>
      </c>
      <c r="F51">
        <f t="shared" ref="F51:AS51" si="102">E51+256</f>
        <v>456</v>
      </c>
      <c r="G51">
        <f t="shared" si="102"/>
        <v>712</v>
      </c>
      <c r="H51">
        <f t="shared" si="102"/>
        <v>968</v>
      </c>
      <c r="I51">
        <f t="shared" si="102"/>
        <v>1224</v>
      </c>
      <c r="J51">
        <f t="shared" si="102"/>
        <v>1480</v>
      </c>
      <c r="K51">
        <f t="shared" si="102"/>
        <v>1736</v>
      </c>
      <c r="L51">
        <f t="shared" si="102"/>
        <v>1992</v>
      </c>
      <c r="M51">
        <f t="shared" si="102"/>
        <v>2248</v>
      </c>
      <c r="N51">
        <f t="shared" si="102"/>
        <v>2504</v>
      </c>
      <c r="O51">
        <f t="shared" si="102"/>
        <v>2760</v>
      </c>
      <c r="P51">
        <f t="shared" si="102"/>
        <v>3016</v>
      </c>
      <c r="Q51">
        <f t="shared" si="102"/>
        <v>3272</v>
      </c>
      <c r="R51">
        <f t="shared" si="102"/>
        <v>3528</v>
      </c>
      <c r="S51">
        <f t="shared" si="102"/>
        <v>3784</v>
      </c>
      <c r="T51">
        <f t="shared" si="102"/>
        <v>4040</v>
      </c>
      <c r="U51">
        <f t="shared" si="102"/>
        <v>4296</v>
      </c>
      <c r="V51">
        <f t="shared" si="102"/>
        <v>4552</v>
      </c>
      <c r="W51">
        <f t="shared" si="102"/>
        <v>4808</v>
      </c>
      <c r="X51">
        <f t="shared" si="102"/>
        <v>5064</v>
      </c>
      <c r="Y51">
        <f t="shared" si="102"/>
        <v>5320</v>
      </c>
      <c r="Z51">
        <f t="shared" si="102"/>
        <v>5576</v>
      </c>
      <c r="AA51">
        <f t="shared" si="102"/>
        <v>5832</v>
      </c>
      <c r="AB51">
        <f t="shared" si="102"/>
        <v>6088</v>
      </c>
      <c r="AC51">
        <f t="shared" si="102"/>
        <v>6344</v>
      </c>
      <c r="AD51">
        <f t="shared" si="102"/>
        <v>6600</v>
      </c>
      <c r="AE51">
        <f t="shared" si="102"/>
        <v>6856</v>
      </c>
      <c r="AF51">
        <f t="shared" si="102"/>
        <v>7112</v>
      </c>
      <c r="AG51">
        <f t="shared" si="102"/>
        <v>7368</v>
      </c>
      <c r="AH51">
        <f t="shared" si="102"/>
        <v>7624</v>
      </c>
      <c r="AI51">
        <f t="shared" si="102"/>
        <v>7880</v>
      </c>
      <c r="AJ51">
        <f t="shared" si="102"/>
        <v>8136</v>
      </c>
      <c r="AK51">
        <f t="shared" si="102"/>
        <v>8392</v>
      </c>
      <c r="AL51">
        <f t="shared" si="102"/>
        <v>8648</v>
      </c>
      <c r="AM51">
        <f t="shared" si="102"/>
        <v>8904</v>
      </c>
      <c r="AN51">
        <f t="shared" si="102"/>
        <v>9160</v>
      </c>
      <c r="AO51">
        <f t="shared" si="102"/>
        <v>9416</v>
      </c>
      <c r="AP51">
        <f t="shared" si="102"/>
        <v>9672</v>
      </c>
      <c r="AQ51">
        <f t="shared" si="102"/>
        <v>9928</v>
      </c>
      <c r="AR51">
        <f t="shared" si="102"/>
        <v>10184</v>
      </c>
      <c r="AS51">
        <f t="shared" si="102"/>
        <v>10440</v>
      </c>
    </row>
    <row r="52">
      <c r="A52" s="14" t="str">
        <f t="shared" si="10"/>
        <v>BAD1C0</v>
      </c>
      <c r="B52" s="53" t="str">
        <f t="shared" ref="B52:C52" si="103">DEC2HEX(HEX2DEC(A52)+1)</f>
        <v>BAD1C1</v>
      </c>
      <c r="C52" s="53" t="str">
        <f t="shared" si="103"/>
        <v>BAD1C2</v>
      </c>
      <c r="D52" s="14" t="s">
        <v>123</v>
      </c>
      <c r="E52" s="14">
        <v>204.0</v>
      </c>
      <c r="F52">
        <f t="shared" ref="F52:AS52" si="104">E52+256</f>
        <v>460</v>
      </c>
      <c r="G52">
        <f t="shared" si="104"/>
        <v>716</v>
      </c>
      <c r="H52">
        <f t="shared" si="104"/>
        <v>972</v>
      </c>
      <c r="I52">
        <f t="shared" si="104"/>
        <v>1228</v>
      </c>
      <c r="J52">
        <f t="shared" si="104"/>
        <v>1484</v>
      </c>
      <c r="K52">
        <f t="shared" si="104"/>
        <v>1740</v>
      </c>
      <c r="L52">
        <f t="shared" si="104"/>
        <v>1996</v>
      </c>
      <c r="M52">
        <f t="shared" si="104"/>
        <v>2252</v>
      </c>
      <c r="N52">
        <f t="shared" si="104"/>
        <v>2508</v>
      </c>
      <c r="O52">
        <f t="shared" si="104"/>
        <v>2764</v>
      </c>
      <c r="P52">
        <f t="shared" si="104"/>
        <v>3020</v>
      </c>
      <c r="Q52">
        <f t="shared" si="104"/>
        <v>3276</v>
      </c>
      <c r="R52">
        <f t="shared" si="104"/>
        <v>3532</v>
      </c>
      <c r="S52">
        <f t="shared" si="104"/>
        <v>3788</v>
      </c>
      <c r="T52">
        <f t="shared" si="104"/>
        <v>4044</v>
      </c>
      <c r="U52">
        <f t="shared" si="104"/>
        <v>4300</v>
      </c>
      <c r="V52">
        <f t="shared" si="104"/>
        <v>4556</v>
      </c>
      <c r="W52">
        <f t="shared" si="104"/>
        <v>4812</v>
      </c>
      <c r="X52">
        <f t="shared" si="104"/>
        <v>5068</v>
      </c>
      <c r="Y52">
        <f t="shared" si="104"/>
        <v>5324</v>
      </c>
      <c r="Z52">
        <f t="shared" si="104"/>
        <v>5580</v>
      </c>
      <c r="AA52">
        <f t="shared" si="104"/>
        <v>5836</v>
      </c>
      <c r="AB52">
        <f t="shared" si="104"/>
        <v>6092</v>
      </c>
      <c r="AC52">
        <f t="shared" si="104"/>
        <v>6348</v>
      </c>
      <c r="AD52">
        <f t="shared" si="104"/>
        <v>6604</v>
      </c>
      <c r="AE52">
        <f t="shared" si="104"/>
        <v>6860</v>
      </c>
      <c r="AF52">
        <f t="shared" si="104"/>
        <v>7116</v>
      </c>
      <c r="AG52">
        <f t="shared" si="104"/>
        <v>7372</v>
      </c>
      <c r="AH52">
        <f t="shared" si="104"/>
        <v>7628</v>
      </c>
      <c r="AI52">
        <f t="shared" si="104"/>
        <v>7884</v>
      </c>
      <c r="AJ52">
        <f t="shared" si="104"/>
        <v>8140</v>
      </c>
      <c r="AK52">
        <f t="shared" si="104"/>
        <v>8396</v>
      </c>
      <c r="AL52">
        <f t="shared" si="104"/>
        <v>8652</v>
      </c>
      <c r="AM52">
        <f t="shared" si="104"/>
        <v>8908</v>
      </c>
      <c r="AN52">
        <f t="shared" si="104"/>
        <v>9164</v>
      </c>
      <c r="AO52">
        <f t="shared" si="104"/>
        <v>9420</v>
      </c>
      <c r="AP52">
        <f t="shared" si="104"/>
        <v>9676</v>
      </c>
      <c r="AQ52">
        <f t="shared" si="104"/>
        <v>9932</v>
      </c>
      <c r="AR52">
        <f t="shared" si="104"/>
        <v>10188</v>
      </c>
      <c r="AS52">
        <f t="shared" si="104"/>
        <v>10444</v>
      </c>
    </row>
    <row r="53">
      <c r="A53" s="14" t="str">
        <f t="shared" si="10"/>
        <v>BAD1B0</v>
      </c>
      <c r="B53" s="53" t="str">
        <f t="shared" ref="B53:C53" si="105">DEC2HEX(HEX2DEC(A53)+1)</f>
        <v>BAD1B1</v>
      </c>
      <c r="C53" s="53" t="str">
        <f t="shared" si="105"/>
        <v>BAD1B2</v>
      </c>
      <c r="D53" s="14" t="s">
        <v>1026</v>
      </c>
      <c r="E53" s="14">
        <v>208.0</v>
      </c>
      <c r="F53">
        <f t="shared" ref="F53:AS53" si="106">E53+256</f>
        <v>464</v>
      </c>
      <c r="G53">
        <f t="shared" si="106"/>
        <v>720</v>
      </c>
      <c r="H53">
        <f t="shared" si="106"/>
        <v>976</v>
      </c>
      <c r="I53">
        <f t="shared" si="106"/>
        <v>1232</v>
      </c>
      <c r="J53">
        <f t="shared" si="106"/>
        <v>1488</v>
      </c>
      <c r="K53">
        <f t="shared" si="106"/>
        <v>1744</v>
      </c>
      <c r="L53">
        <f t="shared" si="106"/>
        <v>2000</v>
      </c>
      <c r="M53">
        <f t="shared" si="106"/>
        <v>2256</v>
      </c>
      <c r="N53">
        <f t="shared" si="106"/>
        <v>2512</v>
      </c>
      <c r="O53">
        <f t="shared" si="106"/>
        <v>2768</v>
      </c>
      <c r="P53">
        <f t="shared" si="106"/>
        <v>3024</v>
      </c>
      <c r="Q53">
        <f t="shared" si="106"/>
        <v>3280</v>
      </c>
      <c r="R53">
        <f t="shared" si="106"/>
        <v>3536</v>
      </c>
      <c r="S53">
        <f t="shared" si="106"/>
        <v>3792</v>
      </c>
      <c r="T53">
        <f t="shared" si="106"/>
        <v>4048</v>
      </c>
      <c r="U53">
        <f t="shared" si="106"/>
        <v>4304</v>
      </c>
      <c r="V53">
        <f t="shared" si="106"/>
        <v>4560</v>
      </c>
      <c r="W53">
        <f t="shared" si="106"/>
        <v>4816</v>
      </c>
      <c r="X53">
        <f t="shared" si="106"/>
        <v>5072</v>
      </c>
      <c r="Y53">
        <f t="shared" si="106"/>
        <v>5328</v>
      </c>
      <c r="Z53">
        <f t="shared" si="106"/>
        <v>5584</v>
      </c>
      <c r="AA53">
        <f t="shared" si="106"/>
        <v>5840</v>
      </c>
      <c r="AB53">
        <f t="shared" si="106"/>
        <v>6096</v>
      </c>
      <c r="AC53">
        <f t="shared" si="106"/>
        <v>6352</v>
      </c>
      <c r="AD53">
        <f t="shared" si="106"/>
        <v>6608</v>
      </c>
      <c r="AE53">
        <f t="shared" si="106"/>
        <v>6864</v>
      </c>
      <c r="AF53">
        <f t="shared" si="106"/>
        <v>7120</v>
      </c>
      <c r="AG53">
        <f t="shared" si="106"/>
        <v>7376</v>
      </c>
      <c r="AH53">
        <f t="shared" si="106"/>
        <v>7632</v>
      </c>
      <c r="AI53">
        <f t="shared" si="106"/>
        <v>7888</v>
      </c>
      <c r="AJ53">
        <f t="shared" si="106"/>
        <v>8144</v>
      </c>
      <c r="AK53">
        <f t="shared" si="106"/>
        <v>8400</v>
      </c>
      <c r="AL53">
        <f t="shared" si="106"/>
        <v>8656</v>
      </c>
      <c r="AM53">
        <f t="shared" si="106"/>
        <v>8912</v>
      </c>
      <c r="AN53">
        <f t="shared" si="106"/>
        <v>9168</v>
      </c>
      <c r="AO53">
        <f t="shared" si="106"/>
        <v>9424</v>
      </c>
      <c r="AP53">
        <f t="shared" si="106"/>
        <v>9680</v>
      </c>
      <c r="AQ53">
        <f t="shared" si="106"/>
        <v>9936</v>
      </c>
      <c r="AR53">
        <f t="shared" si="106"/>
        <v>10192</v>
      </c>
      <c r="AS53">
        <f t="shared" si="106"/>
        <v>10448</v>
      </c>
    </row>
    <row r="54">
      <c r="A54" s="14" t="str">
        <f t="shared" si="10"/>
        <v>BAD1A0</v>
      </c>
      <c r="B54" s="53" t="str">
        <f t="shared" ref="B54:C54" si="107">DEC2HEX(HEX2DEC(A54)+1)</f>
        <v>BAD1A1</v>
      </c>
      <c r="C54" s="53" t="str">
        <f t="shared" si="107"/>
        <v>BAD1A2</v>
      </c>
      <c r="D54" s="14" t="s">
        <v>1027</v>
      </c>
      <c r="E54" s="14">
        <v>212.0</v>
      </c>
      <c r="F54">
        <f t="shared" ref="F54:AS54" si="108">E54+256</f>
        <v>468</v>
      </c>
      <c r="G54">
        <f t="shared" si="108"/>
        <v>724</v>
      </c>
      <c r="H54">
        <f t="shared" si="108"/>
        <v>980</v>
      </c>
      <c r="I54">
        <f t="shared" si="108"/>
        <v>1236</v>
      </c>
      <c r="J54">
        <f t="shared" si="108"/>
        <v>1492</v>
      </c>
      <c r="K54">
        <f t="shared" si="108"/>
        <v>1748</v>
      </c>
      <c r="L54">
        <f t="shared" si="108"/>
        <v>2004</v>
      </c>
      <c r="M54">
        <f t="shared" si="108"/>
        <v>2260</v>
      </c>
      <c r="N54">
        <f t="shared" si="108"/>
        <v>2516</v>
      </c>
      <c r="O54">
        <f t="shared" si="108"/>
        <v>2772</v>
      </c>
      <c r="P54">
        <f t="shared" si="108"/>
        <v>3028</v>
      </c>
      <c r="Q54">
        <f t="shared" si="108"/>
        <v>3284</v>
      </c>
      <c r="R54">
        <f t="shared" si="108"/>
        <v>3540</v>
      </c>
      <c r="S54">
        <f t="shared" si="108"/>
        <v>3796</v>
      </c>
      <c r="T54">
        <f t="shared" si="108"/>
        <v>4052</v>
      </c>
      <c r="U54">
        <f t="shared" si="108"/>
        <v>4308</v>
      </c>
      <c r="V54">
        <f t="shared" si="108"/>
        <v>4564</v>
      </c>
      <c r="W54">
        <f t="shared" si="108"/>
        <v>4820</v>
      </c>
      <c r="X54">
        <f t="shared" si="108"/>
        <v>5076</v>
      </c>
      <c r="Y54">
        <f t="shared" si="108"/>
        <v>5332</v>
      </c>
      <c r="Z54">
        <f t="shared" si="108"/>
        <v>5588</v>
      </c>
      <c r="AA54">
        <f t="shared" si="108"/>
        <v>5844</v>
      </c>
      <c r="AB54">
        <f t="shared" si="108"/>
        <v>6100</v>
      </c>
      <c r="AC54">
        <f t="shared" si="108"/>
        <v>6356</v>
      </c>
      <c r="AD54">
        <f t="shared" si="108"/>
        <v>6612</v>
      </c>
      <c r="AE54">
        <f t="shared" si="108"/>
        <v>6868</v>
      </c>
      <c r="AF54">
        <f t="shared" si="108"/>
        <v>7124</v>
      </c>
      <c r="AG54">
        <f t="shared" si="108"/>
        <v>7380</v>
      </c>
      <c r="AH54">
        <f t="shared" si="108"/>
        <v>7636</v>
      </c>
      <c r="AI54">
        <f t="shared" si="108"/>
        <v>7892</v>
      </c>
      <c r="AJ54">
        <f t="shared" si="108"/>
        <v>8148</v>
      </c>
      <c r="AK54">
        <f t="shared" si="108"/>
        <v>8404</v>
      </c>
      <c r="AL54">
        <f t="shared" si="108"/>
        <v>8660</v>
      </c>
      <c r="AM54">
        <f t="shared" si="108"/>
        <v>8916</v>
      </c>
      <c r="AN54">
        <f t="shared" si="108"/>
        <v>9172</v>
      </c>
      <c r="AO54">
        <f t="shared" si="108"/>
        <v>9428</v>
      </c>
      <c r="AP54">
        <f t="shared" si="108"/>
        <v>9684</v>
      </c>
      <c r="AQ54">
        <f t="shared" si="108"/>
        <v>9940</v>
      </c>
      <c r="AR54">
        <f t="shared" si="108"/>
        <v>10196</v>
      </c>
      <c r="AS54">
        <f t="shared" si="108"/>
        <v>10452</v>
      </c>
    </row>
    <row r="55">
      <c r="A55" s="14" t="s">
        <v>1028</v>
      </c>
      <c r="B55" s="53" t="str">
        <f t="shared" ref="B55:C55" si="109">DEC2HEX(HEX2DEC(A55)+1)</f>
        <v>BAD191</v>
      </c>
      <c r="C55" s="53" t="str">
        <f t="shared" si="109"/>
        <v>BAD192</v>
      </c>
      <c r="D55" s="14" t="s">
        <v>1029</v>
      </c>
      <c r="E55" s="14">
        <v>216.0</v>
      </c>
      <c r="F55">
        <f t="shared" ref="F55:AS55" si="110">E55+256</f>
        <v>472</v>
      </c>
      <c r="G55">
        <f t="shared" si="110"/>
        <v>728</v>
      </c>
      <c r="H55">
        <f t="shared" si="110"/>
        <v>984</v>
      </c>
      <c r="I55">
        <f t="shared" si="110"/>
        <v>1240</v>
      </c>
      <c r="J55">
        <f t="shared" si="110"/>
        <v>1496</v>
      </c>
      <c r="K55">
        <f t="shared" si="110"/>
        <v>1752</v>
      </c>
      <c r="L55">
        <f t="shared" si="110"/>
        <v>2008</v>
      </c>
      <c r="M55">
        <f t="shared" si="110"/>
        <v>2264</v>
      </c>
      <c r="N55">
        <f t="shared" si="110"/>
        <v>2520</v>
      </c>
      <c r="O55">
        <f t="shared" si="110"/>
        <v>2776</v>
      </c>
      <c r="P55">
        <f t="shared" si="110"/>
        <v>3032</v>
      </c>
      <c r="Q55">
        <f t="shared" si="110"/>
        <v>3288</v>
      </c>
      <c r="R55">
        <f t="shared" si="110"/>
        <v>3544</v>
      </c>
      <c r="S55">
        <f t="shared" si="110"/>
        <v>3800</v>
      </c>
      <c r="T55">
        <f t="shared" si="110"/>
        <v>4056</v>
      </c>
      <c r="U55">
        <f t="shared" si="110"/>
        <v>4312</v>
      </c>
      <c r="V55">
        <f t="shared" si="110"/>
        <v>4568</v>
      </c>
      <c r="W55">
        <f t="shared" si="110"/>
        <v>4824</v>
      </c>
      <c r="X55">
        <f t="shared" si="110"/>
        <v>5080</v>
      </c>
      <c r="Y55">
        <f t="shared" si="110"/>
        <v>5336</v>
      </c>
      <c r="Z55">
        <f t="shared" si="110"/>
        <v>5592</v>
      </c>
      <c r="AA55">
        <f t="shared" si="110"/>
        <v>5848</v>
      </c>
      <c r="AB55">
        <f t="shared" si="110"/>
        <v>6104</v>
      </c>
      <c r="AC55">
        <f t="shared" si="110"/>
        <v>6360</v>
      </c>
      <c r="AD55">
        <f t="shared" si="110"/>
        <v>6616</v>
      </c>
      <c r="AE55">
        <f t="shared" si="110"/>
        <v>6872</v>
      </c>
      <c r="AF55">
        <f t="shared" si="110"/>
        <v>7128</v>
      </c>
      <c r="AG55">
        <f t="shared" si="110"/>
        <v>7384</v>
      </c>
      <c r="AH55">
        <f t="shared" si="110"/>
        <v>7640</v>
      </c>
      <c r="AI55">
        <f t="shared" si="110"/>
        <v>7896</v>
      </c>
      <c r="AJ55">
        <f t="shared" si="110"/>
        <v>8152</v>
      </c>
      <c r="AK55">
        <f t="shared" si="110"/>
        <v>8408</v>
      </c>
      <c r="AL55">
        <f t="shared" si="110"/>
        <v>8664</v>
      </c>
      <c r="AM55">
        <f t="shared" si="110"/>
        <v>8920</v>
      </c>
      <c r="AN55">
        <f t="shared" si="110"/>
        <v>9176</v>
      </c>
      <c r="AO55">
        <f t="shared" si="110"/>
        <v>9432</v>
      </c>
      <c r="AP55">
        <f t="shared" si="110"/>
        <v>9688</v>
      </c>
      <c r="AQ55">
        <f t="shared" si="110"/>
        <v>9944</v>
      </c>
      <c r="AR55">
        <f t="shared" si="110"/>
        <v>10200</v>
      </c>
      <c r="AS55">
        <f t="shared" si="110"/>
        <v>10456</v>
      </c>
    </row>
    <row r="56">
      <c r="A56" s="14" t="str">
        <f t="shared" ref="A56:A61" si="113">DEC2HEX(HEX2DEC(A55)-16)</f>
        <v>BAD180</v>
      </c>
      <c r="B56" s="53" t="str">
        <f t="shared" ref="B56:C56" si="111">DEC2HEX(HEX2DEC(A56)+1)</f>
        <v>BAD181</v>
      </c>
      <c r="C56" s="53" t="str">
        <f t="shared" si="111"/>
        <v>BAD182</v>
      </c>
      <c r="D56" s="14" t="s">
        <v>1030</v>
      </c>
      <c r="E56" s="14">
        <v>220.0</v>
      </c>
      <c r="F56">
        <f t="shared" ref="F56:AS56" si="112">E56+256</f>
        <v>476</v>
      </c>
      <c r="G56">
        <f t="shared" si="112"/>
        <v>732</v>
      </c>
      <c r="H56">
        <f t="shared" si="112"/>
        <v>988</v>
      </c>
      <c r="I56">
        <f t="shared" si="112"/>
        <v>1244</v>
      </c>
      <c r="J56">
        <f t="shared" si="112"/>
        <v>1500</v>
      </c>
      <c r="K56">
        <f t="shared" si="112"/>
        <v>1756</v>
      </c>
      <c r="L56">
        <f t="shared" si="112"/>
        <v>2012</v>
      </c>
      <c r="M56">
        <f t="shared" si="112"/>
        <v>2268</v>
      </c>
      <c r="N56">
        <f t="shared" si="112"/>
        <v>2524</v>
      </c>
      <c r="O56">
        <f t="shared" si="112"/>
        <v>2780</v>
      </c>
      <c r="P56">
        <f t="shared" si="112"/>
        <v>3036</v>
      </c>
      <c r="Q56">
        <f t="shared" si="112"/>
        <v>3292</v>
      </c>
      <c r="R56">
        <f t="shared" si="112"/>
        <v>3548</v>
      </c>
      <c r="S56">
        <f t="shared" si="112"/>
        <v>3804</v>
      </c>
      <c r="T56">
        <f t="shared" si="112"/>
        <v>4060</v>
      </c>
      <c r="U56">
        <f t="shared" si="112"/>
        <v>4316</v>
      </c>
      <c r="V56">
        <f t="shared" si="112"/>
        <v>4572</v>
      </c>
      <c r="W56">
        <f t="shared" si="112"/>
        <v>4828</v>
      </c>
      <c r="X56">
        <f t="shared" si="112"/>
        <v>5084</v>
      </c>
      <c r="Y56">
        <f t="shared" si="112"/>
        <v>5340</v>
      </c>
      <c r="Z56">
        <f t="shared" si="112"/>
        <v>5596</v>
      </c>
      <c r="AA56">
        <f t="shared" si="112"/>
        <v>5852</v>
      </c>
      <c r="AB56">
        <f t="shared" si="112"/>
        <v>6108</v>
      </c>
      <c r="AC56">
        <f t="shared" si="112"/>
        <v>6364</v>
      </c>
      <c r="AD56">
        <f t="shared" si="112"/>
        <v>6620</v>
      </c>
      <c r="AE56">
        <f t="shared" si="112"/>
        <v>6876</v>
      </c>
      <c r="AF56">
        <f t="shared" si="112"/>
        <v>7132</v>
      </c>
      <c r="AG56">
        <f t="shared" si="112"/>
        <v>7388</v>
      </c>
      <c r="AH56">
        <f t="shared" si="112"/>
        <v>7644</v>
      </c>
      <c r="AI56">
        <f t="shared" si="112"/>
        <v>7900</v>
      </c>
      <c r="AJ56">
        <f t="shared" si="112"/>
        <v>8156</v>
      </c>
      <c r="AK56">
        <f t="shared" si="112"/>
        <v>8412</v>
      </c>
      <c r="AL56">
        <f t="shared" si="112"/>
        <v>8668</v>
      </c>
      <c r="AM56">
        <f t="shared" si="112"/>
        <v>8924</v>
      </c>
      <c r="AN56">
        <f t="shared" si="112"/>
        <v>9180</v>
      </c>
      <c r="AO56">
        <f t="shared" si="112"/>
        <v>9436</v>
      </c>
      <c r="AP56">
        <f t="shared" si="112"/>
        <v>9692</v>
      </c>
      <c r="AQ56">
        <f t="shared" si="112"/>
        <v>9948</v>
      </c>
      <c r="AR56">
        <f t="shared" si="112"/>
        <v>10204</v>
      </c>
      <c r="AS56">
        <f t="shared" si="112"/>
        <v>10460</v>
      </c>
    </row>
    <row r="57">
      <c r="A57" s="14" t="str">
        <f t="shared" si="113"/>
        <v>BAD170</v>
      </c>
      <c r="B57" s="53" t="str">
        <f t="shared" ref="B57:C57" si="114">DEC2HEX(HEX2DEC(A57)+1)</f>
        <v>BAD171</v>
      </c>
      <c r="C57" s="53" t="str">
        <f t="shared" si="114"/>
        <v>BAD172</v>
      </c>
      <c r="D57" s="14" t="s">
        <v>123</v>
      </c>
      <c r="E57" s="14">
        <v>224.0</v>
      </c>
      <c r="F57">
        <f t="shared" ref="F57:AS57" si="115">E57+256</f>
        <v>480</v>
      </c>
      <c r="G57">
        <f t="shared" si="115"/>
        <v>736</v>
      </c>
      <c r="H57">
        <f t="shared" si="115"/>
        <v>992</v>
      </c>
      <c r="I57">
        <f t="shared" si="115"/>
        <v>1248</v>
      </c>
      <c r="J57">
        <f t="shared" si="115"/>
        <v>1504</v>
      </c>
      <c r="K57">
        <f t="shared" si="115"/>
        <v>1760</v>
      </c>
      <c r="L57">
        <f t="shared" si="115"/>
        <v>2016</v>
      </c>
      <c r="M57">
        <f t="shared" si="115"/>
        <v>2272</v>
      </c>
      <c r="N57">
        <f t="shared" si="115"/>
        <v>2528</v>
      </c>
      <c r="O57">
        <f t="shared" si="115"/>
        <v>2784</v>
      </c>
      <c r="P57">
        <f t="shared" si="115"/>
        <v>3040</v>
      </c>
      <c r="Q57">
        <f t="shared" si="115"/>
        <v>3296</v>
      </c>
      <c r="R57">
        <f t="shared" si="115"/>
        <v>3552</v>
      </c>
      <c r="S57">
        <f t="shared" si="115"/>
        <v>3808</v>
      </c>
      <c r="T57">
        <f t="shared" si="115"/>
        <v>4064</v>
      </c>
      <c r="U57">
        <f t="shared" si="115"/>
        <v>4320</v>
      </c>
      <c r="V57">
        <f t="shared" si="115"/>
        <v>4576</v>
      </c>
      <c r="W57">
        <f t="shared" si="115"/>
        <v>4832</v>
      </c>
      <c r="X57">
        <f t="shared" si="115"/>
        <v>5088</v>
      </c>
      <c r="Y57">
        <f t="shared" si="115"/>
        <v>5344</v>
      </c>
      <c r="Z57">
        <f t="shared" si="115"/>
        <v>5600</v>
      </c>
      <c r="AA57">
        <f t="shared" si="115"/>
        <v>5856</v>
      </c>
      <c r="AB57">
        <f t="shared" si="115"/>
        <v>6112</v>
      </c>
      <c r="AC57">
        <f t="shared" si="115"/>
        <v>6368</v>
      </c>
      <c r="AD57">
        <f t="shared" si="115"/>
        <v>6624</v>
      </c>
      <c r="AE57">
        <f t="shared" si="115"/>
        <v>6880</v>
      </c>
      <c r="AF57">
        <f t="shared" si="115"/>
        <v>7136</v>
      </c>
      <c r="AG57">
        <f t="shared" si="115"/>
        <v>7392</v>
      </c>
      <c r="AH57">
        <f t="shared" si="115"/>
        <v>7648</v>
      </c>
      <c r="AI57">
        <f t="shared" si="115"/>
        <v>7904</v>
      </c>
      <c r="AJ57">
        <f t="shared" si="115"/>
        <v>8160</v>
      </c>
      <c r="AK57">
        <f t="shared" si="115"/>
        <v>8416</v>
      </c>
      <c r="AL57">
        <f t="shared" si="115"/>
        <v>8672</v>
      </c>
      <c r="AM57">
        <f t="shared" si="115"/>
        <v>8928</v>
      </c>
      <c r="AN57">
        <f t="shared" si="115"/>
        <v>9184</v>
      </c>
      <c r="AO57">
        <f t="shared" si="115"/>
        <v>9440</v>
      </c>
      <c r="AP57">
        <f t="shared" si="115"/>
        <v>9696</v>
      </c>
      <c r="AQ57">
        <f t="shared" si="115"/>
        <v>9952</v>
      </c>
      <c r="AR57">
        <f t="shared" si="115"/>
        <v>10208</v>
      </c>
      <c r="AS57">
        <f t="shared" si="115"/>
        <v>10464</v>
      </c>
    </row>
    <row r="58">
      <c r="A58" s="14" t="str">
        <f t="shared" si="113"/>
        <v>BAD160</v>
      </c>
      <c r="B58" s="53" t="str">
        <f t="shared" ref="B58:C58" si="116">DEC2HEX(HEX2DEC(A58)+1)</f>
        <v>BAD161</v>
      </c>
      <c r="C58" s="53" t="str">
        <f t="shared" si="116"/>
        <v>BAD162</v>
      </c>
      <c r="D58" s="14" t="s">
        <v>1031</v>
      </c>
      <c r="E58" s="14">
        <v>228.0</v>
      </c>
      <c r="F58">
        <f t="shared" ref="F58:AS58" si="117">E58+256</f>
        <v>484</v>
      </c>
      <c r="G58">
        <f t="shared" si="117"/>
        <v>740</v>
      </c>
      <c r="H58">
        <f t="shared" si="117"/>
        <v>996</v>
      </c>
      <c r="I58">
        <f t="shared" si="117"/>
        <v>1252</v>
      </c>
      <c r="J58">
        <f t="shared" si="117"/>
        <v>1508</v>
      </c>
      <c r="K58">
        <f t="shared" si="117"/>
        <v>1764</v>
      </c>
      <c r="L58">
        <f t="shared" si="117"/>
        <v>2020</v>
      </c>
      <c r="M58">
        <f t="shared" si="117"/>
        <v>2276</v>
      </c>
      <c r="N58">
        <f t="shared" si="117"/>
        <v>2532</v>
      </c>
      <c r="O58">
        <f t="shared" si="117"/>
        <v>2788</v>
      </c>
      <c r="P58">
        <f t="shared" si="117"/>
        <v>3044</v>
      </c>
      <c r="Q58">
        <f t="shared" si="117"/>
        <v>3300</v>
      </c>
      <c r="R58">
        <f t="shared" si="117"/>
        <v>3556</v>
      </c>
      <c r="S58">
        <f t="shared" si="117"/>
        <v>3812</v>
      </c>
      <c r="T58">
        <f t="shared" si="117"/>
        <v>4068</v>
      </c>
      <c r="U58">
        <f t="shared" si="117"/>
        <v>4324</v>
      </c>
      <c r="V58">
        <f t="shared" si="117"/>
        <v>4580</v>
      </c>
      <c r="W58">
        <f t="shared" si="117"/>
        <v>4836</v>
      </c>
      <c r="X58">
        <f t="shared" si="117"/>
        <v>5092</v>
      </c>
      <c r="Y58">
        <f t="shared" si="117"/>
        <v>5348</v>
      </c>
      <c r="Z58">
        <f t="shared" si="117"/>
        <v>5604</v>
      </c>
      <c r="AA58">
        <f t="shared" si="117"/>
        <v>5860</v>
      </c>
      <c r="AB58">
        <f t="shared" si="117"/>
        <v>6116</v>
      </c>
      <c r="AC58">
        <f t="shared" si="117"/>
        <v>6372</v>
      </c>
      <c r="AD58">
        <f t="shared" si="117"/>
        <v>6628</v>
      </c>
      <c r="AE58">
        <f t="shared" si="117"/>
        <v>6884</v>
      </c>
      <c r="AF58">
        <f t="shared" si="117"/>
        <v>7140</v>
      </c>
      <c r="AG58">
        <f t="shared" si="117"/>
        <v>7396</v>
      </c>
      <c r="AH58">
        <f t="shared" si="117"/>
        <v>7652</v>
      </c>
      <c r="AI58">
        <f t="shared" si="117"/>
        <v>7908</v>
      </c>
      <c r="AJ58">
        <f t="shared" si="117"/>
        <v>8164</v>
      </c>
      <c r="AK58">
        <f t="shared" si="117"/>
        <v>8420</v>
      </c>
      <c r="AL58">
        <f t="shared" si="117"/>
        <v>8676</v>
      </c>
      <c r="AM58">
        <f t="shared" si="117"/>
        <v>8932</v>
      </c>
      <c r="AN58">
        <f t="shared" si="117"/>
        <v>9188</v>
      </c>
      <c r="AO58">
        <f t="shared" si="117"/>
        <v>9444</v>
      </c>
      <c r="AP58">
        <f t="shared" si="117"/>
        <v>9700</v>
      </c>
      <c r="AQ58">
        <f t="shared" si="117"/>
        <v>9956</v>
      </c>
      <c r="AR58">
        <f t="shared" si="117"/>
        <v>10212</v>
      </c>
      <c r="AS58">
        <f t="shared" si="117"/>
        <v>10468</v>
      </c>
    </row>
    <row r="59">
      <c r="A59" s="14" t="str">
        <f t="shared" si="113"/>
        <v>BAD150</v>
      </c>
      <c r="B59" s="53" t="str">
        <f t="shared" ref="B59:C59" si="118">DEC2HEX(HEX2DEC(A59)+1)</f>
        <v>BAD151</v>
      </c>
      <c r="C59" s="53" t="str">
        <f t="shared" si="118"/>
        <v>BAD152</v>
      </c>
      <c r="D59" s="14" t="s">
        <v>1032</v>
      </c>
      <c r="E59" s="14">
        <v>232.0</v>
      </c>
      <c r="F59">
        <f t="shared" ref="F59:AS59" si="119">E59+256</f>
        <v>488</v>
      </c>
      <c r="G59">
        <f t="shared" si="119"/>
        <v>744</v>
      </c>
      <c r="H59">
        <f t="shared" si="119"/>
        <v>1000</v>
      </c>
      <c r="I59">
        <f t="shared" si="119"/>
        <v>1256</v>
      </c>
      <c r="J59">
        <f t="shared" si="119"/>
        <v>1512</v>
      </c>
      <c r="K59">
        <f t="shared" si="119"/>
        <v>1768</v>
      </c>
      <c r="L59">
        <f t="shared" si="119"/>
        <v>2024</v>
      </c>
      <c r="M59">
        <f t="shared" si="119"/>
        <v>2280</v>
      </c>
      <c r="N59">
        <f t="shared" si="119"/>
        <v>2536</v>
      </c>
      <c r="O59">
        <f t="shared" si="119"/>
        <v>2792</v>
      </c>
      <c r="P59">
        <f t="shared" si="119"/>
        <v>3048</v>
      </c>
      <c r="Q59">
        <f t="shared" si="119"/>
        <v>3304</v>
      </c>
      <c r="R59">
        <f t="shared" si="119"/>
        <v>3560</v>
      </c>
      <c r="S59">
        <f t="shared" si="119"/>
        <v>3816</v>
      </c>
      <c r="T59">
        <f t="shared" si="119"/>
        <v>4072</v>
      </c>
      <c r="U59">
        <f t="shared" si="119"/>
        <v>4328</v>
      </c>
      <c r="V59">
        <f t="shared" si="119"/>
        <v>4584</v>
      </c>
      <c r="W59">
        <f t="shared" si="119"/>
        <v>4840</v>
      </c>
      <c r="X59">
        <f t="shared" si="119"/>
        <v>5096</v>
      </c>
      <c r="Y59">
        <f t="shared" si="119"/>
        <v>5352</v>
      </c>
      <c r="Z59">
        <f t="shared" si="119"/>
        <v>5608</v>
      </c>
      <c r="AA59">
        <f t="shared" si="119"/>
        <v>5864</v>
      </c>
      <c r="AB59">
        <f t="shared" si="119"/>
        <v>6120</v>
      </c>
      <c r="AC59">
        <f t="shared" si="119"/>
        <v>6376</v>
      </c>
      <c r="AD59">
        <f t="shared" si="119"/>
        <v>6632</v>
      </c>
      <c r="AE59">
        <f t="shared" si="119"/>
        <v>6888</v>
      </c>
      <c r="AF59">
        <f t="shared" si="119"/>
        <v>7144</v>
      </c>
      <c r="AG59">
        <f t="shared" si="119"/>
        <v>7400</v>
      </c>
      <c r="AH59">
        <f t="shared" si="119"/>
        <v>7656</v>
      </c>
      <c r="AI59">
        <f t="shared" si="119"/>
        <v>7912</v>
      </c>
      <c r="AJ59">
        <f t="shared" si="119"/>
        <v>8168</v>
      </c>
      <c r="AK59">
        <f t="shared" si="119"/>
        <v>8424</v>
      </c>
      <c r="AL59">
        <f t="shared" si="119"/>
        <v>8680</v>
      </c>
      <c r="AM59">
        <f t="shared" si="119"/>
        <v>8936</v>
      </c>
      <c r="AN59">
        <f t="shared" si="119"/>
        <v>9192</v>
      </c>
      <c r="AO59">
        <f t="shared" si="119"/>
        <v>9448</v>
      </c>
      <c r="AP59">
        <f t="shared" si="119"/>
        <v>9704</v>
      </c>
      <c r="AQ59">
        <f t="shared" si="119"/>
        <v>9960</v>
      </c>
      <c r="AR59">
        <f t="shared" si="119"/>
        <v>10216</v>
      </c>
      <c r="AS59">
        <f t="shared" si="119"/>
        <v>10472</v>
      </c>
    </row>
    <row r="60">
      <c r="A60" s="14" t="str">
        <f t="shared" si="113"/>
        <v>BAD140</v>
      </c>
      <c r="B60" s="53" t="str">
        <f t="shared" ref="B60:C60" si="120">DEC2HEX(HEX2DEC(A60)+1)</f>
        <v>BAD141</v>
      </c>
      <c r="C60" s="53" t="str">
        <f t="shared" si="120"/>
        <v>BAD142</v>
      </c>
      <c r="D60" s="14" t="s">
        <v>1033</v>
      </c>
      <c r="E60" s="14">
        <v>236.0</v>
      </c>
      <c r="F60">
        <f t="shared" ref="F60:AS60" si="121">E60+256</f>
        <v>492</v>
      </c>
      <c r="G60">
        <f t="shared" si="121"/>
        <v>748</v>
      </c>
      <c r="H60">
        <f t="shared" si="121"/>
        <v>1004</v>
      </c>
      <c r="I60">
        <f t="shared" si="121"/>
        <v>1260</v>
      </c>
      <c r="J60">
        <f t="shared" si="121"/>
        <v>1516</v>
      </c>
      <c r="K60">
        <f t="shared" si="121"/>
        <v>1772</v>
      </c>
      <c r="L60">
        <f t="shared" si="121"/>
        <v>2028</v>
      </c>
      <c r="M60">
        <f t="shared" si="121"/>
        <v>2284</v>
      </c>
      <c r="N60">
        <f t="shared" si="121"/>
        <v>2540</v>
      </c>
      <c r="O60">
        <f t="shared" si="121"/>
        <v>2796</v>
      </c>
      <c r="P60">
        <f t="shared" si="121"/>
        <v>3052</v>
      </c>
      <c r="Q60">
        <f t="shared" si="121"/>
        <v>3308</v>
      </c>
      <c r="R60">
        <f t="shared" si="121"/>
        <v>3564</v>
      </c>
      <c r="S60">
        <f t="shared" si="121"/>
        <v>3820</v>
      </c>
      <c r="T60">
        <f t="shared" si="121"/>
        <v>4076</v>
      </c>
      <c r="U60">
        <f t="shared" si="121"/>
        <v>4332</v>
      </c>
      <c r="V60">
        <f t="shared" si="121"/>
        <v>4588</v>
      </c>
      <c r="W60">
        <f t="shared" si="121"/>
        <v>4844</v>
      </c>
      <c r="X60">
        <f t="shared" si="121"/>
        <v>5100</v>
      </c>
      <c r="Y60">
        <f t="shared" si="121"/>
        <v>5356</v>
      </c>
      <c r="Z60">
        <f t="shared" si="121"/>
        <v>5612</v>
      </c>
      <c r="AA60">
        <f t="shared" si="121"/>
        <v>5868</v>
      </c>
      <c r="AB60">
        <f t="shared" si="121"/>
        <v>6124</v>
      </c>
      <c r="AC60">
        <f t="shared" si="121"/>
        <v>6380</v>
      </c>
      <c r="AD60">
        <f t="shared" si="121"/>
        <v>6636</v>
      </c>
      <c r="AE60">
        <f t="shared" si="121"/>
        <v>6892</v>
      </c>
      <c r="AF60">
        <f t="shared" si="121"/>
        <v>7148</v>
      </c>
      <c r="AG60">
        <f t="shared" si="121"/>
        <v>7404</v>
      </c>
      <c r="AH60">
        <f t="shared" si="121"/>
        <v>7660</v>
      </c>
      <c r="AI60">
        <f t="shared" si="121"/>
        <v>7916</v>
      </c>
      <c r="AJ60">
        <f t="shared" si="121"/>
        <v>8172</v>
      </c>
      <c r="AK60">
        <f t="shared" si="121"/>
        <v>8428</v>
      </c>
      <c r="AL60">
        <f t="shared" si="121"/>
        <v>8684</v>
      </c>
      <c r="AM60">
        <f t="shared" si="121"/>
        <v>8940</v>
      </c>
      <c r="AN60">
        <f t="shared" si="121"/>
        <v>9196</v>
      </c>
      <c r="AO60">
        <f t="shared" si="121"/>
        <v>9452</v>
      </c>
      <c r="AP60">
        <f t="shared" si="121"/>
        <v>9708</v>
      </c>
      <c r="AQ60">
        <f t="shared" si="121"/>
        <v>9964</v>
      </c>
      <c r="AR60">
        <f t="shared" si="121"/>
        <v>10220</v>
      </c>
      <c r="AS60">
        <f t="shared" si="121"/>
        <v>10476</v>
      </c>
    </row>
    <row r="61">
      <c r="A61" s="14" t="str">
        <f t="shared" si="113"/>
        <v>BAD130</v>
      </c>
      <c r="B61" s="53" t="str">
        <f t="shared" ref="B61:C61" si="122">DEC2HEX(HEX2DEC(A61)+1)</f>
        <v>BAD131</v>
      </c>
      <c r="C61" s="53" t="str">
        <f t="shared" si="122"/>
        <v>BAD132</v>
      </c>
      <c r="D61" s="14" t="s">
        <v>123</v>
      </c>
      <c r="E61" s="14">
        <v>240.0</v>
      </c>
      <c r="F61">
        <f t="shared" ref="F61:AS61" si="123">E61+256</f>
        <v>496</v>
      </c>
      <c r="G61">
        <f t="shared" si="123"/>
        <v>752</v>
      </c>
      <c r="H61">
        <f t="shared" si="123"/>
        <v>1008</v>
      </c>
      <c r="I61">
        <f t="shared" si="123"/>
        <v>1264</v>
      </c>
      <c r="J61">
        <f t="shared" si="123"/>
        <v>1520</v>
      </c>
      <c r="K61">
        <f t="shared" si="123"/>
        <v>1776</v>
      </c>
      <c r="L61">
        <f t="shared" si="123"/>
        <v>2032</v>
      </c>
      <c r="M61">
        <f t="shared" si="123"/>
        <v>2288</v>
      </c>
      <c r="N61">
        <f t="shared" si="123"/>
        <v>2544</v>
      </c>
      <c r="O61">
        <f t="shared" si="123"/>
        <v>2800</v>
      </c>
      <c r="P61">
        <f t="shared" si="123"/>
        <v>3056</v>
      </c>
      <c r="Q61">
        <f t="shared" si="123"/>
        <v>3312</v>
      </c>
      <c r="R61">
        <f t="shared" si="123"/>
        <v>3568</v>
      </c>
      <c r="S61">
        <f t="shared" si="123"/>
        <v>3824</v>
      </c>
      <c r="T61">
        <f t="shared" si="123"/>
        <v>4080</v>
      </c>
      <c r="U61">
        <f t="shared" si="123"/>
        <v>4336</v>
      </c>
      <c r="V61">
        <f t="shared" si="123"/>
        <v>4592</v>
      </c>
      <c r="W61">
        <f t="shared" si="123"/>
        <v>4848</v>
      </c>
      <c r="X61">
        <f t="shared" si="123"/>
        <v>5104</v>
      </c>
      <c r="Y61">
        <f t="shared" si="123"/>
        <v>5360</v>
      </c>
      <c r="Z61">
        <f t="shared" si="123"/>
        <v>5616</v>
      </c>
      <c r="AA61">
        <f t="shared" si="123"/>
        <v>5872</v>
      </c>
      <c r="AB61">
        <f t="shared" si="123"/>
        <v>6128</v>
      </c>
      <c r="AC61">
        <f t="shared" si="123"/>
        <v>6384</v>
      </c>
      <c r="AD61">
        <f t="shared" si="123"/>
        <v>6640</v>
      </c>
      <c r="AE61">
        <f t="shared" si="123"/>
        <v>6896</v>
      </c>
      <c r="AF61">
        <f t="shared" si="123"/>
        <v>7152</v>
      </c>
      <c r="AG61">
        <f t="shared" si="123"/>
        <v>7408</v>
      </c>
      <c r="AH61">
        <f t="shared" si="123"/>
        <v>7664</v>
      </c>
      <c r="AI61">
        <f t="shared" si="123"/>
        <v>7920</v>
      </c>
      <c r="AJ61">
        <f t="shared" si="123"/>
        <v>8176</v>
      </c>
      <c r="AK61">
        <f t="shared" si="123"/>
        <v>8432</v>
      </c>
      <c r="AL61">
        <f t="shared" si="123"/>
        <v>8688</v>
      </c>
      <c r="AM61">
        <f t="shared" si="123"/>
        <v>8944</v>
      </c>
      <c r="AN61">
        <f t="shared" si="123"/>
        <v>9200</v>
      </c>
      <c r="AO61">
        <f t="shared" si="123"/>
        <v>9456</v>
      </c>
      <c r="AP61">
        <f t="shared" si="123"/>
        <v>9712</v>
      </c>
      <c r="AQ61">
        <f t="shared" si="123"/>
        <v>9968</v>
      </c>
      <c r="AR61">
        <f t="shared" si="123"/>
        <v>10224</v>
      </c>
      <c r="AS61">
        <f t="shared" si="123"/>
        <v>10480</v>
      </c>
    </row>
    <row r="62">
      <c r="A62" s="14" t="str">
        <f t="shared" ref="A62:A64" si="126">DEC2HEX(HEX2DEC(A63)+16)</f>
        <v>BAD520</v>
      </c>
      <c r="B62" s="53" t="str">
        <f t="shared" ref="B62:C62" si="124">DEC2HEX(HEX2DEC(A62)+1)</f>
        <v>BAD521</v>
      </c>
      <c r="C62" s="53" t="str">
        <f t="shared" si="124"/>
        <v>BAD522</v>
      </c>
      <c r="D62" s="14" t="s">
        <v>1034</v>
      </c>
      <c r="E62" s="14">
        <v>244.0</v>
      </c>
      <c r="F62">
        <f t="shared" ref="F62:AS62" si="125">E62+256</f>
        <v>500</v>
      </c>
      <c r="G62">
        <f t="shared" si="125"/>
        <v>756</v>
      </c>
      <c r="H62">
        <f t="shared" si="125"/>
        <v>1012</v>
      </c>
      <c r="I62">
        <f t="shared" si="125"/>
        <v>1268</v>
      </c>
      <c r="J62">
        <f t="shared" si="125"/>
        <v>1524</v>
      </c>
      <c r="K62" s="56">
        <f t="shared" si="125"/>
        <v>1780</v>
      </c>
      <c r="L62">
        <f t="shared" si="125"/>
        <v>2036</v>
      </c>
      <c r="M62">
        <f t="shared" si="125"/>
        <v>2292</v>
      </c>
      <c r="N62">
        <f t="shared" si="125"/>
        <v>2548</v>
      </c>
      <c r="O62">
        <f t="shared" si="125"/>
        <v>2804</v>
      </c>
      <c r="P62">
        <f t="shared" si="125"/>
        <v>3060</v>
      </c>
      <c r="Q62">
        <f t="shared" si="125"/>
        <v>3316</v>
      </c>
      <c r="R62">
        <f t="shared" si="125"/>
        <v>3572</v>
      </c>
      <c r="S62">
        <f t="shared" si="125"/>
        <v>3828</v>
      </c>
      <c r="T62">
        <f t="shared" si="125"/>
        <v>4084</v>
      </c>
      <c r="U62">
        <f t="shared" si="125"/>
        <v>4340</v>
      </c>
      <c r="V62">
        <f t="shared" si="125"/>
        <v>4596</v>
      </c>
      <c r="W62">
        <f t="shared" si="125"/>
        <v>4852</v>
      </c>
      <c r="X62">
        <f t="shared" si="125"/>
        <v>5108</v>
      </c>
      <c r="Y62">
        <f t="shared" si="125"/>
        <v>5364</v>
      </c>
      <c r="Z62">
        <f t="shared" si="125"/>
        <v>5620</v>
      </c>
      <c r="AA62">
        <f t="shared" si="125"/>
        <v>5876</v>
      </c>
      <c r="AB62">
        <f t="shared" si="125"/>
        <v>6132</v>
      </c>
      <c r="AC62">
        <f t="shared" si="125"/>
        <v>6388</v>
      </c>
      <c r="AD62">
        <f t="shared" si="125"/>
        <v>6644</v>
      </c>
      <c r="AE62">
        <f t="shared" si="125"/>
        <v>6900</v>
      </c>
      <c r="AF62">
        <f t="shared" si="125"/>
        <v>7156</v>
      </c>
      <c r="AG62">
        <f t="shared" si="125"/>
        <v>7412</v>
      </c>
      <c r="AH62">
        <f t="shared" si="125"/>
        <v>7668</v>
      </c>
      <c r="AI62">
        <f t="shared" si="125"/>
        <v>7924</v>
      </c>
      <c r="AJ62">
        <f t="shared" si="125"/>
        <v>8180</v>
      </c>
      <c r="AK62">
        <f t="shared" si="125"/>
        <v>8436</v>
      </c>
      <c r="AL62">
        <f t="shared" si="125"/>
        <v>8692</v>
      </c>
      <c r="AM62">
        <f t="shared" si="125"/>
        <v>8948</v>
      </c>
      <c r="AN62">
        <f t="shared" si="125"/>
        <v>9204</v>
      </c>
      <c r="AO62">
        <f t="shared" si="125"/>
        <v>9460</v>
      </c>
      <c r="AP62">
        <f t="shared" si="125"/>
        <v>9716</v>
      </c>
      <c r="AQ62">
        <f t="shared" si="125"/>
        <v>9972</v>
      </c>
      <c r="AR62">
        <f t="shared" si="125"/>
        <v>10228</v>
      </c>
      <c r="AS62">
        <f t="shared" si="125"/>
        <v>10484</v>
      </c>
    </row>
    <row r="63">
      <c r="A63" s="14" t="str">
        <f t="shared" si="126"/>
        <v>BAD510</v>
      </c>
      <c r="B63" s="53" t="str">
        <f t="shared" ref="B63:C63" si="127">DEC2HEX(HEX2DEC(A63)+1)</f>
        <v>BAD511</v>
      </c>
      <c r="C63" s="53" t="str">
        <f t="shared" si="127"/>
        <v>BAD512</v>
      </c>
      <c r="D63" s="14" t="s">
        <v>123</v>
      </c>
      <c r="E63" s="14">
        <v>248.0</v>
      </c>
      <c r="F63">
        <f t="shared" ref="F63:AS63" si="128">E63+256</f>
        <v>504</v>
      </c>
      <c r="G63">
        <f t="shared" si="128"/>
        <v>760</v>
      </c>
      <c r="H63">
        <f t="shared" si="128"/>
        <v>1016</v>
      </c>
      <c r="I63">
        <f t="shared" si="128"/>
        <v>1272</v>
      </c>
      <c r="J63">
        <f t="shared" si="128"/>
        <v>1528</v>
      </c>
      <c r="K63">
        <f t="shared" si="128"/>
        <v>1784</v>
      </c>
      <c r="L63">
        <f t="shared" si="128"/>
        <v>2040</v>
      </c>
      <c r="M63">
        <f t="shared" si="128"/>
        <v>2296</v>
      </c>
      <c r="N63">
        <f t="shared" si="128"/>
        <v>2552</v>
      </c>
      <c r="O63">
        <f t="shared" si="128"/>
        <v>2808</v>
      </c>
      <c r="P63">
        <f t="shared" si="128"/>
        <v>3064</v>
      </c>
      <c r="Q63">
        <f t="shared" si="128"/>
        <v>3320</v>
      </c>
      <c r="R63">
        <f t="shared" si="128"/>
        <v>3576</v>
      </c>
      <c r="S63">
        <f t="shared" si="128"/>
        <v>3832</v>
      </c>
      <c r="T63">
        <f t="shared" si="128"/>
        <v>4088</v>
      </c>
      <c r="U63">
        <f t="shared" si="128"/>
        <v>4344</v>
      </c>
      <c r="V63">
        <f t="shared" si="128"/>
        <v>4600</v>
      </c>
      <c r="W63">
        <f t="shared" si="128"/>
        <v>4856</v>
      </c>
      <c r="X63">
        <f t="shared" si="128"/>
        <v>5112</v>
      </c>
      <c r="Y63">
        <f t="shared" si="128"/>
        <v>5368</v>
      </c>
      <c r="Z63">
        <f t="shared" si="128"/>
        <v>5624</v>
      </c>
      <c r="AA63">
        <f t="shared" si="128"/>
        <v>5880</v>
      </c>
      <c r="AB63">
        <f t="shared" si="128"/>
        <v>6136</v>
      </c>
      <c r="AC63">
        <f t="shared" si="128"/>
        <v>6392</v>
      </c>
      <c r="AD63">
        <f t="shared" si="128"/>
        <v>6648</v>
      </c>
      <c r="AE63">
        <f t="shared" si="128"/>
        <v>6904</v>
      </c>
      <c r="AF63">
        <f t="shared" si="128"/>
        <v>7160</v>
      </c>
      <c r="AG63">
        <f t="shared" si="128"/>
        <v>7416</v>
      </c>
      <c r="AH63">
        <f t="shared" si="128"/>
        <v>7672</v>
      </c>
      <c r="AI63">
        <f t="shared" si="128"/>
        <v>7928</v>
      </c>
      <c r="AJ63">
        <f t="shared" si="128"/>
        <v>8184</v>
      </c>
      <c r="AK63">
        <f t="shared" si="128"/>
        <v>8440</v>
      </c>
      <c r="AL63">
        <f t="shared" si="128"/>
        <v>8696</v>
      </c>
      <c r="AM63">
        <f t="shared" si="128"/>
        <v>8952</v>
      </c>
      <c r="AN63">
        <f t="shared" si="128"/>
        <v>9208</v>
      </c>
      <c r="AO63">
        <f t="shared" si="128"/>
        <v>9464</v>
      </c>
      <c r="AP63">
        <f t="shared" si="128"/>
        <v>9720</v>
      </c>
      <c r="AQ63">
        <f t="shared" si="128"/>
        <v>9976</v>
      </c>
      <c r="AR63">
        <f t="shared" si="128"/>
        <v>10232</v>
      </c>
      <c r="AS63">
        <f t="shared" si="128"/>
        <v>10488</v>
      </c>
    </row>
    <row r="64">
      <c r="A64" s="14" t="str">
        <f t="shared" si="126"/>
        <v>BAD500</v>
      </c>
      <c r="B64" s="53" t="str">
        <f t="shared" ref="B64:C64" si="129">DEC2HEX(HEX2DEC(A64)+1)</f>
        <v>BAD501</v>
      </c>
      <c r="C64" s="53" t="str">
        <f t="shared" si="129"/>
        <v>BAD502</v>
      </c>
      <c r="D64" s="14" t="s">
        <v>123</v>
      </c>
      <c r="E64" s="14">
        <v>252.0</v>
      </c>
      <c r="F64">
        <f t="shared" ref="F64:AS64" si="130">E64+256</f>
        <v>508</v>
      </c>
      <c r="G64">
        <f t="shared" si="130"/>
        <v>764</v>
      </c>
      <c r="H64">
        <f t="shared" si="130"/>
        <v>1020</v>
      </c>
      <c r="I64">
        <f t="shared" si="130"/>
        <v>1276</v>
      </c>
      <c r="J64">
        <f t="shared" si="130"/>
        <v>1532</v>
      </c>
      <c r="K64">
        <f t="shared" si="130"/>
        <v>1788</v>
      </c>
      <c r="L64">
        <f t="shared" si="130"/>
        <v>2044</v>
      </c>
      <c r="M64">
        <f t="shared" si="130"/>
        <v>2300</v>
      </c>
      <c r="N64">
        <f t="shared" si="130"/>
        <v>2556</v>
      </c>
      <c r="O64">
        <f t="shared" si="130"/>
        <v>2812</v>
      </c>
      <c r="P64">
        <f t="shared" si="130"/>
        <v>3068</v>
      </c>
      <c r="Q64">
        <f t="shared" si="130"/>
        <v>3324</v>
      </c>
      <c r="R64">
        <f t="shared" si="130"/>
        <v>3580</v>
      </c>
      <c r="S64">
        <f t="shared" si="130"/>
        <v>3836</v>
      </c>
      <c r="T64">
        <f t="shared" si="130"/>
        <v>4092</v>
      </c>
      <c r="U64">
        <f t="shared" si="130"/>
        <v>4348</v>
      </c>
      <c r="V64">
        <f t="shared" si="130"/>
        <v>4604</v>
      </c>
      <c r="W64">
        <f t="shared" si="130"/>
        <v>4860</v>
      </c>
      <c r="X64">
        <f t="shared" si="130"/>
        <v>5116</v>
      </c>
      <c r="Y64">
        <f t="shared" si="130"/>
        <v>5372</v>
      </c>
      <c r="Z64">
        <f t="shared" si="130"/>
        <v>5628</v>
      </c>
      <c r="AA64">
        <f t="shared" si="130"/>
        <v>5884</v>
      </c>
      <c r="AB64">
        <f t="shared" si="130"/>
        <v>6140</v>
      </c>
      <c r="AC64">
        <f t="shared" si="130"/>
        <v>6396</v>
      </c>
      <c r="AD64">
        <f t="shared" si="130"/>
        <v>6652</v>
      </c>
      <c r="AE64">
        <f t="shared" si="130"/>
        <v>6908</v>
      </c>
      <c r="AF64">
        <f t="shared" si="130"/>
        <v>7164</v>
      </c>
      <c r="AG64">
        <f t="shared" si="130"/>
        <v>7420</v>
      </c>
      <c r="AH64">
        <f t="shared" si="130"/>
        <v>7676</v>
      </c>
      <c r="AI64">
        <f t="shared" si="130"/>
        <v>7932</v>
      </c>
      <c r="AJ64">
        <f t="shared" si="130"/>
        <v>8188</v>
      </c>
      <c r="AK64">
        <f t="shared" si="130"/>
        <v>8444</v>
      </c>
      <c r="AL64">
        <f t="shared" si="130"/>
        <v>8700</v>
      </c>
      <c r="AM64">
        <f t="shared" si="130"/>
        <v>8956</v>
      </c>
      <c r="AN64">
        <f t="shared" si="130"/>
        <v>9212</v>
      </c>
      <c r="AO64">
        <f t="shared" si="130"/>
        <v>9468</v>
      </c>
      <c r="AP64">
        <f t="shared" si="130"/>
        <v>9724</v>
      </c>
      <c r="AQ64">
        <f t="shared" si="130"/>
        <v>9980</v>
      </c>
      <c r="AR64">
        <f t="shared" si="130"/>
        <v>10236</v>
      </c>
      <c r="AS64">
        <f t="shared" si="130"/>
        <v>10492</v>
      </c>
    </row>
    <row r="65">
      <c r="A65" s="14" t="s">
        <v>1035</v>
      </c>
      <c r="B65" s="53" t="str">
        <f t="shared" ref="B65:C65" si="131">DEC2HEX(HEX2DEC(A65)+1)</f>
        <v>BAD4F1</v>
      </c>
      <c r="C65" s="53" t="str">
        <f t="shared" si="131"/>
        <v>BAD4F2</v>
      </c>
      <c r="D65" s="14" t="s">
        <v>123</v>
      </c>
      <c r="E65" s="14">
        <v>256.0</v>
      </c>
      <c r="F65">
        <f t="shared" ref="F65:AS65" si="132">E65+256</f>
        <v>512</v>
      </c>
      <c r="G65">
        <f t="shared" si="132"/>
        <v>768</v>
      </c>
      <c r="H65">
        <f t="shared" si="132"/>
        <v>1024</v>
      </c>
      <c r="I65">
        <f t="shared" si="132"/>
        <v>1280</v>
      </c>
      <c r="J65">
        <f t="shared" si="132"/>
        <v>1536</v>
      </c>
      <c r="K65">
        <f t="shared" si="132"/>
        <v>1792</v>
      </c>
      <c r="L65">
        <f t="shared" si="132"/>
        <v>2048</v>
      </c>
      <c r="M65">
        <f t="shared" si="132"/>
        <v>2304</v>
      </c>
      <c r="N65">
        <f t="shared" si="132"/>
        <v>2560</v>
      </c>
      <c r="O65">
        <f t="shared" si="132"/>
        <v>2816</v>
      </c>
      <c r="P65">
        <f t="shared" si="132"/>
        <v>3072</v>
      </c>
      <c r="Q65">
        <f t="shared" si="132"/>
        <v>3328</v>
      </c>
      <c r="R65">
        <f t="shared" si="132"/>
        <v>3584</v>
      </c>
      <c r="S65">
        <f t="shared" si="132"/>
        <v>3840</v>
      </c>
      <c r="T65">
        <f t="shared" si="132"/>
        <v>4096</v>
      </c>
      <c r="U65">
        <f t="shared" si="132"/>
        <v>4352</v>
      </c>
      <c r="V65">
        <f t="shared" si="132"/>
        <v>4608</v>
      </c>
      <c r="W65">
        <f t="shared" si="132"/>
        <v>4864</v>
      </c>
      <c r="X65">
        <f t="shared" si="132"/>
        <v>5120</v>
      </c>
      <c r="Y65">
        <f t="shared" si="132"/>
        <v>5376</v>
      </c>
      <c r="Z65">
        <f t="shared" si="132"/>
        <v>5632</v>
      </c>
      <c r="AA65">
        <f t="shared" si="132"/>
        <v>5888</v>
      </c>
      <c r="AB65">
        <f t="shared" si="132"/>
        <v>6144</v>
      </c>
      <c r="AC65">
        <f t="shared" si="132"/>
        <v>6400</v>
      </c>
      <c r="AD65">
        <f t="shared" si="132"/>
        <v>6656</v>
      </c>
      <c r="AE65">
        <f t="shared" si="132"/>
        <v>6912</v>
      </c>
      <c r="AF65">
        <f t="shared" si="132"/>
        <v>7168</v>
      </c>
      <c r="AG65">
        <f t="shared" si="132"/>
        <v>7424</v>
      </c>
      <c r="AH65">
        <f t="shared" si="132"/>
        <v>7680</v>
      </c>
      <c r="AI65">
        <f t="shared" si="132"/>
        <v>7936</v>
      </c>
      <c r="AJ65">
        <f t="shared" si="132"/>
        <v>8192</v>
      </c>
      <c r="AK65">
        <f t="shared" si="132"/>
        <v>8448</v>
      </c>
      <c r="AL65">
        <f t="shared" si="132"/>
        <v>8704</v>
      </c>
      <c r="AM65">
        <f t="shared" si="132"/>
        <v>8960</v>
      </c>
      <c r="AN65">
        <f t="shared" si="132"/>
        <v>9216</v>
      </c>
      <c r="AO65">
        <f t="shared" si="132"/>
        <v>9472</v>
      </c>
      <c r="AP65">
        <f t="shared" si="132"/>
        <v>9728</v>
      </c>
      <c r="AQ65">
        <f t="shared" si="132"/>
        <v>9984</v>
      </c>
      <c r="AR65">
        <f t="shared" si="132"/>
        <v>10240</v>
      </c>
      <c r="AS65">
        <f t="shared" si="132"/>
        <v>10496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4125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4" max="4" width="37.75"/>
  </cols>
  <sheetData>
    <row r="1">
      <c r="A1" s="14" t="s">
        <v>1036</v>
      </c>
      <c r="B1" s="54" t="s">
        <v>1037</v>
      </c>
      <c r="C1" s="54" t="s">
        <v>1038</v>
      </c>
      <c r="D1" s="57" t="s">
        <v>926</v>
      </c>
      <c r="E1" s="58"/>
      <c r="F1" s="58"/>
    </row>
    <row r="2">
      <c r="A2" s="14">
        <v>255.0</v>
      </c>
      <c r="B2" s="54" t="s">
        <v>1039</v>
      </c>
      <c r="C2" s="54" t="str">
        <f t="shared" ref="C2:C257" si="1">DEC2HEX(HEX2DEC(B2)+1)</f>
        <v>B87E9D</v>
      </c>
      <c r="D2" s="59"/>
      <c r="E2" s="60"/>
      <c r="F2" s="60"/>
    </row>
    <row r="3">
      <c r="A3" s="14">
        <v>254.0</v>
      </c>
      <c r="B3" s="54" t="str">
        <f t="shared" ref="B3:B257" si="2">DEC2HEX(HEX2DEC(B2)-16)</f>
        <v>B87E8C</v>
      </c>
      <c r="C3" s="54" t="str">
        <f t="shared" si="1"/>
        <v>B87E8D</v>
      </c>
      <c r="D3" s="57"/>
      <c r="E3" s="61"/>
      <c r="F3" s="61"/>
      <c r="G3" s="62"/>
    </row>
    <row r="4">
      <c r="A4" s="14">
        <v>253.0</v>
      </c>
      <c r="B4" s="54" t="str">
        <f t="shared" si="2"/>
        <v>B87E7C</v>
      </c>
      <c r="C4" s="54" t="str">
        <f t="shared" si="1"/>
        <v>B87E7D</v>
      </c>
      <c r="D4" s="57"/>
      <c r="E4" s="61"/>
      <c r="F4" s="61"/>
      <c r="G4" s="62"/>
    </row>
    <row r="5">
      <c r="A5" s="14">
        <v>252.0</v>
      </c>
      <c r="B5" s="54" t="str">
        <f t="shared" si="2"/>
        <v>B87E6C</v>
      </c>
      <c r="C5" s="54" t="str">
        <f t="shared" si="1"/>
        <v>B87E6D</v>
      </c>
      <c r="D5" s="57"/>
      <c r="E5" s="62"/>
      <c r="F5" s="62"/>
      <c r="G5" s="62"/>
    </row>
    <row r="6">
      <c r="A6" s="14">
        <v>251.0</v>
      </c>
      <c r="B6" s="54" t="str">
        <f t="shared" si="2"/>
        <v>B87E5C</v>
      </c>
      <c r="C6" s="54" t="str">
        <f t="shared" si="1"/>
        <v>B87E5D</v>
      </c>
      <c r="D6" s="57"/>
      <c r="E6" s="62"/>
      <c r="F6" s="62"/>
      <c r="G6" s="62"/>
    </row>
    <row r="7">
      <c r="A7" s="14">
        <v>250.0</v>
      </c>
      <c r="B7" s="54" t="str">
        <f t="shared" si="2"/>
        <v>B87E4C</v>
      </c>
      <c r="C7" s="54" t="str">
        <f t="shared" si="1"/>
        <v>B87E4D</v>
      </c>
      <c r="D7" s="59"/>
    </row>
    <row r="8">
      <c r="A8" s="14">
        <v>249.0</v>
      </c>
      <c r="B8" s="54" t="str">
        <f t="shared" si="2"/>
        <v>B87E3C</v>
      </c>
      <c r="C8" s="54" t="str">
        <f t="shared" si="1"/>
        <v>B87E3D</v>
      </c>
      <c r="D8" s="59"/>
    </row>
    <row r="9">
      <c r="A9" s="14">
        <v>248.0</v>
      </c>
      <c r="B9" s="54" t="str">
        <f t="shared" si="2"/>
        <v>B87E2C</v>
      </c>
      <c r="C9" s="54" t="str">
        <f t="shared" si="1"/>
        <v>B87E2D</v>
      </c>
      <c r="D9" s="59"/>
    </row>
    <row r="10">
      <c r="A10" s="14">
        <v>247.0</v>
      </c>
      <c r="B10" s="54" t="str">
        <f t="shared" si="2"/>
        <v>B87E1C</v>
      </c>
      <c r="C10" s="54" t="str">
        <f t="shared" si="1"/>
        <v>B87E1D</v>
      </c>
      <c r="D10" s="59"/>
    </row>
    <row r="11">
      <c r="A11" s="14">
        <v>246.0</v>
      </c>
      <c r="B11" s="54" t="str">
        <f t="shared" si="2"/>
        <v>B87E0C</v>
      </c>
      <c r="C11" s="54" t="str">
        <f t="shared" si="1"/>
        <v>B87E0D</v>
      </c>
      <c r="D11" s="59"/>
    </row>
    <row r="12">
      <c r="A12" s="14">
        <v>245.0</v>
      </c>
      <c r="B12" s="54" t="str">
        <f t="shared" si="2"/>
        <v>B87DFC</v>
      </c>
      <c r="C12" s="54" t="str">
        <f t="shared" si="1"/>
        <v>B87DFD</v>
      </c>
      <c r="D12" s="59"/>
    </row>
    <row r="13">
      <c r="A13" s="14">
        <v>244.0</v>
      </c>
      <c r="B13" s="54" t="str">
        <f t="shared" si="2"/>
        <v>B87DEC</v>
      </c>
      <c r="C13" s="54" t="str">
        <f t="shared" si="1"/>
        <v>B87DED</v>
      </c>
      <c r="D13" s="59"/>
    </row>
    <row r="14">
      <c r="A14" s="14">
        <v>243.0</v>
      </c>
      <c r="B14" s="54" t="str">
        <f t="shared" si="2"/>
        <v>B87DDC</v>
      </c>
      <c r="C14" s="54" t="str">
        <f t="shared" si="1"/>
        <v>B87DDD</v>
      </c>
    </row>
    <row r="15">
      <c r="A15" s="14">
        <v>242.0</v>
      </c>
      <c r="B15" s="54" t="str">
        <f t="shared" si="2"/>
        <v>B87DCC</v>
      </c>
      <c r="C15" s="54" t="str">
        <f t="shared" si="1"/>
        <v>B87DCD</v>
      </c>
    </row>
    <row r="16">
      <c r="A16" s="14">
        <v>241.0</v>
      </c>
      <c r="B16" s="54" t="str">
        <f t="shared" si="2"/>
        <v>B87DBC</v>
      </c>
      <c r="C16" s="54" t="str">
        <f t="shared" si="1"/>
        <v>B87DBD</v>
      </c>
    </row>
    <row r="17">
      <c r="A17" s="14">
        <v>240.0</v>
      </c>
      <c r="B17" s="54" t="str">
        <f t="shared" si="2"/>
        <v>B87DAC</v>
      </c>
      <c r="C17" s="54" t="str">
        <f t="shared" si="1"/>
        <v>B87DAD</v>
      </c>
    </row>
    <row r="18">
      <c r="A18" s="14">
        <v>239.0</v>
      </c>
      <c r="B18" s="54" t="str">
        <f t="shared" si="2"/>
        <v>B87D9C</v>
      </c>
      <c r="C18" s="54" t="str">
        <f t="shared" si="1"/>
        <v>B87D9D</v>
      </c>
    </row>
    <row r="19">
      <c r="A19" s="14">
        <v>238.0</v>
      </c>
      <c r="B19" s="54" t="str">
        <f t="shared" si="2"/>
        <v>B87D8C</v>
      </c>
      <c r="C19" s="54" t="str">
        <f t="shared" si="1"/>
        <v>B87D8D</v>
      </c>
    </row>
    <row r="20">
      <c r="A20" s="14">
        <v>237.0</v>
      </c>
      <c r="B20" s="54" t="str">
        <f t="shared" si="2"/>
        <v>B87D7C</v>
      </c>
      <c r="C20" s="54" t="str">
        <f t="shared" si="1"/>
        <v>B87D7D</v>
      </c>
    </row>
    <row r="21">
      <c r="A21" s="14">
        <v>236.0</v>
      </c>
      <c r="B21" s="54" t="str">
        <f t="shared" si="2"/>
        <v>B87D6C</v>
      </c>
      <c r="C21" s="54" t="str">
        <f t="shared" si="1"/>
        <v>B87D6D</v>
      </c>
    </row>
    <row r="22">
      <c r="A22" s="14">
        <v>235.0</v>
      </c>
      <c r="B22" s="54" t="str">
        <f t="shared" si="2"/>
        <v>B87D5C</v>
      </c>
      <c r="C22" s="54" t="str">
        <f t="shared" si="1"/>
        <v>B87D5D</v>
      </c>
    </row>
    <row r="23">
      <c r="A23" s="14">
        <v>234.0</v>
      </c>
      <c r="B23" s="54" t="str">
        <f t="shared" si="2"/>
        <v>B87D4C</v>
      </c>
      <c r="C23" s="54" t="str">
        <f t="shared" si="1"/>
        <v>B87D4D</v>
      </c>
    </row>
    <row r="24">
      <c r="A24" s="14">
        <v>233.0</v>
      </c>
      <c r="B24" s="54" t="str">
        <f t="shared" si="2"/>
        <v>B87D3C</v>
      </c>
      <c r="C24" s="54" t="str">
        <f t="shared" si="1"/>
        <v>B87D3D</v>
      </c>
    </row>
    <row r="25">
      <c r="A25" s="14">
        <v>232.0</v>
      </c>
      <c r="B25" s="54" t="str">
        <f t="shared" si="2"/>
        <v>B87D2C</v>
      </c>
      <c r="C25" s="54" t="str">
        <f t="shared" si="1"/>
        <v>B87D2D</v>
      </c>
    </row>
    <row r="26">
      <c r="A26" s="14">
        <v>231.0</v>
      </c>
      <c r="B26" s="54" t="str">
        <f t="shared" si="2"/>
        <v>B87D1C</v>
      </c>
      <c r="C26" s="54" t="str">
        <f t="shared" si="1"/>
        <v>B87D1D</v>
      </c>
    </row>
    <row r="27">
      <c r="A27" s="14">
        <v>230.0</v>
      </c>
      <c r="B27" s="54" t="str">
        <f t="shared" si="2"/>
        <v>B87D0C</v>
      </c>
      <c r="C27" s="54" t="str">
        <f t="shared" si="1"/>
        <v>B87D0D</v>
      </c>
    </row>
    <row r="28">
      <c r="A28" s="14">
        <v>229.0</v>
      </c>
      <c r="B28" s="54" t="str">
        <f t="shared" si="2"/>
        <v>B87CFC</v>
      </c>
      <c r="C28" s="54" t="str">
        <f t="shared" si="1"/>
        <v>B87CFD</v>
      </c>
    </row>
    <row r="29">
      <c r="A29" s="14">
        <v>228.0</v>
      </c>
      <c r="B29" s="54" t="str">
        <f t="shared" si="2"/>
        <v>B87CEC</v>
      </c>
      <c r="C29" s="54" t="str">
        <f t="shared" si="1"/>
        <v>B87CED</v>
      </c>
    </row>
    <row r="30">
      <c r="A30" s="14">
        <v>227.0</v>
      </c>
      <c r="B30" s="54" t="str">
        <f t="shared" si="2"/>
        <v>B87CDC</v>
      </c>
      <c r="C30" s="54" t="str">
        <f t="shared" si="1"/>
        <v>B87CDD</v>
      </c>
    </row>
    <row r="31">
      <c r="A31" s="14">
        <v>226.0</v>
      </c>
      <c r="B31" s="54" t="str">
        <f t="shared" si="2"/>
        <v>B87CCC</v>
      </c>
      <c r="C31" s="54" t="str">
        <f t="shared" si="1"/>
        <v>B87CCD</v>
      </c>
    </row>
    <row r="32">
      <c r="A32" s="14">
        <v>225.0</v>
      </c>
      <c r="B32" s="54" t="str">
        <f t="shared" si="2"/>
        <v>B87CBC</v>
      </c>
      <c r="C32" s="54" t="str">
        <f t="shared" si="1"/>
        <v>B87CBD</v>
      </c>
    </row>
    <row r="33">
      <c r="A33" s="14">
        <v>224.0</v>
      </c>
      <c r="B33" s="54" t="str">
        <f t="shared" si="2"/>
        <v>B87CAC</v>
      </c>
      <c r="C33" s="54" t="str">
        <f t="shared" si="1"/>
        <v>B87CAD</v>
      </c>
    </row>
    <row r="34">
      <c r="A34" s="14">
        <v>223.0</v>
      </c>
      <c r="B34" s="54" t="str">
        <f t="shared" si="2"/>
        <v>B87C9C</v>
      </c>
      <c r="C34" s="54" t="str">
        <f t="shared" si="1"/>
        <v>B87C9D</v>
      </c>
    </row>
    <row r="35">
      <c r="A35" s="14">
        <v>222.0</v>
      </c>
      <c r="B35" s="54" t="str">
        <f t="shared" si="2"/>
        <v>B87C8C</v>
      </c>
      <c r="C35" s="54" t="str">
        <f t="shared" si="1"/>
        <v>B87C8D</v>
      </c>
    </row>
    <row r="36">
      <c r="A36" s="14">
        <v>221.0</v>
      </c>
      <c r="B36" s="54" t="str">
        <f t="shared" si="2"/>
        <v>B87C7C</v>
      </c>
      <c r="C36" s="54" t="str">
        <f t="shared" si="1"/>
        <v>B87C7D</v>
      </c>
    </row>
    <row r="37">
      <c r="A37" s="14">
        <v>220.0</v>
      </c>
      <c r="B37" s="54" t="str">
        <f t="shared" si="2"/>
        <v>B87C6C</v>
      </c>
      <c r="C37" s="54" t="str">
        <f t="shared" si="1"/>
        <v>B87C6D</v>
      </c>
    </row>
    <row r="38">
      <c r="A38" s="14">
        <v>219.0</v>
      </c>
      <c r="B38" s="54" t="str">
        <f t="shared" si="2"/>
        <v>B87C5C</v>
      </c>
      <c r="C38" s="54" t="str">
        <f t="shared" si="1"/>
        <v>B87C5D</v>
      </c>
    </row>
    <row r="39">
      <c r="A39" s="14">
        <v>218.0</v>
      </c>
      <c r="B39" s="54" t="str">
        <f t="shared" si="2"/>
        <v>B87C4C</v>
      </c>
      <c r="C39" s="54" t="str">
        <f t="shared" si="1"/>
        <v>B87C4D</v>
      </c>
    </row>
    <row r="40">
      <c r="A40" s="14">
        <v>217.0</v>
      </c>
      <c r="B40" s="54" t="str">
        <f t="shared" si="2"/>
        <v>B87C3C</v>
      </c>
      <c r="C40" s="54" t="str">
        <f t="shared" si="1"/>
        <v>B87C3D</v>
      </c>
    </row>
    <row r="41">
      <c r="A41" s="14">
        <v>216.0</v>
      </c>
      <c r="B41" s="54" t="str">
        <f t="shared" si="2"/>
        <v>B87C2C</v>
      </c>
      <c r="C41" s="54" t="str">
        <f t="shared" si="1"/>
        <v>B87C2D</v>
      </c>
    </row>
    <row r="42">
      <c r="A42" s="14">
        <v>215.0</v>
      </c>
      <c r="B42" s="54" t="str">
        <f t="shared" si="2"/>
        <v>B87C1C</v>
      </c>
      <c r="C42" s="54" t="str">
        <f t="shared" si="1"/>
        <v>B87C1D</v>
      </c>
    </row>
    <row r="43">
      <c r="A43" s="14">
        <v>214.0</v>
      </c>
      <c r="B43" s="54" t="str">
        <f t="shared" si="2"/>
        <v>B87C0C</v>
      </c>
      <c r="C43" s="54" t="str">
        <f t="shared" si="1"/>
        <v>B87C0D</v>
      </c>
    </row>
    <row r="44">
      <c r="A44" s="14">
        <v>213.0</v>
      </c>
      <c r="B44" s="54" t="str">
        <f t="shared" si="2"/>
        <v>B87BFC</v>
      </c>
      <c r="C44" s="54" t="str">
        <f t="shared" si="1"/>
        <v>B87BFD</v>
      </c>
    </row>
    <row r="45">
      <c r="A45" s="14">
        <v>212.0</v>
      </c>
      <c r="B45" s="54" t="str">
        <f t="shared" si="2"/>
        <v>B87BEC</v>
      </c>
      <c r="C45" s="54" t="str">
        <f t="shared" si="1"/>
        <v>B87BED</v>
      </c>
    </row>
    <row r="46">
      <c r="A46" s="14">
        <v>211.0</v>
      </c>
      <c r="B46" s="54" t="str">
        <f t="shared" si="2"/>
        <v>B87BDC</v>
      </c>
      <c r="C46" s="54" t="str">
        <f t="shared" si="1"/>
        <v>B87BDD</v>
      </c>
      <c r="D46" s="63"/>
    </row>
    <row r="47">
      <c r="A47" s="14">
        <v>210.0</v>
      </c>
      <c r="B47" s="54" t="str">
        <f t="shared" si="2"/>
        <v>B87BCC</v>
      </c>
      <c r="C47" s="54" t="str">
        <f t="shared" si="1"/>
        <v>B87BCD</v>
      </c>
      <c r="D47" s="64"/>
    </row>
    <row r="48">
      <c r="A48" s="14">
        <v>209.0</v>
      </c>
      <c r="B48" s="54" t="str">
        <f t="shared" si="2"/>
        <v>B87BBC</v>
      </c>
      <c r="C48" s="54" t="str">
        <f t="shared" si="1"/>
        <v>B87BBD</v>
      </c>
      <c r="D48" s="64"/>
    </row>
    <row r="49">
      <c r="A49" s="14">
        <v>208.0</v>
      </c>
      <c r="B49" s="54" t="str">
        <f t="shared" si="2"/>
        <v>B87BAC</v>
      </c>
      <c r="C49" s="54" t="str">
        <f t="shared" si="1"/>
        <v>B87BAD</v>
      </c>
      <c r="D49" s="64"/>
    </row>
    <row r="50">
      <c r="A50" s="14">
        <v>207.0</v>
      </c>
      <c r="B50" s="54" t="str">
        <f t="shared" si="2"/>
        <v>B87B9C</v>
      </c>
      <c r="C50" s="54" t="str">
        <f t="shared" si="1"/>
        <v>B87B9D</v>
      </c>
      <c r="D50" s="64"/>
    </row>
    <row r="51">
      <c r="A51" s="14">
        <v>206.0</v>
      </c>
      <c r="B51" s="54" t="str">
        <f t="shared" si="2"/>
        <v>B87B8C</v>
      </c>
      <c r="C51" s="54" t="str">
        <f t="shared" si="1"/>
        <v>B87B8D</v>
      </c>
      <c r="D51" s="64"/>
    </row>
    <row r="52">
      <c r="A52" s="14">
        <v>205.0</v>
      </c>
      <c r="B52" s="54" t="str">
        <f t="shared" si="2"/>
        <v>B87B7C</v>
      </c>
      <c r="C52" s="54" t="str">
        <f t="shared" si="1"/>
        <v>B87B7D</v>
      </c>
      <c r="D52" s="64"/>
    </row>
    <row r="53">
      <c r="A53" s="14">
        <v>204.0</v>
      </c>
      <c r="B53" s="54" t="str">
        <f t="shared" si="2"/>
        <v>B87B6C</v>
      </c>
      <c r="C53" s="54" t="str">
        <f t="shared" si="1"/>
        <v>B87B6D</v>
      </c>
      <c r="D53" s="64"/>
    </row>
    <row r="54">
      <c r="A54" s="14">
        <v>203.0</v>
      </c>
      <c r="B54" s="54" t="str">
        <f t="shared" si="2"/>
        <v>B87B5C</v>
      </c>
      <c r="C54" s="54" t="str">
        <f t="shared" si="1"/>
        <v>B87B5D</v>
      </c>
      <c r="D54" s="64"/>
    </row>
    <row r="55">
      <c r="A55" s="14">
        <v>202.0</v>
      </c>
      <c r="B55" s="54" t="str">
        <f t="shared" si="2"/>
        <v>B87B4C</v>
      </c>
      <c r="C55" s="54" t="str">
        <f t="shared" si="1"/>
        <v>B87B4D</v>
      </c>
      <c r="D55" s="64"/>
    </row>
    <row r="56">
      <c r="A56" s="14">
        <v>201.0</v>
      </c>
      <c r="B56" s="54" t="str">
        <f t="shared" si="2"/>
        <v>B87B3C</v>
      </c>
      <c r="C56" s="54" t="str">
        <f t="shared" si="1"/>
        <v>B87B3D</v>
      </c>
      <c r="D56" s="64"/>
    </row>
    <row r="57">
      <c r="A57" s="14">
        <v>200.0</v>
      </c>
      <c r="B57" s="54" t="str">
        <f t="shared" si="2"/>
        <v>B87B2C</v>
      </c>
      <c r="C57" s="54" t="str">
        <f t="shared" si="1"/>
        <v>B87B2D</v>
      </c>
      <c r="D57" s="64"/>
    </row>
    <row r="58">
      <c r="A58" s="14">
        <v>199.0</v>
      </c>
      <c r="B58" s="54" t="str">
        <f t="shared" si="2"/>
        <v>B87B1C</v>
      </c>
      <c r="C58" s="54" t="str">
        <f t="shared" si="1"/>
        <v>B87B1D</v>
      </c>
      <c r="D58" s="64"/>
    </row>
    <row r="59">
      <c r="A59" s="14">
        <v>198.0</v>
      </c>
      <c r="B59" s="54" t="str">
        <f t="shared" si="2"/>
        <v>B87B0C</v>
      </c>
      <c r="C59" s="54" t="str">
        <f t="shared" si="1"/>
        <v>B87B0D</v>
      </c>
      <c r="D59" s="64"/>
    </row>
    <row r="60">
      <c r="A60" s="14">
        <v>197.0</v>
      </c>
      <c r="B60" s="54" t="str">
        <f t="shared" si="2"/>
        <v>B87AFC</v>
      </c>
      <c r="C60" s="54" t="str">
        <f t="shared" si="1"/>
        <v>B87AFD</v>
      </c>
      <c r="D60" s="64"/>
    </row>
    <row r="61">
      <c r="A61" s="14">
        <v>196.0</v>
      </c>
      <c r="B61" s="54" t="str">
        <f t="shared" si="2"/>
        <v>B87AEC</v>
      </c>
      <c r="C61" s="54" t="str">
        <f t="shared" si="1"/>
        <v>B87AED</v>
      </c>
      <c r="D61" s="64"/>
    </row>
    <row r="62">
      <c r="A62" s="14">
        <v>195.0</v>
      </c>
      <c r="B62" s="54" t="str">
        <f t="shared" si="2"/>
        <v>B87ADC</v>
      </c>
      <c r="C62" s="54" t="str">
        <f t="shared" si="1"/>
        <v>B87ADD</v>
      </c>
      <c r="D62" s="64"/>
    </row>
    <row r="63">
      <c r="A63" s="14">
        <v>194.0</v>
      </c>
      <c r="B63" s="54" t="str">
        <f t="shared" si="2"/>
        <v>B87ACC</v>
      </c>
      <c r="C63" s="54" t="str">
        <f t="shared" si="1"/>
        <v>B87ACD</v>
      </c>
      <c r="D63" s="64"/>
    </row>
    <row r="64">
      <c r="A64" s="14">
        <v>193.0</v>
      </c>
      <c r="B64" s="54" t="str">
        <f t="shared" si="2"/>
        <v>B87ABC</v>
      </c>
      <c r="C64" s="54" t="str">
        <f t="shared" si="1"/>
        <v>B87ABD</v>
      </c>
      <c r="D64" s="64"/>
    </row>
    <row r="65">
      <c r="A65" s="14">
        <v>192.0</v>
      </c>
      <c r="B65" s="54" t="str">
        <f t="shared" si="2"/>
        <v>B87AAC</v>
      </c>
      <c r="C65" s="54" t="str">
        <f t="shared" si="1"/>
        <v>B87AAD</v>
      </c>
      <c r="D65" s="64"/>
    </row>
    <row r="66">
      <c r="A66" s="14">
        <v>191.0</v>
      </c>
      <c r="B66" s="54" t="str">
        <f t="shared" si="2"/>
        <v>B87A9C</v>
      </c>
      <c r="C66" s="54" t="str">
        <f t="shared" si="1"/>
        <v>B87A9D</v>
      </c>
      <c r="D66" s="64"/>
    </row>
    <row r="67">
      <c r="A67" s="14">
        <v>190.0</v>
      </c>
      <c r="B67" s="54" t="str">
        <f t="shared" si="2"/>
        <v>B87A8C</v>
      </c>
      <c r="C67" s="54" t="str">
        <f t="shared" si="1"/>
        <v>B87A8D</v>
      </c>
      <c r="D67" s="64"/>
    </row>
    <row r="68">
      <c r="A68" s="14">
        <v>189.0</v>
      </c>
      <c r="B68" s="54" t="str">
        <f t="shared" si="2"/>
        <v>B87A7C</v>
      </c>
      <c r="C68" s="54" t="str">
        <f t="shared" si="1"/>
        <v>B87A7D</v>
      </c>
      <c r="D68" s="64"/>
    </row>
    <row r="69">
      <c r="A69" s="14">
        <v>188.0</v>
      </c>
      <c r="B69" s="54" t="str">
        <f t="shared" si="2"/>
        <v>B87A6C</v>
      </c>
      <c r="C69" s="54" t="str">
        <f t="shared" si="1"/>
        <v>B87A6D</v>
      </c>
      <c r="D69" s="64"/>
    </row>
    <row r="70">
      <c r="A70" s="14">
        <v>187.0</v>
      </c>
      <c r="B70" s="54" t="str">
        <f t="shared" si="2"/>
        <v>B87A5C</v>
      </c>
      <c r="C70" s="54" t="str">
        <f t="shared" si="1"/>
        <v>B87A5D</v>
      </c>
      <c r="D70" s="64"/>
    </row>
    <row r="71">
      <c r="A71" s="14">
        <v>186.0</v>
      </c>
      <c r="B71" s="54" t="str">
        <f t="shared" si="2"/>
        <v>B87A4C</v>
      </c>
      <c r="C71" s="54" t="str">
        <f t="shared" si="1"/>
        <v>B87A4D</v>
      </c>
      <c r="D71" s="64"/>
    </row>
    <row r="72">
      <c r="A72" s="14">
        <v>185.0</v>
      </c>
      <c r="B72" s="54" t="str">
        <f t="shared" si="2"/>
        <v>B87A3C</v>
      </c>
      <c r="C72" s="54" t="str">
        <f t="shared" si="1"/>
        <v>B87A3D</v>
      </c>
      <c r="D72" s="64"/>
    </row>
    <row r="73">
      <c r="A73" s="14">
        <v>184.0</v>
      </c>
      <c r="B73" s="54" t="str">
        <f t="shared" si="2"/>
        <v>B87A2C</v>
      </c>
      <c r="C73" s="54" t="str">
        <f t="shared" si="1"/>
        <v>B87A2D</v>
      </c>
      <c r="D73" s="64"/>
    </row>
    <row r="74">
      <c r="A74" s="14">
        <v>183.0</v>
      </c>
      <c r="B74" s="54" t="str">
        <f t="shared" si="2"/>
        <v>B87A1C</v>
      </c>
      <c r="C74" s="54" t="str">
        <f t="shared" si="1"/>
        <v>B87A1D</v>
      </c>
      <c r="D74" s="64"/>
    </row>
    <row r="75">
      <c r="A75" s="14">
        <v>182.0</v>
      </c>
      <c r="B75" s="54" t="str">
        <f t="shared" si="2"/>
        <v>B87A0C</v>
      </c>
      <c r="C75" s="54" t="str">
        <f t="shared" si="1"/>
        <v>B87A0D</v>
      </c>
      <c r="D75" s="64"/>
    </row>
    <row r="76">
      <c r="A76" s="14">
        <v>181.0</v>
      </c>
      <c r="B76" s="54" t="str">
        <f t="shared" si="2"/>
        <v>B879FC</v>
      </c>
      <c r="C76" s="54" t="str">
        <f t="shared" si="1"/>
        <v>B879FD</v>
      </c>
      <c r="D76" s="64"/>
    </row>
    <row r="77">
      <c r="A77" s="14">
        <v>180.0</v>
      </c>
      <c r="B77" s="54" t="str">
        <f t="shared" si="2"/>
        <v>B879EC</v>
      </c>
      <c r="C77" s="54" t="str">
        <f t="shared" si="1"/>
        <v>B879ED</v>
      </c>
      <c r="D77" s="64"/>
    </row>
    <row r="78">
      <c r="A78" s="14">
        <v>179.0</v>
      </c>
      <c r="B78" s="54" t="str">
        <f t="shared" si="2"/>
        <v>B879DC</v>
      </c>
      <c r="C78" s="54" t="str">
        <f t="shared" si="1"/>
        <v>B879DD</v>
      </c>
    </row>
    <row r="79">
      <c r="A79" s="14">
        <v>178.0</v>
      </c>
      <c r="B79" s="54" t="str">
        <f t="shared" si="2"/>
        <v>B879CC</v>
      </c>
      <c r="C79" s="54" t="str">
        <f t="shared" si="1"/>
        <v>B879CD</v>
      </c>
    </row>
    <row r="80">
      <c r="A80" s="14">
        <v>177.0</v>
      </c>
      <c r="B80" s="54" t="str">
        <f t="shared" si="2"/>
        <v>B879BC</v>
      </c>
      <c r="C80" s="54" t="str">
        <f t="shared" si="1"/>
        <v>B879BD</v>
      </c>
    </row>
    <row r="81">
      <c r="A81" s="14">
        <v>176.0</v>
      </c>
      <c r="B81" s="54" t="str">
        <f t="shared" si="2"/>
        <v>B879AC</v>
      </c>
      <c r="C81" s="54" t="str">
        <f t="shared" si="1"/>
        <v>B879AD</v>
      </c>
    </row>
    <row r="82">
      <c r="A82" s="14">
        <v>175.0</v>
      </c>
      <c r="B82" s="54" t="str">
        <f t="shared" si="2"/>
        <v>B8799C</v>
      </c>
      <c r="C82" s="54" t="str">
        <f t="shared" si="1"/>
        <v>B8799D</v>
      </c>
    </row>
    <row r="83">
      <c r="A83" s="14">
        <v>174.0</v>
      </c>
      <c r="B83" s="54" t="str">
        <f t="shared" si="2"/>
        <v>B8798C</v>
      </c>
      <c r="C83" s="54" t="str">
        <f t="shared" si="1"/>
        <v>B8798D</v>
      </c>
    </row>
    <row r="84">
      <c r="A84" s="14">
        <v>173.0</v>
      </c>
      <c r="B84" s="54" t="str">
        <f t="shared" si="2"/>
        <v>B8797C</v>
      </c>
      <c r="C84" s="54" t="str">
        <f t="shared" si="1"/>
        <v>B8797D</v>
      </c>
    </row>
    <row r="85">
      <c r="A85" s="14">
        <v>172.0</v>
      </c>
      <c r="B85" s="54" t="str">
        <f t="shared" si="2"/>
        <v>B8796C</v>
      </c>
      <c r="C85" s="54" t="str">
        <f t="shared" si="1"/>
        <v>B8796D</v>
      </c>
    </row>
    <row r="86">
      <c r="A86" s="14">
        <v>171.0</v>
      </c>
      <c r="B86" s="54" t="str">
        <f t="shared" si="2"/>
        <v>B8795C</v>
      </c>
      <c r="C86" s="54" t="str">
        <f t="shared" si="1"/>
        <v>B8795D</v>
      </c>
    </row>
    <row r="87">
      <c r="A87" s="14">
        <v>170.0</v>
      </c>
      <c r="B87" s="54" t="str">
        <f t="shared" si="2"/>
        <v>B8794C</v>
      </c>
      <c r="C87" s="54" t="str">
        <f t="shared" si="1"/>
        <v>B8794D</v>
      </c>
    </row>
    <row r="88">
      <c r="A88" s="14">
        <v>169.0</v>
      </c>
      <c r="B88" s="54" t="str">
        <f t="shared" si="2"/>
        <v>B8793C</v>
      </c>
      <c r="C88" s="54" t="str">
        <f t="shared" si="1"/>
        <v>B8793D</v>
      </c>
    </row>
    <row r="89">
      <c r="A89" s="14">
        <v>168.0</v>
      </c>
      <c r="B89" s="54" t="str">
        <f t="shared" si="2"/>
        <v>B8792C</v>
      </c>
      <c r="C89" s="54" t="str">
        <f t="shared" si="1"/>
        <v>B8792D</v>
      </c>
    </row>
    <row r="90">
      <c r="A90" s="14">
        <v>167.0</v>
      </c>
      <c r="B90" s="54" t="str">
        <f t="shared" si="2"/>
        <v>B8791C</v>
      </c>
      <c r="C90" s="54" t="str">
        <f t="shared" si="1"/>
        <v>B8791D</v>
      </c>
    </row>
    <row r="91">
      <c r="A91" s="14">
        <v>166.0</v>
      </c>
      <c r="B91" s="54" t="str">
        <f t="shared" si="2"/>
        <v>B8790C</v>
      </c>
      <c r="C91" s="54" t="str">
        <f t="shared" si="1"/>
        <v>B8790D</v>
      </c>
    </row>
    <row r="92">
      <c r="A92" s="14">
        <v>165.0</v>
      </c>
      <c r="B92" s="54" t="str">
        <f t="shared" si="2"/>
        <v>B878FC</v>
      </c>
      <c r="C92" s="54" t="str">
        <f t="shared" si="1"/>
        <v>B878FD</v>
      </c>
    </row>
    <row r="93">
      <c r="A93" s="14">
        <v>164.0</v>
      </c>
      <c r="B93" s="54" t="str">
        <f t="shared" si="2"/>
        <v>B878EC</v>
      </c>
      <c r="C93" s="54" t="str">
        <f t="shared" si="1"/>
        <v>B878ED</v>
      </c>
    </row>
    <row r="94">
      <c r="A94" s="14">
        <v>163.0</v>
      </c>
      <c r="B94" s="54" t="str">
        <f t="shared" si="2"/>
        <v>B878DC</v>
      </c>
      <c r="C94" s="54" t="str">
        <f t="shared" si="1"/>
        <v>B878DD</v>
      </c>
    </row>
    <row r="95">
      <c r="A95" s="14">
        <v>162.0</v>
      </c>
      <c r="B95" s="54" t="str">
        <f t="shared" si="2"/>
        <v>B878CC</v>
      </c>
      <c r="C95" s="54" t="str">
        <f t="shared" si="1"/>
        <v>B878CD</v>
      </c>
    </row>
    <row r="96">
      <c r="A96" s="14">
        <v>161.0</v>
      </c>
      <c r="B96" s="54" t="str">
        <f t="shared" si="2"/>
        <v>B878BC</v>
      </c>
      <c r="C96" s="54" t="str">
        <f t="shared" si="1"/>
        <v>B878BD</v>
      </c>
    </row>
    <row r="97">
      <c r="A97" s="14">
        <v>160.0</v>
      </c>
      <c r="B97" s="54" t="str">
        <f t="shared" si="2"/>
        <v>B878AC</v>
      </c>
      <c r="C97" s="54" t="str">
        <f t="shared" si="1"/>
        <v>B878AD</v>
      </c>
    </row>
    <row r="98">
      <c r="A98" s="14">
        <v>159.0</v>
      </c>
      <c r="B98" s="54" t="str">
        <f t="shared" si="2"/>
        <v>B8789C</v>
      </c>
      <c r="C98" s="54" t="str">
        <f t="shared" si="1"/>
        <v>B8789D</v>
      </c>
    </row>
    <row r="99">
      <c r="A99" s="14">
        <v>158.0</v>
      </c>
      <c r="B99" s="54" t="str">
        <f t="shared" si="2"/>
        <v>B8788C</v>
      </c>
      <c r="C99" s="54" t="str">
        <f t="shared" si="1"/>
        <v>B8788D</v>
      </c>
    </row>
    <row r="100">
      <c r="A100" s="14">
        <v>157.0</v>
      </c>
      <c r="B100" s="54" t="str">
        <f t="shared" si="2"/>
        <v>B8787C</v>
      </c>
      <c r="C100" s="54" t="str">
        <f t="shared" si="1"/>
        <v>B8787D</v>
      </c>
    </row>
    <row r="101">
      <c r="A101" s="14">
        <v>156.0</v>
      </c>
      <c r="B101" s="54" t="str">
        <f t="shared" si="2"/>
        <v>B8786C</v>
      </c>
      <c r="C101" s="54" t="str">
        <f t="shared" si="1"/>
        <v>B8786D</v>
      </c>
    </row>
    <row r="102">
      <c r="A102" s="14">
        <v>155.0</v>
      </c>
      <c r="B102" s="54" t="str">
        <f t="shared" si="2"/>
        <v>B8785C</v>
      </c>
      <c r="C102" s="54" t="str">
        <f t="shared" si="1"/>
        <v>B8785D</v>
      </c>
    </row>
    <row r="103">
      <c r="A103" s="14">
        <v>154.0</v>
      </c>
      <c r="B103" s="54" t="str">
        <f t="shared" si="2"/>
        <v>B8784C</v>
      </c>
      <c r="C103" s="54" t="str">
        <f t="shared" si="1"/>
        <v>B8784D</v>
      </c>
    </row>
    <row r="104">
      <c r="A104" s="14">
        <v>153.0</v>
      </c>
      <c r="B104" s="54" t="str">
        <f t="shared" si="2"/>
        <v>B8783C</v>
      </c>
      <c r="C104" s="54" t="str">
        <f t="shared" si="1"/>
        <v>B8783D</v>
      </c>
    </row>
    <row r="105">
      <c r="A105" s="14">
        <v>152.0</v>
      </c>
      <c r="B105" s="54" t="str">
        <f t="shared" si="2"/>
        <v>B8782C</v>
      </c>
      <c r="C105" s="54" t="str">
        <f t="shared" si="1"/>
        <v>B8782D</v>
      </c>
    </row>
    <row r="106">
      <c r="A106" s="14">
        <v>151.0</v>
      </c>
      <c r="B106" s="54" t="str">
        <f t="shared" si="2"/>
        <v>B8781C</v>
      </c>
      <c r="C106" s="54" t="str">
        <f t="shared" si="1"/>
        <v>B8781D</v>
      </c>
    </row>
    <row r="107">
      <c r="A107" s="14">
        <v>150.0</v>
      </c>
      <c r="B107" s="54" t="str">
        <f t="shared" si="2"/>
        <v>B8780C</v>
      </c>
      <c r="C107" s="54" t="str">
        <f t="shared" si="1"/>
        <v>B8780D</v>
      </c>
    </row>
    <row r="108">
      <c r="A108" s="14">
        <v>149.0</v>
      </c>
      <c r="B108" s="54" t="str">
        <f t="shared" si="2"/>
        <v>B877FC</v>
      </c>
      <c r="C108" s="54" t="str">
        <f t="shared" si="1"/>
        <v>B877FD</v>
      </c>
    </row>
    <row r="109">
      <c r="A109" s="14">
        <v>148.0</v>
      </c>
      <c r="B109" s="54" t="str">
        <f t="shared" si="2"/>
        <v>B877EC</v>
      </c>
      <c r="C109" s="54" t="str">
        <f t="shared" si="1"/>
        <v>B877ED</v>
      </c>
    </row>
    <row r="110">
      <c r="A110" s="14">
        <v>147.0</v>
      </c>
      <c r="B110" s="54" t="str">
        <f t="shared" si="2"/>
        <v>B877DC</v>
      </c>
      <c r="C110" s="54" t="str">
        <f t="shared" si="1"/>
        <v>B877DD</v>
      </c>
      <c r="D110" s="64"/>
    </row>
    <row r="111">
      <c r="A111" s="14">
        <v>146.0</v>
      </c>
      <c r="B111" s="54" t="str">
        <f t="shared" si="2"/>
        <v>B877CC</v>
      </c>
      <c r="C111" s="54" t="str">
        <f t="shared" si="1"/>
        <v>B877CD</v>
      </c>
      <c r="D111" s="64"/>
    </row>
    <row r="112">
      <c r="A112" s="14">
        <v>145.0</v>
      </c>
      <c r="B112" s="54" t="str">
        <f t="shared" si="2"/>
        <v>B877BC</v>
      </c>
      <c r="C112" s="54" t="str">
        <f t="shared" si="1"/>
        <v>B877BD</v>
      </c>
      <c r="D112" s="64"/>
    </row>
    <row r="113">
      <c r="A113" s="14">
        <v>144.0</v>
      </c>
      <c r="B113" s="54" t="str">
        <f t="shared" si="2"/>
        <v>B877AC</v>
      </c>
      <c r="C113" s="54" t="str">
        <f t="shared" si="1"/>
        <v>B877AD</v>
      </c>
      <c r="D113" s="64"/>
    </row>
    <row r="114">
      <c r="A114" s="14">
        <v>143.0</v>
      </c>
      <c r="B114" s="54" t="str">
        <f t="shared" si="2"/>
        <v>B8779C</v>
      </c>
      <c r="C114" s="54" t="str">
        <f t="shared" si="1"/>
        <v>B8779D</v>
      </c>
      <c r="D114" s="64"/>
    </row>
    <row r="115">
      <c r="A115" s="14">
        <v>142.0</v>
      </c>
      <c r="B115" s="54" t="str">
        <f t="shared" si="2"/>
        <v>B8778C</v>
      </c>
      <c r="C115" s="54" t="str">
        <f t="shared" si="1"/>
        <v>B8778D</v>
      </c>
      <c r="D115" s="64"/>
    </row>
    <row r="116">
      <c r="A116" s="14">
        <v>141.0</v>
      </c>
      <c r="B116" s="54" t="str">
        <f t="shared" si="2"/>
        <v>B8777C</v>
      </c>
      <c r="C116" s="54" t="str">
        <f t="shared" si="1"/>
        <v>B8777D</v>
      </c>
      <c r="D116" s="64"/>
    </row>
    <row r="117">
      <c r="A117" s="14">
        <v>140.0</v>
      </c>
      <c r="B117" s="54" t="str">
        <f t="shared" si="2"/>
        <v>B8776C</v>
      </c>
      <c r="C117" s="54" t="str">
        <f t="shared" si="1"/>
        <v>B8776D</v>
      </c>
      <c r="D117" s="64"/>
      <c r="G117" s="14"/>
      <c r="H117" s="54"/>
      <c r="I117" s="14"/>
      <c r="J117" s="14"/>
    </row>
    <row r="118">
      <c r="A118" s="14">
        <v>139.0</v>
      </c>
      <c r="B118" s="54" t="str">
        <f t="shared" si="2"/>
        <v>B8775C</v>
      </c>
      <c r="C118" s="54" t="str">
        <f t="shared" si="1"/>
        <v>B8775D</v>
      </c>
      <c r="D118" s="64"/>
    </row>
    <row r="119">
      <c r="A119" s="14">
        <v>138.0</v>
      </c>
      <c r="B119" s="54" t="str">
        <f t="shared" si="2"/>
        <v>B8774C</v>
      </c>
      <c r="C119" s="54" t="str">
        <f t="shared" si="1"/>
        <v>B8774D</v>
      </c>
      <c r="D119" s="64"/>
    </row>
    <row r="120">
      <c r="A120" s="14">
        <v>137.0</v>
      </c>
      <c r="B120" s="54" t="str">
        <f t="shared" si="2"/>
        <v>B8773C</v>
      </c>
      <c r="C120" s="54" t="str">
        <f t="shared" si="1"/>
        <v>B8773D</v>
      </c>
      <c r="D120" s="64"/>
    </row>
    <row r="121">
      <c r="A121" s="14">
        <v>136.0</v>
      </c>
      <c r="B121" s="54" t="str">
        <f t="shared" si="2"/>
        <v>B8772C</v>
      </c>
      <c r="C121" s="54" t="str">
        <f t="shared" si="1"/>
        <v>B8772D</v>
      </c>
      <c r="D121" s="64"/>
    </row>
    <row r="122">
      <c r="A122" s="14">
        <v>135.0</v>
      </c>
      <c r="B122" s="54" t="str">
        <f t="shared" si="2"/>
        <v>B8771C</v>
      </c>
      <c r="C122" s="54" t="str">
        <f t="shared" si="1"/>
        <v>B8771D</v>
      </c>
      <c r="D122" s="64"/>
    </row>
    <row r="123">
      <c r="A123" s="14">
        <v>134.0</v>
      </c>
      <c r="B123" s="54" t="str">
        <f t="shared" si="2"/>
        <v>B8770C</v>
      </c>
      <c r="C123" s="54" t="str">
        <f t="shared" si="1"/>
        <v>B8770D</v>
      </c>
      <c r="D123" s="64"/>
    </row>
    <row r="124">
      <c r="A124" s="14">
        <v>133.0</v>
      </c>
      <c r="B124" s="54" t="str">
        <f t="shared" si="2"/>
        <v>B876FC</v>
      </c>
      <c r="C124" s="54" t="str">
        <f t="shared" si="1"/>
        <v>B876FD</v>
      </c>
      <c r="D124" s="64"/>
    </row>
    <row r="125">
      <c r="A125" s="14">
        <v>132.0</v>
      </c>
      <c r="B125" s="54" t="str">
        <f t="shared" si="2"/>
        <v>B876EC</v>
      </c>
      <c r="C125" s="54" t="str">
        <f t="shared" si="1"/>
        <v>B876ED</v>
      </c>
      <c r="D125" s="64"/>
    </row>
    <row r="126">
      <c r="A126" s="14">
        <v>131.0</v>
      </c>
      <c r="B126" s="54" t="str">
        <f t="shared" si="2"/>
        <v>B876DC</v>
      </c>
      <c r="C126" s="54" t="str">
        <f t="shared" si="1"/>
        <v>B876DD</v>
      </c>
      <c r="D126" s="64"/>
    </row>
    <row r="127">
      <c r="A127" s="14">
        <v>130.0</v>
      </c>
      <c r="B127" s="54" t="str">
        <f t="shared" si="2"/>
        <v>B876CC</v>
      </c>
      <c r="C127" s="54" t="str">
        <f t="shared" si="1"/>
        <v>B876CD</v>
      </c>
      <c r="D127" s="64"/>
    </row>
    <row r="128">
      <c r="A128" s="14">
        <v>129.0</v>
      </c>
      <c r="B128" s="54" t="str">
        <f t="shared" si="2"/>
        <v>B876BC</v>
      </c>
      <c r="C128" s="54" t="str">
        <f t="shared" si="1"/>
        <v>B876BD</v>
      </c>
      <c r="D128" s="64"/>
    </row>
    <row r="129">
      <c r="A129" s="14">
        <v>128.0</v>
      </c>
      <c r="B129" s="54" t="str">
        <f t="shared" si="2"/>
        <v>B876AC</v>
      </c>
      <c r="C129" s="54" t="str">
        <f t="shared" si="1"/>
        <v>B876AD</v>
      </c>
      <c r="D129" s="64"/>
    </row>
    <row r="130">
      <c r="A130" s="14">
        <v>127.0</v>
      </c>
      <c r="B130" s="54" t="str">
        <f t="shared" si="2"/>
        <v>B8769C</v>
      </c>
      <c r="C130" s="54" t="str">
        <f t="shared" si="1"/>
        <v>B8769D</v>
      </c>
      <c r="D130" s="47"/>
    </row>
    <row r="131">
      <c r="A131" s="14">
        <v>126.0</v>
      </c>
      <c r="B131" s="54" t="str">
        <f t="shared" si="2"/>
        <v>B8768C</v>
      </c>
      <c r="C131" s="54" t="str">
        <f t="shared" si="1"/>
        <v>B8768D</v>
      </c>
      <c r="D131" s="47"/>
    </row>
    <row r="132">
      <c r="A132" s="14">
        <v>125.0</v>
      </c>
      <c r="B132" s="54" t="str">
        <f t="shared" si="2"/>
        <v>B8767C</v>
      </c>
      <c r="C132" s="54" t="str">
        <f t="shared" si="1"/>
        <v>B8767D</v>
      </c>
      <c r="D132" s="47"/>
    </row>
    <row r="133">
      <c r="A133" s="14">
        <v>124.0</v>
      </c>
      <c r="B133" s="54" t="str">
        <f t="shared" si="2"/>
        <v>B8766C</v>
      </c>
      <c r="C133" s="54" t="str">
        <f t="shared" si="1"/>
        <v>B8766D</v>
      </c>
      <c r="D133" s="47"/>
    </row>
    <row r="134">
      <c r="A134" s="14">
        <v>123.0</v>
      </c>
      <c r="B134" s="54" t="str">
        <f t="shared" si="2"/>
        <v>B8765C</v>
      </c>
      <c r="C134" s="54" t="str">
        <f t="shared" si="1"/>
        <v>B8765D</v>
      </c>
      <c r="D134" s="47"/>
    </row>
    <row r="135">
      <c r="A135" s="14">
        <v>122.0</v>
      </c>
      <c r="B135" s="54" t="str">
        <f t="shared" si="2"/>
        <v>B8764C</v>
      </c>
      <c r="C135" s="54" t="str">
        <f t="shared" si="1"/>
        <v>B8764D</v>
      </c>
      <c r="D135" s="47"/>
    </row>
    <row r="136">
      <c r="A136" s="14">
        <v>121.0</v>
      </c>
      <c r="B136" s="54" t="str">
        <f t="shared" si="2"/>
        <v>B8763C</v>
      </c>
      <c r="C136" s="54" t="str">
        <f t="shared" si="1"/>
        <v>B8763D</v>
      </c>
      <c r="D136" s="47"/>
    </row>
    <row r="137">
      <c r="A137" s="14">
        <v>120.0</v>
      </c>
      <c r="B137" s="54" t="str">
        <f t="shared" si="2"/>
        <v>B8762C</v>
      </c>
      <c r="C137" s="54" t="str">
        <f t="shared" si="1"/>
        <v>B8762D</v>
      </c>
      <c r="D137" s="47"/>
    </row>
    <row r="138">
      <c r="A138" s="14">
        <v>119.0</v>
      </c>
      <c r="B138" s="54" t="str">
        <f t="shared" si="2"/>
        <v>B8761C</v>
      </c>
      <c r="C138" s="54" t="str">
        <f t="shared" si="1"/>
        <v>B8761D</v>
      </c>
      <c r="D138" s="47"/>
    </row>
    <row r="139">
      <c r="A139" s="14">
        <v>118.0</v>
      </c>
      <c r="B139" s="54" t="str">
        <f t="shared" si="2"/>
        <v>B8760C</v>
      </c>
      <c r="C139" s="54" t="str">
        <f t="shared" si="1"/>
        <v>B8760D</v>
      </c>
      <c r="D139" s="47"/>
    </row>
    <row r="140">
      <c r="A140" s="14">
        <v>117.0</v>
      </c>
      <c r="B140" s="54" t="str">
        <f t="shared" si="2"/>
        <v>B875FC</v>
      </c>
      <c r="C140" s="54" t="str">
        <f t="shared" si="1"/>
        <v>B875FD</v>
      </c>
      <c r="D140" s="47"/>
    </row>
    <row r="141">
      <c r="A141" s="14">
        <v>116.0</v>
      </c>
      <c r="B141" s="54" t="str">
        <f t="shared" si="2"/>
        <v>B875EC</v>
      </c>
      <c r="C141" s="54" t="str">
        <f t="shared" si="1"/>
        <v>B875ED</v>
      </c>
      <c r="D141" s="47"/>
    </row>
    <row r="142">
      <c r="A142" s="14">
        <v>115.0</v>
      </c>
      <c r="B142" s="54" t="str">
        <f t="shared" si="2"/>
        <v>B875DC</v>
      </c>
      <c r="C142" s="54" t="str">
        <f t="shared" si="1"/>
        <v>B875DD</v>
      </c>
      <c r="D142" s="47"/>
    </row>
    <row r="143">
      <c r="A143" s="14">
        <v>114.0</v>
      </c>
      <c r="B143" s="54" t="str">
        <f t="shared" si="2"/>
        <v>B875CC</v>
      </c>
      <c r="C143" s="54" t="str">
        <f t="shared" si="1"/>
        <v>B875CD</v>
      </c>
      <c r="D143" s="47"/>
    </row>
    <row r="144">
      <c r="A144" s="14">
        <v>113.0</v>
      </c>
      <c r="B144" s="54" t="str">
        <f t="shared" si="2"/>
        <v>B875BC</v>
      </c>
      <c r="C144" s="54" t="str">
        <f t="shared" si="1"/>
        <v>B875BD</v>
      </c>
      <c r="D144" s="47"/>
    </row>
    <row r="145">
      <c r="A145" s="14">
        <v>112.0</v>
      </c>
      <c r="B145" s="54" t="str">
        <f t="shared" si="2"/>
        <v>B875AC</v>
      </c>
      <c r="C145" s="54" t="str">
        <f t="shared" si="1"/>
        <v>B875AD</v>
      </c>
      <c r="D145" s="47"/>
    </row>
    <row r="146">
      <c r="A146" s="14">
        <v>111.0</v>
      </c>
      <c r="B146" s="54" t="str">
        <f t="shared" si="2"/>
        <v>B8759C</v>
      </c>
      <c r="C146" s="54" t="str">
        <f t="shared" si="1"/>
        <v>B8759D</v>
      </c>
      <c r="D146" s="47"/>
    </row>
    <row r="147">
      <c r="A147" s="14">
        <v>110.0</v>
      </c>
      <c r="B147" s="54" t="str">
        <f t="shared" si="2"/>
        <v>B8758C</v>
      </c>
      <c r="C147" s="54" t="str">
        <f t="shared" si="1"/>
        <v>B8758D</v>
      </c>
      <c r="D147" s="47"/>
    </row>
    <row r="148">
      <c r="A148" s="14">
        <v>109.0</v>
      </c>
      <c r="B148" s="54" t="str">
        <f t="shared" si="2"/>
        <v>B8757C</v>
      </c>
      <c r="C148" s="54" t="str">
        <f t="shared" si="1"/>
        <v>B8757D</v>
      </c>
      <c r="D148" s="47"/>
    </row>
    <row r="149">
      <c r="A149" s="14">
        <v>108.0</v>
      </c>
      <c r="B149" s="54" t="str">
        <f t="shared" si="2"/>
        <v>B8756C</v>
      </c>
      <c r="C149" s="54" t="str">
        <f t="shared" si="1"/>
        <v>B8756D</v>
      </c>
      <c r="D149" s="47"/>
    </row>
    <row r="150">
      <c r="A150" s="14">
        <v>107.0</v>
      </c>
      <c r="B150" s="54" t="str">
        <f t="shared" si="2"/>
        <v>B8755C</v>
      </c>
      <c r="C150" s="54" t="str">
        <f t="shared" si="1"/>
        <v>B8755D</v>
      </c>
      <c r="D150" s="47"/>
    </row>
    <row r="151">
      <c r="A151" s="14">
        <v>106.0</v>
      </c>
      <c r="B151" s="54" t="str">
        <f t="shared" si="2"/>
        <v>B8754C</v>
      </c>
      <c r="C151" s="54" t="str">
        <f t="shared" si="1"/>
        <v>B8754D</v>
      </c>
      <c r="D151" s="47"/>
    </row>
    <row r="152">
      <c r="A152" s="14">
        <v>105.0</v>
      </c>
      <c r="B152" s="54" t="str">
        <f t="shared" si="2"/>
        <v>B8753C</v>
      </c>
      <c r="C152" s="54" t="str">
        <f t="shared" si="1"/>
        <v>B8753D</v>
      </c>
      <c r="D152" s="47"/>
    </row>
    <row r="153">
      <c r="A153" s="14">
        <v>104.0</v>
      </c>
      <c r="B153" s="54" t="str">
        <f t="shared" si="2"/>
        <v>B8752C</v>
      </c>
      <c r="C153" s="54" t="str">
        <f t="shared" si="1"/>
        <v>B8752D</v>
      </c>
      <c r="D153" s="47"/>
    </row>
    <row r="154">
      <c r="A154" s="14">
        <v>103.0</v>
      </c>
      <c r="B154" s="54" t="str">
        <f t="shared" si="2"/>
        <v>B8751C</v>
      </c>
      <c r="C154" s="54" t="str">
        <f t="shared" si="1"/>
        <v>B8751D</v>
      </c>
      <c r="D154" s="47"/>
    </row>
    <row r="155">
      <c r="A155" s="14">
        <v>102.0</v>
      </c>
      <c r="B155" s="54" t="str">
        <f t="shared" si="2"/>
        <v>B8750C</v>
      </c>
      <c r="C155" s="54" t="str">
        <f t="shared" si="1"/>
        <v>B8750D</v>
      </c>
      <c r="D155" s="47"/>
    </row>
    <row r="156">
      <c r="A156" s="14">
        <v>101.0</v>
      </c>
      <c r="B156" s="54" t="str">
        <f t="shared" si="2"/>
        <v>B874FC</v>
      </c>
      <c r="C156" s="54" t="str">
        <f t="shared" si="1"/>
        <v>B874FD</v>
      </c>
      <c r="D156" s="47"/>
    </row>
    <row r="157">
      <c r="A157" s="14">
        <v>100.0</v>
      </c>
      <c r="B157" s="54" t="str">
        <f t="shared" si="2"/>
        <v>B874EC</v>
      </c>
      <c r="C157" s="54" t="str">
        <f t="shared" si="1"/>
        <v>B874ED</v>
      </c>
      <c r="D157" s="47"/>
    </row>
    <row r="158">
      <c r="A158" s="14">
        <v>99.0</v>
      </c>
      <c r="B158" s="54" t="str">
        <f t="shared" si="2"/>
        <v>B874DC</v>
      </c>
      <c r="C158" s="54" t="str">
        <f t="shared" si="1"/>
        <v>B874DD</v>
      </c>
      <c r="D158" s="47"/>
    </row>
    <row r="159">
      <c r="A159" s="14">
        <v>98.0</v>
      </c>
      <c r="B159" s="54" t="str">
        <f t="shared" si="2"/>
        <v>B874CC</v>
      </c>
      <c r="C159" s="54" t="str">
        <f t="shared" si="1"/>
        <v>B874CD</v>
      </c>
      <c r="D159" s="47"/>
    </row>
    <row r="160">
      <c r="A160" s="14">
        <v>97.0</v>
      </c>
      <c r="B160" s="54" t="str">
        <f t="shared" si="2"/>
        <v>B874BC</v>
      </c>
      <c r="C160" s="54" t="str">
        <f t="shared" si="1"/>
        <v>B874BD</v>
      </c>
      <c r="D160" s="47"/>
    </row>
    <row r="161">
      <c r="A161" s="14">
        <v>96.0</v>
      </c>
      <c r="B161" s="54" t="str">
        <f t="shared" si="2"/>
        <v>B874AC</v>
      </c>
      <c r="C161" s="54" t="str">
        <f t="shared" si="1"/>
        <v>B874AD</v>
      </c>
      <c r="D161" s="47"/>
    </row>
    <row r="162">
      <c r="A162" s="14">
        <v>95.0</v>
      </c>
      <c r="B162" s="54" t="str">
        <f t="shared" si="2"/>
        <v>B8749C</v>
      </c>
      <c r="C162" s="54" t="str">
        <f t="shared" si="1"/>
        <v>B8749D</v>
      </c>
      <c r="D162" s="47"/>
    </row>
    <row r="163">
      <c r="A163" s="14">
        <v>94.0</v>
      </c>
      <c r="B163" s="54" t="str">
        <f t="shared" si="2"/>
        <v>B8748C</v>
      </c>
      <c r="C163" s="54" t="str">
        <f t="shared" si="1"/>
        <v>B8748D</v>
      </c>
      <c r="D163" s="47"/>
    </row>
    <row r="164">
      <c r="A164" s="14">
        <v>93.0</v>
      </c>
      <c r="B164" s="54" t="str">
        <f t="shared" si="2"/>
        <v>B8747C</v>
      </c>
      <c r="C164" s="54" t="str">
        <f t="shared" si="1"/>
        <v>B8747D</v>
      </c>
      <c r="D164" s="47"/>
    </row>
    <row r="165">
      <c r="A165" s="14">
        <v>92.0</v>
      </c>
      <c r="B165" s="54" t="str">
        <f t="shared" si="2"/>
        <v>B8746C</v>
      </c>
      <c r="C165" s="54" t="str">
        <f t="shared" si="1"/>
        <v>B8746D</v>
      </c>
      <c r="D165" s="47"/>
    </row>
    <row r="166">
      <c r="A166" s="14">
        <v>91.0</v>
      </c>
      <c r="B166" s="54" t="str">
        <f t="shared" si="2"/>
        <v>B8745C</v>
      </c>
      <c r="C166" s="54" t="str">
        <f t="shared" si="1"/>
        <v>B8745D</v>
      </c>
      <c r="D166" s="47"/>
    </row>
    <row r="167">
      <c r="A167" s="14">
        <v>90.0</v>
      </c>
      <c r="B167" s="54" t="str">
        <f t="shared" si="2"/>
        <v>B8744C</v>
      </c>
      <c r="C167" s="54" t="str">
        <f t="shared" si="1"/>
        <v>B8744D</v>
      </c>
      <c r="D167" s="47"/>
    </row>
    <row r="168">
      <c r="A168" s="14">
        <v>89.0</v>
      </c>
      <c r="B168" s="54" t="str">
        <f t="shared" si="2"/>
        <v>B8743C</v>
      </c>
      <c r="C168" s="54" t="str">
        <f t="shared" si="1"/>
        <v>B8743D</v>
      </c>
      <c r="D168" s="47"/>
    </row>
    <row r="169">
      <c r="A169" s="14">
        <v>88.0</v>
      </c>
      <c r="B169" s="54" t="str">
        <f t="shared" si="2"/>
        <v>B8742C</v>
      </c>
      <c r="C169" s="54" t="str">
        <f t="shared" si="1"/>
        <v>B8742D</v>
      </c>
      <c r="D169" s="47"/>
    </row>
    <row r="170">
      <c r="A170" s="14">
        <v>87.0</v>
      </c>
      <c r="B170" s="54" t="str">
        <f t="shared" si="2"/>
        <v>B8741C</v>
      </c>
      <c r="C170" s="54" t="str">
        <f t="shared" si="1"/>
        <v>B8741D</v>
      </c>
      <c r="D170" s="47"/>
    </row>
    <row r="171">
      <c r="A171" s="14">
        <v>86.0</v>
      </c>
      <c r="B171" s="54" t="str">
        <f t="shared" si="2"/>
        <v>B8740C</v>
      </c>
      <c r="C171" s="54" t="str">
        <f t="shared" si="1"/>
        <v>B8740D</v>
      </c>
      <c r="D171" s="47"/>
    </row>
    <row r="172">
      <c r="A172" s="14">
        <v>85.0</v>
      </c>
      <c r="B172" s="54" t="str">
        <f t="shared" si="2"/>
        <v>B873FC</v>
      </c>
      <c r="C172" s="54" t="str">
        <f t="shared" si="1"/>
        <v>B873FD</v>
      </c>
      <c r="D172" s="47"/>
    </row>
    <row r="173">
      <c r="A173" s="14">
        <v>84.0</v>
      </c>
      <c r="B173" s="54" t="str">
        <f t="shared" si="2"/>
        <v>B873EC</v>
      </c>
      <c r="C173" s="54" t="str">
        <f t="shared" si="1"/>
        <v>B873ED</v>
      </c>
      <c r="D173" s="47"/>
    </row>
    <row r="174">
      <c r="A174" s="14">
        <v>83.0</v>
      </c>
      <c r="B174" s="54" t="str">
        <f t="shared" si="2"/>
        <v>B873DC</v>
      </c>
      <c r="C174" s="54" t="str">
        <f t="shared" si="1"/>
        <v>B873DD</v>
      </c>
      <c r="D174" s="47"/>
    </row>
    <row r="175">
      <c r="A175" s="14">
        <v>82.0</v>
      </c>
      <c r="B175" s="54" t="str">
        <f t="shared" si="2"/>
        <v>B873CC</v>
      </c>
      <c r="C175" s="54" t="str">
        <f t="shared" si="1"/>
        <v>B873CD</v>
      </c>
      <c r="D175" s="47"/>
    </row>
    <row r="176">
      <c r="A176" s="14">
        <v>81.0</v>
      </c>
      <c r="B176" s="54" t="str">
        <f t="shared" si="2"/>
        <v>B873BC</v>
      </c>
      <c r="C176" s="54" t="str">
        <f t="shared" si="1"/>
        <v>B873BD</v>
      </c>
      <c r="D176" s="47"/>
    </row>
    <row r="177">
      <c r="A177" s="14">
        <v>80.0</v>
      </c>
      <c r="B177" s="54" t="str">
        <f t="shared" si="2"/>
        <v>B873AC</v>
      </c>
      <c r="C177" s="54" t="str">
        <f t="shared" si="1"/>
        <v>B873AD</v>
      </c>
      <c r="D177" s="47"/>
    </row>
    <row r="178">
      <c r="A178" s="14">
        <v>79.0</v>
      </c>
      <c r="B178" s="54" t="str">
        <f t="shared" si="2"/>
        <v>B8739C</v>
      </c>
      <c r="C178" s="54" t="str">
        <f t="shared" si="1"/>
        <v>B8739D</v>
      </c>
      <c r="D178" s="47"/>
    </row>
    <row r="179">
      <c r="A179" s="14">
        <v>78.0</v>
      </c>
      <c r="B179" s="54" t="str">
        <f t="shared" si="2"/>
        <v>B8738C</v>
      </c>
      <c r="C179" s="54" t="str">
        <f t="shared" si="1"/>
        <v>B8738D</v>
      </c>
      <c r="D179" s="47"/>
    </row>
    <row r="180">
      <c r="A180" s="14">
        <v>77.0</v>
      </c>
      <c r="B180" s="54" t="str">
        <f t="shared" si="2"/>
        <v>B8737C</v>
      </c>
      <c r="C180" s="54" t="str">
        <f t="shared" si="1"/>
        <v>B8737D</v>
      </c>
      <c r="D180" s="47"/>
    </row>
    <row r="181">
      <c r="A181" s="14">
        <v>76.0</v>
      </c>
      <c r="B181" s="54" t="str">
        <f t="shared" si="2"/>
        <v>B8736C</v>
      </c>
      <c r="C181" s="54" t="str">
        <f t="shared" si="1"/>
        <v>B8736D</v>
      </c>
      <c r="D181" s="47"/>
    </row>
    <row r="182">
      <c r="A182" s="14">
        <v>75.0</v>
      </c>
      <c r="B182" s="54" t="str">
        <f t="shared" si="2"/>
        <v>B8735C</v>
      </c>
      <c r="C182" s="54" t="str">
        <f t="shared" si="1"/>
        <v>B8735D</v>
      </c>
      <c r="D182" s="47"/>
    </row>
    <row r="183">
      <c r="A183" s="14">
        <v>74.0</v>
      </c>
      <c r="B183" s="54" t="str">
        <f t="shared" si="2"/>
        <v>B8734C</v>
      </c>
      <c r="C183" s="54" t="str">
        <f t="shared" si="1"/>
        <v>B8734D</v>
      </c>
      <c r="D183" s="47"/>
    </row>
    <row r="184">
      <c r="A184" s="14">
        <v>73.0</v>
      </c>
      <c r="B184" s="54" t="str">
        <f t="shared" si="2"/>
        <v>B8733C</v>
      </c>
      <c r="C184" s="54" t="str">
        <f t="shared" si="1"/>
        <v>B8733D</v>
      </c>
      <c r="D184" s="47"/>
    </row>
    <row r="185">
      <c r="A185" s="14">
        <v>72.0</v>
      </c>
      <c r="B185" s="54" t="str">
        <f t="shared" si="2"/>
        <v>B8732C</v>
      </c>
      <c r="C185" s="54" t="str">
        <f t="shared" si="1"/>
        <v>B8732D</v>
      </c>
      <c r="D185" s="47"/>
    </row>
    <row r="186">
      <c r="A186" s="14">
        <v>71.0</v>
      </c>
      <c r="B186" s="54" t="str">
        <f t="shared" si="2"/>
        <v>B8731C</v>
      </c>
      <c r="C186" s="54" t="str">
        <f t="shared" si="1"/>
        <v>B8731D</v>
      </c>
      <c r="D186" s="47"/>
    </row>
    <row r="187">
      <c r="A187" s="14">
        <v>70.0</v>
      </c>
      <c r="B187" s="54" t="str">
        <f t="shared" si="2"/>
        <v>B8730C</v>
      </c>
      <c r="C187" s="54" t="str">
        <f t="shared" si="1"/>
        <v>B8730D</v>
      </c>
      <c r="D187" s="47"/>
    </row>
    <row r="188">
      <c r="A188" s="14">
        <v>69.0</v>
      </c>
      <c r="B188" s="54" t="str">
        <f t="shared" si="2"/>
        <v>B872FC</v>
      </c>
      <c r="C188" s="54" t="str">
        <f t="shared" si="1"/>
        <v>B872FD</v>
      </c>
      <c r="D188" s="47"/>
    </row>
    <row r="189">
      <c r="A189" s="14">
        <v>68.0</v>
      </c>
      <c r="B189" s="54" t="str">
        <f t="shared" si="2"/>
        <v>B872EC</v>
      </c>
      <c r="C189" s="54" t="str">
        <f t="shared" si="1"/>
        <v>B872ED</v>
      </c>
      <c r="D189" s="47"/>
    </row>
    <row r="190">
      <c r="A190" s="14">
        <v>67.0</v>
      </c>
      <c r="B190" s="54" t="str">
        <f t="shared" si="2"/>
        <v>B872DC</v>
      </c>
      <c r="C190" s="54" t="str">
        <f t="shared" si="1"/>
        <v>B872DD</v>
      </c>
      <c r="D190" s="47"/>
    </row>
    <row r="191">
      <c r="A191" s="14">
        <v>66.0</v>
      </c>
      <c r="B191" s="54" t="str">
        <f t="shared" si="2"/>
        <v>B872CC</v>
      </c>
      <c r="C191" s="54" t="str">
        <f t="shared" si="1"/>
        <v>B872CD</v>
      </c>
      <c r="D191" s="47"/>
    </row>
    <row r="192">
      <c r="A192" s="14">
        <v>65.0</v>
      </c>
      <c r="B192" s="54" t="str">
        <f t="shared" si="2"/>
        <v>B872BC</v>
      </c>
      <c r="C192" s="54" t="str">
        <f t="shared" si="1"/>
        <v>B872BD</v>
      </c>
      <c r="D192" s="47"/>
    </row>
    <row r="193">
      <c r="A193" s="14">
        <v>64.0</v>
      </c>
      <c r="B193" s="54" t="str">
        <f t="shared" si="2"/>
        <v>B872AC</v>
      </c>
      <c r="C193" s="54" t="str">
        <f t="shared" si="1"/>
        <v>B872AD</v>
      </c>
      <c r="D193" s="47"/>
    </row>
    <row r="194">
      <c r="A194" s="14">
        <v>63.0</v>
      </c>
      <c r="B194" s="54" t="str">
        <f t="shared" si="2"/>
        <v>B8729C</v>
      </c>
      <c r="C194" s="54" t="str">
        <f t="shared" si="1"/>
        <v>B8729D</v>
      </c>
      <c r="D194" s="47"/>
    </row>
    <row r="195">
      <c r="A195" s="14">
        <v>62.0</v>
      </c>
      <c r="B195" s="54" t="str">
        <f t="shared" si="2"/>
        <v>B8728C</v>
      </c>
      <c r="C195" s="54" t="str">
        <f t="shared" si="1"/>
        <v>B8728D</v>
      </c>
      <c r="D195" s="47"/>
    </row>
    <row r="196">
      <c r="A196" s="14">
        <v>61.0</v>
      </c>
      <c r="B196" s="54" t="str">
        <f t="shared" si="2"/>
        <v>B8727C</v>
      </c>
      <c r="C196" s="54" t="str">
        <f t="shared" si="1"/>
        <v>B8727D</v>
      </c>
      <c r="D196" s="47"/>
    </row>
    <row r="197">
      <c r="A197" s="14">
        <v>60.0</v>
      </c>
      <c r="B197" s="54" t="str">
        <f t="shared" si="2"/>
        <v>B8726C</v>
      </c>
      <c r="C197" s="54" t="str">
        <f t="shared" si="1"/>
        <v>B8726D</v>
      </c>
      <c r="D197" s="47"/>
    </row>
    <row r="198">
      <c r="A198" s="14">
        <v>59.0</v>
      </c>
      <c r="B198" s="54" t="str">
        <f t="shared" si="2"/>
        <v>B8725C</v>
      </c>
      <c r="C198" s="54" t="str">
        <f t="shared" si="1"/>
        <v>B8725D</v>
      </c>
      <c r="D198" s="47"/>
    </row>
    <row r="199">
      <c r="A199" s="14">
        <v>58.0</v>
      </c>
      <c r="B199" s="54" t="str">
        <f t="shared" si="2"/>
        <v>B8724C</v>
      </c>
      <c r="C199" s="54" t="str">
        <f t="shared" si="1"/>
        <v>B8724D</v>
      </c>
      <c r="D199" s="47"/>
    </row>
    <row r="200">
      <c r="A200" s="14">
        <v>57.0</v>
      </c>
      <c r="B200" s="54" t="str">
        <f t="shared" si="2"/>
        <v>B8723C</v>
      </c>
      <c r="C200" s="54" t="str">
        <f t="shared" si="1"/>
        <v>B8723D</v>
      </c>
      <c r="D200" s="47"/>
    </row>
    <row r="201">
      <c r="A201" s="14">
        <v>56.0</v>
      </c>
      <c r="B201" s="54" t="str">
        <f t="shared" si="2"/>
        <v>B8722C</v>
      </c>
      <c r="C201" s="54" t="str">
        <f t="shared" si="1"/>
        <v>B8722D</v>
      </c>
      <c r="D201" s="47"/>
    </row>
    <row r="202">
      <c r="A202" s="14">
        <v>55.0</v>
      </c>
      <c r="B202" s="54" t="str">
        <f t="shared" si="2"/>
        <v>B8721C</v>
      </c>
      <c r="C202" s="54" t="str">
        <f t="shared" si="1"/>
        <v>B8721D</v>
      </c>
      <c r="D202" s="47"/>
    </row>
    <row r="203">
      <c r="A203" s="14">
        <v>54.0</v>
      </c>
      <c r="B203" s="54" t="str">
        <f t="shared" si="2"/>
        <v>B8720C</v>
      </c>
      <c r="C203" s="54" t="str">
        <f t="shared" si="1"/>
        <v>B8720D</v>
      </c>
      <c r="D203" s="47"/>
    </row>
    <row r="204">
      <c r="A204" s="14">
        <v>53.0</v>
      </c>
      <c r="B204" s="54" t="str">
        <f t="shared" si="2"/>
        <v>B871FC</v>
      </c>
      <c r="C204" s="54" t="str">
        <f t="shared" si="1"/>
        <v>B871FD</v>
      </c>
      <c r="D204" s="47"/>
    </row>
    <row r="205">
      <c r="A205" s="14">
        <v>52.0</v>
      </c>
      <c r="B205" s="54" t="str">
        <f t="shared" si="2"/>
        <v>B871EC</v>
      </c>
      <c r="C205" s="54" t="str">
        <f t="shared" si="1"/>
        <v>B871ED</v>
      </c>
      <c r="D205" s="47"/>
    </row>
    <row r="206">
      <c r="A206" s="14">
        <v>51.0</v>
      </c>
      <c r="B206" s="54" t="str">
        <f t="shared" si="2"/>
        <v>B871DC</v>
      </c>
      <c r="C206" s="54" t="str">
        <f t="shared" si="1"/>
        <v>B871DD</v>
      </c>
      <c r="D206" s="47"/>
    </row>
    <row r="207">
      <c r="A207" s="14">
        <v>50.0</v>
      </c>
      <c r="B207" s="54" t="str">
        <f t="shared" si="2"/>
        <v>B871CC</v>
      </c>
      <c r="C207" s="54" t="str">
        <f t="shared" si="1"/>
        <v>B871CD</v>
      </c>
      <c r="D207" s="47"/>
    </row>
    <row r="208">
      <c r="A208" s="14">
        <v>49.0</v>
      </c>
      <c r="B208" s="54" t="str">
        <f t="shared" si="2"/>
        <v>B871BC</v>
      </c>
      <c r="C208" s="54" t="str">
        <f t="shared" si="1"/>
        <v>B871BD</v>
      </c>
      <c r="D208" s="47"/>
    </row>
    <row r="209">
      <c r="A209" s="14">
        <v>48.0</v>
      </c>
      <c r="B209" s="54" t="str">
        <f t="shared" si="2"/>
        <v>B871AC</v>
      </c>
      <c r="C209" s="54" t="str">
        <f t="shared" si="1"/>
        <v>B871AD</v>
      </c>
      <c r="D209" s="47"/>
    </row>
    <row r="210">
      <c r="A210" s="14">
        <v>47.0</v>
      </c>
      <c r="B210" s="54" t="str">
        <f t="shared" si="2"/>
        <v>B8719C</v>
      </c>
      <c r="C210" s="54" t="str">
        <f t="shared" si="1"/>
        <v>B8719D</v>
      </c>
      <c r="D210" s="47"/>
    </row>
    <row r="211">
      <c r="A211" s="14">
        <v>46.0</v>
      </c>
      <c r="B211" s="54" t="str">
        <f t="shared" si="2"/>
        <v>B8718C</v>
      </c>
      <c r="C211" s="54" t="str">
        <f t="shared" si="1"/>
        <v>B8718D</v>
      </c>
      <c r="D211" s="47"/>
    </row>
    <row r="212">
      <c r="A212" s="14">
        <v>45.0</v>
      </c>
      <c r="B212" s="54" t="str">
        <f t="shared" si="2"/>
        <v>B8717C</v>
      </c>
      <c r="C212" s="54" t="str">
        <f t="shared" si="1"/>
        <v>B8717D</v>
      </c>
      <c r="D212" s="47"/>
    </row>
    <row r="213">
      <c r="A213" s="14">
        <v>44.0</v>
      </c>
      <c r="B213" s="54" t="str">
        <f t="shared" si="2"/>
        <v>B8716C</v>
      </c>
      <c r="C213" s="54" t="str">
        <f t="shared" si="1"/>
        <v>B8716D</v>
      </c>
      <c r="D213" s="47"/>
    </row>
    <row r="214">
      <c r="A214" s="14">
        <v>43.0</v>
      </c>
      <c r="B214" s="54" t="str">
        <f t="shared" si="2"/>
        <v>B8715C</v>
      </c>
      <c r="C214" s="54" t="str">
        <f t="shared" si="1"/>
        <v>B8715D</v>
      </c>
      <c r="D214" s="47"/>
    </row>
    <row r="215">
      <c r="A215" s="14">
        <v>42.0</v>
      </c>
      <c r="B215" s="54" t="str">
        <f t="shared" si="2"/>
        <v>B8714C</v>
      </c>
      <c r="C215" s="54" t="str">
        <f t="shared" si="1"/>
        <v>B8714D</v>
      </c>
      <c r="D215" s="47"/>
    </row>
    <row r="216">
      <c r="A216" s="14">
        <v>41.0</v>
      </c>
      <c r="B216" s="54" t="str">
        <f t="shared" si="2"/>
        <v>B8713C</v>
      </c>
      <c r="C216" s="54" t="str">
        <f t="shared" si="1"/>
        <v>B8713D</v>
      </c>
      <c r="D216" s="47"/>
    </row>
    <row r="217">
      <c r="A217" s="14">
        <v>40.0</v>
      </c>
      <c r="B217" s="54" t="str">
        <f t="shared" si="2"/>
        <v>B8712C</v>
      </c>
      <c r="C217" s="54" t="str">
        <f t="shared" si="1"/>
        <v>B8712D</v>
      </c>
      <c r="D217" s="47"/>
    </row>
    <row r="218">
      <c r="A218" s="14">
        <v>39.0</v>
      </c>
      <c r="B218" s="54" t="str">
        <f t="shared" si="2"/>
        <v>B8711C</v>
      </c>
      <c r="C218" s="54" t="str">
        <f t="shared" si="1"/>
        <v>B8711D</v>
      </c>
      <c r="D218" s="47"/>
    </row>
    <row r="219">
      <c r="A219" s="14">
        <v>38.0</v>
      </c>
      <c r="B219" s="54" t="str">
        <f t="shared" si="2"/>
        <v>B8710C</v>
      </c>
      <c r="C219" s="54" t="str">
        <f t="shared" si="1"/>
        <v>B8710D</v>
      </c>
      <c r="D219" s="47"/>
    </row>
    <row r="220">
      <c r="A220" s="14">
        <v>37.0</v>
      </c>
      <c r="B220" s="54" t="str">
        <f t="shared" si="2"/>
        <v>B870FC</v>
      </c>
      <c r="C220" s="54" t="str">
        <f t="shared" si="1"/>
        <v>B870FD</v>
      </c>
      <c r="D220" s="47"/>
    </row>
    <row r="221">
      <c r="A221" s="14">
        <v>36.0</v>
      </c>
      <c r="B221" s="54" t="str">
        <f t="shared" si="2"/>
        <v>B870EC</v>
      </c>
      <c r="C221" s="54" t="str">
        <f t="shared" si="1"/>
        <v>B870ED</v>
      </c>
      <c r="D221" s="47"/>
    </row>
    <row r="222">
      <c r="A222" s="14">
        <v>35.0</v>
      </c>
      <c r="B222" s="54" t="str">
        <f t="shared" si="2"/>
        <v>B870DC</v>
      </c>
      <c r="C222" s="54" t="str">
        <f t="shared" si="1"/>
        <v>B870DD</v>
      </c>
      <c r="D222" s="47"/>
    </row>
    <row r="223">
      <c r="A223" s="14">
        <v>34.0</v>
      </c>
      <c r="B223" s="54" t="str">
        <f t="shared" si="2"/>
        <v>B870CC</v>
      </c>
      <c r="C223" s="54" t="str">
        <f t="shared" si="1"/>
        <v>B870CD</v>
      </c>
      <c r="D223" s="47"/>
    </row>
    <row r="224">
      <c r="A224" s="14">
        <v>33.0</v>
      </c>
      <c r="B224" s="54" t="str">
        <f t="shared" si="2"/>
        <v>B870BC</v>
      </c>
      <c r="C224" s="54" t="str">
        <f t="shared" si="1"/>
        <v>B870BD</v>
      </c>
      <c r="D224" s="47"/>
    </row>
    <row r="225">
      <c r="A225" s="14">
        <v>32.0</v>
      </c>
      <c r="B225" s="54" t="str">
        <f t="shared" si="2"/>
        <v>B870AC</v>
      </c>
      <c r="C225" s="54" t="str">
        <f t="shared" si="1"/>
        <v>B870AD</v>
      </c>
      <c r="D225" s="47"/>
    </row>
    <row r="226">
      <c r="A226" s="14">
        <v>31.0</v>
      </c>
      <c r="B226" s="54" t="str">
        <f t="shared" si="2"/>
        <v>B8709C</v>
      </c>
      <c r="C226" s="54" t="str">
        <f t="shared" si="1"/>
        <v>B8709D</v>
      </c>
      <c r="D226" s="47"/>
    </row>
    <row r="227">
      <c r="A227" s="14">
        <v>30.0</v>
      </c>
      <c r="B227" s="54" t="str">
        <f t="shared" si="2"/>
        <v>B8708C</v>
      </c>
      <c r="C227" s="54" t="str">
        <f t="shared" si="1"/>
        <v>B8708D</v>
      </c>
      <c r="D227" s="47"/>
    </row>
    <row r="228">
      <c r="A228" s="14">
        <v>29.0</v>
      </c>
      <c r="B228" s="54" t="str">
        <f t="shared" si="2"/>
        <v>B8707C</v>
      </c>
      <c r="C228" s="54" t="str">
        <f t="shared" si="1"/>
        <v>B8707D</v>
      </c>
      <c r="D228" s="47"/>
    </row>
    <row r="229">
      <c r="A229" s="14">
        <v>28.0</v>
      </c>
      <c r="B229" s="54" t="str">
        <f t="shared" si="2"/>
        <v>B8706C</v>
      </c>
      <c r="C229" s="54" t="str">
        <f t="shared" si="1"/>
        <v>B8706D</v>
      </c>
      <c r="D229" s="47"/>
    </row>
    <row r="230">
      <c r="A230" s="14">
        <v>27.0</v>
      </c>
      <c r="B230" s="54" t="str">
        <f t="shared" si="2"/>
        <v>B8705C</v>
      </c>
      <c r="C230" s="54" t="str">
        <f t="shared" si="1"/>
        <v>B8705D</v>
      </c>
      <c r="D230" s="47"/>
    </row>
    <row r="231">
      <c r="A231" s="14">
        <v>26.0</v>
      </c>
      <c r="B231" s="54" t="str">
        <f t="shared" si="2"/>
        <v>B8704C</v>
      </c>
      <c r="C231" s="54" t="str">
        <f t="shared" si="1"/>
        <v>B8704D</v>
      </c>
      <c r="D231" s="47"/>
    </row>
    <row r="232">
      <c r="A232" s="14">
        <v>25.0</v>
      </c>
      <c r="B232" s="54" t="str">
        <f t="shared" si="2"/>
        <v>B8703C</v>
      </c>
      <c r="C232" s="54" t="str">
        <f t="shared" si="1"/>
        <v>B8703D</v>
      </c>
      <c r="D232" s="47"/>
    </row>
    <row r="233">
      <c r="A233" s="14">
        <v>24.0</v>
      </c>
      <c r="B233" s="54" t="str">
        <f t="shared" si="2"/>
        <v>B8702C</v>
      </c>
      <c r="C233" s="54" t="str">
        <f t="shared" si="1"/>
        <v>B8702D</v>
      </c>
      <c r="D233" s="47"/>
    </row>
    <row r="234">
      <c r="A234" s="14">
        <v>23.0</v>
      </c>
      <c r="B234" s="54" t="str">
        <f t="shared" si="2"/>
        <v>B8701C</v>
      </c>
      <c r="C234" s="54" t="str">
        <f t="shared" si="1"/>
        <v>B8701D</v>
      </c>
      <c r="D234" s="47"/>
    </row>
    <row r="235">
      <c r="A235" s="14">
        <v>22.0</v>
      </c>
      <c r="B235" s="54" t="str">
        <f t="shared" si="2"/>
        <v>B8700C</v>
      </c>
      <c r="C235" s="54" t="str">
        <f t="shared" si="1"/>
        <v>B8700D</v>
      </c>
      <c r="D235" s="47"/>
    </row>
    <row r="236">
      <c r="A236" s="14">
        <v>21.0</v>
      </c>
      <c r="B236" s="54" t="str">
        <f t="shared" si="2"/>
        <v>B86FFC</v>
      </c>
      <c r="C236" s="54" t="str">
        <f t="shared" si="1"/>
        <v>B86FFD</v>
      </c>
      <c r="D236" s="47"/>
    </row>
    <row r="237">
      <c r="A237" s="14">
        <v>20.0</v>
      </c>
      <c r="B237" s="54" t="str">
        <f t="shared" si="2"/>
        <v>B86FEC</v>
      </c>
      <c r="C237" s="54" t="str">
        <f t="shared" si="1"/>
        <v>B86FED</v>
      </c>
      <c r="D237" s="47"/>
    </row>
    <row r="238">
      <c r="A238" s="14">
        <v>19.0</v>
      </c>
      <c r="B238" s="54" t="str">
        <f t="shared" si="2"/>
        <v>B86FDC</v>
      </c>
      <c r="C238" s="54" t="str">
        <f t="shared" si="1"/>
        <v>B86FDD</v>
      </c>
      <c r="D238" s="47"/>
    </row>
    <row r="239">
      <c r="A239" s="14">
        <v>18.0</v>
      </c>
      <c r="B239" s="54" t="str">
        <f t="shared" si="2"/>
        <v>B86FCC</v>
      </c>
      <c r="C239" s="54" t="str">
        <f t="shared" si="1"/>
        <v>B86FCD</v>
      </c>
      <c r="D239" s="47"/>
    </row>
    <row r="240">
      <c r="A240" s="14">
        <v>17.0</v>
      </c>
      <c r="B240" s="54" t="str">
        <f t="shared" si="2"/>
        <v>B86FBC</v>
      </c>
      <c r="C240" s="54" t="str">
        <f t="shared" si="1"/>
        <v>B86FBD</v>
      </c>
      <c r="D240" s="47"/>
    </row>
    <row r="241">
      <c r="A241" s="14">
        <v>16.0</v>
      </c>
      <c r="B241" s="54" t="str">
        <f t="shared" si="2"/>
        <v>B86FAC</v>
      </c>
      <c r="C241" s="54" t="str">
        <f t="shared" si="1"/>
        <v>B86FAD</v>
      </c>
      <c r="D241" s="47"/>
    </row>
    <row r="242">
      <c r="A242" s="14">
        <v>15.0</v>
      </c>
      <c r="B242" s="54" t="str">
        <f t="shared" si="2"/>
        <v>B86F9C</v>
      </c>
      <c r="C242" s="54" t="str">
        <f t="shared" si="1"/>
        <v>B86F9D</v>
      </c>
      <c r="D242" s="47"/>
    </row>
    <row r="243">
      <c r="A243" s="14">
        <v>14.0</v>
      </c>
      <c r="B243" s="54" t="str">
        <f t="shared" si="2"/>
        <v>B86F8C</v>
      </c>
      <c r="C243" s="54" t="str">
        <f t="shared" si="1"/>
        <v>B86F8D</v>
      </c>
      <c r="D243" s="47"/>
    </row>
    <row r="244">
      <c r="A244" s="14">
        <v>13.0</v>
      </c>
      <c r="B244" s="54" t="str">
        <f t="shared" si="2"/>
        <v>B86F7C</v>
      </c>
      <c r="C244" s="54" t="str">
        <f t="shared" si="1"/>
        <v>B86F7D</v>
      </c>
      <c r="D244" s="47"/>
    </row>
    <row r="245">
      <c r="A245" s="14">
        <v>12.0</v>
      </c>
      <c r="B245" s="54" t="str">
        <f t="shared" si="2"/>
        <v>B86F6C</v>
      </c>
      <c r="C245" s="54" t="str">
        <f t="shared" si="1"/>
        <v>B86F6D</v>
      </c>
      <c r="D245" s="47"/>
    </row>
    <row r="246">
      <c r="A246" s="14">
        <v>11.0</v>
      </c>
      <c r="B246" s="54" t="str">
        <f t="shared" si="2"/>
        <v>B86F5C</v>
      </c>
      <c r="C246" s="54" t="str">
        <f t="shared" si="1"/>
        <v>B86F5D</v>
      </c>
      <c r="D246" s="47"/>
    </row>
    <row r="247">
      <c r="A247" s="14">
        <v>10.0</v>
      </c>
      <c r="B247" s="54" t="str">
        <f t="shared" si="2"/>
        <v>B86F4C</v>
      </c>
      <c r="C247" s="54" t="str">
        <f t="shared" si="1"/>
        <v>B86F4D</v>
      </c>
      <c r="D247" s="47"/>
    </row>
    <row r="248">
      <c r="A248" s="14">
        <v>9.0</v>
      </c>
      <c r="B248" s="54" t="str">
        <f t="shared" si="2"/>
        <v>B86F3C</v>
      </c>
      <c r="C248" s="54" t="str">
        <f t="shared" si="1"/>
        <v>B86F3D</v>
      </c>
      <c r="D248" s="47"/>
    </row>
    <row r="249">
      <c r="A249" s="14">
        <v>8.0</v>
      </c>
      <c r="B249" s="54" t="str">
        <f t="shared" si="2"/>
        <v>B86F2C</v>
      </c>
      <c r="C249" s="54" t="str">
        <f t="shared" si="1"/>
        <v>B86F2D</v>
      </c>
      <c r="D249" s="47"/>
    </row>
    <row r="250">
      <c r="A250" s="14">
        <v>7.0</v>
      </c>
      <c r="B250" s="54" t="str">
        <f t="shared" si="2"/>
        <v>B86F1C</v>
      </c>
      <c r="C250" s="54" t="str">
        <f t="shared" si="1"/>
        <v>B86F1D</v>
      </c>
      <c r="D250" s="47"/>
    </row>
    <row r="251">
      <c r="A251" s="14">
        <v>6.0</v>
      </c>
      <c r="B251" s="54" t="str">
        <f t="shared" si="2"/>
        <v>B86F0C</v>
      </c>
      <c r="C251" s="54" t="str">
        <f t="shared" si="1"/>
        <v>B86F0D</v>
      </c>
      <c r="D251" s="47"/>
    </row>
    <row r="252">
      <c r="A252" s="14">
        <v>5.0</v>
      </c>
      <c r="B252" s="54" t="str">
        <f t="shared" si="2"/>
        <v>B86EFC</v>
      </c>
      <c r="C252" s="54" t="str">
        <f t="shared" si="1"/>
        <v>B86EFD</v>
      </c>
      <c r="D252" s="47"/>
    </row>
    <row r="253">
      <c r="A253" s="14">
        <v>4.0</v>
      </c>
      <c r="B253" s="54" t="str">
        <f t="shared" si="2"/>
        <v>B86EEC</v>
      </c>
      <c r="C253" s="54" t="str">
        <f t="shared" si="1"/>
        <v>B86EED</v>
      </c>
      <c r="D253" s="47"/>
    </row>
    <row r="254">
      <c r="A254" s="14">
        <v>3.0</v>
      </c>
      <c r="B254" s="54" t="str">
        <f t="shared" si="2"/>
        <v>B86EDC</v>
      </c>
      <c r="C254" s="54" t="str">
        <f t="shared" si="1"/>
        <v>B86EDD</v>
      </c>
      <c r="D254" s="47"/>
    </row>
    <row r="255">
      <c r="A255" s="14">
        <v>2.0</v>
      </c>
      <c r="B255" s="54" t="str">
        <f t="shared" si="2"/>
        <v>B86ECC</v>
      </c>
      <c r="C255" s="54" t="str">
        <f t="shared" si="1"/>
        <v>B86ECD</v>
      </c>
      <c r="D255" s="47"/>
    </row>
    <row r="256">
      <c r="A256" s="14">
        <v>1.0</v>
      </c>
      <c r="B256" s="54" t="str">
        <f t="shared" si="2"/>
        <v>B86EBC</v>
      </c>
      <c r="C256" s="54" t="str">
        <f t="shared" si="1"/>
        <v>B86EBD</v>
      </c>
      <c r="D256" s="47"/>
    </row>
    <row r="257">
      <c r="A257" s="14">
        <v>0.0</v>
      </c>
      <c r="B257" s="54" t="str">
        <f t="shared" si="2"/>
        <v>B86EAC</v>
      </c>
      <c r="C257" s="54" t="str">
        <f t="shared" si="1"/>
        <v>B86EAD</v>
      </c>
      <c r="D257" s="47"/>
    </row>
    <row r="258">
      <c r="B258" s="65"/>
      <c r="C258" s="65"/>
      <c r="D258" s="47"/>
    </row>
    <row r="259">
      <c r="B259" s="65"/>
      <c r="C259" s="65"/>
      <c r="D259" s="47"/>
    </row>
    <row r="260">
      <c r="B260" s="65"/>
      <c r="C260" s="65"/>
      <c r="D260" s="47"/>
    </row>
    <row r="261">
      <c r="B261" s="65"/>
      <c r="C261" s="65"/>
      <c r="D261" s="47"/>
    </row>
    <row r="262">
      <c r="B262" s="65"/>
      <c r="C262" s="65"/>
      <c r="D262" s="47"/>
    </row>
    <row r="263">
      <c r="B263" s="65"/>
      <c r="C263" s="65"/>
      <c r="D263" s="47"/>
    </row>
    <row r="264">
      <c r="A264" s="14"/>
      <c r="B264" s="65"/>
      <c r="C264" s="65"/>
      <c r="D264" s="47"/>
    </row>
    <row r="265">
      <c r="A265" s="14"/>
      <c r="B265" s="65"/>
      <c r="C265" s="65"/>
      <c r="D265" s="47"/>
    </row>
    <row r="266">
      <c r="A266" s="14"/>
      <c r="B266" s="65"/>
      <c r="C266" s="65"/>
      <c r="D266" s="47"/>
    </row>
    <row r="267">
      <c r="A267" s="14"/>
      <c r="B267" s="65"/>
      <c r="C267" s="65"/>
      <c r="D267" s="47"/>
    </row>
    <row r="268">
      <c r="B268" s="65"/>
      <c r="C268" s="65"/>
      <c r="D268" s="47"/>
    </row>
    <row r="269">
      <c r="B269" s="65"/>
      <c r="C269" s="65"/>
      <c r="D269" s="47"/>
    </row>
    <row r="270">
      <c r="B270" s="65"/>
      <c r="C270" s="65"/>
      <c r="D270" s="47"/>
    </row>
    <row r="271">
      <c r="B271" s="65"/>
      <c r="C271" s="65"/>
      <c r="D271" s="47"/>
    </row>
    <row r="272">
      <c r="B272" s="65"/>
      <c r="C272" s="65"/>
      <c r="D272" s="47"/>
    </row>
    <row r="273">
      <c r="B273" s="65"/>
      <c r="C273" s="65"/>
      <c r="D273" s="47"/>
    </row>
    <row r="274">
      <c r="B274" s="65"/>
      <c r="C274" s="65"/>
      <c r="D274" s="47"/>
    </row>
    <row r="275">
      <c r="B275" s="65"/>
      <c r="C275" s="65"/>
      <c r="D275" s="47"/>
    </row>
    <row r="276">
      <c r="B276" s="65"/>
      <c r="C276" s="65"/>
      <c r="D276" s="47"/>
    </row>
    <row r="277">
      <c r="B277" s="65"/>
      <c r="C277" s="65"/>
      <c r="D277" s="47"/>
    </row>
    <row r="278">
      <c r="B278" s="65"/>
      <c r="C278" s="65"/>
      <c r="D278" s="47"/>
    </row>
    <row r="279">
      <c r="B279" s="65"/>
      <c r="C279" s="65"/>
      <c r="D279" s="47"/>
    </row>
    <row r="280">
      <c r="B280" s="65"/>
      <c r="C280" s="65"/>
      <c r="D280" s="47"/>
    </row>
    <row r="281">
      <c r="B281" s="65"/>
      <c r="C281" s="65"/>
      <c r="D281" s="47"/>
    </row>
    <row r="282">
      <c r="B282" s="65"/>
      <c r="C282" s="65"/>
      <c r="D282" s="47"/>
    </row>
    <row r="283">
      <c r="B283" s="65"/>
      <c r="C283" s="65"/>
      <c r="D283" s="47"/>
    </row>
    <row r="284">
      <c r="B284" s="65"/>
      <c r="C284" s="65"/>
      <c r="D284" s="47"/>
    </row>
    <row r="285">
      <c r="B285" s="65"/>
      <c r="C285" s="65"/>
      <c r="D285" s="47"/>
    </row>
    <row r="286">
      <c r="B286" s="65"/>
      <c r="C286" s="65"/>
      <c r="D286" s="47"/>
    </row>
    <row r="287">
      <c r="B287" s="65"/>
      <c r="C287" s="65"/>
      <c r="D287" s="47"/>
    </row>
    <row r="288">
      <c r="B288" s="65"/>
      <c r="C288" s="65"/>
      <c r="D288" s="47"/>
    </row>
    <row r="289">
      <c r="B289" s="65"/>
      <c r="C289" s="65"/>
      <c r="D289" s="47"/>
    </row>
    <row r="290">
      <c r="B290" s="65"/>
      <c r="C290" s="65"/>
      <c r="D290" s="47"/>
    </row>
    <row r="291">
      <c r="B291" s="65"/>
      <c r="C291" s="65"/>
      <c r="D291" s="47"/>
    </row>
    <row r="292">
      <c r="B292" s="65"/>
      <c r="C292" s="65"/>
      <c r="D292" s="47"/>
    </row>
    <row r="293">
      <c r="B293" s="65"/>
      <c r="C293" s="65"/>
      <c r="D293" s="47"/>
    </row>
    <row r="294">
      <c r="B294" s="65"/>
      <c r="C294" s="65"/>
      <c r="D294" s="47"/>
    </row>
    <row r="295">
      <c r="B295" s="65"/>
      <c r="C295" s="65"/>
      <c r="D295" s="47"/>
    </row>
    <row r="296">
      <c r="B296" s="65"/>
      <c r="C296" s="65"/>
      <c r="D296" s="47"/>
    </row>
    <row r="297">
      <c r="B297" s="65"/>
      <c r="C297" s="65"/>
      <c r="D297" s="47"/>
    </row>
    <row r="298">
      <c r="B298" s="65"/>
      <c r="C298" s="65"/>
      <c r="D298" s="47"/>
    </row>
    <row r="299">
      <c r="B299" s="65"/>
      <c r="C299" s="65"/>
      <c r="D299" s="47"/>
    </row>
    <row r="300">
      <c r="B300" s="65"/>
      <c r="C300" s="65"/>
      <c r="D300" s="47"/>
    </row>
    <row r="301">
      <c r="B301" s="65"/>
      <c r="C301" s="65"/>
      <c r="D301" s="47"/>
    </row>
    <row r="302">
      <c r="B302" s="65"/>
      <c r="C302" s="65"/>
      <c r="D302" s="47"/>
    </row>
    <row r="303">
      <c r="B303" s="65"/>
      <c r="C303" s="65"/>
      <c r="D303" s="47"/>
    </row>
    <row r="304">
      <c r="B304" s="65"/>
      <c r="C304" s="65"/>
      <c r="D304" s="47"/>
    </row>
    <row r="305">
      <c r="B305" s="65"/>
      <c r="C305" s="65"/>
      <c r="D305" s="47"/>
    </row>
    <row r="306">
      <c r="B306" s="65"/>
      <c r="C306" s="65"/>
      <c r="D306" s="47"/>
    </row>
    <row r="307">
      <c r="B307" s="65"/>
      <c r="C307" s="65"/>
      <c r="D307" s="47"/>
    </row>
    <row r="308">
      <c r="B308" s="65"/>
      <c r="C308" s="65"/>
      <c r="D308" s="47"/>
    </row>
    <row r="309">
      <c r="B309" s="65"/>
      <c r="C309" s="65"/>
      <c r="D309" s="47"/>
    </row>
    <row r="310">
      <c r="B310" s="65"/>
      <c r="C310" s="65"/>
      <c r="D310" s="47"/>
    </row>
    <row r="311">
      <c r="B311" s="65"/>
      <c r="C311" s="65"/>
      <c r="D311" s="47"/>
    </row>
    <row r="312">
      <c r="B312" s="65"/>
      <c r="C312" s="65"/>
      <c r="D312" s="47"/>
    </row>
    <row r="313">
      <c r="B313" s="65"/>
      <c r="C313" s="65"/>
      <c r="D313" s="47"/>
    </row>
    <row r="314">
      <c r="B314" s="65"/>
      <c r="C314" s="65"/>
      <c r="D314" s="47"/>
    </row>
    <row r="315">
      <c r="B315" s="65"/>
      <c r="C315" s="65"/>
      <c r="D315" s="47"/>
    </row>
    <row r="316">
      <c r="B316" s="65"/>
      <c r="C316" s="65"/>
      <c r="D316" s="47"/>
    </row>
    <row r="317">
      <c r="B317" s="65"/>
      <c r="C317" s="65"/>
      <c r="D317" s="47"/>
    </row>
    <row r="318">
      <c r="B318" s="65"/>
      <c r="C318" s="65"/>
      <c r="D318" s="47"/>
    </row>
    <row r="319">
      <c r="B319" s="65"/>
      <c r="C319" s="65"/>
      <c r="D319" s="47"/>
    </row>
    <row r="320">
      <c r="B320" s="65"/>
      <c r="C320" s="65"/>
      <c r="D320" s="47"/>
    </row>
    <row r="321">
      <c r="B321" s="65"/>
      <c r="C321" s="65"/>
      <c r="D321" s="47"/>
    </row>
    <row r="322">
      <c r="B322" s="65"/>
      <c r="C322" s="65"/>
      <c r="D322" s="47"/>
    </row>
    <row r="323">
      <c r="B323" s="65"/>
      <c r="C323" s="65"/>
      <c r="D323" s="47"/>
    </row>
    <row r="324">
      <c r="B324" s="65"/>
      <c r="C324" s="65"/>
      <c r="D324" s="47"/>
    </row>
    <row r="325">
      <c r="B325" s="65"/>
      <c r="C325" s="65"/>
      <c r="D325" s="47"/>
    </row>
    <row r="326">
      <c r="B326" s="65"/>
      <c r="C326" s="65"/>
      <c r="D326" s="47"/>
    </row>
    <row r="327">
      <c r="B327" s="65"/>
      <c r="C327" s="65"/>
      <c r="D327" s="47"/>
    </row>
    <row r="328">
      <c r="B328" s="65"/>
      <c r="C328" s="65"/>
      <c r="D328" s="47"/>
    </row>
    <row r="329">
      <c r="B329" s="65"/>
      <c r="C329" s="65"/>
      <c r="D329" s="47"/>
    </row>
    <row r="330">
      <c r="B330" s="65"/>
      <c r="C330" s="65"/>
      <c r="D330" s="47"/>
    </row>
    <row r="331">
      <c r="B331" s="65"/>
      <c r="C331" s="65"/>
      <c r="D331" s="47"/>
    </row>
    <row r="332">
      <c r="B332" s="65"/>
      <c r="C332" s="65"/>
      <c r="D332" s="47"/>
    </row>
    <row r="333">
      <c r="B333" s="65"/>
      <c r="C333" s="65"/>
      <c r="D333" s="47"/>
    </row>
    <row r="334">
      <c r="B334" s="65"/>
      <c r="C334" s="65"/>
      <c r="D334" s="47"/>
    </row>
    <row r="335">
      <c r="B335" s="65"/>
      <c r="C335" s="65"/>
      <c r="D335" s="47"/>
    </row>
    <row r="336">
      <c r="B336" s="65"/>
      <c r="C336" s="65"/>
      <c r="D336" s="47"/>
    </row>
    <row r="337">
      <c r="B337" s="65"/>
      <c r="C337" s="65"/>
      <c r="D337" s="47"/>
    </row>
    <row r="338">
      <c r="B338" s="65"/>
      <c r="C338" s="65"/>
      <c r="D338" s="47"/>
    </row>
    <row r="339">
      <c r="B339" s="65"/>
      <c r="C339" s="65"/>
      <c r="D339" s="47"/>
    </row>
    <row r="340">
      <c r="B340" s="65"/>
      <c r="C340" s="65"/>
      <c r="D340" s="47"/>
    </row>
    <row r="341">
      <c r="B341" s="65"/>
      <c r="C341" s="65"/>
      <c r="D341" s="47"/>
    </row>
    <row r="342">
      <c r="B342" s="65"/>
      <c r="C342" s="65"/>
      <c r="D342" s="47"/>
    </row>
    <row r="343">
      <c r="B343" s="65"/>
      <c r="C343" s="65"/>
      <c r="D343" s="47"/>
    </row>
    <row r="344">
      <c r="B344" s="65"/>
      <c r="C344" s="65"/>
      <c r="D344" s="47"/>
    </row>
    <row r="345">
      <c r="B345" s="65"/>
      <c r="C345" s="65"/>
      <c r="D345" s="47"/>
    </row>
    <row r="346">
      <c r="B346" s="65"/>
      <c r="C346" s="65"/>
      <c r="D346" s="47"/>
    </row>
    <row r="347">
      <c r="B347" s="65"/>
      <c r="C347" s="65"/>
      <c r="D347" s="47"/>
    </row>
    <row r="348">
      <c r="B348" s="65"/>
      <c r="C348" s="65"/>
      <c r="D348" s="47"/>
    </row>
    <row r="349">
      <c r="B349" s="65"/>
      <c r="C349" s="65"/>
      <c r="D349" s="47"/>
    </row>
    <row r="350">
      <c r="B350" s="65"/>
      <c r="C350" s="65"/>
      <c r="D350" s="47"/>
    </row>
    <row r="351">
      <c r="B351" s="65"/>
      <c r="C351" s="65"/>
      <c r="D351" s="47"/>
    </row>
    <row r="352">
      <c r="B352" s="65"/>
      <c r="C352" s="65"/>
      <c r="D352" s="47"/>
    </row>
    <row r="353">
      <c r="B353" s="65"/>
      <c r="C353" s="65"/>
      <c r="D353" s="47"/>
    </row>
    <row r="354">
      <c r="B354" s="65"/>
      <c r="C354" s="65"/>
      <c r="D354" s="47"/>
    </row>
    <row r="355">
      <c r="B355" s="65"/>
      <c r="C355" s="65"/>
      <c r="D355" s="47"/>
    </row>
    <row r="356">
      <c r="B356" s="65"/>
      <c r="C356" s="65"/>
      <c r="D356" s="47"/>
    </row>
    <row r="357">
      <c r="B357" s="65"/>
      <c r="C357" s="65"/>
      <c r="D357" s="47"/>
    </row>
    <row r="358">
      <c r="B358" s="65"/>
      <c r="C358" s="65"/>
      <c r="D358" s="47"/>
    </row>
    <row r="359">
      <c r="B359" s="65"/>
      <c r="C359" s="65"/>
      <c r="D359" s="47"/>
    </row>
    <row r="360">
      <c r="B360" s="65"/>
      <c r="C360" s="65"/>
      <c r="D360" s="47"/>
    </row>
    <row r="361">
      <c r="B361" s="65"/>
      <c r="C361" s="65"/>
      <c r="D361" s="47"/>
    </row>
    <row r="362">
      <c r="B362" s="65"/>
      <c r="C362" s="65"/>
      <c r="D362" s="47"/>
    </row>
    <row r="363">
      <c r="B363" s="65"/>
      <c r="C363" s="65"/>
      <c r="D363" s="47"/>
    </row>
    <row r="364">
      <c r="B364" s="65"/>
      <c r="C364" s="65"/>
      <c r="D364" s="47"/>
    </row>
    <row r="365">
      <c r="B365" s="65"/>
      <c r="C365" s="65"/>
      <c r="D365" s="47"/>
    </row>
    <row r="366">
      <c r="B366" s="65"/>
      <c r="C366" s="65"/>
      <c r="D366" s="47"/>
    </row>
    <row r="367">
      <c r="B367" s="65"/>
      <c r="C367" s="65"/>
      <c r="D367" s="47"/>
    </row>
    <row r="368">
      <c r="B368" s="65"/>
      <c r="C368" s="65"/>
      <c r="D368" s="47"/>
    </row>
    <row r="369">
      <c r="B369" s="65"/>
      <c r="C369" s="65"/>
      <c r="D369" s="47"/>
    </row>
    <row r="370">
      <c r="B370" s="65"/>
      <c r="C370" s="65"/>
      <c r="D370" s="47"/>
    </row>
    <row r="371">
      <c r="B371" s="65"/>
      <c r="C371" s="65"/>
      <c r="D371" s="47"/>
    </row>
    <row r="372">
      <c r="B372" s="65"/>
      <c r="C372" s="65"/>
      <c r="D372" s="47"/>
    </row>
    <row r="373">
      <c r="B373" s="65"/>
      <c r="C373" s="65"/>
      <c r="D373" s="47"/>
    </row>
    <row r="374">
      <c r="B374" s="65"/>
      <c r="C374" s="65"/>
      <c r="D374" s="47"/>
    </row>
    <row r="375">
      <c r="B375" s="65"/>
      <c r="C375" s="65"/>
      <c r="D375" s="47"/>
    </row>
    <row r="376">
      <c r="B376" s="65"/>
      <c r="C376" s="65"/>
      <c r="D376" s="47"/>
    </row>
    <row r="377">
      <c r="B377" s="65"/>
      <c r="C377" s="65"/>
      <c r="D377" s="47"/>
    </row>
    <row r="378">
      <c r="B378" s="65"/>
      <c r="C378" s="65"/>
      <c r="D378" s="47"/>
    </row>
    <row r="379">
      <c r="B379" s="65"/>
      <c r="C379" s="65"/>
      <c r="D379" s="47"/>
    </row>
    <row r="380">
      <c r="B380" s="65"/>
      <c r="C380" s="65"/>
      <c r="D380" s="47"/>
    </row>
    <row r="381">
      <c r="B381" s="65"/>
      <c r="C381" s="65"/>
      <c r="D381" s="47"/>
    </row>
    <row r="382">
      <c r="B382" s="65"/>
      <c r="C382" s="65"/>
      <c r="D382" s="47"/>
    </row>
    <row r="383">
      <c r="B383" s="65"/>
      <c r="C383" s="65"/>
      <c r="D383" s="47"/>
    </row>
    <row r="384">
      <c r="B384" s="65"/>
      <c r="C384" s="65"/>
      <c r="D384" s="47"/>
    </row>
    <row r="385">
      <c r="B385" s="65"/>
      <c r="C385" s="65"/>
      <c r="D385" s="47"/>
    </row>
    <row r="386">
      <c r="B386" s="65"/>
      <c r="C386" s="65"/>
      <c r="D386" s="47"/>
    </row>
    <row r="387">
      <c r="B387" s="65"/>
      <c r="C387" s="65"/>
      <c r="D387" s="47"/>
    </row>
    <row r="388">
      <c r="B388" s="65"/>
      <c r="C388" s="65"/>
      <c r="D388" s="47"/>
    </row>
    <row r="389">
      <c r="B389" s="65"/>
      <c r="C389" s="65"/>
      <c r="D389" s="47"/>
    </row>
    <row r="390">
      <c r="B390" s="65"/>
      <c r="C390" s="65"/>
      <c r="D390" s="47"/>
    </row>
    <row r="391">
      <c r="B391" s="65"/>
      <c r="C391" s="65"/>
      <c r="D391" s="47"/>
    </row>
    <row r="392">
      <c r="B392" s="65"/>
      <c r="C392" s="65"/>
      <c r="D392" s="47"/>
    </row>
    <row r="393">
      <c r="B393" s="65"/>
      <c r="C393" s="65"/>
      <c r="D393" s="47"/>
    </row>
    <row r="394">
      <c r="B394" s="65"/>
      <c r="C394" s="65"/>
      <c r="D394" s="47"/>
    </row>
    <row r="395">
      <c r="B395" s="65"/>
      <c r="C395" s="65"/>
      <c r="D395" s="47"/>
    </row>
    <row r="396">
      <c r="B396" s="65"/>
      <c r="C396" s="65"/>
      <c r="D396" s="47"/>
    </row>
    <row r="397">
      <c r="B397" s="65"/>
      <c r="C397" s="65"/>
      <c r="D397" s="47"/>
    </row>
    <row r="398">
      <c r="B398" s="65"/>
      <c r="C398" s="65"/>
      <c r="D398" s="47"/>
    </row>
    <row r="399">
      <c r="B399" s="65"/>
      <c r="C399" s="65"/>
      <c r="D399" s="47"/>
    </row>
    <row r="400">
      <c r="B400" s="65"/>
      <c r="C400" s="65"/>
      <c r="D400" s="47"/>
    </row>
    <row r="401">
      <c r="B401" s="65"/>
      <c r="C401" s="65"/>
      <c r="D401" s="47"/>
    </row>
    <row r="402">
      <c r="B402" s="65"/>
      <c r="C402" s="65"/>
      <c r="D402" s="47"/>
    </row>
    <row r="403">
      <c r="B403" s="65"/>
      <c r="C403" s="65"/>
      <c r="D403" s="47"/>
    </row>
    <row r="404">
      <c r="B404" s="65"/>
      <c r="C404" s="65"/>
      <c r="D404" s="47"/>
    </row>
    <row r="405">
      <c r="B405" s="65"/>
      <c r="C405" s="65"/>
      <c r="D405" s="47"/>
    </row>
    <row r="406">
      <c r="B406" s="65"/>
      <c r="C406" s="65"/>
      <c r="D406" s="47"/>
    </row>
    <row r="407">
      <c r="B407" s="65"/>
      <c r="C407" s="65"/>
      <c r="D407" s="47"/>
    </row>
    <row r="408">
      <c r="B408" s="65"/>
      <c r="C408" s="65"/>
      <c r="D408" s="47"/>
    </row>
    <row r="409">
      <c r="B409" s="65"/>
      <c r="C409" s="65"/>
      <c r="D409" s="47"/>
    </row>
    <row r="410">
      <c r="B410" s="65"/>
      <c r="C410" s="65"/>
      <c r="D410" s="47"/>
    </row>
    <row r="411">
      <c r="B411" s="65"/>
      <c r="C411" s="65"/>
      <c r="D411" s="47"/>
    </row>
    <row r="412">
      <c r="B412" s="65"/>
      <c r="C412" s="65"/>
      <c r="D412" s="47"/>
    </row>
    <row r="413">
      <c r="B413" s="65"/>
      <c r="C413" s="65"/>
      <c r="D413" s="47"/>
    </row>
    <row r="414">
      <c r="B414" s="65"/>
      <c r="C414" s="65"/>
      <c r="D414" s="47"/>
    </row>
    <row r="415">
      <c r="B415" s="65"/>
      <c r="C415" s="65"/>
      <c r="D415" s="47"/>
    </row>
    <row r="416">
      <c r="B416" s="65"/>
      <c r="C416" s="65"/>
      <c r="D416" s="47"/>
    </row>
    <row r="417">
      <c r="B417" s="65"/>
      <c r="C417" s="65"/>
      <c r="D417" s="47"/>
    </row>
    <row r="418">
      <c r="B418" s="65"/>
      <c r="C418" s="65"/>
      <c r="D418" s="47"/>
    </row>
    <row r="419">
      <c r="B419" s="65"/>
      <c r="C419" s="65"/>
      <c r="D419" s="47"/>
    </row>
    <row r="420">
      <c r="B420" s="65"/>
      <c r="C420" s="65"/>
      <c r="D420" s="47"/>
    </row>
    <row r="421">
      <c r="B421" s="65"/>
      <c r="C421" s="65"/>
      <c r="D421" s="47"/>
    </row>
    <row r="422">
      <c r="B422" s="65"/>
      <c r="C422" s="65"/>
      <c r="D422" s="47"/>
    </row>
    <row r="423">
      <c r="B423" s="65"/>
      <c r="C423" s="65"/>
      <c r="D423" s="47"/>
    </row>
    <row r="424">
      <c r="B424" s="65"/>
      <c r="C424" s="65"/>
      <c r="D424" s="47"/>
    </row>
    <row r="425">
      <c r="B425" s="65"/>
      <c r="C425" s="65"/>
      <c r="D425" s="47"/>
    </row>
    <row r="426">
      <c r="B426" s="65"/>
      <c r="C426" s="65"/>
      <c r="D426" s="47"/>
    </row>
    <row r="427">
      <c r="B427" s="65"/>
      <c r="C427" s="65"/>
      <c r="D427" s="47"/>
    </row>
    <row r="428">
      <c r="B428" s="65"/>
      <c r="C428" s="65"/>
      <c r="D428" s="47"/>
    </row>
    <row r="429">
      <c r="B429" s="65"/>
      <c r="C429" s="65"/>
      <c r="D429" s="47"/>
    </row>
    <row r="430">
      <c r="B430" s="65"/>
      <c r="C430" s="65"/>
      <c r="D430" s="47"/>
    </row>
    <row r="431">
      <c r="B431" s="65"/>
      <c r="C431" s="65"/>
      <c r="D431" s="47"/>
    </row>
    <row r="432">
      <c r="B432" s="65"/>
      <c r="C432" s="65"/>
      <c r="D432" s="47"/>
    </row>
    <row r="433">
      <c r="B433" s="65"/>
      <c r="C433" s="65"/>
      <c r="D433" s="47"/>
    </row>
    <row r="434">
      <c r="B434" s="65"/>
      <c r="C434" s="65"/>
      <c r="D434" s="47"/>
    </row>
    <row r="435">
      <c r="B435" s="65"/>
      <c r="C435" s="65"/>
      <c r="D435" s="47"/>
    </row>
    <row r="436">
      <c r="B436" s="65"/>
      <c r="C436" s="65"/>
      <c r="D436" s="47"/>
    </row>
    <row r="437">
      <c r="B437" s="65"/>
      <c r="C437" s="65"/>
      <c r="D437" s="47"/>
    </row>
    <row r="438">
      <c r="B438" s="65"/>
      <c r="C438" s="65"/>
      <c r="D438" s="47"/>
    </row>
    <row r="439">
      <c r="B439" s="65"/>
      <c r="C439" s="65"/>
      <c r="D439" s="47"/>
    </row>
    <row r="440">
      <c r="B440" s="65"/>
      <c r="C440" s="65"/>
      <c r="D440" s="47"/>
    </row>
    <row r="441">
      <c r="B441" s="65"/>
      <c r="C441" s="65"/>
      <c r="D441" s="47"/>
    </row>
    <row r="442">
      <c r="B442" s="65"/>
      <c r="C442" s="65"/>
      <c r="D442" s="47"/>
    </row>
    <row r="443">
      <c r="B443" s="65"/>
      <c r="C443" s="65"/>
      <c r="D443" s="47"/>
    </row>
    <row r="444">
      <c r="B444" s="65"/>
      <c r="C444" s="65"/>
      <c r="D444" s="47"/>
    </row>
    <row r="445">
      <c r="B445" s="65"/>
      <c r="C445" s="65"/>
      <c r="D445" s="47"/>
    </row>
    <row r="446">
      <c r="B446" s="65"/>
      <c r="C446" s="65"/>
      <c r="D446" s="47"/>
    </row>
    <row r="447">
      <c r="B447" s="65"/>
      <c r="C447" s="65"/>
      <c r="D447" s="47"/>
    </row>
    <row r="448">
      <c r="B448" s="65"/>
      <c r="C448" s="65"/>
      <c r="D448" s="47"/>
    </row>
    <row r="449">
      <c r="B449" s="65"/>
      <c r="C449" s="65"/>
      <c r="D449" s="47"/>
    </row>
    <row r="450">
      <c r="B450" s="65"/>
      <c r="C450" s="65"/>
      <c r="D450" s="47"/>
    </row>
    <row r="451">
      <c r="B451" s="65"/>
      <c r="C451" s="65"/>
      <c r="D451" s="47"/>
    </row>
    <row r="452">
      <c r="B452" s="65"/>
      <c r="C452" s="65"/>
      <c r="D452" s="47"/>
    </row>
    <row r="453">
      <c r="B453" s="65"/>
      <c r="C453" s="65"/>
      <c r="D453" s="47"/>
    </row>
    <row r="454">
      <c r="B454" s="65"/>
      <c r="C454" s="65"/>
      <c r="D454" s="47"/>
    </row>
    <row r="455">
      <c r="B455" s="65"/>
      <c r="C455" s="65"/>
      <c r="D455" s="47"/>
    </row>
    <row r="456">
      <c r="B456" s="65"/>
      <c r="C456" s="65"/>
      <c r="D456" s="47"/>
    </row>
    <row r="457">
      <c r="B457" s="65"/>
      <c r="C457" s="65"/>
      <c r="D457" s="47"/>
    </row>
    <row r="458">
      <c r="B458" s="65"/>
      <c r="C458" s="65"/>
      <c r="D458" s="47"/>
    </row>
    <row r="459">
      <c r="B459" s="65"/>
      <c r="C459" s="65"/>
      <c r="D459" s="47"/>
    </row>
    <row r="460">
      <c r="B460" s="65"/>
      <c r="C460" s="65"/>
      <c r="D460" s="47"/>
    </row>
    <row r="461">
      <c r="B461" s="65"/>
      <c r="C461" s="65"/>
      <c r="D461" s="47"/>
    </row>
    <row r="462">
      <c r="B462" s="65"/>
      <c r="C462" s="65"/>
      <c r="D462" s="47"/>
    </row>
    <row r="463">
      <c r="B463" s="65"/>
      <c r="C463" s="65"/>
      <c r="D463" s="47"/>
    </row>
    <row r="464">
      <c r="B464" s="65"/>
      <c r="C464" s="65"/>
      <c r="D464" s="47"/>
    </row>
    <row r="465">
      <c r="B465" s="65"/>
      <c r="C465" s="65"/>
      <c r="D465" s="47"/>
    </row>
    <row r="466">
      <c r="B466" s="65"/>
      <c r="C466" s="65"/>
      <c r="D466" s="47"/>
    </row>
    <row r="467">
      <c r="B467" s="65"/>
      <c r="C467" s="65"/>
      <c r="D467" s="47"/>
    </row>
    <row r="468">
      <c r="B468" s="65"/>
      <c r="C468" s="65"/>
      <c r="D468" s="47"/>
    </row>
    <row r="469">
      <c r="B469" s="65"/>
      <c r="C469" s="65"/>
      <c r="D469" s="47"/>
    </row>
    <row r="470">
      <c r="B470" s="65"/>
      <c r="C470" s="65"/>
      <c r="D470" s="47"/>
    </row>
    <row r="471">
      <c r="B471" s="65"/>
      <c r="C471" s="65"/>
      <c r="D471" s="47"/>
    </row>
    <row r="472">
      <c r="B472" s="65"/>
      <c r="C472" s="65"/>
      <c r="D472" s="47"/>
    </row>
    <row r="473">
      <c r="B473" s="65"/>
      <c r="C473" s="65"/>
      <c r="D473" s="47"/>
    </row>
    <row r="474">
      <c r="B474" s="65"/>
      <c r="C474" s="65"/>
      <c r="D474" s="47"/>
    </row>
    <row r="475">
      <c r="B475" s="65"/>
      <c r="C475" s="65"/>
      <c r="D475" s="47"/>
    </row>
    <row r="476">
      <c r="B476" s="65"/>
      <c r="C476" s="65"/>
      <c r="D476" s="47"/>
    </row>
    <row r="477">
      <c r="B477" s="65"/>
      <c r="C477" s="65"/>
      <c r="D477" s="47"/>
    </row>
    <row r="478">
      <c r="B478" s="65"/>
      <c r="C478" s="65"/>
      <c r="D478" s="47"/>
    </row>
    <row r="479">
      <c r="B479" s="65"/>
      <c r="C479" s="65"/>
      <c r="D479" s="47"/>
    </row>
    <row r="480">
      <c r="B480" s="65"/>
      <c r="C480" s="65"/>
      <c r="D480" s="47"/>
    </row>
    <row r="481">
      <c r="B481" s="65"/>
      <c r="C481" s="65"/>
      <c r="D481" s="47"/>
    </row>
    <row r="482">
      <c r="B482" s="65"/>
      <c r="C482" s="65"/>
      <c r="D482" s="47"/>
    </row>
    <row r="483">
      <c r="B483" s="65"/>
      <c r="C483" s="65"/>
      <c r="D483" s="47"/>
    </row>
    <row r="484">
      <c r="B484" s="65"/>
      <c r="C484" s="65"/>
      <c r="D484" s="47"/>
    </row>
    <row r="485">
      <c r="B485" s="65"/>
      <c r="C485" s="65"/>
      <c r="D485" s="47"/>
    </row>
    <row r="486">
      <c r="B486" s="65"/>
      <c r="C486" s="65"/>
      <c r="D486" s="47"/>
    </row>
    <row r="487">
      <c r="B487" s="65"/>
      <c r="C487" s="65"/>
      <c r="D487" s="47"/>
    </row>
    <row r="488">
      <c r="B488" s="65"/>
      <c r="C488" s="65"/>
      <c r="D488" s="47"/>
    </row>
    <row r="489">
      <c r="B489" s="65"/>
      <c r="C489" s="65"/>
      <c r="D489" s="47"/>
    </row>
    <row r="490">
      <c r="B490" s="65"/>
      <c r="C490" s="65"/>
      <c r="D490" s="47"/>
    </row>
    <row r="491">
      <c r="B491" s="65"/>
      <c r="C491" s="65"/>
      <c r="D491" s="47"/>
    </row>
    <row r="492">
      <c r="B492" s="65"/>
      <c r="C492" s="65"/>
      <c r="D492" s="47"/>
    </row>
    <row r="493">
      <c r="B493" s="65"/>
      <c r="C493" s="65"/>
      <c r="D493" s="47"/>
    </row>
    <row r="494">
      <c r="B494" s="65"/>
      <c r="C494" s="65"/>
      <c r="D494" s="47"/>
    </row>
    <row r="495">
      <c r="B495" s="65"/>
      <c r="C495" s="65"/>
      <c r="D495" s="47"/>
    </row>
    <row r="496">
      <c r="B496" s="65"/>
      <c r="C496" s="65"/>
      <c r="D496" s="47"/>
    </row>
    <row r="497">
      <c r="B497" s="65"/>
      <c r="C497" s="65"/>
      <c r="D497" s="47"/>
    </row>
    <row r="498">
      <c r="B498" s="65"/>
      <c r="C498" s="65"/>
      <c r="D498" s="47"/>
    </row>
    <row r="499">
      <c r="B499" s="65"/>
      <c r="C499" s="65"/>
      <c r="D499" s="47"/>
    </row>
    <row r="500">
      <c r="B500" s="65"/>
      <c r="C500" s="65"/>
      <c r="D500" s="47"/>
    </row>
    <row r="501">
      <c r="B501" s="65"/>
      <c r="C501" s="65"/>
      <c r="D501" s="47"/>
    </row>
    <row r="502">
      <c r="B502" s="65"/>
      <c r="C502" s="65"/>
      <c r="D502" s="47"/>
    </row>
    <row r="503">
      <c r="B503" s="65"/>
      <c r="C503" s="65"/>
      <c r="D503" s="47"/>
    </row>
    <row r="504">
      <c r="B504" s="65"/>
      <c r="C504" s="65"/>
      <c r="D504" s="47"/>
    </row>
    <row r="505">
      <c r="B505" s="65"/>
      <c r="C505" s="65"/>
      <c r="D505" s="47"/>
    </row>
    <row r="506">
      <c r="B506" s="65"/>
      <c r="C506" s="65"/>
      <c r="D506" s="47"/>
    </row>
    <row r="507">
      <c r="B507" s="65"/>
      <c r="C507" s="65"/>
      <c r="D507" s="47"/>
    </row>
    <row r="508">
      <c r="B508" s="65"/>
      <c r="C508" s="65"/>
      <c r="D508" s="47"/>
    </row>
    <row r="509">
      <c r="B509" s="65"/>
      <c r="C509" s="65"/>
      <c r="D509" s="47"/>
    </row>
    <row r="510">
      <c r="B510" s="65"/>
      <c r="C510" s="65"/>
      <c r="D510" s="47"/>
    </row>
    <row r="511">
      <c r="B511" s="65"/>
      <c r="C511" s="65"/>
      <c r="D511" s="47"/>
    </row>
    <row r="512">
      <c r="B512" s="65"/>
      <c r="C512" s="65"/>
      <c r="D512" s="47"/>
    </row>
    <row r="513">
      <c r="B513" s="65"/>
      <c r="C513" s="65"/>
      <c r="D513" s="47"/>
    </row>
    <row r="514">
      <c r="B514" s="65"/>
      <c r="C514" s="65"/>
      <c r="D514" s="47"/>
    </row>
    <row r="515">
      <c r="B515" s="65"/>
      <c r="C515" s="65"/>
      <c r="D515" s="47"/>
    </row>
    <row r="516">
      <c r="B516" s="65"/>
      <c r="C516" s="65"/>
      <c r="D516" s="47"/>
    </row>
    <row r="517">
      <c r="B517" s="65"/>
      <c r="C517" s="65"/>
      <c r="D517" s="47"/>
    </row>
    <row r="518">
      <c r="B518" s="65"/>
      <c r="C518" s="65"/>
      <c r="D518" s="47"/>
    </row>
    <row r="519">
      <c r="B519" s="65"/>
      <c r="C519" s="65"/>
      <c r="D519" s="47"/>
    </row>
    <row r="520">
      <c r="B520" s="65"/>
      <c r="C520" s="65"/>
      <c r="D520" s="47"/>
    </row>
    <row r="521">
      <c r="B521" s="65"/>
      <c r="C521" s="65"/>
      <c r="D521" s="47"/>
    </row>
    <row r="522">
      <c r="B522" s="65"/>
      <c r="C522" s="65"/>
      <c r="D522" s="47"/>
    </row>
    <row r="523">
      <c r="B523" s="65"/>
      <c r="C523" s="65"/>
      <c r="D523" s="47"/>
    </row>
    <row r="524">
      <c r="B524" s="65"/>
      <c r="C524" s="65"/>
      <c r="D524" s="47"/>
    </row>
    <row r="525">
      <c r="B525" s="65"/>
      <c r="C525" s="65"/>
      <c r="D525" s="47"/>
    </row>
    <row r="526">
      <c r="B526" s="65"/>
      <c r="C526" s="65"/>
      <c r="D526" s="47"/>
    </row>
    <row r="527">
      <c r="B527" s="65"/>
      <c r="C527" s="65"/>
      <c r="D527" s="47"/>
    </row>
    <row r="528">
      <c r="B528" s="65"/>
      <c r="C528" s="65"/>
      <c r="D528" s="47"/>
    </row>
    <row r="529">
      <c r="B529" s="65"/>
      <c r="C529" s="65"/>
      <c r="D529" s="47"/>
    </row>
    <row r="530">
      <c r="B530" s="65"/>
      <c r="C530" s="65"/>
      <c r="D530" s="47"/>
    </row>
    <row r="531">
      <c r="B531" s="65"/>
      <c r="C531" s="65"/>
      <c r="D531" s="47"/>
    </row>
    <row r="532">
      <c r="B532" s="65"/>
      <c r="C532" s="65"/>
      <c r="D532" s="47"/>
    </row>
    <row r="533">
      <c r="B533" s="65"/>
      <c r="C533" s="65"/>
      <c r="D533" s="47"/>
    </row>
    <row r="534">
      <c r="B534" s="65"/>
      <c r="C534" s="65"/>
      <c r="D534" s="47"/>
    </row>
    <row r="535">
      <c r="B535" s="65"/>
      <c r="C535" s="65"/>
      <c r="D535" s="47"/>
    </row>
    <row r="536">
      <c r="B536" s="65"/>
      <c r="C536" s="65"/>
      <c r="D536" s="47"/>
    </row>
    <row r="537">
      <c r="B537" s="65"/>
      <c r="C537" s="65"/>
      <c r="D537" s="47"/>
    </row>
    <row r="538">
      <c r="B538" s="65"/>
      <c r="C538" s="65"/>
      <c r="D538" s="47"/>
    </row>
    <row r="539">
      <c r="B539" s="65"/>
      <c r="C539" s="65"/>
      <c r="D539" s="47"/>
    </row>
    <row r="540">
      <c r="B540" s="65"/>
      <c r="C540" s="65"/>
      <c r="D540" s="47"/>
    </row>
    <row r="541">
      <c r="B541" s="65"/>
      <c r="C541" s="65"/>
      <c r="D541" s="47"/>
    </row>
    <row r="542">
      <c r="B542" s="65"/>
      <c r="C542" s="65"/>
      <c r="D542" s="47"/>
    </row>
    <row r="543">
      <c r="B543" s="65"/>
      <c r="C543" s="65"/>
      <c r="D543" s="47"/>
    </row>
    <row r="544">
      <c r="B544" s="65"/>
      <c r="C544" s="65"/>
      <c r="D544" s="47"/>
    </row>
    <row r="545">
      <c r="B545" s="65"/>
      <c r="C545" s="65"/>
      <c r="D545" s="47"/>
    </row>
    <row r="546">
      <c r="B546" s="65"/>
      <c r="C546" s="65"/>
      <c r="D546" s="47"/>
    </row>
    <row r="547">
      <c r="B547" s="65"/>
      <c r="C547" s="65"/>
      <c r="D547" s="47"/>
    </row>
    <row r="548">
      <c r="B548" s="65"/>
      <c r="C548" s="65"/>
      <c r="D548" s="47"/>
    </row>
    <row r="549">
      <c r="B549" s="65"/>
      <c r="C549" s="65"/>
      <c r="D549" s="47"/>
    </row>
    <row r="550">
      <c r="B550" s="65"/>
      <c r="C550" s="65"/>
      <c r="D550" s="47"/>
    </row>
    <row r="551">
      <c r="B551" s="65"/>
      <c r="C551" s="65"/>
      <c r="D551" s="47"/>
    </row>
    <row r="552">
      <c r="B552" s="65"/>
      <c r="C552" s="65"/>
      <c r="D552" s="47"/>
    </row>
    <row r="553">
      <c r="B553" s="65"/>
      <c r="C553" s="65"/>
      <c r="D553" s="47"/>
    </row>
    <row r="554">
      <c r="B554" s="65"/>
      <c r="C554" s="65"/>
      <c r="D554" s="47"/>
    </row>
    <row r="555">
      <c r="B555" s="65"/>
      <c r="C555" s="65"/>
      <c r="D555" s="47"/>
    </row>
    <row r="556">
      <c r="B556" s="65"/>
      <c r="C556" s="65"/>
      <c r="D556" s="47"/>
    </row>
    <row r="557">
      <c r="B557" s="65"/>
      <c r="C557" s="65"/>
      <c r="D557" s="47"/>
    </row>
    <row r="558">
      <c r="B558" s="65"/>
      <c r="C558" s="65"/>
      <c r="D558" s="47"/>
    </row>
    <row r="559">
      <c r="B559" s="65"/>
      <c r="C559" s="65"/>
      <c r="D559" s="47"/>
    </row>
    <row r="560">
      <c r="B560" s="65"/>
      <c r="C560" s="65"/>
      <c r="D560" s="47"/>
    </row>
    <row r="561">
      <c r="B561" s="65"/>
      <c r="C561" s="65"/>
      <c r="D561" s="47"/>
    </row>
    <row r="562">
      <c r="B562" s="65"/>
      <c r="C562" s="65"/>
      <c r="D562" s="47"/>
    </row>
    <row r="563">
      <c r="B563" s="65"/>
      <c r="C563" s="65"/>
      <c r="D563" s="47"/>
    </row>
    <row r="564">
      <c r="B564" s="65"/>
      <c r="C564" s="65"/>
      <c r="D564" s="47"/>
    </row>
    <row r="565">
      <c r="B565" s="65"/>
      <c r="C565" s="65"/>
      <c r="D565" s="47"/>
    </row>
    <row r="566">
      <c r="B566" s="65"/>
      <c r="C566" s="65"/>
      <c r="D566" s="47"/>
    </row>
    <row r="567">
      <c r="B567" s="65"/>
      <c r="C567" s="65"/>
      <c r="D567" s="47"/>
    </row>
    <row r="568">
      <c r="B568" s="65"/>
      <c r="C568" s="65"/>
      <c r="D568" s="47"/>
    </row>
    <row r="569">
      <c r="B569" s="65"/>
      <c r="C569" s="65"/>
      <c r="D569" s="47"/>
    </row>
    <row r="570">
      <c r="B570" s="65"/>
      <c r="C570" s="65"/>
      <c r="D570" s="47"/>
    </row>
    <row r="571">
      <c r="B571" s="65"/>
      <c r="C571" s="65"/>
      <c r="D571" s="47"/>
    </row>
    <row r="572">
      <c r="B572" s="65"/>
      <c r="C572" s="65"/>
      <c r="D572" s="47"/>
    </row>
    <row r="573">
      <c r="B573" s="65"/>
      <c r="C573" s="65"/>
      <c r="D573" s="47"/>
    </row>
    <row r="574">
      <c r="B574" s="65"/>
      <c r="C574" s="65"/>
      <c r="D574" s="47"/>
    </row>
    <row r="575">
      <c r="B575" s="65"/>
      <c r="C575" s="65"/>
      <c r="D575" s="47"/>
    </row>
    <row r="576">
      <c r="B576" s="65"/>
      <c r="C576" s="65"/>
      <c r="D576" s="47"/>
    </row>
    <row r="577">
      <c r="B577" s="65"/>
      <c r="C577" s="65"/>
      <c r="D577" s="47"/>
    </row>
    <row r="578">
      <c r="B578" s="65"/>
      <c r="C578" s="65"/>
      <c r="D578" s="47"/>
    </row>
    <row r="579">
      <c r="B579" s="65"/>
      <c r="C579" s="65"/>
      <c r="D579" s="47"/>
    </row>
    <row r="580">
      <c r="B580" s="65"/>
      <c r="C580" s="65"/>
      <c r="D580" s="47"/>
    </row>
    <row r="581">
      <c r="B581" s="65"/>
      <c r="C581" s="65"/>
      <c r="D581" s="47"/>
    </row>
    <row r="582">
      <c r="B582" s="65"/>
      <c r="C582" s="65"/>
      <c r="D582" s="47"/>
    </row>
    <row r="583">
      <c r="B583" s="65"/>
      <c r="C583" s="65"/>
      <c r="D583" s="47"/>
    </row>
    <row r="584">
      <c r="B584" s="65"/>
      <c r="C584" s="65"/>
      <c r="D584" s="47"/>
    </row>
    <row r="585">
      <c r="B585" s="65"/>
      <c r="C585" s="65"/>
      <c r="D585" s="47"/>
    </row>
    <row r="586">
      <c r="B586" s="65"/>
      <c r="C586" s="65"/>
      <c r="D586" s="47"/>
    </row>
    <row r="587">
      <c r="B587" s="65"/>
      <c r="C587" s="65"/>
      <c r="D587" s="47"/>
    </row>
    <row r="588">
      <c r="B588" s="65"/>
      <c r="C588" s="65"/>
      <c r="D588" s="47"/>
    </row>
    <row r="589">
      <c r="B589" s="65"/>
      <c r="C589" s="65"/>
      <c r="D589" s="47"/>
    </row>
    <row r="590">
      <c r="B590" s="65"/>
      <c r="C590" s="65"/>
      <c r="D590" s="47"/>
    </row>
    <row r="591">
      <c r="B591" s="65"/>
      <c r="C591" s="65"/>
      <c r="D591" s="47"/>
    </row>
    <row r="592">
      <c r="B592" s="65"/>
      <c r="C592" s="65"/>
      <c r="D592" s="47"/>
    </row>
    <row r="593">
      <c r="B593" s="65"/>
      <c r="C593" s="65"/>
      <c r="D593" s="47"/>
    </row>
    <row r="594">
      <c r="B594" s="65"/>
      <c r="C594" s="65"/>
      <c r="D594" s="47"/>
    </row>
    <row r="595">
      <c r="B595" s="65"/>
      <c r="C595" s="65"/>
      <c r="D595" s="47"/>
    </row>
    <row r="596">
      <c r="B596" s="65"/>
      <c r="C596" s="65"/>
      <c r="D596" s="47"/>
    </row>
    <row r="597">
      <c r="B597" s="65"/>
      <c r="C597" s="65"/>
      <c r="D597" s="47"/>
    </row>
    <row r="598">
      <c r="B598" s="65"/>
      <c r="C598" s="65"/>
      <c r="D598" s="47"/>
    </row>
    <row r="599">
      <c r="B599" s="65"/>
      <c r="C599" s="65"/>
      <c r="D599" s="47"/>
    </row>
    <row r="600">
      <c r="B600" s="65"/>
      <c r="C600" s="65"/>
      <c r="D600" s="47"/>
    </row>
    <row r="601">
      <c r="B601" s="65"/>
      <c r="C601" s="65"/>
      <c r="D601" s="47"/>
    </row>
    <row r="602">
      <c r="B602" s="65"/>
      <c r="C602" s="65"/>
      <c r="D602" s="47"/>
    </row>
    <row r="603">
      <c r="B603" s="65"/>
      <c r="C603" s="65"/>
      <c r="D603" s="47"/>
    </row>
    <row r="604">
      <c r="B604" s="65"/>
      <c r="C604" s="65"/>
      <c r="D604" s="47"/>
    </row>
    <row r="605">
      <c r="B605" s="65"/>
      <c r="C605" s="65"/>
      <c r="D605" s="47"/>
    </row>
    <row r="606">
      <c r="B606" s="65"/>
      <c r="C606" s="65"/>
      <c r="D606" s="47"/>
    </row>
    <row r="607">
      <c r="B607" s="65"/>
      <c r="C607" s="65"/>
      <c r="D607" s="47"/>
    </row>
    <row r="608">
      <c r="B608" s="65"/>
      <c r="C608" s="65"/>
      <c r="D608" s="47"/>
    </row>
    <row r="609">
      <c r="B609" s="65"/>
      <c r="C609" s="65"/>
      <c r="D609" s="47"/>
    </row>
    <row r="610">
      <c r="B610" s="65"/>
      <c r="C610" s="65"/>
      <c r="D610" s="47"/>
    </row>
    <row r="611">
      <c r="B611" s="65"/>
      <c r="C611" s="65"/>
      <c r="D611" s="47"/>
    </row>
    <row r="612">
      <c r="B612" s="65"/>
      <c r="C612" s="65"/>
      <c r="D612" s="47"/>
    </row>
    <row r="613">
      <c r="B613" s="65"/>
      <c r="C613" s="65"/>
      <c r="D613" s="47"/>
    </row>
    <row r="614">
      <c r="B614" s="65"/>
      <c r="C614" s="65"/>
      <c r="D614" s="47"/>
    </row>
    <row r="615">
      <c r="B615" s="65"/>
      <c r="C615" s="65"/>
      <c r="D615" s="47"/>
    </row>
    <row r="616">
      <c r="B616" s="65"/>
      <c r="C616" s="65"/>
      <c r="D616" s="47"/>
    </row>
    <row r="617">
      <c r="B617" s="65"/>
      <c r="C617" s="65"/>
      <c r="D617" s="47"/>
    </row>
    <row r="618">
      <c r="B618" s="65"/>
      <c r="C618" s="65"/>
      <c r="D618" s="47"/>
    </row>
    <row r="619">
      <c r="B619" s="65"/>
      <c r="C619" s="65"/>
      <c r="D619" s="47"/>
    </row>
    <row r="620">
      <c r="B620" s="65"/>
      <c r="C620" s="65"/>
      <c r="D620" s="47"/>
    </row>
    <row r="621">
      <c r="B621" s="65"/>
      <c r="C621" s="65"/>
      <c r="D621" s="47"/>
    </row>
    <row r="622">
      <c r="B622" s="65"/>
      <c r="C622" s="65"/>
      <c r="D622" s="47"/>
    </row>
    <row r="623">
      <c r="B623" s="65"/>
      <c r="C623" s="65"/>
      <c r="D623" s="47"/>
    </row>
    <row r="624">
      <c r="B624" s="65"/>
      <c r="C624" s="65"/>
      <c r="D624" s="47"/>
    </row>
    <row r="625">
      <c r="B625" s="65"/>
      <c r="C625" s="65"/>
      <c r="D625" s="47"/>
    </row>
    <row r="626">
      <c r="B626" s="65"/>
      <c r="C626" s="65"/>
      <c r="D626" s="47"/>
    </row>
    <row r="627">
      <c r="B627" s="65"/>
      <c r="C627" s="65"/>
      <c r="D627" s="47"/>
    </row>
    <row r="628">
      <c r="B628" s="65"/>
      <c r="C628" s="65"/>
      <c r="D628" s="47"/>
    </row>
    <row r="629">
      <c r="B629" s="65"/>
      <c r="C629" s="65"/>
      <c r="D629" s="47"/>
    </row>
    <row r="630">
      <c r="B630" s="65"/>
      <c r="C630" s="65"/>
      <c r="D630" s="47"/>
    </row>
    <row r="631">
      <c r="B631" s="65"/>
      <c r="C631" s="65"/>
      <c r="D631" s="47"/>
    </row>
    <row r="632">
      <c r="B632" s="65"/>
      <c r="C632" s="65"/>
      <c r="D632" s="47"/>
    </row>
    <row r="633">
      <c r="B633" s="65"/>
      <c r="C633" s="65"/>
      <c r="D633" s="47"/>
    </row>
    <row r="634">
      <c r="B634" s="65"/>
      <c r="C634" s="65"/>
      <c r="D634" s="47"/>
    </row>
    <row r="635">
      <c r="B635" s="65"/>
      <c r="C635" s="65"/>
      <c r="D635" s="47"/>
    </row>
    <row r="636">
      <c r="B636" s="65"/>
      <c r="C636" s="65"/>
      <c r="D636" s="47"/>
    </row>
    <row r="637">
      <c r="B637" s="65"/>
      <c r="C637" s="65"/>
      <c r="D637" s="47"/>
    </row>
    <row r="638">
      <c r="B638" s="65"/>
      <c r="C638" s="65"/>
      <c r="D638" s="47"/>
    </row>
    <row r="639">
      <c r="B639" s="65"/>
      <c r="C639" s="65"/>
      <c r="D639" s="47"/>
    </row>
    <row r="640">
      <c r="B640" s="65"/>
      <c r="C640" s="65"/>
      <c r="D640" s="47"/>
    </row>
    <row r="641">
      <c r="B641" s="65"/>
      <c r="C641" s="65"/>
      <c r="D641" s="47"/>
    </row>
    <row r="642">
      <c r="B642" s="65"/>
      <c r="C642" s="65"/>
      <c r="D642" s="47"/>
    </row>
    <row r="643">
      <c r="B643" s="65"/>
      <c r="C643" s="65"/>
      <c r="D643" s="47"/>
    </row>
    <row r="644">
      <c r="B644" s="65"/>
      <c r="C644" s="65"/>
      <c r="D644" s="47"/>
    </row>
    <row r="645">
      <c r="B645" s="65"/>
      <c r="C645" s="65"/>
      <c r="D645" s="47"/>
    </row>
    <row r="646">
      <c r="B646" s="65"/>
      <c r="C646" s="65"/>
      <c r="D646" s="47"/>
    </row>
    <row r="647">
      <c r="B647" s="65"/>
      <c r="C647" s="65"/>
      <c r="D647" s="47"/>
    </row>
    <row r="648">
      <c r="B648" s="65"/>
      <c r="C648" s="65"/>
      <c r="D648" s="47"/>
    </row>
    <row r="649">
      <c r="B649" s="65"/>
      <c r="C649" s="65"/>
      <c r="D649" s="47"/>
    </row>
    <row r="650">
      <c r="B650" s="65"/>
      <c r="C650" s="65"/>
      <c r="D650" s="47"/>
    </row>
    <row r="651">
      <c r="B651" s="65"/>
      <c r="C651" s="65"/>
      <c r="D651" s="47"/>
    </row>
    <row r="652">
      <c r="B652" s="65"/>
      <c r="C652" s="65"/>
      <c r="D652" s="47"/>
    </row>
    <row r="653">
      <c r="B653" s="65"/>
      <c r="C653" s="65"/>
      <c r="D653" s="47"/>
    </row>
    <row r="654">
      <c r="B654" s="65"/>
      <c r="C654" s="65"/>
      <c r="D654" s="47"/>
    </row>
    <row r="655">
      <c r="B655" s="65"/>
      <c r="C655" s="65"/>
      <c r="D655" s="47"/>
    </row>
    <row r="656">
      <c r="B656" s="65"/>
      <c r="C656" s="65"/>
      <c r="D656" s="47"/>
    </row>
    <row r="657">
      <c r="B657" s="65"/>
      <c r="C657" s="65"/>
      <c r="D657" s="47"/>
    </row>
    <row r="658">
      <c r="B658" s="65"/>
      <c r="C658" s="65"/>
      <c r="D658" s="47"/>
    </row>
    <row r="659">
      <c r="B659" s="65"/>
      <c r="C659" s="65"/>
      <c r="D659" s="47"/>
    </row>
    <row r="660">
      <c r="B660" s="65"/>
      <c r="C660" s="65"/>
      <c r="D660" s="47"/>
    </row>
    <row r="661">
      <c r="B661" s="65"/>
      <c r="C661" s="65"/>
      <c r="D661" s="47"/>
    </row>
    <row r="662">
      <c r="B662" s="65"/>
      <c r="C662" s="65"/>
      <c r="D662" s="47"/>
    </row>
    <row r="663">
      <c r="B663" s="65"/>
      <c r="C663" s="65"/>
      <c r="D663" s="47"/>
    </row>
    <row r="664">
      <c r="B664" s="65"/>
      <c r="C664" s="65"/>
      <c r="D664" s="47"/>
    </row>
    <row r="665">
      <c r="B665" s="65"/>
      <c r="C665" s="65"/>
      <c r="D665" s="47"/>
    </row>
    <row r="666">
      <c r="B666" s="65"/>
      <c r="C666" s="65"/>
      <c r="D666" s="47"/>
    </row>
    <row r="667">
      <c r="B667" s="65"/>
      <c r="C667" s="65"/>
      <c r="D667" s="47"/>
    </row>
    <row r="668">
      <c r="B668" s="65"/>
      <c r="C668" s="65"/>
      <c r="D668" s="47"/>
    </row>
    <row r="669">
      <c r="B669" s="65"/>
      <c r="C669" s="65"/>
      <c r="D669" s="47"/>
    </row>
    <row r="670">
      <c r="B670" s="65"/>
      <c r="C670" s="65"/>
      <c r="D670" s="47"/>
    </row>
    <row r="671">
      <c r="B671" s="65"/>
      <c r="C671" s="65"/>
      <c r="D671" s="47"/>
    </row>
    <row r="672">
      <c r="B672" s="65"/>
      <c r="C672" s="65"/>
      <c r="D672" s="47"/>
    </row>
    <row r="673">
      <c r="B673" s="65"/>
      <c r="C673" s="65"/>
      <c r="D673" s="47"/>
    </row>
    <row r="674">
      <c r="B674" s="65"/>
      <c r="C674" s="65"/>
      <c r="D674" s="47"/>
    </row>
    <row r="675">
      <c r="B675" s="65"/>
      <c r="C675" s="65"/>
      <c r="D675" s="47"/>
    </row>
    <row r="676">
      <c r="B676" s="65"/>
      <c r="C676" s="65"/>
      <c r="D676" s="47"/>
    </row>
    <row r="677">
      <c r="B677" s="65"/>
      <c r="C677" s="65"/>
      <c r="D677" s="47"/>
    </row>
    <row r="678">
      <c r="B678" s="65"/>
      <c r="C678" s="65"/>
      <c r="D678" s="47"/>
    </row>
    <row r="679">
      <c r="B679" s="65"/>
      <c r="C679" s="65"/>
      <c r="D679" s="47"/>
    </row>
    <row r="680">
      <c r="B680" s="65"/>
      <c r="C680" s="65"/>
      <c r="D680" s="47"/>
    </row>
    <row r="681">
      <c r="B681" s="65"/>
      <c r="C681" s="65"/>
      <c r="D681" s="47"/>
    </row>
    <row r="682">
      <c r="B682" s="65"/>
      <c r="C682" s="65"/>
      <c r="D682" s="47"/>
    </row>
    <row r="683">
      <c r="B683" s="65"/>
      <c r="C683" s="65"/>
      <c r="D683" s="47"/>
    </row>
    <row r="684">
      <c r="B684" s="65"/>
      <c r="C684" s="65"/>
      <c r="D684" s="47"/>
    </row>
    <row r="685">
      <c r="B685" s="65"/>
      <c r="C685" s="65"/>
      <c r="D685" s="47"/>
    </row>
    <row r="686">
      <c r="B686" s="65"/>
      <c r="C686" s="65"/>
      <c r="D686" s="47"/>
    </row>
    <row r="687">
      <c r="B687" s="65"/>
      <c r="C687" s="65"/>
      <c r="D687" s="47"/>
    </row>
    <row r="688">
      <c r="B688" s="65"/>
      <c r="C688" s="65"/>
      <c r="D688" s="47"/>
    </row>
    <row r="689">
      <c r="B689" s="65"/>
      <c r="C689" s="65"/>
      <c r="D689" s="47"/>
    </row>
    <row r="690">
      <c r="B690" s="65"/>
      <c r="C690" s="65"/>
      <c r="D690" s="47"/>
    </row>
    <row r="691">
      <c r="B691" s="65"/>
      <c r="C691" s="65"/>
      <c r="D691" s="47"/>
    </row>
    <row r="692">
      <c r="B692" s="65"/>
      <c r="C692" s="65"/>
      <c r="D692" s="47"/>
    </row>
    <row r="693">
      <c r="B693" s="65"/>
      <c r="C693" s="65"/>
      <c r="D693" s="47"/>
    </row>
    <row r="694">
      <c r="B694" s="65"/>
      <c r="C694" s="65"/>
      <c r="D694" s="47"/>
    </row>
    <row r="695">
      <c r="B695" s="65"/>
      <c r="C695" s="65"/>
      <c r="D695" s="47"/>
    </row>
    <row r="696">
      <c r="B696" s="65"/>
      <c r="C696" s="65"/>
      <c r="D696" s="47"/>
    </row>
    <row r="697">
      <c r="B697" s="65"/>
      <c r="C697" s="65"/>
      <c r="D697" s="47"/>
    </row>
    <row r="698">
      <c r="B698" s="65"/>
      <c r="C698" s="65"/>
      <c r="D698" s="47"/>
    </row>
    <row r="699">
      <c r="B699" s="65"/>
      <c r="C699" s="65"/>
      <c r="D699" s="47"/>
    </row>
    <row r="700">
      <c r="B700" s="65"/>
      <c r="C700" s="65"/>
      <c r="D700" s="47"/>
    </row>
    <row r="701">
      <c r="B701" s="65"/>
      <c r="C701" s="65"/>
      <c r="D701" s="47"/>
    </row>
    <row r="702">
      <c r="B702" s="65"/>
      <c r="C702" s="65"/>
      <c r="D702" s="47"/>
    </row>
    <row r="703">
      <c r="B703" s="65"/>
      <c r="C703" s="65"/>
      <c r="D703" s="47"/>
    </row>
    <row r="704">
      <c r="B704" s="65"/>
      <c r="C704" s="65"/>
      <c r="D704" s="47"/>
    </row>
    <row r="705">
      <c r="B705" s="65"/>
      <c r="C705" s="65"/>
      <c r="D705" s="47"/>
    </row>
    <row r="706">
      <c r="B706" s="65"/>
      <c r="C706" s="65"/>
      <c r="D706" s="47"/>
    </row>
    <row r="707">
      <c r="B707" s="65"/>
      <c r="C707" s="65"/>
      <c r="D707" s="47"/>
    </row>
    <row r="708">
      <c r="B708" s="65"/>
      <c r="C708" s="65"/>
      <c r="D708" s="47"/>
    </row>
    <row r="709">
      <c r="B709" s="65"/>
      <c r="C709" s="65"/>
      <c r="D709" s="47"/>
    </row>
    <row r="710">
      <c r="B710" s="65"/>
      <c r="C710" s="65"/>
      <c r="D710" s="47"/>
    </row>
    <row r="711">
      <c r="B711" s="65"/>
      <c r="C711" s="65"/>
      <c r="D711" s="47"/>
    </row>
    <row r="712">
      <c r="B712" s="65"/>
      <c r="C712" s="65"/>
      <c r="D712" s="47"/>
    </row>
    <row r="713">
      <c r="B713" s="65"/>
      <c r="C713" s="65"/>
      <c r="D713" s="47"/>
    </row>
    <row r="714">
      <c r="B714" s="65"/>
      <c r="C714" s="65"/>
      <c r="D714" s="47"/>
    </row>
    <row r="715">
      <c r="B715" s="65"/>
      <c r="C715" s="65"/>
      <c r="D715" s="47"/>
    </row>
    <row r="716">
      <c r="B716" s="65"/>
      <c r="C716" s="65"/>
      <c r="D716" s="47"/>
    </row>
    <row r="717">
      <c r="B717" s="65"/>
      <c r="C717" s="65"/>
      <c r="D717" s="47"/>
    </row>
    <row r="718">
      <c r="B718" s="65"/>
      <c r="C718" s="65"/>
      <c r="D718" s="47"/>
    </row>
    <row r="719">
      <c r="B719" s="65"/>
      <c r="C719" s="65"/>
      <c r="D719" s="47"/>
    </row>
    <row r="720">
      <c r="B720" s="65"/>
      <c r="C720" s="65"/>
      <c r="D720" s="47"/>
    </row>
    <row r="721">
      <c r="B721" s="65"/>
      <c r="C721" s="65"/>
      <c r="D721" s="47"/>
    </row>
    <row r="722">
      <c r="B722" s="65"/>
      <c r="C722" s="65"/>
      <c r="D722" s="47"/>
    </row>
    <row r="723">
      <c r="B723" s="65"/>
      <c r="C723" s="65"/>
      <c r="D723" s="47"/>
    </row>
    <row r="724">
      <c r="B724" s="65"/>
      <c r="C724" s="65"/>
      <c r="D724" s="47"/>
    </row>
    <row r="725">
      <c r="B725" s="65"/>
      <c r="C725" s="65"/>
      <c r="D725" s="47"/>
    </row>
    <row r="726">
      <c r="B726" s="65"/>
      <c r="C726" s="65"/>
      <c r="D726" s="47"/>
    </row>
    <row r="727">
      <c r="B727" s="65"/>
      <c r="C727" s="65"/>
      <c r="D727" s="47"/>
    </row>
    <row r="728">
      <c r="B728" s="65"/>
      <c r="C728" s="65"/>
      <c r="D728" s="47"/>
    </row>
    <row r="729">
      <c r="B729" s="65"/>
      <c r="C729" s="65"/>
      <c r="D729" s="47"/>
    </row>
    <row r="730">
      <c r="B730" s="65"/>
      <c r="C730" s="65"/>
      <c r="D730" s="47"/>
    </row>
    <row r="731">
      <c r="B731" s="65"/>
      <c r="C731" s="65"/>
      <c r="D731" s="47"/>
    </row>
    <row r="732">
      <c r="B732" s="65"/>
      <c r="C732" s="65"/>
      <c r="D732" s="47"/>
    </row>
    <row r="733">
      <c r="B733" s="65"/>
      <c r="C733" s="65"/>
      <c r="D733" s="47"/>
    </row>
    <row r="734">
      <c r="B734" s="65"/>
      <c r="C734" s="65"/>
      <c r="D734" s="47"/>
    </row>
    <row r="735">
      <c r="B735" s="65"/>
      <c r="C735" s="65"/>
      <c r="D735" s="47"/>
    </row>
    <row r="736">
      <c r="B736" s="65"/>
      <c r="C736" s="65"/>
      <c r="D736" s="47"/>
    </row>
    <row r="737">
      <c r="B737" s="65"/>
      <c r="C737" s="65"/>
      <c r="D737" s="47"/>
    </row>
    <row r="738">
      <c r="B738" s="65"/>
      <c r="C738" s="65"/>
      <c r="D738" s="47"/>
    </row>
    <row r="739">
      <c r="B739" s="65"/>
      <c r="C739" s="65"/>
      <c r="D739" s="47"/>
    </row>
    <row r="740">
      <c r="B740" s="65"/>
      <c r="C740" s="65"/>
      <c r="D740" s="47"/>
    </row>
    <row r="741">
      <c r="B741" s="65"/>
      <c r="C741" s="65"/>
      <c r="D741" s="47"/>
    </row>
    <row r="742">
      <c r="B742" s="65"/>
      <c r="C742" s="65"/>
      <c r="D742" s="47"/>
    </row>
    <row r="743">
      <c r="B743" s="65"/>
      <c r="C743" s="65"/>
      <c r="D743" s="47"/>
    </row>
    <row r="744">
      <c r="B744" s="65"/>
      <c r="C744" s="65"/>
      <c r="D744" s="47"/>
    </row>
    <row r="745">
      <c r="B745" s="65"/>
      <c r="C745" s="65"/>
      <c r="D745" s="47"/>
    </row>
    <row r="746">
      <c r="B746" s="65"/>
      <c r="C746" s="65"/>
      <c r="D746" s="47"/>
    </row>
    <row r="747">
      <c r="B747" s="65"/>
      <c r="C747" s="65"/>
      <c r="D747" s="47"/>
    </row>
    <row r="748">
      <c r="B748" s="65"/>
      <c r="C748" s="65"/>
      <c r="D748" s="47"/>
    </row>
    <row r="749">
      <c r="B749" s="65"/>
      <c r="C749" s="65"/>
      <c r="D749" s="47"/>
    </row>
    <row r="750">
      <c r="B750" s="65"/>
      <c r="C750" s="65"/>
      <c r="D750" s="47"/>
    </row>
    <row r="751">
      <c r="B751" s="65"/>
      <c r="C751" s="65"/>
      <c r="D751" s="47"/>
    </row>
    <row r="752">
      <c r="B752" s="65"/>
      <c r="C752" s="65"/>
      <c r="D752" s="47"/>
    </row>
    <row r="753">
      <c r="B753" s="65"/>
      <c r="C753" s="65"/>
      <c r="D753" s="47"/>
    </row>
    <row r="754">
      <c r="B754" s="65"/>
      <c r="C754" s="65"/>
      <c r="D754" s="47"/>
    </row>
    <row r="755">
      <c r="B755" s="65"/>
      <c r="C755" s="65"/>
      <c r="D755" s="47"/>
    </row>
    <row r="756">
      <c r="B756" s="65"/>
      <c r="C756" s="65"/>
      <c r="D756" s="47"/>
    </row>
    <row r="757">
      <c r="B757" s="65"/>
      <c r="C757" s="65"/>
      <c r="D757" s="47"/>
    </row>
    <row r="758">
      <c r="B758" s="65"/>
      <c r="C758" s="65"/>
      <c r="D758" s="47"/>
    </row>
    <row r="759">
      <c r="B759" s="65"/>
      <c r="C759" s="65"/>
      <c r="D759" s="47"/>
    </row>
    <row r="760">
      <c r="B760" s="65"/>
      <c r="C760" s="65"/>
      <c r="D760" s="47"/>
    </row>
    <row r="761">
      <c r="B761" s="65"/>
      <c r="C761" s="65"/>
      <c r="D761" s="47"/>
    </row>
    <row r="762">
      <c r="B762" s="65"/>
      <c r="C762" s="65"/>
      <c r="D762" s="47"/>
    </row>
    <row r="763">
      <c r="B763" s="65"/>
      <c r="C763" s="65"/>
      <c r="D763" s="47"/>
    </row>
    <row r="764">
      <c r="B764" s="65"/>
      <c r="C764" s="65"/>
      <c r="D764" s="47"/>
    </row>
    <row r="765">
      <c r="B765" s="65"/>
      <c r="C765" s="65"/>
      <c r="D765" s="47"/>
    </row>
    <row r="766">
      <c r="B766" s="65"/>
      <c r="C766" s="65"/>
      <c r="D766" s="47"/>
    </row>
    <row r="767">
      <c r="B767" s="65"/>
      <c r="C767" s="65"/>
      <c r="D767" s="47"/>
    </row>
    <row r="768">
      <c r="B768" s="65"/>
      <c r="C768" s="65"/>
      <c r="D768" s="47"/>
    </row>
    <row r="769">
      <c r="B769" s="65"/>
      <c r="C769" s="65"/>
      <c r="D769" s="47"/>
    </row>
    <row r="770">
      <c r="B770" s="65"/>
      <c r="C770" s="65"/>
      <c r="D770" s="47"/>
    </row>
    <row r="771">
      <c r="B771" s="65"/>
      <c r="C771" s="65"/>
      <c r="D771" s="47"/>
    </row>
    <row r="772">
      <c r="B772" s="65"/>
      <c r="C772" s="65"/>
      <c r="D772" s="47"/>
    </row>
    <row r="773">
      <c r="B773" s="65"/>
      <c r="C773" s="65"/>
      <c r="D773" s="47"/>
    </row>
    <row r="774">
      <c r="B774" s="65"/>
      <c r="C774" s="65"/>
      <c r="D774" s="47"/>
    </row>
    <row r="775">
      <c r="B775" s="65"/>
      <c r="C775" s="65"/>
      <c r="D775" s="47"/>
    </row>
    <row r="776">
      <c r="B776" s="65"/>
      <c r="C776" s="65"/>
      <c r="D776" s="47"/>
    </row>
    <row r="777">
      <c r="B777" s="65"/>
      <c r="C777" s="65"/>
      <c r="D777" s="47"/>
    </row>
    <row r="778">
      <c r="B778" s="65"/>
      <c r="C778" s="65"/>
      <c r="D778" s="47"/>
    </row>
    <row r="779">
      <c r="B779" s="65"/>
      <c r="C779" s="65"/>
      <c r="D779" s="47"/>
    </row>
    <row r="780">
      <c r="B780" s="65"/>
      <c r="C780" s="65"/>
      <c r="D780" s="47"/>
    </row>
    <row r="781">
      <c r="B781" s="65"/>
      <c r="C781" s="65"/>
      <c r="D781" s="47"/>
    </row>
    <row r="782">
      <c r="B782" s="65"/>
      <c r="C782" s="65"/>
      <c r="D782" s="47"/>
    </row>
    <row r="783">
      <c r="B783" s="65"/>
      <c r="C783" s="65"/>
      <c r="D783" s="47"/>
    </row>
    <row r="784">
      <c r="B784" s="65"/>
      <c r="C784" s="65"/>
      <c r="D784" s="47"/>
    </row>
    <row r="785">
      <c r="B785" s="65"/>
      <c r="C785" s="65"/>
      <c r="D785" s="47"/>
    </row>
    <row r="786">
      <c r="B786" s="65"/>
      <c r="C786" s="65"/>
      <c r="D786" s="47"/>
    </row>
    <row r="787">
      <c r="B787" s="65"/>
      <c r="C787" s="65"/>
      <c r="D787" s="47"/>
    </row>
    <row r="788">
      <c r="B788" s="65"/>
      <c r="C788" s="65"/>
      <c r="D788" s="47"/>
    </row>
    <row r="789">
      <c r="B789" s="65"/>
      <c r="C789" s="65"/>
      <c r="D789" s="47"/>
    </row>
    <row r="790">
      <c r="B790" s="65"/>
      <c r="C790" s="65"/>
      <c r="D790" s="47"/>
    </row>
    <row r="791">
      <c r="B791" s="65"/>
      <c r="C791" s="65"/>
      <c r="D791" s="47"/>
    </row>
    <row r="792">
      <c r="B792" s="65"/>
      <c r="C792" s="65"/>
      <c r="D792" s="47"/>
    </row>
    <row r="793">
      <c r="B793" s="65"/>
      <c r="C793" s="65"/>
      <c r="D793" s="47"/>
    </row>
    <row r="794">
      <c r="B794" s="65"/>
      <c r="C794" s="65"/>
      <c r="D794" s="47"/>
    </row>
    <row r="795">
      <c r="B795" s="65"/>
      <c r="C795" s="65"/>
      <c r="D795" s="47"/>
    </row>
    <row r="796">
      <c r="B796" s="65"/>
      <c r="C796" s="65"/>
      <c r="D796" s="47"/>
    </row>
    <row r="797">
      <c r="B797" s="65"/>
      <c r="C797" s="65"/>
      <c r="D797" s="47"/>
    </row>
    <row r="798">
      <c r="B798" s="65"/>
      <c r="C798" s="65"/>
      <c r="D798" s="47"/>
    </row>
    <row r="799">
      <c r="B799" s="65"/>
      <c r="C799" s="65"/>
      <c r="D799" s="47"/>
    </row>
    <row r="800">
      <c r="B800" s="65"/>
      <c r="C800" s="65"/>
      <c r="D800" s="47"/>
    </row>
    <row r="801">
      <c r="B801" s="65"/>
      <c r="C801" s="65"/>
      <c r="D801" s="47"/>
    </row>
    <row r="802">
      <c r="B802" s="65"/>
      <c r="C802" s="65"/>
      <c r="D802" s="47"/>
    </row>
    <row r="803">
      <c r="B803" s="65"/>
      <c r="C803" s="65"/>
      <c r="D803" s="47"/>
    </row>
    <row r="804">
      <c r="B804" s="65"/>
      <c r="C804" s="65"/>
      <c r="D804" s="47"/>
    </row>
    <row r="805">
      <c r="B805" s="65"/>
      <c r="C805" s="65"/>
      <c r="D805" s="47"/>
    </row>
    <row r="806">
      <c r="B806" s="65"/>
      <c r="C806" s="65"/>
      <c r="D806" s="47"/>
    </row>
    <row r="807">
      <c r="B807" s="65"/>
      <c r="C807" s="65"/>
      <c r="D807" s="47"/>
    </row>
    <row r="808">
      <c r="B808" s="65"/>
      <c r="C808" s="65"/>
      <c r="D808" s="47"/>
    </row>
    <row r="809">
      <c r="B809" s="65"/>
      <c r="C809" s="65"/>
      <c r="D809" s="47"/>
    </row>
    <row r="810">
      <c r="B810" s="65"/>
      <c r="C810" s="65"/>
      <c r="D810" s="47"/>
    </row>
    <row r="811">
      <c r="B811" s="65"/>
      <c r="C811" s="65"/>
      <c r="D811" s="47"/>
    </row>
    <row r="812">
      <c r="B812" s="65"/>
      <c r="C812" s="65"/>
      <c r="D812" s="47"/>
    </row>
    <row r="813">
      <c r="B813" s="65"/>
      <c r="C813" s="65"/>
      <c r="D813" s="47"/>
    </row>
    <row r="814">
      <c r="B814" s="65"/>
      <c r="C814" s="65"/>
      <c r="D814" s="47"/>
    </row>
    <row r="815">
      <c r="B815" s="65"/>
      <c r="C815" s="65"/>
      <c r="D815" s="47"/>
    </row>
    <row r="816">
      <c r="B816" s="65"/>
      <c r="C816" s="65"/>
      <c r="D816" s="47"/>
    </row>
    <row r="817">
      <c r="B817" s="65"/>
      <c r="C817" s="65"/>
      <c r="D817" s="47"/>
    </row>
    <row r="818">
      <c r="B818" s="65"/>
      <c r="C818" s="65"/>
      <c r="D818" s="47"/>
    </row>
    <row r="819">
      <c r="B819" s="65"/>
      <c r="C819" s="65"/>
      <c r="D819" s="47"/>
    </row>
    <row r="820">
      <c r="B820" s="65"/>
      <c r="C820" s="65"/>
      <c r="D820" s="47"/>
    </row>
    <row r="821">
      <c r="B821" s="65"/>
      <c r="C821" s="65"/>
      <c r="D821" s="47"/>
    </row>
    <row r="822">
      <c r="B822" s="65"/>
      <c r="C822" s="65"/>
      <c r="D822" s="47"/>
    </row>
    <row r="823">
      <c r="B823" s="65"/>
      <c r="C823" s="65"/>
      <c r="D823" s="47"/>
    </row>
    <row r="824">
      <c r="B824" s="65"/>
      <c r="C824" s="65"/>
      <c r="D824" s="47"/>
    </row>
    <row r="825">
      <c r="B825" s="65"/>
      <c r="C825" s="65"/>
      <c r="D825" s="47"/>
    </row>
    <row r="826">
      <c r="B826" s="65"/>
      <c r="C826" s="65"/>
      <c r="D826" s="47"/>
    </row>
    <row r="827">
      <c r="B827" s="65"/>
      <c r="C827" s="65"/>
      <c r="D827" s="47"/>
    </row>
    <row r="828">
      <c r="B828" s="65"/>
      <c r="C828" s="65"/>
      <c r="D828" s="47"/>
    </row>
    <row r="829">
      <c r="B829" s="65"/>
      <c r="C829" s="65"/>
      <c r="D829" s="47"/>
    </row>
    <row r="830">
      <c r="B830" s="65"/>
      <c r="C830" s="65"/>
      <c r="D830" s="47"/>
    </row>
    <row r="831">
      <c r="B831" s="65"/>
      <c r="C831" s="65"/>
      <c r="D831" s="47"/>
    </row>
    <row r="832">
      <c r="B832" s="65"/>
      <c r="C832" s="65"/>
      <c r="D832" s="47"/>
    </row>
    <row r="833">
      <c r="B833" s="65"/>
      <c r="C833" s="65"/>
      <c r="D833" s="47"/>
    </row>
    <row r="834">
      <c r="B834" s="65"/>
      <c r="C834" s="65"/>
      <c r="D834" s="47"/>
    </row>
    <row r="835">
      <c r="B835" s="65"/>
      <c r="C835" s="65"/>
      <c r="D835" s="47"/>
    </row>
    <row r="836">
      <c r="B836" s="65"/>
      <c r="C836" s="65"/>
      <c r="D836" s="47"/>
    </row>
    <row r="837">
      <c r="B837" s="65"/>
      <c r="C837" s="65"/>
      <c r="D837" s="47"/>
    </row>
    <row r="838">
      <c r="B838" s="65"/>
      <c r="C838" s="65"/>
      <c r="D838" s="47"/>
    </row>
    <row r="839">
      <c r="B839" s="65"/>
      <c r="C839" s="65"/>
      <c r="D839" s="47"/>
    </row>
    <row r="840">
      <c r="B840" s="65"/>
      <c r="C840" s="65"/>
      <c r="D840" s="47"/>
    </row>
    <row r="841">
      <c r="B841" s="65"/>
      <c r="C841" s="65"/>
      <c r="D841" s="47"/>
    </row>
    <row r="842">
      <c r="B842" s="65"/>
      <c r="C842" s="65"/>
      <c r="D842" s="47"/>
    </row>
    <row r="843">
      <c r="B843" s="65"/>
      <c r="C843" s="65"/>
      <c r="D843" s="47"/>
    </row>
    <row r="844">
      <c r="B844" s="65"/>
      <c r="C844" s="65"/>
      <c r="D844" s="47"/>
    </row>
    <row r="845">
      <c r="B845" s="65"/>
      <c r="C845" s="65"/>
      <c r="D845" s="47"/>
    </row>
    <row r="846">
      <c r="B846" s="65"/>
      <c r="C846" s="65"/>
      <c r="D846" s="47"/>
    </row>
    <row r="847">
      <c r="B847" s="65"/>
      <c r="C847" s="65"/>
      <c r="D847" s="47"/>
    </row>
    <row r="848">
      <c r="B848" s="65"/>
      <c r="C848" s="65"/>
      <c r="D848" s="47"/>
    </row>
    <row r="849">
      <c r="B849" s="65"/>
      <c r="C849" s="65"/>
      <c r="D849" s="47"/>
    </row>
    <row r="850">
      <c r="B850" s="65"/>
      <c r="C850" s="65"/>
      <c r="D850" s="47"/>
    </row>
    <row r="851">
      <c r="B851" s="65"/>
      <c r="C851" s="65"/>
      <c r="D851" s="47"/>
    </row>
    <row r="852">
      <c r="B852" s="65"/>
      <c r="C852" s="65"/>
      <c r="D852" s="47"/>
    </row>
    <row r="853">
      <c r="B853" s="65"/>
      <c r="C853" s="65"/>
      <c r="D853" s="47"/>
    </row>
    <row r="854">
      <c r="B854" s="65"/>
      <c r="C854" s="65"/>
      <c r="D854" s="47"/>
    </row>
    <row r="855">
      <c r="B855" s="65"/>
      <c r="C855" s="65"/>
      <c r="D855" s="47"/>
    </row>
    <row r="856">
      <c r="B856" s="65"/>
      <c r="C856" s="65"/>
      <c r="D856" s="47"/>
    </row>
    <row r="857">
      <c r="B857" s="65"/>
      <c r="C857" s="65"/>
      <c r="D857" s="47"/>
    </row>
    <row r="858">
      <c r="B858" s="65"/>
      <c r="C858" s="65"/>
      <c r="D858" s="47"/>
    </row>
    <row r="859">
      <c r="B859" s="65"/>
      <c r="C859" s="65"/>
      <c r="D859" s="47"/>
    </row>
    <row r="860">
      <c r="B860" s="65"/>
      <c r="C860" s="65"/>
      <c r="D860" s="47"/>
    </row>
    <row r="861">
      <c r="B861" s="65"/>
      <c r="C861" s="65"/>
      <c r="D861" s="47"/>
    </row>
    <row r="862">
      <c r="B862" s="65"/>
      <c r="C862" s="65"/>
      <c r="D862" s="47"/>
    </row>
    <row r="863">
      <c r="B863" s="65"/>
      <c r="C863" s="65"/>
      <c r="D863" s="47"/>
    </row>
    <row r="864">
      <c r="B864" s="65"/>
      <c r="C864" s="65"/>
      <c r="D864" s="47"/>
    </row>
    <row r="865">
      <c r="B865" s="65"/>
      <c r="C865" s="65"/>
      <c r="D865" s="47"/>
    </row>
    <row r="866">
      <c r="B866" s="65"/>
      <c r="C866" s="65"/>
      <c r="D866" s="47"/>
    </row>
    <row r="867">
      <c r="B867" s="65"/>
      <c r="C867" s="65"/>
      <c r="D867" s="47"/>
    </row>
    <row r="868">
      <c r="B868" s="65"/>
      <c r="C868" s="65"/>
      <c r="D868" s="47"/>
    </row>
    <row r="869">
      <c r="B869" s="65"/>
      <c r="C869" s="65"/>
      <c r="D869" s="47"/>
    </row>
    <row r="870">
      <c r="B870" s="65"/>
      <c r="C870" s="65"/>
      <c r="D870" s="47"/>
    </row>
    <row r="871">
      <c r="B871" s="65"/>
      <c r="C871" s="65"/>
      <c r="D871" s="47"/>
    </row>
    <row r="872">
      <c r="B872" s="65"/>
      <c r="C872" s="65"/>
      <c r="D872" s="47"/>
    </row>
    <row r="873">
      <c r="B873" s="65"/>
      <c r="C873" s="65"/>
      <c r="D873" s="47"/>
    </row>
    <row r="874">
      <c r="B874" s="65"/>
      <c r="C874" s="65"/>
      <c r="D874" s="47"/>
    </row>
    <row r="875">
      <c r="B875" s="65"/>
      <c r="C875" s="65"/>
      <c r="D875" s="47"/>
    </row>
    <row r="876">
      <c r="B876" s="65"/>
      <c r="C876" s="65"/>
      <c r="D876" s="47"/>
    </row>
    <row r="877">
      <c r="B877" s="65"/>
      <c r="C877" s="65"/>
      <c r="D877" s="47"/>
    </row>
    <row r="878">
      <c r="B878" s="65"/>
      <c r="C878" s="65"/>
      <c r="D878" s="47"/>
    </row>
    <row r="879">
      <c r="B879" s="65"/>
      <c r="C879" s="65"/>
      <c r="D879" s="47"/>
    </row>
    <row r="880">
      <c r="B880" s="65"/>
      <c r="C880" s="65"/>
      <c r="D880" s="47"/>
    </row>
    <row r="881">
      <c r="B881" s="65"/>
      <c r="C881" s="65"/>
      <c r="D881" s="47"/>
    </row>
    <row r="882">
      <c r="B882" s="65"/>
      <c r="C882" s="65"/>
      <c r="D882" s="47"/>
    </row>
    <row r="883">
      <c r="B883" s="65"/>
      <c r="C883" s="65"/>
      <c r="D883" s="47"/>
    </row>
    <row r="884">
      <c r="B884" s="65"/>
      <c r="C884" s="65"/>
      <c r="D884" s="47"/>
    </row>
    <row r="885">
      <c r="B885" s="65"/>
      <c r="C885" s="65"/>
      <c r="D885" s="47"/>
    </row>
    <row r="886">
      <c r="B886" s="65"/>
      <c r="C886" s="65"/>
      <c r="D886" s="47"/>
    </row>
    <row r="887">
      <c r="B887" s="65"/>
      <c r="C887" s="65"/>
      <c r="D887" s="47"/>
    </row>
    <row r="888">
      <c r="B888" s="65"/>
      <c r="C888" s="65"/>
      <c r="D888" s="47"/>
    </row>
    <row r="889">
      <c r="B889" s="65"/>
      <c r="C889" s="65"/>
      <c r="D889" s="47"/>
    </row>
    <row r="890">
      <c r="B890" s="65"/>
      <c r="C890" s="65"/>
      <c r="D890" s="47"/>
    </row>
    <row r="891">
      <c r="B891" s="65"/>
      <c r="C891" s="65"/>
      <c r="D891" s="47"/>
    </row>
    <row r="892">
      <c r="B892" s="65"/>
      <c r="C892" s="65"/>
      <c r="D892" s="47"/>
    </row>
    <row r="893">
      <c r="B893" s="65"/>
      <c r="C893" s="65"/>
      <c r="D893" s="47"/>
    </row>
    <row r="894">
      <c r="B894" s="65"/>
      <c r="C894" s="65"/>
      <c r="D894" s="47"/>
    </row>
    <row r="895">
      <c r="B895" s="65"/>
      <c r="C895" s="65"/>
      <c r="D895" s="47"/>
    </row>
    <row r="896">
      <c r="B896" s="65"/>
      <c r="C896" s="65"/>
      <c r="D896" s="47"/>
    </row>
    <row r="897">
      <c r="B897" s="65"/>
      <c r="C897" s="65"/>
      <c r="D897" s="47"/>
    </row>
    <row r="898">
      <c r="B898" s="65"/>
      <c r="C898" s="65"/>
      <c r="D898" s="47"/>
    </row>
    <row r="899">
      <c r="B899" s="65"/>
      <c r="C899" s="65"/>
      <c r="D899" s="47"/>
    </row>
    <row r="900">
      <c r="B900" s="65"/>
      <c r="C900" s="65"/>
      <c r="D900" s="47"/>
    </row>
    <row r="901">
      <c r="B901" s="65"/>
      <c r="C901" s="65"/>
      <c r="D901" s="47"/>
    </row>
    <row r="902">
      <c r="B902" s="65"/>
      <c r="C902" s="65"/>
      <c r="D902" s="47"/>
    </row>
    <row r="903">
      <c r="B903" s="65"/>
      <c r="C903" s="65"/>
      <c r="D903" s="47"/>
    </row>
    <row r="904">
      <c r="B904" s="65"/>
      <c r="C904" s="65"/>
      <c r="D904" s="47"/>
    </row>
    <row r="905">
      <c r="B905" s="65"/>
      <c r="C905" s="65"/>
      <c r="D905" s="47"/>
    </row>
    <row r="906">
      <c r="B906" s="65"/>
      <c r="C906" s="65"/>
      <c r="D906" s="47"/>
    </row>
    <row r="907">
      <c r="B907" s="65"/>
      <c r="C907" s="65"/>
      <c r="D907" s="47"/>
    </row>
    <row r="908">
      <c r="B908" s="65"/>
      <c r="C908" s="65"/>
      <c r="D908" s="47"/>
    </row>
    <row r="909">
      <c r="B909" s="65"/>
      <c r="C909" s="65"/>
      <c r="D909" s="47"/>
    </row>
    <row r="910">
      <c r="B910" s="65"/>
      <c r="C910" s="65"/>
      <c r="D910" s="47"/>
    </row>
    <row r="911">
      <c r="B911" s="65"/>
      <c r="C911" s="65"/>
      <c r="D911" s="47"/>
    </row>
    <row r="912">
      <c r="B912" s="65"/>
      <c r="C912" s="65"/>
      <c r="D912" s="47"/>
    </row>
    <row r="913">
      <c r="B913" s="65"/>
      <c r="C913" s="65"/>
      <c r="D913" s="47"/>
    </row>
    <row r="914">
      <c r="B914" s="65"/>
      <c r="C914" s="65"/>
      <c r="D914" s="47"/>
    </row>
    <row r="915">
      <c r="B915" s="65"/>
      <c r="C915" s="65"/>
      <c r="D915" s="47"/>
    </row>
    <row r="916">
      <c r="B916" s="65"/>
      <c r="C916" s="65"/>
      <c r="D916" s="47"/>
    </row>
    <row r="917">
      <c r="B917" s="65"/>
      <c r="C917" s="65"/>
      <c r="D917" s="47"/>
    </row>
    <row r="918">
      <c r="B918" s="65"/>
      <c r="C918" s="65"/>
      <c r="D918" s="47"/>
    </row>
    <row r="919">
      <c r="B919" s="65"/>
      <c r="C919" s="65"/>
      <c r="D919" s="47"/>
    </row>
    <row r="920">
      <c r="B920" s="65"/>
      <c r="C920" s="65"/>
      <c r="D920" s="47"/>
    </row>
    <row r="921">
      <c r="B921" s="65"/>
      <c r="C921" s="65"/>
      <c r="D921" s="47"/>
    </row>
    <row r="922">
      <c r="B922" s="65"/>
      <c r="C922" s="65"/>
      <c r="D922" s="47"/>
    </row>
    <row r="923">
      <c r="B923" s="65"/>
      <c r="C923" s="65"/>
      <c r="D923" s="47"/>
    </row>
    <row r="924">
      <c r="B924" s="65"/>
      <c r="C924" s="65"/>
      <c r="D924" s="47"/>
    </row>
    <row r="925">
      <c r="B925" s="65"/>
      <c r="C925" s="65"/>
      <c r="D925" s="47"/>
    </row>
    <row r="926">
      <c r="B926" s="65"/>
      <c r="C926" s="65"/>
      <c r="D926" s="47"/>
    </row>
    <row r="927">
      <c r="B927" s="65"/>
      <c r="C927" s="65"/>
      <c r="D927" s="47"/>
    </row>
    <row r="928">
      <c r="B928" s="65"/>
      <c r="C928" s="65"/>
      <c r="D928" s="47"/>
    </row>
    <row r="929">
      <c r="B929" s="65"/>
      <c r="C929" s="65"/>
      <c r="D929" s="47"/>
    </row>
    <row r="930">
      <c r="B930" s="65"/>
      <c r="C930" s="65"/>
      <c r="D930" s="47"/>
    </row>
    <row r="931">
      <c r="B931" s="65"/>
      <c r="C931" s="65"/>
      <c r="D931" s="47"/>
    </row>
    <row r="932">
      <c r="B932" s="65"/>
      <c r="C932" s="65"/>
      <c r="D932" s="47"/>
    </row>
    <row r="933">
      <c r="B933" s="65"/>
      <c r="C933" s="65"/>
      <c r="D933" s="47"/>
    </row>
    <row r="934">
      <c r="B934" s="65"/>
      <c r="C934" s="65"/>
      <c r="D934" s="47"/>
    </row>
    <row r="935">
      <c r="B935" s="65"/>
      <c r="C935" s="65"/>
      <c r="D935" s="47"/>
    </row>
    <row r="936">
      <c r="B936" s="65"/>
      <c r="C936" s="65"/>
      <c r="D936" s="47"/>
    </row>
    <row r="937">
      <c r="B937" s="65"/>
      <c r="C937" s="65"/>
      <c r="D937" s="47"/>
    </row>
    <row r="938">
      <c r="B938" s="65"/>
      <c r="C938" s="65"/>
      <c r="D938" s="47"/>
    </row>
    <row r="939">
      <c r="B939" s="65"/>
      <c r="C939" s="65"/>
      <c r="D939" s="47"/>
    </row>
    <row r="940">
      <c r="B940" s="65"/>
      <c r="C940" s="65"/>
      <c r="D940" s="47"/>
    </row>
    <row r="941">
      <c r="B941" s="65"/>
      <c r="C941" s="65"/>
      <c r="D941" s="47"/>
    </row>
    <row r="942">
      <c r="B942" s="65"/>
      <c r="C942" s="65"/>
      <c r="D942" s="47"/>
    </row>
    <row r="943">
      <c r="B943" s="65"/>
      <c r="C943" s="65"/>
      <c r="D943" s="47"/>
    </row>
    <row r="944">
      <c r="B944" s="65"/>
      <c r="C944" s="65"/>
      <c r="D944" s="47"/>
    </row>
    <row r="945">
      <c r="B945" s="65"/>
      <c r="C945" s="65"/>
      <c r="D945" s="47"/>
    </row>
    <row r="946">
      <c r="B946" s="65"/>
      <c r="C946" s="65"/>
      <c r="D946" s="47"/>
    </row>
    <row r="947">
      <c r="B947" s="65"/>
      <c r="C947" s="65"/>
      <c r="D947" s="47"/>
    </row>
    <row r="948">
      <c r="B948" s="65"/>
      <c r="C948" s="65"/>
      <c r="D948" s="47"/>
    </row>
    <row r="949">
      <c r="B949" s="65"/>
      <c r="C949" s="65"/>
      <c r="D949" s="47"/>
    </row>
    <row r="950">
      <c r="B950" s="65"/>
      <c r="C950" s="65"/>
      <c r="D950" s="47"/>
    </row>
    <row r="951">
      <c r="B951" s="65"/>
      <c r="C951" s="65"/>
      <c r="D951" s="47"/>
    </row>
    <row r="952">
      <c r="B952" s="65"/>
      <c r="C952" s="65"/>
      <c r="D952" s="47"/>
    </row>
    <row r="953">
      <c r="B953" s="65"/>
      <c r="C953" s="65"/>
      <c r="D953" s="47"/>
    </row>
    <row r="954">
      <c r="B954" s="65"/>
      <c r="C954" s="65"/>
      <c r="D954" s="47"/>
    </row>
    <row r="955">
      <c r="B955" s="65"/>
      <c r="C955" s="65"/>
      <c r="D955" s="47"/>
    </row>
    <row r="956">
      <c r="B956" s="65"/>
      <c r="C956" s="65"/>
      <c r="D956" s="47"/>
    </row>
    <row r="957">
      <c r="B957" s="65"/>
      <c r="C957" s="65"/>
      <c r="D957" s="47"/>
    </row>
    <row r="958">
      <c r="B958" s="65"/>
      <c r="C958" s="65"/>
      <c r="D958" s="47"/>
    </row>
    <row r="959">
      <c r="B959" s="65"/>
      <c r="C959" s="65"/>
      <c r="D959" s="47"/>
    </row>
    <row r="960">
      <c r="B960" s="65"/>
      <c r="C960" s="65"/>
      <c r="D960" s="47"/>
    </row>
    <row r="961">
      <c r="B961" s="65"/>
      <c r="C961" s="65"/>
      <c r="D961" s="47"/>
    </row>
    <row r="962">
      <c r="B962" s="65"/>
      <c r="C962" s="65"/>
      <c r="D962" s="47"/>
    </row>
    <row r="963">
      <c r="B963" s="65"/>
      <c r="C963" s="65"/>
      <c r="D963" s="47"/>
    </row>
    <row r="964">
      <c r="B964" s="65"/>
      <c r="C964" s="65"/>
      <c r="D964" s="47"/>
    </row>
    <row r="965">
      <c r="B965" s="65"/>
      <c r="C965" s="65"/>
      <c r="D965" s="47"/>
    </row>
    <row r="966">
      <c r="B966" s="65"/>
      <c r="C966" s="65"/>
      <c r="D966" s="47"/>
    </row>
    <row r="967">
      <c r="B967" s="65"/>
      <c r="C967" s="65"/>
      <c r="D967" s="47"/>
    </row>
    <row r="968">
      <c r="B968" s="65"/>
      <c r="C968" s="65"/>
      <c r="D968" s="47"/>
    </row>
    <row r="969">
      <c r="B969" s="65"/>
      <c r="C969" s="65"/>
      <c r="D969" s="47"/>
    </row>
    <row r="970">
      <c r="B970" s="65"/>
      <c r="C970" s="65"/>
      <c r="D970" s="47"/>
    </row>
    <row r="971">
      <c r="B971" s="65"/>
      <c r="C971" s="65"/>
      <c r="D971" s="47"/>
    </row>
    <row r="972">
      <c r="B972" s="65"/>
      <c r="C972" s="65"/>
      <c r="D972" s="47"/>
    </row>
    <row r="973">
      <c r="B973" s="65"/>
      <c r="C973" s="65"/>
      <c r="D973" s="47"/>
    </row>
    <row r="974">
      <c r="B974" s="65"/>
      <c r="C974" s="65"/>
      <c r="D974" s="47"/>
    </row>
    <row r="975">
      <c r="B975" s="65"/>
      <c r="C975" s="65"/>
      <c r="D975" s="47"/>
    </row>
    <row r="976">
      <c r="B976" s="65"/>
      <c r="C976" s="65"/>
      <c r="D976" s="47"/>
    </row>
    <row r="977">
      <c r="B977" s="65"/>
      <c r="C977" s="65"/>
      <c r="D977" s="47"/>
    </row>
    <row r="978">
      <c r="B978" s="65"/>
      <c r="C978" s="65"/>
      <c r="D978" s="47"/>
    </row>
    <row r="979">
      <c r="B979" s="65"/>
      <c r="C979" s="65"/>
      <c r="D979" s="47"/>
    </row>
    <row r="980">
      <c r="B980" s="65"/>
      <c r="C980" s="65"/>
      <c r="D980" s="47"/>
    </row>
    <row r="981">
      <c r="B981" s="65"/>
      <c r="C981" s="65"/>
      <c r="D981" s="47"/>
    </row>
    <row r="982">
      <c r="B982" s="65"/>
      <c r="C982" s="65"/>
      <c r="D982" s="47"/>
    </row>
    <row r="983">
      <c r="B983" s="65"/>
      <c r="C983" s="65"/>
      <c r="D983" s="47"/>
    </row>
    <row r="984">
      <c r="B984" s="65"/>
      <c r="C984" s="65"/>
      <c r="D984" s="47"/>
    </row>
    <row r="985">
      <c r="B985" s="65"/>
      <c r="C985" s="65"/>
      <c r="D985" s="47"/>
    </row>
    <row r="986">
      <c r="B986" s="65"/>
      <c r="C986" s="65"/>
      <c r="D986" s="47"/>
    </row>
    <row r="987">
      <c r="B987" s="65"/>
      <c r="C987" s="65"/>
      <c r="D987" s="47"/>
    </row>
    <row r="988">
      <c r="B988" s="65"/>
      <c r="C988" s="65"/>
      <c r="D988" s="47"/>
    </row>
    <row r="989">
      <c r="B989" s="65"/>
      <c r="C989" s="65"/>
      <c r="D989" s="47"/>
    </row>
    <row r="990">
      <c r="B990" s="65"/>
      <c r="C990" s="65"/>
      <c r="D990" s="47"/>
    </row>
    <row r="991">
      <c r="B991" s="65"/>
      <c r="C991" s="65"/>
      <c r="D991" s="47"/>
    </row>
    <row r="992">
      <c r="B992" s="65"/>
      <c r="C992" s="65"/>
      <c r="D992" s="47"/>
    </row>
    <row r="993">
      <c r="B993" s="65"/>
      <c r="C993" s="65"/>
      <c r="D993" s="47"/>
    </row>
    <row r="994">
      <c r="B994" s="65"/>
      <c r="C994" s="65"/>
      <c r="D994" s="47"/>
    </row>
    <row r="995">
      <c r="B995" s="65"/>
      <c r="C995" s="65"/>
      <c r="D995" s="47"/>
    </row>
    <row r="996">
      <c r="B996" s="65"/>
      <c r="C996" s="65"/>
      <c r="D996" s="47"/>
    </row>
    <row r="997">
      <c r="B997" s="65"/>
      <c r="C997" s="65"/>
      <c r="D997" s="47"/>
    </row>
    <row r="998">
      <c r="B998" s="65"/>
      <c r="C998" s="65"/>
      <c r="D998" s="47"/>
    </row>
    <row r="999">
      <c r="B999" s="65"/>
      <c r="C999" s="65"/>
      <c r="D999" s="47"/>
    </row>
    <row r="1000">
      <c r="B1000" s="65"/>
      <c r="C1000" s="65"/>
      <c r="D1000" s="47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2" width="15.88"/>
    <col customWidth="1" min="5" max="5" width="33.63"/>
    <col customWidth="1" min="12" max="12" width="29.5"/>
  </cols>
  <sheetData>
    <row r="1">
      <c r="A1" s="14" t="s">
        <v>0</v>
      </c>
      <c r="B1" s="14" t="s">
        <v>1040</v>
      </c>
      <c r="C1" s="14" t="s">
        <v>1041</v>
      </c>
      <c r="D1" s="14" t="s">
        <v>1042</v>
      </c>
      <c r="E1" s="14" t="s">
        <v>1043</v>
      </c>
      <c r="F1" s="14" t="s">
        <v>1044</v>
      </c>
      <c r="G1" s="14" t="s">
        <v>1045</v>
      </c>
      <c r="H1" s="14" t="s">
        <v>1046</v>
      </c>
      <c r="I1" s="14" t="s">
        <v>1047</v>
      </c>
      <c r="J1" s="64" t="s">
        <v>1048</v>
      </c>
      <c r="K1" s="64" t="s">
        <v>1049</v>
      </c>
      <c r="L1" s="14" t="s">
        <v>1050</v>
      </c>
    </row>
    <row r="2">
      <c r="A2" s="14">
        <v>128.0</v>
      </c>
      <c r="B2" s="14" t="s">
        <v>1051</v>
      </c>
      <c r="C2" s="14"/>
      <c r="D2" s="14" t="s">
        <v>1052</v>
      </c>
      <c r="E2" s="14" t="s">
        <v>1053</v>
      </c>
      <c r="G2" s="42" t="s">
        <v>1054</v>
      </c>
      <c r="H2" s="14" t="s">
        <v>1055</v>
      </c>
      <c r="I2" s="14" t="s">
        <v>1056</v>
      </c>
      <c r="J2" s="47"/>
      <c r="K2" s="47"/>
    </row>
    <row r="3">
      <c r="A3" s="14">
        <v>129.0</v>
      </c>
      <c r="B3" s="14" t="s">
        <v>1057</v>
      </c>
      <c r="C3" s="14"/>
      <c r="D3" s="14" t="s">
        <v>1058</v>
      </c>
      <c r="E3" s="14" t="s">
        <v>1059</v>
      </c>
      <c r="G3" s="42" t="s">
        <v>1054</v>
      </c>
      <c r="H3" s="14"/>
      <c r="I3" s="14" t="s">
        <v>1056</v>
      </c>
      <c r="J3" s="47"/>
      <c r="K3" s="47"/>
      <c r="L3" s="14" t="s">
        <v>1060</v>
      </c>
    </row>
    <row r="4">
      <c r="A4" s="14">
        <v>130.0</v>
      </c>
      <c r="B4" s="14" t="s">
        <v>1061</v>
      </c>
      <c r="C4" s="14"/>
      <c r="D4" s="14" t="s">
        <v>1052</v>
      </c>
      <c r="E4" s="14" t="s">
        <v>1062</v>
      </c>
      <c r="G4" s="42" t="s">
        <v>1054</v>
      </c>
      <c r="H4" s="14"/>
      <c r="I4" s="14" t="s">
        <v>1056</v>
      </c>
      <c r="J4" s="47"/>
      <c r="K4" s="47"/>
    </row>
    <row r="5">
      <c r="A5" s="14">
        <v>131.0</v>
      </c>
      <c r="B5" s="14" t="s">
        <v>1063</v>
      </c>
      <c r="C5" s="14"/>
      <c r="D5" s="14" t="s">
        <v>1052</v>
      </c>
      <c r="E5" s="14" t="s">
        <v>1064</v>
      </c>
      <c r="G5" s="42" t="s">
        <v>1054</v>
      </c>
      <c r="H5" s="14"/>
      <c r="I5" s="14" t="s">
        <v>1056</v>
      </c>
      <c r="J5" s="47"/>
      <c r="K5" s="47"/>
      <c r="Q5" s="14" t="s">
        <v>1065</v>
      </c>
    </row>
    <row r="6">
      <c r="A6" s="14">
        <v>132.0</v>
      </c>
      <c r="B6" s="5" t="s">
        <v>1066</v>
      </c>
      <c r="C6" s="14"/>
      <c r="D6" s="14" t="s">
        <v>1052</v>
      </c>
      <c r="E6" s="14" t="s">
        <v>1067</v>
      </c>
      <c r="G6" s="42" t="s">
        <v>1054</v>
      </c>
      <c r="I6" s="14" t="s">
        <v>1056</v>
      </c>
      <c r="J6" s="47"/>
      <c r="K6" s="47"/>
    </row>
    <row r="7">
      <c r="A7" s="14">
        <v>133.0</v>
      </c>
      <c r="B7" s="14" t="s">
        <v>1068</v>
      </c>
      <c r="C7" s="14"/>
      <c r="D7" s="14" t="s">
        <v>1052</v>
      </c>
      <c r="E7" s="14" t="s">
        <v>1069</v>
      </c>
      <c r="G7" s="42" t="s">
        <v>1054</v>
      </c>
      <c r="I7" s="14" t="s">
        <v>1056</v>
      </c>
      <c r="J7" s="47"/>
      <c r="K7" s="47"/>
    </row>
    <row r="8">
      <c r="A8" s="14">
        <v>134.0</v>
      </c>
      <c r="B8" s="14" t="s">
        <v>1070</v>
      </c>
      <c r="C8" s="14" t="s">
        <v>1071</v>
      </c>
      <c r="D8" s="14" t="s">
        <v>1072</v>
      </c>
      <c r="E8" s="14" t="s">
        <v>1073</v>
      </c>
      <c r="G8" s="42" t="s">
        <v>1054</v>
      </c>
      <c r="I8" s="14" t="s">
        <v>1056</v>
      </c>
      <c r="J8" s="47"/>
      <c r="K8" s="47"/>
    </row>
    <row r="9">
      <c r="A9" s="14">
        <v>135.0</v>
      </c>
      <c r="B9" s="14" t="s">
        <v>1074</v>
      </c>
      <c r="C9" s="14" t="s">
        <v>1075</v>
      </c>
      <c r="D9" s="14" t="s">
        <v>1076</v>
      </c>
      <c r="E9" s="14" t="s">
        <v>1077</v>
      </c>
      <c r="G9" s="42" t="s">
        <v>1054</v>
      </c>
      <c r="I9" s="14" t="s">
        <v>1056</v>
      </c>
      <c r="J9" s="47"/>
      <c r="K9" s="47"/>
    </row>
    <row r="10">
      <c r="A10" s="14">
        <v>136.0</v>
      </c>
      <c r="B10" s="14" t="s">
        <v>1078</v>
      </c>
      <c r="C10" s="14" t="s">
        <v>1079</v>
      </c>
      <c r="D10" s="5" t="s">
        <v>1080</v>
      </c>
      <c r="E10" s="14" t="s">
        <v>1081</v>
      </c>
      <c r="G10" s="42" t="s">
        <v>1054</v>
      </c>
      <c r="I10" s="14" t="s">
        <v>1056</v>
      </c>
      <c r="J10" s="47"/>
      <c r="K10" s="47"/>
    </row>
    <row r="11">
      <c r="A11" s="14">
        <v>137.0</v>
      </c>
      <c r="B11" s="14" t="s">
        <v>1082</v>
      </c>
      <c r="C11" s="14" t="s">
        <v>1083</v>
      </c>
      <c r="D11" s="14" t="s">
        <v>1052</v>
      </c>
      <c r="E11" s="14" t="s">
        <v>1084</v>
      </c>
      <c r="G11" s="42" t="s">
        <v>1054</v>
      </c>
      <c r="I11" s="14" t="s">
        <v>1056</v>
      </c>
      <c r="J11" s="47"/>
      <c r="K11" s="47"/>
    </row>
    <row r="12">
      <c r="A12" s="14">
        <v>138.0</v>
      </c>
      <c r="B12" s="14" t="s">
        <v>1085</v>
      </c>
      <c r="C12" s="14" t="s">
        <v>1071</v>
      </c>
      <c r="D12" s="14" t="s">
        <v>1052</v>
      </c>
      <c r="E12" s="14" t="s">
        <v>1086</v>
      </c>
      <c r="G12" s="42" t="s">
        <v>1054</v>
      </c>
      <c r="I12" s="14" t="s">
        <v>1056</v>
      </c>
      <c r="J12" s="47"/>
      <c r="K12" s="47"/>
    </row>
    <row r="13">
      <c r="A13" s="14">
        <v>139.0</v>
      </c>
      <c r="B13" s="14" t="s">
        <v>1087</v>
      </c>
      <c r="C13" s="14" t="s">
        <v>1075</v>
      </c>
      <c r="D13" s="14" t="s">
        <v>1052</v>
      </c>
      <c r="E13" s="14" t="s">
        <v>1088</v>
      </c>
      <c r="G13" s="42" t="s">
        <v>1054</v>
      </c>
      <c r="I13" s="14" t="s">
        <v>1056</v>
      </c>
      <c r="J13" s="47"/>
      <c r="K13" s="47"/>
    </row>
    <row r="14">
      <c r="A14" s="14">
        <v>140.0</v>
      </c>
      <c r="B14" s="14" t="s">
        <v>1089</v>
      </c>
      <c r="C14" s="14" t="s">
        <v>1090</v>
      </c>
      <c r="D14" s="14" t="s">
        <v>1052</v>
      </c>
      <c r="E14" s="14" t="s">
        <v>1091</v>
      </c>
      <c r="G14" s="42" t="s">
        <v>1054</v>
      </c>
      <c r="I14" s="14" t="s">
        <v>1056</v>
      </c>
      <c r="J14" s="47"/>
      <c r="K14" s="47"/>
    </row>
    <row r="15">
      <c r="A15" s="14">
        <v>141.0</v>
      </c>
      <c r="B15" s="5" t="s">
        <v>1089</v>
      </c>
      <c r="C15" s="14" t="s">
        <v>1092</v>
      </c>
      <c r="D15" s="14" t="s">
        <v>1052</v>
      </c>
      <c r="E15" s="14" t="s">
        <v>1093</v>
      </c>
      <c r="G15" s="42" t="s">
        <v>1054</v>
      </c>
      <c r="I15" s="14" t="s">
        <v>1056</v>
      </c>
      <c r="J15" s="47"/>
      <c r="K15" s="47"/>
    </row>
    <row r="16">
      <c r="A16" s="14">
        <v>142.0</v>
      </c>
      <c r="G16" s="42" t="s">
        <v>1054</v>
      </c>
      <c r="J16" s="47"/>
      <c r="K16" s="47"/>
    </row>
    <row r="17">
      <c r="A17" s="14">
        <v>143.0</v>
      </c>
      <c r="G17" s="42" t="s">
        <v>1054</v>
      </c>
      <c r="J17" s="47"/>
      <c r="K17" s="47"/>
    </row>
    <row r="18">
      <c r="A18" s="14">
        <v>144.0</v>
      </c>
      <c r="B18" s="14" t="s">
        <v>1052</v>
      </c>
      <c r="C18" s="14" t="s">
        <v>1094</v>
      </c>
      <c r="D18" s="14" t="s">
        <v>1052</v>
      </c>
      <c r="E18" s="14" t="s">
        <v>1095</v>
      </c>
      <c r="F18" s="14" t="s">
        <v>1056</v>
      </c>
      <c r="G18" s="42" t="s">
        <v>1054</v>
      </c>
      <c r="H18" s="14" t="s">
        <v>1096</v>
      </c>
      <c r="I18" s="14" t="s">
        <v>1056</v>
      </c>
      <c r="J18" s="64" t="s">
        <v>1096</v>
      </c>
      <c r="K18" s="64">
        <v>999999.0</v>
      </c>
    </row>
    <row r="19">
      <c r="A19" s="14">
        <v>146.0</v>
      </c>
      <c r="G19" s="42" t="s">
        <v>1054</v>
      </c>
      <c r="J19" s="47"/>
      <c r="K19" s="47"/>
    </row>
    <row r="20">
      <c r="A20" s="14">
        <v>147.0</v>
      </c>
      <c r="G20" s="42" t="s">
        <v>1054</v>
      </c>
      <c r="J20" s="47"/>
      <c r="K20" s="47"/>
    </row>
    <row r="21">
      <c r="A21" s="14">
        <v>148.0</v>
      </c>
      <c r="B21" s="14" t="s">
        <v>1087</v>
      </c>
      <c r="C21" s="14" t="s">
        <v>1083</v>
      </c>
      <c r="D21" s="14" t="s">
        <v>1052</v>
      </c>
      <c r="E21" s="14" t="s">
        <v>1097</v>
      </c>
      <c r="F21" s="14" t="s">
        <v>1056</v>
      </c>
      <c r="G21" s="42" t="s">
        <v>1054</v>
      </c>
      <c r="H21" s="14" t="s">
        <v>1096</v>
      </c>
      <c r="I21" s="14" t="s">
        <v>1056</v>
      </c>
      <c r="J21" s="64" t="s">
        <v>1096</v>
      </c>
      <c r="K21" s="64">
        <v>999999.0</v>
      </c>
    </row>
    <row r="22">
      <c r="A22" s="14">
        <v>149.0</v>
      </c>
      <c r="G22" s="42" t="s">
        <v>1054</v>
      </c>
      <c r="J22" s="47"/>
      <c r="K22" s="47"/>
    </row>
    <row r="23">
      <c r="A23" s="14">
        <v>150.0</v>
      </c>
      <c r="G23" s="42" t="s">
        <v>1054</v>
      </c>
      <c r="J23" s="47"/>
      <c r="K23" s="47"/>
    </row>
    <row r="24">
      <c r="A24" s="14">
        <v>151.0</v>
      </c>
      <c r="G24" s="42" t="s">
        <v>1054</v>
      </c>
      <c r="J24" s="47"/>
      <c r="K24" s="47"/>
    </row>
    <row r="25">
      <c r="A25" s="14">
        <v>152.0</v>
      </c>
      <c r="B25" s="14" t="s">
        <v>1098</v>
      </c>
      <c r="C25" s="14" t="s">
        <v>1099</v>
      </c>
      <c r="D25" s="14" t="s">
        <v>1052</v>
      </c>
      <c r="E25" s="14" t="s">
        <v>1100</v>
      </c>
      <c r="F25" s="14" t="s">
        <v>1056</v>
      </c>
      <c r="G25" s="42" t="s">
        <v>1054</v>
      </c>
      <c r="H25" s="14" t="s">
        <v>1096</v>
      </c>
      <c r="I25" s="14" t="s">
        <v>1056</v>
      </c>
      <c r="J25" s="64" t="s">
        <v>1096</v>
      </c>
      <c r="K25" s="64">
        <v>-1.073339808E9</v>
      </c>
    </row>
    <row r="26">
      <c r="A26" s="14">
        <v>153.0</v>
      </c>
      <c r="D26" s="14" t="s">
        <v>1052</v>
      </c>
      <c r="G26" s="42" t="s">
        <v>1054</v>
      </c>
      <c r="J26" s="47"/>
      <c r="K26" s="47"/>
    </row>
    <row r="27">
      <c r="A27" s="14">
        <v>154.0</v>
      </c>
      <c r="D27" s="14" t="s">
        <v>1052</v>
      </c>
      <c r="G27" s="42" t="s">
        <v>1054</v>
      </c>
      <c r="J27" s="47"/>
      <c r="K27" s="47"/>
    </row>
    <row r="28">
      <c r="A28" s="14">
        <v>155.0</v>
      </c>
      <c r="D28" s="14" t="s">
        <v>1052</v>
      </c>
      <c r="G28" s="42" t="s">
        <v>1054</v>
      </c>
      <c r="J28" s="47"/>
      <c r="K28" s="47"/>
    </row>
    <row r="29">
      <c r="A29" s="14">
        <v>156.0</v>
      </c>
      <c r="B29" s="14" t="s">
        <v>1101</v>
      </c>
      <c r="C29" s="14" t="s">
        <v>1102</v>
      </c>
      <c r="D29" s="14" t="s">
        <v>1052</v>
      </c>
      <c r="E29" s="14" t="s">
        <v>1103</v>
      </c>
      <c r="F29" s="14" t="s">
        <v>1056</v>
      </c>
      <c r="G29" s="42" t="s">
        <v>1054</v>
      </c>
      <c r="H29" s="14" t="s">
        <v>1096</v>
      </c>
      <c r="I29" s="14" t="s">
        <v>1056</v>
      </c>
      <c r="J29" s="64" t="s">
        <v>1096</v>
      </c>
      <c r="K29" s="64">
        <v>-1.073341258E9</v>
      </c>
    </row>
    <row r="30">
      <c r="A30" s="14">
        <v>157.0</v>
      </c>
      <c r="G30" s="42" t="s">
        <v>1054</v>
      </c>
      <c r="J30" s="47"/>
      <c r="K30" s="47"/>
    </row>
    <row r="31">
      <c r="A31" s="14">
        <v>158.0</v>
      </c>
      <c r="G31" s="42" t="s">
        <v>1054</v>
      </c>
      <c r="J31" s="47"/>
      <c r="K31" s="47"/>
    </row>
    <row r="32">
      <c r="A32" s="14">
        <v>159.0</v>
      </c>
      <c r="G32" s="42" t="s">
        <v>1054</v>
      </c>
      <c r="J32" s="47"/>
      <c r="K32" s="47"/>
    </row>
    <row r="33">
      <c r="A33" s="14">
        <v>160.0</v>
      </c>
      <c r="B33" s="14" t="s">
        <v>1104</v>
      </c>
      <c r="C33" s="14" t="s">
        <v>1105</v>
      </c>
      <c r="D33" s="14" t="s">
        <v>1052</v>
      </c>
      <c r="E33" s="14" t="s">
        <v>1106</v>
      </c>
      <c r="F33" s="14" t="s">
        <v>1056</v>
      </c>
      <c r="G33" s="42" t="s">
        <v>1054</v>
      </c>
      <c r="H33" s="14" t="s">
        <v>1096</v>
      </c>
      <c r="I33" s="14" t="s">
        <v>1056</v>
      </c>
      <c r="J33" s="64" t="s">
        <v>1096</v>
      </c>
      <c r="K33" s="64">
        <v>-1.073341392E9</v>
      </c>
    </row>
    <row r="34">
      <c r="A34" s="66">
        <v>161.0</v>
      </c>
      <c r="B34" s="67" t="s">
        <v>1104</v>
      </c>
      <c r="C34" s="67" t="s">
        <v>1105</v>
      </c>
      <c r="D34" s="67" t="s">
        <v>1052</v>
      </c>
      <c r="E34" s="67" t="s">
        <v>1107</v>
      </c>
      <c r="F34" s="67" t="s">
        <v>1108</v>
      </c>
      <c r="G34" s="68" t="s">
        <v>1054</v>
      </c>
      <c r="H34" s="69"/>
      <c r="I34" s="69"/>
      <c r="J34" s="70"/>
      <c r="K34" s="70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</row>
    <row r="35">
      <c r="A35" s="48">
        <v>162.0</v>
      </c>
      <c r="B35" s="14" t="s">
        <v>1104</v>
      </c>
      <c r="C35" s="14" t="s">
        <v>1105</v>
      </c>
      <c r="D35" s="14" t="s">
        <v>1052</v>
      </c>
      <c r="E35" s="14" t="s">
        <v>1109</v>
      </c>
      <c r="F35" s="14" t="s">
        <v>1056</v>
      </c>
      <c r="G35" s="42" t="s">
        <v>1054</v>
      </c>
      <c r="J35" s="47"/>
      <c r="K35" s="47"/>
    </row>
    <row r="36">
      <c r="A36" s="48">
        <v>165.0</v>
      </c>
      <c r="B36" s="14" t="s">
        <v>1104</v>
      </c>
      <c r="C36" s="14" t="s">
        <v>1110</v>
      </c>
      <c r="D36" s="14" t="s">
        <v>1052</v>
      </c>
      <c r="E36" s="14" t="s">
        <v>1111</v>
      </c>
      <c r="F36" s="14" t="s">
        <v>1108</v>
      </c>
      <c r="G36" s="42" t="s">
        <v>1054</v>
      </c>
      <c r="J36" s="47"/>
      <c r="K36" s="47"/>
    </row>
    <row r="37">
      <c r="A37" s="48">
        <v>166.0</v>
      </c>
      <c r="B37" s="14" t="s">
        <v>1112</v>
      </c>
      <c r="C37" s="14" t="s">
        <v>1094</v>
      </c>
      <c r="D37" s="14" t="s">
        <v>1052</v>
      </c>
      <c r="E37" s="14" t="s">
        <v>1094</v>
      </c>
      <c r="F37" s="14" t="s">
        <v>1056</v>
      </c>
      <c r="G37" s="42" t="s">
        <v>1054</v>
      </c>
      <c r="J37" s="47"/>
      <c r="K37" s="47"/>
    </row>
    <row r="38">
      <c r="A38" s="48">
        <v>169.0</v>
      </c>
      <c r="B38" s="14" t="s">
        <v>1052</v>
      </c>
      <c r="C38" s="14" t="s">
        <v>1094</v>
      </c>
      <c r="D38" s="14" t="s">
        <v>1052</v>
      </c>
      <c r="E38" s="14" t="s">
        <v>1113</v>
      </c>
      <c r="F38" s="14" t="s">
        <v>1108</v>
      </c>
      <c r="G38" s="42" t="s">
        <v>1054</v>
      </c>
      <c r="J38" s="47"/>
      <c r="K38" s="47"/>
    </row>
    <row r="39">
      <c r="A39" s="48">
        <v>170.0</v>
      </c>
      <c r="B39" s="14" t="s">
        <v>1114</v>
      </c>
      <c r="C39" s="14" t="s">
        <v>1094</v>
      </c>
      <c r="D39" s="14" t="s">
        <v>1052</v>
      </c>
      <c r="E39" s="14" t="s">
        <v>1115</v>
      </c>
      <c r="F39" s="14" t="s">
        <v>1108</v>
      </c>
      <c r="G39" s="42" t="s">
        <v>1054</v>
      </c>
      <c r="J39" s="47"/>
      <c r="K39" s="47"/>
    </row>
    <row r="40">
      <c r="A40" s="48">
        <v>171.0</v>
      </c>
      <c r="B40" s="14" t="s">
        <v>1116</v>
      </c>
      <c r="C40" s="14" t="s">
        <v>1117</v>
      </c>
      <c r="D40" s="14" t="s">
        <v>1116</v>
      </c>
      <c r="E40" s="14" t="s">
        <v>1118</v>
      </c>
      <c r="F40" s="14" t="s">
        <v>1108</v>
      </c>
      <c r="G40" s="42" t="s">
        <v>1054</v>
      </c>
      <c r="J40" s="47"/>
      <c r="K40" s="47"/>
    </row>
    <row r="41">
      <c r="A41" s="48">
        <v>172.0</v>
      </c>
      <c r="B41" s="14" t="s">
        <v>1087</v>
      </c>
      <c r="C41" s="14" t="s">
        <v>1119</v>
      </c>
      <c r="D41" s="14" t="s">
        <v>1116</v>
      </c>
      <c r="E41" s="14" t="s">
        <v>1120</v>
      </c>
      <c r="F41" s="14" t="s">
        <v>1056</v>
      </c>
      <c r="G41" s="42" t="s">
        <v>1054</v>
      </c>
      <c r="H41" s="14" t="s">
        <v>1096</v>
      </c>
      <c r="I41" s="14" t="s">
        <v>1056</v>
      </c>
      <c r="J41" s="64" t="s">
        <v>1096</v>
      </c>
      <c r="K41" s="64">
        <v>999999.0</v>
      </c>
      <c r="L41" s="14" t="s">
        <v>1121</v>
      </c>
    </row>
    <row r="42">
      <c r="A42" s="48">
        <v>173.0</v>
      </c>
      <c r="B42" s="64">
        <v>67.0</v>
      </c>
      <c r="C42" s="14" t="s">
        <v>1122</v>
      </c>
      <c r="D42" s="14" t="s">
        <v>1116</v>
      </c>
      <c r="E42" s="14" t="s">
        <v>1123</v>
      </c>
      <c r="F42" s="14" t="s">
        <v>1056</v>
      </c>
      <c r="G42" s="42" t="s">
        <v>1054</v>
      </c>
      <c r="J42" s="47"/>
      <c r="K42" s="47"/>
    </row>
    <row r="43">
      <c r="A43" s="48">
        <v>175.0</v>
      </c>
      <c r="B43" s="14" t="s">
        <v>1052</v>
      </c>
      <c r="C43" s="14" t="s">
        <v>1094</v>
      </c>
      <c r="D43" s="14" t="s">
        <v>1116</v>
      </c>
      <c r="E43" s="14" t="s">
        <v>1124</v>
      </c>
      <c r="F43" s="14" t="s">
        <v>1108</v>
      </c>
      <c r="G43" s="42" t="s">
        <v>1054</v>
      </c>
      <c r="J43" s="47"/>
      <c r="K43" s="47"/>
    </row>
    <row r="44">
      <c r="A44" s="48">
        <v>176.0</v>
      </c>
      <c r="B44" s="14" t="s">
        <v>1125</v>
      </c>
      <c r="C44" s="14" t="s">
        <v>1126</v>
      </c>
      <c r="D44" s="14" t="s">
        <v>1116</v>
      </c>
      <c r="E44" s="14" t="s">
        <v>1127</v>
      </c>
      <c r="F44" s="14" t="s">
        <v>1056</v>
      </c>
      <c r="G44" s="42" t="s">
        <v>1054</v>
      </c>
      <c r="H44" s="14" t="s">
        <v>1096</v>
      </c>
      <c r="I44" s="14" t="s">
        <v>1056</v>
      </c>
      <c r="J44" s="64" t="s">
        <v>1096</v>
      </c>
      <c r="K44" s="64" t="s">
        <v>1128</v>
      </c>
    </row>
    <row r="45">
      <c r="A45" s="48">
        <v>177.0</v>
      </c>
      <c r="B45" s="14" t="s">
        <v>1129</v>
      </c>
      <c r="C45" s="14" t="s">
        <v>1110</v>
      </c>
      <c r="D45" s="14" t="s">
        <v>1116</v>
      </c>
      <c r="E45" s="14" t="s">
        <v>1130</v>
      </c>
      <c r="F45" s="14" t="s">
        <v>1056</v>
      </c>
      <c r="G45" s="42" t="s">
        <v>1054</v>
      </c>
      <c r="J45" s="47"/>
      <c r="K45" s="47"/>
    </row>
    <row r="46">
      <c r="A46" s="48">
        <v>178.0</v>
      </c>
      <c r="B46" s="5" t="s">
        <v>1131</v>
      </c>
      <c r="C46" s="14" t="s">
        <v>1132</v>
      </c>
      <c r="D46" s="14" t="s">
        <v>1087</v>
      </c>
      <c r="E46" s="14" t="s">
        <v>1133</v>
      </c>
      <c r="F46" s="14" t="s">
        <v>1056</v>
      </c>
      <c r="G46" s="42" t="s">
        <v>1054</v>
      </c>
      <c r="J46" s="47"/>
      <c r="K46" s="47"/>
    </row>
    <row r="47">
      <c r="A47" s="48">
        <v>179.0</v>
      </c>
      <c r="B47" s="5" t="s">
        <v>1116</v>
      </c>
      <c r="C47" s="14" t="s">
        <v>1126</v>
      </c>
      <c r="D47" s="14" t="s">
        <v>1134</v>
      </c>
      <c r="E47" s="14" t="s">
        <v>1135</v>
      </c>
      <c r="F47" s="14" t="s">
        <v>1108</v>
      </c>
      <c r="G47" s="42" t="s">
        <v>1054</v>
      </c>
      <c r="J47" s="47"/>
      <c r="K47" s="47"/>
    </row>
    <row r="48">
      <c r="A48" s="48">
        <v>180.0</v>
      </c>
      <c r="B48" s="14" t="s">
        <v>1087</v>
      </c>
      <c r="C48" s="14" t="s">
        <v>1126</v>
      </c>
      <c r="D48" s="14" t="s">
        <v>1134</v>
      </c>
      <c r="E48" s="14" t="s">
        <v>1136</v>
      </c>
      <c r="F48" s="14" t="s">
        <v>1056</v>
      </c>
      <c r="G48" s="42" t="s">
        <v>1054</v>
      </c>
      <c r="H48" s="14" t="s">
        <v>1096</v>
      </c>
      <c r="I48" s="14" t="s">
        <v>1056</v>
      </c>
      <c r="J48" s="64" t="s">
        <v>1096</v>
      </c>
      <c r="K48" s="64">
        <v>0.0</v>
      </c>
    </row>
    <row r="49">
      <c r="A49" s="48">
        <v>181.0</v>
      </c>
      <c r="B49" s="14" t="s">
        <v>1052</v>
      </c>
      <c r="C49" s="14" t="s">
        <v>1094</v>
      </c>
      <c r="D49" s="14" t="s">
        <v>1134</v>
      </c>
      <c r="E49" s="14" t="s">
        <v>1137</v>
      </c>
      <c r="F49" s="14" t="s">
        <v>1056</v>
      </c>
      <c r="G49" s="42" t="s">
        <v>1054</v>
      </c>
      <c r="J49" s="47"/>
      <c r="K49" s="47"/>
    </row>
    <row r="50">
      <c r="A50" s="48">
        <v>182.0</v>
      </c>
      <c r="B50" s="5" t="s">
        <v>1080</v>
      </c>
      <c r="C50" s="14" t="s">
        <v>1138</v>
      </c>
      <c r="D50" s="14" t="s">
        <v>1116</v>
      </c>
      <c r="E50" s="14" t="s">
        <v>1139</v>
      </c>
      <c r="F50" s="14" t="s">
        <v>1056</v>
      </c>
      <c r="G50" s="42" t="s">
        <v>1054</v>
      </c>
      <c r="J50" s="47"/>
      <c r="K50" s="47"/>
    </row>
    <row r="51">
      <c r="A51" s="48">
        <v>218.0</v>
      </c>
      <c r="B51" s="14" t="s">
        <v>1052</v>
      </c>
      <c r="C51" s="14" t="s">
        <v>1094</v>
      </c>
      <c r="D51" s="14" t="s">
        <v>1116</v>
      </c>
      <c r="E51" s="14" t="s">
        <v>1140</v>
      </c>
      <c r="F51" s="14" t="s">
        <v>1056</v>
      </c>
      <c r="G51" s="42" t="s">
        <v>1054</v>
      </c>
      <c r="H51" s="14" t="s">
        <v>1096</v>
      </c>
      <c r="I51" s="14" t="s">
        <v>1056</v>
      </c>
      <c r="J51" s="64" t="s">
        <v>1096</v>
      </c>
      <c r="K51" s="64">
        <v>0.0</v>
      </c>
    </row>
    <row r="52">
      <c r="A52" s="48">
        <v>219.0</v>
      </c>
      <c r="B52" s="14" t="s">
        <v>1116</v>
      </c>
      <c r="C52" s="14" t="s">
        <v>1138</v>
      </c>
      <c r="D52" s="14" t="s">
        <v>1116</v>
      </c>
      <c r="E52" s="14" t="s">
        <v>1141</v>
      </c>
      <c r="F52" s="14" t="s">
        <v>1108</v>
      </c>
      <c r="G52" s="42" t="s">
        <v>1054</v>
      </c>
      <c r="H52" s="14" t="s">
        <v>1096</v>
      </c>
      <c r="I52" s="14" t="s">
        <v>1056</v>
      </c>
      <c r="J52" s="64" t="s">
        <v>1096</v>
      </c>
      <c r="K52" s="64">
        <v>26620.0</v>
      </c>
    </row>
    <row r="53">
      <c r="A53" s="48">
        <v>222.0</v>
      </c>
      <c r="B53" s="14" t="s">
        <v>1052</v>
      </c>
      <c r="C53" s="14" t="s">
        <v>1094</v>
      </c>
      <c r="D53" s="14" t="s">
        <v>1116</v>
      </c>
      <c r="E53" s="14" t="s">
        <v>1142</v>
      </c>
      <c r="F53" s="14" t="s">
        <v>1056</v>
      </c>
      <c r="G53" s="42" t="s">
        <v>1054</v>
      </c>
      <c r="H53" s="14" t="s">
        <v>1096</v>
      </c>
      <c r="I53" s="14" t="s">
        <v>1056</v>
      </c>
      <c r="J53" s="64" t="s">
        <v>1096</v>
      </c>
      <c r="K53" s="64">
        <v>-5.83008256E8</v>
      </c>
    </row>
    <row r="54">
      <c r="A54" s="48">
        <v>223.0</v>
      </c>
      <c r="B54" s="14" t="s">
        <v>1143</v>
      </c>
      <c r="C54" s="14" t="s">
        <v>1144</v>
      </c>
      <c r="D54" s="14" t="s">
        <v>1116</v>
      </c>
      <c r="E54" s="14" t="s">
        <v>1141</v>
      </c>
      <c r="F54" s="14" t="s">
        <v>1108</v>
      </c>
      <c r="G54" s="42" t="s">
        <v>1054</v>
      </c>
      <c r="H54" s="14" t="s">
        <v>1096</v>
      </c>
      <c r="I54" s="14" t="s">
        <v>1108</v>
      </c>
      <c r="J54" s="64" t="s">
        <v>1096</v>
      </c>
      <c r="K54" s="64">
        <v>0.0</v>
      </c>
      <c r="L54" s="14" t="s">
        <v>1145</v>
      </c>
    </row>
    <row r="55">
      <c r="A55" s="48">
        <v>224.0</v>
      </c>
      <c r="B55" s="14" t="s">
        <v>1146</v>
      </c>
      <c r="C55" s="14" t="s">
        <v>1138</v>
      </c>
      <c r="D55" s="14" t="s">
        <v>1116</v>
      </c>
      <c r="E55" s="14" t="s">
        <v>1094</v>
      </c>
      <c r="F55" s="14" t="s">
        <v>1056</v>
      </c>
      <c r="G55" s="42" t="s">
        <v>1054</v>
      </c>
      <c r="H55" s="14" t="s">
        <v>1096</v>
      </c>
      <c r="I55" s="14" t="s">
        <v>1056</v>
      </c>
      <c r="J55" s="64" t="s">
        <v>1096</v>
      </c>
      <c r="K55" s="64">
        <v>999999.0</v>
      </c>
      <c r="L55" s="14" t="s">
        <v>1145</v>
      </c>
    </row>
    <row r="56">
      <c r="A56" s="48">
        <v>225.0</v>
      </c>
      <c r="B56" s="14" t="s">
        <v>1147</v>
      </c>
      <c r="C56" s="14" t="s">
        <v>1117</v>
      </c>
      <c r="D56" s="14" t="s">
        <v>1116</v>
      </c>
      <c r="E56" s="14" t="s">
        <v>1148</v>
      </c>
      <c r="F56" s="14" t="s">
        <v>1108</v>
      </c>
      <c r="G56" s="42" t="s">
        <v>1054</v>
      </c>
      <c r="H56" s="14" t="s">
        <v>1096</v>
      </c>
      <c r="I56" s="14" t="s">
        <v>1108</v>
      </c>
      <c r="J56" s="64" t="s">
        <v>1096</v>
      </c>
      <c r="K56" s="64">
        <v>999999.0</v>
      </c>
      <c r="L56" s="14" t="s">
        <v>1149</v>
      </c>
    </row>
    <row r="57">
      <c r="A57" s="48">
        <v>226.0</v>
      </c>
      <c r="B57" s="14" t="s">
        <v>1150</v>
      </c>
      <c r="C57" s="14" t="s">
        <v>1126</v>
      </c>
      <c r="D57" s="14" t="s">
        <v>1116</v>
      </c>
      <c r="E57" s="14" t="s">
        <v>1151</v>
      </c>
      <c r="F57" s="14" t="s">
        <v>1056</v>
      </c>
      <c r="G57" s="42" t="s">
        <v>1054</v>
      </c>
      <c r="H57" s="14" t="s">
        <v>1096</v>
      </c>
      <c r="I57" s="14" t="s">
        <v>1056</v>
      </c>
      <c r="J57" s="64" t="s">
        <v>1096</v>
      </c>
      <c r="K57" s="64">
        <v>999999.0</v>
      </c>
    </row>
    <row r="58">
      <c r="A58" s="48">
        <v>227.0</v>
      </c>
      <c r="B58" s="14" t="s">
        <v>1152</v>
      </c>
      <c r="C58" s="14" t="s">
        <v>1117</v>
      </c>
      <c r="D58" s="14" t="s">
        <v>1116</v>
      </c>
      <c r="E58" s="14" t="s">
        <v>1153</v>
      </c>
      <c r="F58" s="14" t="s">
        <v>1108</v>
      </c>
      <c r="G58" s="42" t="s">
        <v>1054</v>
      </c>
      <c r="H58" s="14" t="s">
        <v>1096</v>
      </c>
      <c r="I58" s="14" t="s">
        <v>1056</v>
      </c>
      <c r="J58" s="64" t="s">
        <v>1096</v>
      </c>
      <c r="K58" s="64">
        <v>999999.0</v>
      </c>
      <c r="L58" s="14" t="s">
        <v>1154</v>
      </c>
    </row>
    <row r="59">
      <c r="A59" s="48">
        <v>228.0</v>
      </c>
      <c r="B59" s="14" t="s">
        <v>1155</v>
      </c>
      <c r="C59" s="14" t="s">
        <v>1105</v>
      </c>
      <c r="D59" s="14" t="s">
        <v>1116</v>
      </c>
      <c r="E59" s="14" t="s">
        <v>1094</v>
      </c>
      <c r="F59" s="14" t="s">
        <v>1108</v>
      </c>
      <c r="G59" s="42" t="s">
        <v>1054</v>
      </c>
      <c r="H59" s="14" t="s">
        <v>1096</v>
      </c>
      <c r="I59" s="14" t="s">
        <v>1056</v>
      </c>
      <c r="J59" s="64" t="s">
        <v>1096</v>
      </c>
      <c r="K59" s="64">
        <v>999999.0</v>
      </c>
      <c r="L59" s="14" t="s">
        <v>1154</v>
      </c>
    </row>
    <row r="60">
      <c r="A60" s="48">
        <v>229.0</v>
      </c>
      <c r="B60" s="14" t="s">
        <v>1156</v>
      </c>
      <c r="C60" s="14" t="s">
        <v>1126</v>
      </c>
      <c r="D60" s="14" t="s">
        <v>1116</v>
      </c>
      <c r="E60" s="14" t="s">
        <v>1141</v>
      </c>
      <c r="F60" s="14" t="s">
        <v>1108</v>
      </c>
      <c r="G60" s="42" t="s">
        <v>1054</v>
      </c>
      <c r="H60" s="14" t="s">
        <v>1096</v>
      </c>
      <c r="I60" s="14" t="s">
        <v>1056</v>
      </c>
      <c r="J60" s="64" t="s">
        <v>1096</v>
      </c>
      <c r="K60" s="64">
        <v>999999.0</v>
      </c>
    </row>
    <row r="61">
      <c r="A61" s="48">
        <v>231.0</v>
      </c>
      <c r="B61" s="14" t="s">
        <v>1052</v>
      </c>
      <c r="C61" s="14" t="s">
        <v>1094</v>
      </c>
      <c r="D61" s="14" t="s">
        <v>1116</v>
      </c>
      <c r="E61" s="14" t="s">
        <v>1141</v>
      </c>
      <c r="F61" s="14" t="s">
        <v>1108</v>
      </c>
      <c r="G61" s="42" t="s">
        <v>1054</v>
      </c>
      <c r="H61" s="14" t="s">
        <v>1096</v>
      </c>
      <c r="I61" s="14" t="s">
        <v>1056</v>
      </c>
      <c r="J61" s="64" t="s">
        <v>1096</v>
      </c>
      <c r="K61" s="64">
        <v>999999.0</v>
      </c>
    </row>
    <row r="62">
      <c r="A62" s="48">
        <v>232.0</v>
      </c>
      <c r="B62" s="14" t="s">
        <v>1116</v>
      </c>
      <c r="C62" s="14" t="s">
        <v>1079</v>
      </c>
      <c r="D62" s="14" t="s">
        <v>1116</v>
      </c>
      <c r="E62" s="14" t="s">
        <v>1157</v>
      </c>
      <c r="F62" s="14" t="s">
        <v>1108</v>
      </c>
      <c r="G62" s="42" t="s">
        <v>1054</v>
      </c>
      <c r="H62" s="14" t="s">
        <v>1096</v>
      </c>
      <c r="I62" s="14" t="s">
        <v>1056</v>
      </c>
      <c r="J62" s="64" t="s">
        <v>1096</v>
      </c>
      <c r="K62" s="64">
        <v>-1.07372544E9</v>
      </c>
    </row>
    <row r="63">
      <c r="A63" s="48">
        <v>233.0</v>
      </c>
      <c r="B63" s="14" t="s">
        <v>1052</v>
      </c>
      <c r="C63" s="14" t="s">
        <v>1094</v>
      </c>
      <c r="D63" s="14" t="s">
        <v>1116</v>
      </c>
      <c r="E63" s="14" t="s">
        <v>1158</v>
      </c>
      <c r="F63" s="14" t="s">
        <v>1056</v>
      </c>
      <c r="G63" s="42" t="s">
        <v>1054</v>
      </c>
      <c r="H63" s="14" t="s">
        <v>1096</v>
      </c>
      <c r="I63" s="14" t="s">
        <v>1056</v>
      </c>
      <c r="J63" s="14" t="s">
        <v>1096</v>
      </c>
      <c r="K63" s="64">
        <v>999999.0</v>
      </c>
    </row>
    <row r="64">
      <c r="A64" s="48">
        <v>237.0</v>
      </c>
      <c r="B64" s="14" t="s">
        <v>1052</v>
      </c>
      <c r="C64" s="14" t="s">
        <v>1094</v>
      </c>
      <c r="D64" s="14" t="s">
        <v>1116</v>
      </c>
      <c r="E64" s="14" t="s">
        <v>1158</v>
      </c>
      <c r="F64" s="14" t="s">
        <v>1056</v>
      </c>
      <c r="G64" s="42" t="s">
        <v>1054</v>
      </c>
      <c r="H64" s="64" t="s">
        <v>1096</v>
      </c>
      <c r="I64" s="14" t="s">
        <v>1056</v>
      </c>
      <c r="J64" s="64" t="s">
        <v>1096</v>
      </c>
      <c r="K64" s="64">
        <v>0.0</v>
      </c>
    </row>
    <row r="65">
      <c r="A65" s="48">
        <v>238.0</v>
      </c>
      <c r="B65" s="14" t="s">
        <v>1052</v>
      </c>
      <c r="C65" s="14" t="s">
        <v>1094</v>
      </c>
      <c r="D65" s="14" t="s">
        <v>1116</v>
      </c>
      <c r="E65" s="14" t="s">
        <v>1159</v>
      </c>
      <c r="F65" s="14" t="s">
        <v>1056</v>
      </c>
      <c r="G65" s="42" t="s">
        <v>1054</v>
      </c>
      <c r="H65" s="64" t="s">
        <v>1096</v>
      </c>
      <c r="I65" s="14" t="s">
        <v>1056</v>
      </c>
      <c r="J65" s="64" t="s">
        <v>1096</v>
      </c>
      <c r="K65" s="64" t="s">
        <v>1128</v>
      </c>
    </row>
    <row r="66">
      <c r="A66" s="48">
        <v>239.0</v>
      </c>
      <c r="B66" s="14" t="s">
        <v>1052</v>
      </c>
      <c r="C66" s="14" t="s">
        <v>1094</v>
      </c>
      <c r="D66" s="14" t="s">
        <v>1116</v>
      </c>
      <c r="E66" s="14" t="s">
        <v>1141</v>
      </c>
      <c r="F66" s="14" t="s">
        <v>1108</v>
      </c>
      <c r="G66" s="42" t="s">
        <v>1054</v>
      </c>
      <c r="H66" s="64" t="s">
        <v>1096</v>
      </c>
      <c r="I66" s="14" t="s">
        <v>1056</v>
      </c>
      <c r="J66" s="64" t="s">
        <v>1096</v>
      </c>
      <c r="K66" s="64">
        <v>-1.031774344E9</v>
      </c>
    </row>
    <row r="67">
      <c r="A67" s="48">
        <v>240.0</v>
      </c>
      <c r="B67" s="14" t="s">
        <v>1160</v>
      </c>
      <c r="C67" s="64" t="s">
        <v>1144</v>
      </c>
      <c r="D67" s="14" t="s">
        <v>1116</v>
      </c>
      <c r="E67" s="14" t="s">
        <v>1161</v>
      </c>
      <c r="F67" s="14" t="s">
        <v>1108</v>
      </c>
      <c r="G67" s="42" t="s">
        <v>1054</v>
      </c>
      <c r="H67" s="64" t="s">
        <v>1096</v>
      </c>
      <c r="I67" s="14" t="s">
        <v>1056</v>
      </c>
      <c r="J67" s="64" t="s">
        <v>1096</v>
      </c>
      <c r="K67" s="64" t="s">
        <v>1128</v>
      </c>
    </row>
    <row r="68">
      <c r="A68" s="48">
        <v>243.0</v>
      </c>
      <c r="B68" s="14" t="s">
        <v>1052</v>
      </c>
      <c r="C68" s="14" t="s">
        <v>1094</v>
      </c>
      <c r="D68" s="14" t="s">
        <v>1134</v>
      </c>
      <c r="E68" s="14" t="s">
        <v>1162</v>
      </c>
      <c r="F68" s="14" t="s">
        <v>1108</v>
      </c>
      <c r="G68" s="42" t="s">
        <v>1054</v>
      </c>
      <c r="H68" s="64" t="s">
        <v>1096</v>
      </c>
      <c r="I68" s="14" t="s">
        <v>1056</v>
      </c>
      <c r="J68" s="64" t="s">
        <v>1096</v>
      </c>
      <c r="K68" s="64">
        <v>1.0</v>
      </c>
    </row>
    <row r="69">
      <c r="A69" s="48">
        <v>244.0</v>
      </c>
      <c r="B69" s="14" t="s">
        <v>1052</v>
      </c>
      <c r="C69" s="14" t="s">
        <v>1094</v>
      </c>
      <c r="D69" s="14" t="s">
        <v>1134</v>
      </c>
      <c r="E69" s="14" t="s">
        <v>1161</v>
      </c>
      <c r="F69" s="14" t="s">
        <v>1096</v>
      </c>
      <c r="G69" s="42" t="s">
        <v>1054</v>
      </c>
      <c r="H69" s="64" t="s">
        <v>1096</v>
      </c>
      <c r="I69" s="14" t="s">
        <v>1056</v>
      </c>
      <c r="J69" s="64" t="s">
        <v>1096</v>
      </c>
      <c r="K69" s="64">
        <v>999999.0</v>
      </c>
    </row>
    <row r="70">
      <c r="A70" s="48">
        <v>245.0</v>
      </c>
      <c r="B70" s="14" t="s">
        <v>1087</v>
      </c>
      <c r="C70" s="64" t="s">
        <v>1163</v>
      </c>
      <c r="D70" s="14" t="s">
        <v>1134</v>
      </c>
      <c r="E70" s="14" t="s">
        <v>1164</v>
      </c>
      <c r="F70" s="14" t="s">
        <v>1096</v>
      </c>
      <c r="G70" s="42" t="s">
        <v>1054</v>
      </c>
      <c r="H70" s="64" t="s">
        <v>1096</v>
      </c>
      <c r="I70" s="14" t="s">
        <v>1056</v>
      </c>
      <c r="J70" s="64" t="s">
        <v>1096</v>
      </c>
      <c r="K70" s="64">
        <v>999999.0</v>
      </c>
    </row>
    <row r="71">
      <c r="A71" s="48">
        <v>246.0</v>
      </c>
      <c r="B71" s="14" t="s">
        <v>1087</v>
      </c>
      <c r="C71" s="64" t="s">
        <v>1117</v>
      </c>
      <c r="D71" s="14" t="s">
        <v>1134</v>
      </c>
      <c r="E71" s="14" t="s">
        <v>1165</v>
      </c>
      <c r="F71" s="14" t="s">
        <v>1096</v>
      </c>
      <c r="G71" s="42" t="s">
        <v>1054</v>
      </c>
      <c r="H71" s="64" t="s">
        <v>1096</v>
      </c>
      <c r="I71" s="14" t="s">
        <v>1056</v>
      </c>
      <c r="J71" s="64" t="s">
        <v>1096</v>
      </c>
      <c r="K71" s="64">
        <v>999999.0</v>
      </c>
    </row>
    <row r="72">
      <c r="A72" s="48">
        <v>247.0</v>
      </c>
      <c r="B72" s="14" t="s">
        <v>1087</v>
      </c>
      <c r="C72" s="64" t="s">
        <v>1102</v>
      </c>
      <c r="D72" s="14" t="s">
        <v>1134</v>
      </c>
      <c r="E72" s="14" t="s">
        <v>1166</v>
      </c>
      <c r="F72" s="14" t="s">
        <v>1096</v>
      </c>
      <c r="G72" s="42" t="s">
        <v>1054</v>
      </c>
      <c r="H72" s="64" t="s">
        <v>1096</v>
      </c>
      <c r="I72" s="14" t="s">
        <v>1056</v>
      </c>
      <c r="J72" s="64" t="s">
        <v>1096</v>
      </c>
      <c r="K72" s="64">
        <v>999999.0</v>
      </c>
    </row>
    <row r="73">
      <c r="A73" s="48">
        <v>248.0</v>
      </c>
      <c r="B73" s="14" t="s">
        <v>1087</v>
      </c>
      <c r="C73" s="64" t="s">
        <v>1167</v>
      </c>
      <c r="D73" s="14" t="s">
        <v>1134</v>
      </c>
      <c r="E73" s="14" t="s">
        <v>1157</v>
      </c>
      <c r="F73" s="14" t="s">
        <v>1108</v>
      </c>
      <c r="G73" s="42" t="s">
        <v>1054</v>
      </c>
      <c r="H73" s="64" t="s">
        <v>1096</v>
      </c>
      <c r="I73" s="14" t="s">
        <v>1056</v>
      </c>
      <c r="J73" s="64" t="s">
        <v>1096</v>
      </c>
      <c r="K73" s="64">
        <v>999999.0</v>
      </c>
    </row>
    <row r="74">
      <c r="A74" s="48">
        <v>249.0</v>
      </c>
      <c r="B74" s="14" t="s">
        <v>1168</v>
      </c>
      <c r="C74" s="64" t="s">
        <v>1071</v>
      </c>
      <c r="D74" s="14" t="s">
        <v>1134</v>
      </c>
      <c r="E74" s="14" t="s">
        <v>1158</v>
      </c>
      <c r="F74" s="14" t="s">
        <v>1096</v>
      </c>
      <c r="G74" s="42" t="s">
        <v>1054</v>
      </c>
      <c r="H74" s="64" t="s">
        <v>1096</v>
      </c>
      <c r="I74" s="14" t="s">
        <v>1056</v>
      </c>
      <c r="J74" s="64" t="s">
        <v>1096</v>
      </c>
      <c r="K74" s="64">
        <v>999999.0</v>
      </c>
    </row>
    <row r="75">
      <c r="A75" s="48">
        <v>250.0</v>
      </c>
      <c r="B75" s="14" t="s">
        <v>1169</v>
      </c>
      <c r="C75" s="64" t="s">
        <v>1170</v>
      </c>
      <c r="D75" s="14" t="s">
        <v>1134</v>
      </c>
      <c r="E75" s="14" t="s">
        <v>1159</v>
      </c>
      <c r="F75" s="14" t="s">
        <v>1096</v>
      </c>
      <c r="G75" s="42" t="s">
        <v>1054</v>
      </c>
      <c r="H75" s="64" t="s">
        <v>1096</v>
      </c>
      <c r="I75" s="14" t="s">
        <v>1056</v>
      </c>
      <c r="J75" s="64" t="s">
        <v>1096</v>
      </c>
      <c r="K75" s="64">
        <v>999999.0</v>
      </c>
    </row>
    <row r="76">
      <c r="A76" s="48">
        <v>251.0</v>
      </c>
      <c r="B76" s="14" t="s">
        <v>1087</v>
      </c>
      <c r="C76" s="64" t="s">
        <v>1171</v>
      </c>
      <c r="D76" s="14" t="s">
        <v>1134</v>
      </c>
      <c r="E76" s="14" t="s">
        <v>1141</v>
      </c>
      <c r="F76" s="14" t="s">
        <v>1096</v>
      </c>
      <c r="G76" s="42" t="s">
        <v>1054</v>
      </c>
      <c r="H76" s="64" t="s">
        <v>1096</v>
      </c>
      <c r="I76" s="14" t="s">
        <v>1056</v>
      </c>
      <c r="J76" s="64" t="s">
        <v>1096</v>
      </c>
      <c r="K76" s="64">
        <v>999999.0</v>
      </c>
    </row>
    <row r="77">
      <c r="A77" s="48">
        <v>252.0</v>
      </c>
      <c r="B77" s="14" t="s">
        <v>1172</v>
      </c>
      <c r="C77" s="64" t="s">
        <v>1173</v>
      </c>
      <c r="D77" s="14" t="s">
        <v>1134</v>
      </c>
      <c r="E77" s="14" t="s">
        <v>1157</v>
      </c>
      <c r="F77" s="14" t="s">
        <v>1108</v>
      </c>
      <c r="G77" s="42" t="s">
        <v>1054</v>
      </c>
      <c r="H77" s="64" t="s">
        <v>1096</v>
      </c>
      <c r="I77" s="14" t="s">
        <v>1056</v>
      </c>
      <c r="J77" s="64">
        <v>4.37000692E8</v>
      </c>
      <c r="K77" s="64">
        <v>999999.0</v>
      </c>
    </row>
    <row r="78">
      <c r="A78" s="48">
        <v>253.0</v>
      </c>
      <c r="B78" s="14" t="s">
        <v>1052</v>
      </c>
      <c r="C78" s="64" t="s">
        <v>1167</v>
      </c>
      <c r="D78" s="14" t="s">
        <v>1134</v>
      </c>
      <c r="E78" s="14" t="s">
        <v>1158</v>
      </c>
      <c r="F78" s="14" t="s">
        <v>1096</v>
      </c>
      <c r="G78" s="42" t="s">
        <v>1054</v>
      </c>
      <c r="H78" s="64" t="s">
        <v>1096</v>
      </c>
      <c r="I78" s="14" t="s">
        <v>1056</v>
      </c>
      <c r="J78" s="64" t="s">
        <v>1096</v>
      </c>
      <c r="K78" s="64">
        <v>999999.0</v>
      </c>
    </row>
    <row r="79">
      <c r="A79" s="48">
        <v>254.0</v>
      </c>
      <c r="B79" s="14" t="s">
        <v>1174</v>
      </c>
      <c r="C79" s="64" t="s">
        <v>1117</v>
      </c>
      <c r="D79" s="14" t="s">
        <v>1134</v>
      </c>
      <c r="E79" s="14" t="s">
        <v>1159</v>
      </c>
      <c r="F79" s="14" t="s">
        <v>1096</v>
      </c>
      <c r="G79" s="42" t="s">
        <v>1054</v>
      </c>
      <c r="H79" s="64" t="s">
        <v>1096</v>
      </c>
      <c r="I79" s="14" t="s">
        <v>1056</v>
      </c>
      <c r="J79" s="64" t="s">
        <v>1096</v>
      </c>
      <c r="K79" s="64">
        <v>999999.0</v>
      </c>
    </row>
    <row r="80">
      <c r="A80" s="14">
        <v>145.0</v>
      </c>
      <c r="B80" s="14" t="s">
        <v>1087</v>
      </c>
      <c r="C80" s="14" t="s">
        <v>1175</v>
      </c>
      <c r="D80" s="14" t="s">
        <v>1052</v>
      </c>
      <c r="E80" s="14" t="s">
        <v>1176</v>
      </c>
      <c r="G80" s="14" t="s">
        <v>1177</v>
      </c>
      <c r="I80" s="14" t="s">
        <v>1056</v>
      </c>
      <c r="J80" s="47"/>
      <c r="K80" s="47"/>
    </row>
    <row r="81">
      <c r="A81" s="48">
        <v>163.0</v>
      </c>
      <c r="B81" s="14" t="s">
        <v>1104</v>
      </c>
      <c r="C81" s="14" t="s">
        <v>1178</v>
      </c>
      <c r="D81" s="14" t="s">
        <v>1052</v>
      </c>
      <c r="E81" s="14" t="s">
        <v>1179</v>
      </c>
      <c r="F81" s="14" t="s">
        <v>1056</v>
      </c>
      <c r="G81" s="14" t="s">
        <v>1177</v>
      </c>
      <c r="J81" s="47"/>
      <c r="K81" s="47"/>
    </row>
    <row r="82">
      <c r="A82" s="48">
        <v>167.0</v>
      </c>
      <c r="B82" s="14" t="s">
        <v>1087</v>
      </c>
      <c r="C82" s="14" t="s">
        <v>1178</v>
      </c>
      <c r="D82" s="14" t="s">
        <v>1052</v>
      </c>
      <c r="E82" s="14" t="s">
        <v>1180</v>
      </c>
      <c r="F82" s="14" t="s">
        <v>1056</v>
      </c>
      <c r="G82" s="14" t="s">
        <v>1177</v>
      </c>
      <c r="J82" s="47"/>
      <c r="K82" s="47"/>
    </row>
    <row r="83">
      <c r="A83" s="48">
        <v>168.0</v>
      </c>
      <c r="B83" s="14" t="s">
        <v>1052</v>
      </c>
      <c r="C83" s="14" t="s">
        <v>1094</v>
      </c>
      <c r="D83" s="14" t="s">
        <v>1052</v>
      </c>
      <c r="E83" s="14" t="s">
        <v>1181</v>
      </c>
      <c r="F83" s="14" t="s">
        <v>1108</v>
      </c>
      <c r="G83" s="14" t="s">
        <v>1177</v>
      </c>
      <c r="H83" s="14" t="s">
        <v>1096</v>
      </c>
      <c r="I83" s="14" t="s">
        <v>1056</v>
      </c>
      <c r="J83" s="64" t="s">
        <v>1096</v>
      </c>
      <c r="K83" s="64" t="s">
        <v>1128</v>
      </c>
    </row>
    <row r="84">
      <c r="A84" s="48">
        <v>174.0</v>
      </c>
      <c r="B84" s="14" t="s">
        <v>1182</v>
      </c>
      <c r="C84" s="14" t="s">
        <v>1178</v>
      </c>
      <c r="D84" s="14" t="s">
        <v>1116</v>
      </c>
      <c r="E84" s="14" t="s">
        <v>1183</v>
      </c>
      <c r="F84" s="14" t="s">
        <v>1056</v>
      </c>
      <c r="G84" s="14" t="s">
        <v>1177</v>
      </c>
      <c r="J84" s="47"/>
      <c r="K84" s="47"/>
    </row>
    <row r="85">
      <c r="A85" s="48">
        <v>183.0</v>
      </c>
      <c r="B85" s="14" t="s">
        <v>1052</v>
      </c>
      <c r="C85" s="14" t="s">
        <v>1094</v>
      </c>
      <c r="D85" s="14" t="s">
        <v>1116</v>
      </c>
      <c r="E85" s="14" t="s">
        <v>1184</v>
      </c>
      <c r="F85" s="14" t="s">
        <v>1108</v>
      </c>
      <c r="G85" s="14" t="s">
        <v>1177</v>
      </c>
      <c r="J85" s="47"/>
      <c r="K85" s="47"/>
    </row>
    <row r="86">
      <c r="A86" s="48">
        <v>184.0</v>
      </c>
      <c r="B86" s="14" t="s">
        <v>1052</v>
      </c>
      <c r="C86" s="14" t="s">
        <v>1094</v>
      </c>
      <c r="D86" s="14" t="s">
        <v>1134</v>
      </c>
      <c r="E86" s="14" t="s">
        <v>1185</v>
      </c>
      <c r="F86" s="14" t="s">
        <v>1056</v>
      </c>
      <c r="G86" s="14" t="s">
        <v>1177</v>
      </c>
      <c r="H86" s="14" t="s">
        <v>1096</v>
      </c>
      <c r="I86" s="14" t="s">
        <v>1056</v>
      </c>
      <c r="J86" s="64">
        <v>1.073692672E9</v>
      </c>
      <c r="K86" s="64">
        <v>-5.36846336E8</v>
      </c>
    </row>
    <row r="87">
      <c r="A87" s="48">
        <v>185.0</v>
      </c>
      <c r="B87" s="14" t="s">
        <v>1052</v>
      </c>
      <c r="C87" s="14" t="s">
        <v>1094</v>
      </c>
      <c r="D87" s="14" t="s">
        <v>1134</v>
      </c>
      <c r="E87" s="14" t="s">
        <v>1186</v>
      </c>
      <c r="F87" s="14" t="s">
        <v>1056</v>
      </c>
      <c r="G87" s="14" t="s">
        <v>1177</v>
      </c>
      <c r="J87" s="47"/>
      <c r="K87" s="47"/>
    </row>
    <row r="88">
      <c r="A88" s="48">
        <v>186.0</v>
      </c>
      <c r="B88" s="14" t="s">
        <v>1052</v>
      </c>
      <c r="C88" s="14" t="s">
        <v>1094</v>
      </c>
      <c r="D88" s="14" t="s">
        <v>1187</v>
      </c>
      <c r="E88" s="14" t="s">
        <v>1188</v>
      </c>
      <c r="F88" s="14" t="s">
        <v>1056</v>
      </c>
      <c r="G88" s="14" t="s">
        <v>1177</v>
      </c>
      <c r="J88" s="47"/>
      <c r="K88" s="47"/>
    </row>
    <row r="89">
      <c r="A89" s="48">
        <v>188.0</v>
      </c>
      <c r="B89" s="14" t="s">
        <v>1052</v>
      </c>
      <c r="C89" s="14" t="s">
        <v>1094</v>
      </c>
      <c r="D89" s="14" t="s">
        <v>1187</v>
      </c>
      <c r="E89" s="14" t="s">
        <v>1189</v>
      </c>
      <c r="F89" s="14" t="s">
        <v>1056</v>
      </c>
      <c r="G89" s="14" t="s">
        <v>1177</v>
      </c>
      <c r="H89" s="14" t="s">
        <v>1096</v>
      </c>
      <c r="I89" s="14" t="s">
        <v>1056</v>
      </c>
      <c r="J89" s="64">
        <v>0.0</v>
      </c>
      <c r="K89" s="64" t="s">
        <v>1128</v>
      </c>
    </row>
    <row r="90">
      <c r="A90" s="48">
        <v>189.0</v>
      </c>
      <c r="B90" s="14" t="s">
        <v>1052</v>
      </c>
      <c r="C90" s="14" t="s">
        <v>1094</v>
      </c>
      <c r="D90" s="14" t="s">
        <v>1187</v>
      </c>
      <c r="E90" s="14" t="s">
        <v>1190</v>
      </c>
      <c r="F90" s="14" t="s">
        <v>1108</v>
      </c>
      <c r="G90" s="14" t="s">
        <v>1177</v>
      </c>
      <c r="H90" s="14" t="s">
        <v>1096</v>
      </c>
      <c r="I90" s="14" t="s">
        <v>1056</v>
      </c>
      <c r="J90" s="64" t="s">
        <v>1096</v>
      </c>
      <c r="K90" s="64" t="s">
        <v>1128</v>
      </c>
    </row>
    <row r="91">
      <c r="A91" s="48">
        <v>190.0</v>
      </c>
      <c r="B91" s="14" t="s">
        <v>1052</v>
      </c>
      <c r="C91" s="14" t="s">
        <v>1094</v>
      </c>
      <c r="D91" s="14" t="s">
        <v>1187</v>
      </c>
      <c r="E91" s="14" t="s">
        <v>1191</v>
      </c>
      <c r="F91" s="14" t="s">
        <v>1056</v>
      </c>
      <c r="G91" s="14" t="s">
        <v>1177</v>
      </c>
      <c r="H91" s="14" t="s">
        <v>1096</v>
      </c>
      <c r="I91" s="14" t="s">
        <v>1056</v>
      </c>
      <c r="J91" s="64" t="s">
        <v>1096</v>
      </c>
      <c r="K91" s="64" t="s">
        <v>1128</v>
      </c>
    </row>
    <row r="92">
      <c r="A92" s="48">
        <v>191.0</v>
      </c>
      <c r="B92" s="14" t="s">
        <v>1052</v>
      </c>
      <c r="C92" s="14" t="s">
        <v>1094</v>
      </c>
      <c r="D92" s="14" t="s">
        <v>1187</v>
      </c>
      <c r="E92" s="14" t="s">
        <v>1192</v>
      </c>
      <c r="F92" s="14" t="s">
        <v>1108</v>
      </c>
      <c r="G92" s="14" t="s">
        <v>1177</v>
      </c>
      <c r="H92" s="14" t="s">
        <v>1096</v>
      </c>
      <c r="I92" s="14" t="s">
        <v>1056</v>
      </c>
      <c r="J92" s="64" t="s">
        <v>1096</v>
      </c>
      <c r="K92" s="64" t="s">
        <v>1128</v>
      </c>
    </row>
    <row r="93">
      <c r="A93" s="48">
        <v>192.0</v>
      </c>
      <c r="B93" s="14" t="s">
        <v>1052</v>
      </c>
      <c r="C93" s="14" t="s">
        <v>1094</v>
      </c>
      <c r="D93" s="14" t="s">
        <v>1187</v>
      </c>
      <c r="E93" s="14" t="s">
        <v>1193</v>
      </c>
      <c r="F93" s="14" t="s">
        <v>1056</v>
      </c>
      <c r="G93" s="14" t="s">
        <v>1177</v>
      </c>
      <c r="H93" s="14" t="s">
        <v>1096</v>
      </c>
      <c r="I93" s="14" t="s">
        <v>1056</v>
      </c>
      <c r="J93" s="64">
        <v>0.0</v>
      </c>
      <c r="K93" s="64" t="s">
        <v>1128</v>
      </c>
    </row>
    <row r="94">
      <c r="A94" s="48">
        <v>195.0</v>
      </c>
      <c r="B94" s="14" t="s">
        <v>1052</v>
      </c>
      <c r="C94" s="14" t="s">
        <v>1094</v>
      </c>
      <c r="D94" s="14" t="s">
        <v>1194</v>
      </c>
      <c r="E94" s="14" t="s">
        <v>1195</v>
      </c>
      <c r="F94" s="14" t="s">
        <v>1108</v>
      </c>
      <c r="G94" s="14" t="s">
        <v>1177</v>
      </c>
      <c r="H94" s="14" t="s">
        <v>1096</v>
      </c>
      <c r="I94" s="14" t="s">
        <v>1056</v>
      </c>
      <c r="J94" s="64" t="s">
        <v>1096</v>
      </c>
      <c r="K94" s="64" t="s">
        <v>1128</v>
      </c>
    </row>
    <row r="95">
      <c r="A95" s="48">
        <v>196.0</v>
      </c>
      <c r="B95" s="14" t="s">
        <v>1052</v>
      </c>
      <c r="C95" s="14" t="s">
        <v>1094</v>
      </c>
      <c r="D95" s="14" t="s">
        <v>1194</v>
      </c>
      <c r="E95" s="14" t="s">
        <v>1196</v>
      </c>
      <c r="F95" s="14" t="s">
        <v>1056</v>
      </c>
      <c r="G95" s="14" t="s">
        <v>1177</v>
      </c>
      <c r="H95" s="14" t="s">
        <v>1096</v>
      </c>
      <c r="I95" s="14" t="s">
        <v>1056</v>
      </c>
      <c r="J95" s="64" t="s">
        <v>1096</v>
      </c>
      <c r="K95" s="64" t="s">
        <v>1128</v>
      </c>
    </row>
    <row r="96">
      <c r="A96" s="48">
        <v>197.0</v>
      </c>
      <c r="B96" s="14" t="s">
        <v>1052</v>
      </c>
      <c r="C96" s="14" t="s">
        <v>1094</v>
      </c>
      <c r="D96" s="14" t="s">
        <v>1194</v>
      </c>
      <c r="E96" s="14" t="s">
        <v>1197</v>
      </c>
      <c r="F96" s="14" t="s">
        <v>1108</v>
      </c>
      <c r="G96" s="14" t="s">
        <v>1177</v>
      </c>
      <c r="H96" s="14" t="s">
        <v>1096</v>
      </c>
      <c r="I96" s="14" t="s">
        <v>1056</v>
      </c>
      <c r="J96" s="64" t="s">
        <v>1096</v>
      </c>
      <c r="K96" s="64" t="s">
        <v>1128</v>
      </c>
    </row>
    <row r="97">
      <c r="A97" s="48">
        <v>198.0</v>
      </c>
      <c r="B97" s="14" t="s">
        <v>1052</v>
      </c>
      <c r="C97" s="14" t="s">
        <v>1094</v>
      </c>
      <c r="D97" s="14" t="s">
        <v>1194</v>
      </c>
      <c r="E97" s="14" t="s">
        <v>1198</v>
      </c>
      <c r="F97" s="14" t="s">
        <v>1056</v>
      </c>
      <c r="G97" s="14" t="s">
        <v>1177</v>
      </c>
      <c r="H97" s="14" t="s">
        <v>1096</v>
      </c>
      <c r="I97" s="14" t="s">
        <v>1056</v>
      </c>
      <c r="J97" s="64" t="s">
        <v>1096</v>
      </c>
      <c r="K97" s="64" t="s">
        <v>1128</v>
      </c>
    </row>
    <row r="98">
      <c r="A98" s="48">
        <v>199.0</v>
      </c>
      <c r="B98" s="14" t="s">
        <v>1052</v>
      </c>
      <c r="C98" s="14" t="s">
        <v>1094</v>
      </c>
      <c r="D98" s="14" t="s">
        <v>1194</v>
      </c>
      <c r="E98" s="14" t="s">
        <v>1199</v>
      </c>
      <c r="F98" s="14" t="s">
        <v>1108</v>
      </c>
      <c r="G98" s="14" t="s">
        <v>1177</v>
      </c>
      <c r="H98" s="14" t="s">
        <v>1096</v>
      </c>
      <c r="I98" s="14" t="s">
        <v>1056</v>
      </c>
      <c r="J98" s="64" t="s">
        <v>1096</v>
      </c>
      <c r="K98" s="64" t="s">
        <v>1128</v>
      </c>
    </row>
    <row r="99">
      <c r="A99" s="48">
        <v>200.0</v>
      </c>
      <c r="B99" s="14" t="s">
        <v>1052</v>
      </c>
      <c r="C99" s="14" t="s">
        <v>1094</v>
      </c>
      <c r="D99" s="14" t="s">
        <v>1194</v>
      </c>
      <c r="E99" s="14" t="s">
        <v>1200</v>
      </c>
      <c r="F99" s="14" t="s">
        <v>1056</v>
      </c>
      <c r="G99" s="14" t="s">
        <v>1177</v>
      </c>
      <c r="H99" s="14" t="s">
        <v>1096</v>
      </c>
      <c r="I99" s="14" t="s">
        <v>1056</v>
      </c>
      <c r="J99" s="64" t="s">
        <v>1096</v>
      </c>
      <c r="K99" s="64" t="s">
        <v>1128</v>
      </c>
    </row>
    <row r="100">
      <c r="A100" s="48">
        <v>201.0</v>
      </c>
      <c r="B100" s="14" t="s">
        <v>1052</v>
      </c>
      <c r="C100" s="14" t="s">
        <v>1094</v>
      </c>
      <c r="D100" s="14" t="s">
        <v>1194</v>
      </c>
      <c r="E100" s="14" t="s">
        <v>1201</v>
      </c>
      <c r="F100" s="14" t="s">
        <v>1108</v>
      </c>
      <c r="G100" s="14" t="s">
        <v>1177</v>
      </c>
      <c r="H100" s="14" t="s">
        <v>1096</v>
      </c>
      <c r="I100" s="14" t="s">
        <v>1056</v>
      </c>
      <c r="J100" s="64" t="s">
        <v>1096</v>
      </c>
      <c r="K100" s="64" t="s">
        <v>1128</v>
      </c>
    </row>
    <row r="101">
      <c r="A101" s="48">
        <v>202.0</v>
      </c>
      <c r="B101" s="14" t="s">
        <v>1052</v>
      </c>
      <c r="C101" s="14" t="s">
        <v>1094</v>
      </c>
      <c r="D101" s="14" t="s">
        <v>1194</v>
      </c>
      <c r="E101" s="14" t="s">
        <v>1202</v>
      </c>
      <c r="F101" s="14" t="s">
        <v>1056</v>
      </c>
      <c r="G101" s="14" t="s">
        <v>1177</v>
      </c>
      <c r="H101" s="14" t="s">
        <v>1096</v>
      </c>
      <c r="I101" s="14" t="s">
        <v>1056</v>
      </c>
      <c r="J101" s="64" t="s">
        <v>1096</v>
      </c>
      <c r="K101" s="64" t="s">
        <v>1128</v>
      </c>
    </row>
    <row r="102">
      <c r="A102" s="48">
        <v>206.0</v>
      </c>
      <c r="B102" s="14" t="s">
        <v>1052</v>
      </c>
      <c r="C102" s="14" t="s">
        <v>1094</v>
      </c>
      <c r="D102" s="14" t="s">
        <v>1194</v>
      </c>
      <c r="E102" s="14" t="s">
        <v>1203</v>
      </c>
      <c r="F102" s="14" t="s">
        <v>1056</v>
      </c>
      <c r="G102" s="14" t="s">
        <v>1177</v>
      </c>
      <c r="H102" s="14" t="s">
        <v>1096</v>
      </c>
      <c r="I102" s="14" t="s">
        <v>1056</v>
      </c>
      <c r="J102" s="64" t="s">
        <v>1096</v>
      </c>
      <c r="K102" s="64" t="s">
        <v>1128</v>
      </c>
    </row>
    <row r="103">
      <c r="A103" s="48">
        <v>209.0</v>
      </c>
      <c r="B103" s="14" t="s">
        <v>1052</v>
      </c>
      <c r="C103" s="14" t="s">
        <v>1094</v>
      </c>
      <c r="D103" s="14" t="s">
        <v>1116</v>
      </c>
      <c r="E103" s="14" t="s">
        <v>1199</v>
      </c>
      <c r="F103" s="14" t="s">
        <v>1108</v>
      </c>
      <c r="G103" s="14" t="s">
        <v>1177</v>
      </c>
      <c r="H103" s="14" t="s">
        <v>1096</v>
      </c>
      <c r="I103" s="14" t="s">
        <v>1056</v>
      </c>
      <c r="J103" s="64" t="s">
        <v>1096</v>
      </c>
      <c r="K103" s="64" t="s">
        <v>1128</v>
      </c>
    </row>
    <row r="104">
      <c r="A104" s="48">
        <v>210.0</v>
      </c>
      <c r="B104" s="14" t="s">
        <v>1052</v>
      </c>
      <c r="C104" s="14" t="s">
        <v>1094</v>
      </c>
      <c r="D104" s="14" t="s">
        <v>1116</v>
      </c>
      <c r="E104" s="14" t="s">
        <v>1204</v>
      </c>
      <c r="F104" s="14" t="s">
        <v>1056</v>
      </c>
      <c r="G104" s="14" t="s">
        <v>1177</v>
      </c>
      <c r="H104" s="14" t="s">
        <v>1096</v>
      </c>
      <c r="I104" s="14" t="s">
        <v>1056</v>
      </c>
      <c r="J104" s="64" t="s">
        <v>1096</v>
      </c>
      <c r="K104" s="64" t="s">
        <v>1128</v>
      </c>
    </row>
    <row r="105">
      <c r="A105" s="48">
        <v>211.0</v>
      </c>
      <c r="B105" s="14" t="s">
        <v>1052</v>
      </c>
      <c r="C105" s="14" t="s">
        <v>1094</v>
      </c>
      <c r="D105" s="14" t="s">
        <v>1116</v>
      </c>
      <c r="E105" s="14" t="s">
        <v>1153</v>
      </c>
      <c r="F105" s="14" t="s">
        <v>1108</v>
      </c>
      <c r="G105" s="14" t="s">
        <v>1177</v>
      </c>
      <c r="H105" s="14" t="s">
        <v>1096</v>
      </c>
      <c r="I105" s="14" t="s">
        <v>1056</v>
      </c>
      <c r="J105" s="64" t="s">
        <v>1096</v>
      </c>
      <c r="K105" s="64" t="s">
        <v>1128</v>
      </c>
    </row>
    <row r="106">
      <c r="A106" s="48">
        <v>212.0</v>
      </c>
      <c r="B106" s="14" t="s">
        <v>1052</v>
      </c>
      <c r="C106" s="14" t="s">
        <v>1094</v>
      </c>
      <c r="D106" s="14" t="s">
        <v>1116</v>
      </c>
      <c r="E106" s="14" t="s">
        <v>1205</v>
      </c>
      <c r="F106" s="14" t="s">
        <v>1108</v>
      </c>
      <c r="G106" s="14" t="s">
        <v>1177</v>
      </c>
      <c r="H106" s="14" t="s">
        <v>1096</v>
      </c>
      <c r="I106" s="14" t="s">
        <v>1056</v>
      </c>
      <c r="J106" s="64" t="s">
        <v>1096</v>
      </c>
      <c r="K106" s="64" t="s">
        <v>1128</v>
      </c>
    </row>
    <row r="107">
      <c r="A107" s="48">
        <v>213.0</v>
      </c>
      <c r="B107" s="14" t="s">
        <v>1052</v>
      </c>
      <c r="C107" s="14" t="s">
        <v>1094</v>
      </c>
      <c r="D107" s="14" t="s">
        <v>1116</v>
      </c>
      <c r="E107" s="14" t="s">
        <v>1206</v>
      </c>
      <c r="F107" s="14" t="s">
        <v>1108</v>
      </c>
      <c r="G107" s="14" t="s">
        <v>1177</v>
      </c>
      <c r="H107" s="14" t="s">
        <v>1096</v>
      </c>
      <c r="I107" s="14" t="s">
        <v>1056</v>
      </c>
      <c r="J107" s="64" t="s">
        <v>1096</v>
      </c>
      <c r="K107" s="64" t="s">
        <v>1128</v>
      </c>
    </row>
    <row r="108">
      <c r="A108" s="48">
        <v>214.0</v>
      </c>
      <c r="B108" s="14" t="s">
        <v>1052</v>
      </c>
      <c r="C108" s="14" t="s">
        <v>1094</v>
      </c>
      <c r="D108" s="14" t="s">
        <v>1116</v>
      </c>
      <c r="E108" s="14" t="s">
        <v>1207</v>
      </c>
      <c r="F108" s="14" t="s">
        <v>1056</v>
      </c>
      <c r="G108" s="14" t="s">
        <v>1177</v>
      </c>
      <c r="H108" s="14" t="s">
        <v>1096</v>
      </c>
      <c r="I108" s="14" t="s">
        <v>1056</v>
      </c>
      <c r="J108" s="64" t="s">
        <v>1096</v>
      </c>
      <c r="K108" s="64" t="s">
        <v>1128</v>
      </c>
    </row>
    <row r="109">
      <c r="A109" s="48">
        <v>217.0</v>
      </c>
      <c r="B109" s="14" t="s">
        <v>1052</v>
      </c>
      <c r="C109" s="14" t="s">
        <v>1094</v>
      </c>
      <c r="D109" s="14" t="s">
        <v>1116</v>
      </c>
      <c r="E109" s="14" t="s">
        <v>1141</v>
      </c>
      <c r="F109" s="14" t="s">
        <v>1108</v>
      </c>
      <c r="G109" s="14" t="s">
        <v>1177</v>
      </c>
      <c r="H109" s="14" t="s">
        <v>1096</v>
      </c>
      <c r="I109" s="14" t="s">
        <v>1056</v>
      </c>
      <c r="J109" s="64" t="s">
        <v>1096</v>
      </c>
      <c r="K109" s="64" t="s">
        <v>1128</v>
      </c>
    </row>
    <row r="110">
      <c r="A110" s="48">
        <v>220.0</v>
      </c>
      <c r="B110" s="14" t="s">
        <v>1052</v>
      </c>
      <c r="C110" s="14" t="s">
        <v>1094</v>
      </c>
      <c r="D110" s="14" t="s">
        <v>1116</v>
      </c>
      <c r="E110" s="14" t="s">
        <v>1141</v>
      </c>
      <c r="F110" s="14" t="s">
        <v>1056</v>
      </c>
      <c r="G110" s="14" t="s">
        <v>1177</v>
      </c>
      <c r="H110" s="14" t="s">
        <v>1096</v>
      </c>
      <c r="I110" s="14" t="s">
        <v>1056</v>
      </c>
      <c r="J110" s="64" t="s">
        <v>1096</v>
      </c>
      <c r="K110" s="64" t="s">
        <v>1128</v>
      </c>
    </row>
    <row r="111">
      <c r="A111" s="48">
        <v>221.0</v>
      </c>
      <c r="B111" s="14" t="s">
        <v>1052</v>
      </c>
      <c r="C111" s="14" t="s">
        <v>1094</v>
      </c>
      <c r="D111" s="14" t="s">
        <v>1116</v>
      </c>
      <c r="E111" s="14" t="s">
        <v>1208</v>
      </c>
      <c r="F111" s="14" t="s">
        <v>1108</v>
      </c>
      <c r="G111" s="14" t="s">
        <v>1177</v>
      </c>
      <c r="H111" s="14" t="s">
        <v>1096</v>
      </c>
      <c r="I111" s="14" t="s">
        <v>1056</v>
      </c>
      <c r="J111" s="64" t="s">
        <v>1096</v>
      </c>
      <c r="K111" s="64" t="s">
        <v>1128</v>
      </c>
    </row>
    <row r="112">
      <c r="A112" s="48">
        <v>230.0</v>
      </c>
      <c r="B112" s="14" t="s">
        <v>1209</v>
      </c>
      <c r="C112" s="14" t="s">
        <v>1210</v>
      </c>
      <c r="D112" s="14" t="s">
        <v>1116</v>
      </c>
      <c r="E112" s="14" t="s">
        <v>1140</v>
      </c>
      <c r="F112" s="14" t="s">
        <v>1056</v>
      </c>
      <c r="G112" s="14" t="s">
        <v>1177</v>
      </c>
      <c r="H112" s="14" t="s">
        <v>1096</v>
      </c>
      <c r="I112" s="14" t="s">
        <v>1056</v>
      </c>
      <c r="J112" s="64" t="s">
        <v>1096</v>
      </c>
      <c r="K112" s="64">
        <v>0.0</v>
      </c>
      <c r="L112" s="14" t="s">
        <v>1211</v>
      </c>
    </row>
    <row r="113">
      <c r="A113" s="48">
        <v>234.0</v>
      </c>
      <c r="B113" s="14" t="s">
        <v>1212</v>
      </c>
      <c r="C113" s="14" t="s">
        <v>1210</v>
      </c>
      <c r="D113" s="14" t="s">
        <v>1116</v>
      </c>
      <c r="E113" s="14" t="s">
        <v>1159</v>
      </c>
      <c r="F113" s="14" t="s">
        <v>1056</v>
      </c>
      <c r="G113" s="14" t="s">
        <v>1177</v>
      </c>
      <c r="H113" s="14" t="s">
        <v>1096</v>
      </c>
      <c r="I113" s="14" t="s">
        <v>1056</v>
      </c>
      <c r="J113" s="64" t="s">
        <v>1096</v>
      </c>
      <c r="K113" s="64" t="s">
        <v>1128</v>
      </c>
    </row>
    <row r="114">
      <c r="A114" s="48">
        <v>235.0</v>
      </c>
      <c r="B114" s="14" t="s">
        <v>1080</v>
      </c>
      <c r="C114" s="14" t="s">
        <v>1210</v>
      </c>
      <c r="D114" s="14" t="s">
        <v>1116</v>
      </c>
      <c r="E114" s="14" t="s">
        <v>1141</v>
      </c>
      <c r="F114" s="14" t="s">
        <v>1108</v>
      </c>
      <c r="G114" s="14" t="s">
        <v>1177</v>
      </c>
      <c r="H114" s="14" t="s">
        <v>1096</v>
      </c>
      <c r="I114" s="14" t="s">
        <v>1056</v>
      </c>
      <c r="J114" s="64" t="s">
        <v>1096</v>
      </c>
      <c r="K114" s="64" t="s">
        <v>1128</v>
      </c>
    </row>
    <row r="115">
      <c r="A115" s="48">
        <v>236.0</v>
      </c>
      <c r="B115" s="14" t="s">
        <v>1134</v>
      </c>
      <c r="C115" s="14" t="s">
        <v>1210</v>
      </c>
      <c r="D115" s="14" t="s">
        <v>1116</v>
      </c>
      <c r="E115" s="14" t="s">
        <v>1213</v>
      </c>
      <c r="F115" s="14" t="s">
        <v>1108</v>
      </c>
      <c r="G115" s="14" t="s">
        <v>1177</v>
      </c>
      <c r="H115" s="64" t="s">
        <v>1096</v>
      </c>
      <c r="I115" s="14" t="s">
        <v>1056</v>
      </c>
      <c r="J115" s="64" t="s">
        <v>1096</v>
      </c>
      <c r="K115" s="64">
        <v>999999.0</v>
      </c>
    </row>
    <row r="116">
      <c r="A116" s="48">
        <v>187.0</v>
      </c>
      <c r="B116" s="14" t="s">
        <v>1052</v>
      </c>
      <c r="C116" s="14" t="s">
        <v>1094</v>
      </c>
      <c r="D116" s="14" t="s">
        <v>1187</v>
      </c>
      <c r="E116" s="14" t="s">
        <v>1214</v>
      </c>
      <c r="F116" s="14" t="s">
        <v>1108</v>
      </c>
      <c r="G116" s="71" t="s">
        <v>1215</v>
      </c>
      <c r="J116" s="47"/>
      <c r="K116" s="47"/>
    </row>
    <row r="117">
      <c r="A117" s="48">
        <v>203.0</v>
      </c>
      <c r="B117" s="14" t="s">
        <v>1052</v>
      </c>
      <c r="C117" s="14" t="s">
        <v>1094</v>
      </c>
      <c r="D117" s="14" t="s">
        <v>1194</v>
      </c>
      <c r="E117" s="14" t="s">
        <v>1199</v>
      </c>
      <c r="F117" s="14" t="s">
        <v>1108</v>
      </c>
      <c r="G117" s="48" t="s">
        <v>1216</v>
      </c>
      <c r="H117" s="14" t="s">
        <v>1096</v>
      </c>
      <c r="I117" s="14" t="s">
        <v>1056</v>
      </c>
      <c r="J117" s="64" t="s">
        <v>1096</v>
      </c>
      <c r="K117" s="64" t="s">
        <v>1128</v>
      </c>
    </row>
    <row r="118">
      <c r="A118" s="48">
        <v>204.0</v>
      </c>
      <c r="B118" s="14" t="s">
        <v>1052</v>
      </c>
      <c r="C118" s="14" t="s">
        <v>1094</v>
      </c>
      <c r="D118" s="14" t="s">
        <v>1194</v>
      </c>
      <c r="E118" s="14" t="s">
        <v>1217</v>
      </c>
      <c r="F118" s="14" t="s">
        <v>1108</v>
      </c>
      <c r="G118" s="48" t="s">
        <v>1216</v>
      </c>
      <c r="H118" s="14" t="s">
        <v>1096</v>
      </c>
      <c r="I118" s="14" t="s">
        <v>1056</v>
      </c>
      <c r="J118" s="64" t="s">
        <v>1096</v>
      </c>
      <c r="K118" s="64" t="s">
        <v>1128</v>
      </c>
    </row>
    <row r="119">
      <c r="A119" s="48">
        <v>205.0</v>
      </c>
      <c r="B119" s="14" t="s">
        <v>1052</v>
      </c>
      <c r="C119" s="14" t="s">
        <v>1094</v>
      </c>
      <c r="D119" s="14" t="s">
        <v>1194</v>
      </c>
      <c r="E119" s="14" t="s">
        <v>1218</v>
      </c>
      <c r="F119" s="14" t="s">
        <v>1108</v>
      </c>
      <c r="G119" s="48" t="s">
        <v>1216</v>
      </c>
      <c r="H119" s="14" t="s">
        <v>1096</v>
      </c>
      <c r="I119" s="14" t="s">
        <v>1056</v>
      </c>
      <c r="J119" s="64" t="s">
        <v>1096</v>
      </c>
      <c r="K119" s="64" t="s">
        <v>1128</v>
      </c>
    </row>
    <row r="120">
      <c r="A120" s="48">
        <v>207.0</v>
      </c>
      <c r="B120" s="14" t="s">
        <v>1052</v>
      </c>
      <c r="C120" s="14" t="s">
        <v>1094</v>
      </c>
      <c r="D120" s="14" t="s">
        <v>1194</v>
      </c>
      <c r="E120" s="14" t="s">
        <v>1199</v>
      </c>
      <c r="F120" s="14" t="s">
        <v>1108</v>
      </c>
      <c r="G120" s="48" t="s">
        <v>1216</v>
      </c>
      <c r="H120" s="14" t="s">
        <v>1096</v>
      </c>
      <c r="I120" s="14" t="s">
        <v>1056</v>
      </c>
      <c r="J120" s="64" t="s">
        <v>1096</v>
      </c>
      <c r="K120" s="64" t="s">
        <v>1128</v>
      </c>
    </row>
    <row r="121">
      <c r="A121" s="48">
        <v>241.0</v>
      </c>
      <c r="B121" s="14" t="s">
        <v>1080</v>
      </c>
      <c r="C121" s="64" t="s">
        <v>1178</v>
      </c>
      <c r="D121" s="14" t="s">
        <v>1116</v>
      </c>
      <c r="E121" s="14" t="s">
        <v>1219</v>
      </c>
      <c r="F121" s="14" t="s">
        <v>1056</v>
      </c>
      <c r="G121" s="72" t="s">
        <v>1216</v>
      </c>
      <c r="H121" s="64" t="s">
        <v>1096</v>
      </c>
      <c r="I121" s="14" t="s">
        <v>1056</v>
      </c>
      <c r="J121" s="64" t="s">
        <v>1096</v>
      </c>
      <c r="K121" s="64" t="s">
        <v>1128</v>
      </c>
    </row>
    <row r="122">
      <c r="A122" s="48">
        <v>242.0</v>
      </c>
      <c r="B122" s="14" t="s">
        <v>1116</v>
      </c>
      <c r="C122" s="64" t="s">
        <v>1178</v>
      </c>
      <c r="D122" s="14" t="s">
        <v>1134</v>
      </c>
      <c r="E122" s="14" t="s">
        <v>1220</v>
      </c>
      <c r="F122" s="14" t="s">
        <v>1056</v>
      </c>
      <c r="G122" s="72" t="s">
        <v>1216</v>
      </c>
      <c r="H122" s="64" t="s">
        <v>1096</v>
      </c>
      <c r="I122" s="14" t="s">
        <v>1056</v>
      </c>
      <c r="J122" s="64" t="s">
        <v>1096</v>
      </c>
      <c r="K122" s="64" t="s">
        <v>1128</v>
      </c>
    </row>
    <row r="123">
      <c r="A123" s="48">
        <v>164.0</v>
      </c>
      <c r="B123" s="14" t="s">
        <v>1052</v>
      </c>
      <c r="C123" s="14" t="s">
        <v>1094</v>
      </c>
      <c r="D123" s="14" t="s">
        <v>1052</v>
      </c>
      <c r="E123" s="14" t="s">
        <v>1221</v>
      </c>
      <c r="F123" s="14" t="s">
        <v>1056</v>
      </c>
      <c r="G123" s="14" t="s">
        <v>1177</v>
      </c>
      <c r="H123" s="14" t="s">
        <v>1096</v>
      </c>
      <c r="I123" s="14" t="s">
        <v>1056</v>
      </c>
      <c r="J123" s="64" t="s">
        <v>1096</v>
      </c>
      <c r="K123" s="64" t="s">
        <v>1128</v>
      </c>
    </row>
    <row r="124">
      <c r="A124" s="48">
        <v>193.0</v>
      </c>
      <c r="B124" s="14" t="s">
        <v>1052</v>
      </c>
      <c r="C124" s="14" t="s">
        <v>1094</v>
      </c>
      <c r="D124" s="14" t="s">
        <v>1194</v>
      </c>
      <c r="E124" s="14" t="s">
        <v>1222</v>
      </c>
      <c r="F124" s="14" t="s">
        <v>1108</v>
      </c>
      <c r="G124" s="14" t="s">
        <v>1177</v>
      </c>
      <c r="H124" s="14" t="s">
        <v>1096</v>
      </c>
      <c r="I124" s="14" t="s">
        <v>1056</v>
      </c>
      <c r="J124" s="64" t="s">
        <v>1096</v>
      </c>
      <c r="K124" s="64" t="s">
        <v>1128</v>
      </c>
    </row>
    <row r="125">
      <c r="A125" s="48">
        <v>194.0</v>
      </c>
      <c r="B125" s="14" t="s">
        <v>1052</v>
      </c>
      <c r="C125" s="14" t="s">
        <v>1094</v>
      </c>
      <c r="D125" s="14" t="s">
        <v>1194</v>
      </c>
      <c r="E125" s="14" t="s">
        <v>1223</v>
      </c>
      <c r="F125" s="14" t="s">
        <v>1056</v>
      </c>
      <c r="G125" s="14" t="s">
        <v>1177</v>
      </c>
      <c r="H125" s="14" t="s">
        <v>1096</v>
      </c>
      <c r="I125" s="14" t="s">
        <v>1056</v>
      </c>
      <c r="J125" s="64" t="s">
        <v>1096</v>
      </c>
      <c r="K125" s="64" t="s">
        <v>1128</v>
      </c>
    </row>
    <row r="126">
      <c r="A126" s="48">
        <v>208.0</v>
      </c>
      <c r="B126" s="14" t="s">
        <v>1052</v>
      </c>
      <c r="C126" s="14" t="s">
        <v>1094</v>
      </c>
      <c r="D126" s="14" t="s">
        <v>1194</v>
      </c>
      <c r="E126" s="14" t="s">
        <v>1224</v>
      </c>
      <c r="F126" s="14" t="s">
        <v>1108</v>
      </c>
      <c r="G126" s="14" t="s">
        <v>1177</v>
      </c>
      <c r="H126" s="14" t="s">
        <v>1096</v>
      </c>
      <c r="I126" s="14" t="s">
        <v>1056</v>
      </c>
      <c r="J126" s="64" t="s">
        <v>1096</v>
      </c>
      <c r="K126" s="64" t="s">
        <v>1128</v>
      </c>
    </row>
    <row r="127">
      <c r="A127" s="48">
        <v>215.0</v>
      </c>
      <c r="B127" s="14" t="s">
        <v>1052</v>
      </c>
      <c r="C127" s="14" t="s">
        <v>1094</v>
      </c>
      <c r="D127" s="14" t="s">
        <v>1116</v>
      </c>
      <c r="E127" s="14" t="s">
        <v>1141</v>
      </c>
      <c r="F127" s="14" t="s">
        <v>1108</v>
      </c>
      <c r="G127" s="14" t="s">
        <v>1177</v>
      </c>
      <c r="H127" s="14" t="s">
        <v>1096</v>
      </c>
      <c r="I127" s="14" t="s">
        <v>1056</v>
      </c>
      <c r="J127" s="64" t="s">
        <v>1096</v>
      </c>
      <c r="K127" s="64" t="s">
        <v>1128</v>
      </c>
    </row>
    <row r="128">
      <c r="A128" s="48">
        <v>216.0</v>
      </c>
      <c r="B128" s="14" t="s">
        <v>1052</v>
      </c>
      <c r="C128" s="14" t="s">
        <v>1094</v>
      </c>
      <c r="D128" s="14" t="s">
        <v>1116</v>
      </c>
      <c r="E128" s="14" t="s">
        <v>1141</v>
      </c>
      <c r="F128" s="14" t="s">
        <v>1056</v>
      </c>
      <c r="G128" s="14" t="s">
        <v>1177</v>
      </c>
      <c r="H128" s="14" t="s">
        <v>1096</v>
      </c>
      <c r="I128" s="14" t="s">
        <v>1056</v>
      </c>
      <c r="J128" s="64" t="s">
        <v>1096</v>
      </c>
      <c r="K128" s="64" t="s">
        <v>1128</v>
      </c>
    </row>
    <row r="129">
      <c r="J129" s="47"/>
      <c r="K129" s="47"/>
    </row>
    <row r="130">
      <c r="J130" s="47"/>
      <c r="K130" s="47"/>
    </row>
    <row r="131">
      <c r="J131" s="47"/>
      <c r="K131" s="47"/>
    </row>
    <row r="132">
      <c r="J132" s="47"/>
      <c r="K132" s="47"/>
    </row>
    <row r="133">
      <c r="J133" s="47"/>
      <c r="K133" s="47"/>
    </row>
    <row r="134">
      <c r="J134" s="47"/>
      <c r="K134" s="47"/>
    </row>
    <row r="135">
      <c r="J135" s="47"/>
      <c r="K135" s="47"/>
    </row>
    <row r="136">
      <c r="J136" s="47"/>
      <c r="K136" s="47"/>
    </row>
    <row r="137">
      <c r="J137" s="47"/>
      <c r="K137" s="47"/>
    </row>
    <row r="138">
      <c r="J138" s="47"/>
      <c r="K138" s="47"/>
    </row>
    <row r="139">
      <c r="J139" s="47"/>
      <c r="K139" s="47"/>
    </row>
    <row r="140">
      <c r="J140" s="47"/>
      <c r="K140" s="47"/>
    </row>
    <row r="141">
      <c r="J141" s="47"/>
      <c r="K141" s="47"/>
    </row>
    <row r="142">
      <c r="J142" s="47"/>
      <c r="K142" s="47"/>
    </row>
    <row r="143">
      <c r="J143" s="47"/>
      <c r="K143" s="47"/>
    </row>
    <row r="144">
      <c r="J144" s="47"/>
      <c r="K144" s="47"/>
    </row>
    <row r="145">
      <c r="J145" s="47"/>
      <c r="K145" s="47"/>
    </row>
    <row r="146">
      <c r="J146" s="47"/>
      <c r="K146" s="47"/>
    </row>
    <row r="147">
      <c r="J147" s="47"/>
      <c r="K147" s="47"/>
    </row>
    <row r="148">
      <c r="J148" s="47"/>
      <c r="K148" s="47"/>
    </row>
    <row r="149">
      <c r="J149" s="47"/>
      <c r="K149" s="47"/>
    </row>
    <row r="150">
      <c r="J150" s="47"/>
      <c r="K150" s="47"/>
    </row>
    <row r="151">
      <c r="J151" s="47"/>
      <c r="K151" s="47"/>
    </row>
    <row r="152">
      <c r="J152" s="47"/>
      <c r="K152" s="47"/>
    </row>
    <row r="153">
      <c r="J153" s="47"/>
      <c r="K153" s="47"/>
    </row>
    <row r="154">
      <c r="J154" s="47"/>
      <c r="K154" s="47"/>
    </row>
    <row r="155">
      <c r="J155" s="47"/>
      <c r="K155" s="47"/>
    </row>
    <row r="156">
      <c r="J156" s="47"/>
      <c r="K156" s="47"/>
    </row>
    <row r="157">
      <c r="J157" s="47"/>
      <c r="K157" s="47"/>
    </row>
    <row r="158">
      <c r="J158" s="47"/>
      <c r="K158" s="47"/>
    </row>
    <row r="159">
      <c r="J159" s="47"/>
      <c r="K159" s="47"/>
    </row>
    <row r="160">
      <c r="J160" s="47"/>
      <c r="K160" s="47"/>
    </row>
    <row r="161">
      <c r="J161" s="47"/>
      <c r="K161" s="47"/>
    </row>
    <row r="162">
      <c r="J162" s="47"/>
      <c r="K162" s="47"/>
    </row>
    <row r="163">
      <c r="J163" s="47"/>
      <c r="K163" s="47"/>
    </row>
    <row r="164">
      <c r="J164" s="47"/>
      <c r="K164" s="47"/>
    </row>
    <row r="165">
      <c r="J165" s="47"/>
      <c r="K165" s="47"/>
    </row>
    <row r="166">
      <c r="J166" s="47"/>
      <c r="K166" s="47"/>
    </row>
    <row r="167">
      <c r="J167" s="47"/>
      <c r="K167" s="47"/>
    </row>
    <row r="168">
      <c r="J168" s="47"/>
      <c r="K168" s="47"/>
    </row>
    <row r="169">
      <c r="J169" s="47"/>
      <c r="K169" s="47"/>
    </row>
    <row r="170">
      <c r="J170" s="47"/>
      <c r="K170" s="47"/>
    </row>
    <row r="171">
      <c r="J171" s="47"/>
      <c r="K171" s="47"/>
    </row>
    <row r="172">
      <c r="J172" s="47"/>
      <c r="K172" s="47"/>
    </row>
    <row r="173">
      <c r="J173" s="47"/>
      <c r="K173" s="47"/>
    </row>
    <row r="174">
      <c r="J174" s="47"/>
      <c r="K174" s="47"/>
    </row>
    <row r="175">
      <c r="J175" s="47"/>
      <c r="K175" s="47"/>
    </row>
    <row r="176">
      <c r="J176" s="47"/>
      <c r="K176" s="47"/>
    </row>
    <row r="177">
      <c r="J177" s="47"/>
      <c r="K177" s="47"/>
    </row>
    <row r="178">
      <c r="J178" s="47"/>
      <c r="K178" s="47"/>
    </row>
    <row r="179">
      <c r="J179" s="47"/>
      <c r="K179" s="47"/>
    </row>
    <row r="180">
      <c r="J180" s="47"/>
      <c r="K180" s="47"/>
    </row>
    <row r="181">
      <c r="J181" s="47"/>
      <c r="K181" s="47"/>
    </row>
    <row r="182">
      <c r="J182" s="47"/>
      <c r="K182" s="47"/>
    </row>
    <row r="183">
      <c r="J183" s="47"/>
      <c r="K183" s="47"/>
    </row>
    <row r="184">
      <c r="J184" s="47"/>
      <c r="K184" s="47"/>
    </row>
    <row r="185">
      <c r="J185" s="47"/>
      <c r="K185" s="47"/>
    </row>
    <row r="186">
      <c r="J186" s="47"/>
      <c r="K186" s="47"/>
    </row>
    <row r="187">
      <c r="J187" s="47"/>
      <c r="K187" s="47"/>
    </row>
    <row r="188">
      <c r="J188" s="47"/>
      <c r="K188" s="47"/>
    </row>
    <row r="189">
      <c r="J189" s="47"/>
      <c r="K189" s="47"/>
    </row>
    <row r="190">
      <c r="J190" s="47"/>
      <c r="K190" s="47"/>
    </row>
    <row r="191">
      <c r="J191" s="47"/>
      <c r="K191" s="47"/>
    </row>
    <row r="192">
      <c r="J192" s="47"/>
      <c r="K192" s="47"/>
    </row>
    <row r="193">
      <c r="J193" s="47"/>
      <c r="K193" s="47"/>
    </row>
    <row r="194">
      <c r="J194" s="47"/>
      <c r="K194" s="47"/>
    </row>
    <row r="195">
      <c r="J195" s="47"/>
      <c r="K195" s="47"/>
    </row>
    <row r="196">
      <c r="J196" s="47"/>
      <c r="K196" s="47"/>
    </row>
    <row r="197">
      <c r="J197" s="47"/>
      <c r="K197" s="47"/>
    </row>
    <row r="198">
      <c r="J198" s="47"/>
      <c r="K198" s="47"/>
    </row>
    <row r="199">
      <c r="J199" s="47"/>
      <c r="K199" s="47"/>
    </row>
    <row r="200">
      <c r="J200" s="47"/>
      <c r="K200" s="47"/>
    </row>
    <row r="201">
      <c r="J201" s="47"/>
      <c r="K201" s="47"/>
    </row>
    <row r="202">
      <c r="J202" s="47"/>
      <c r="K202" s="47"/>
    </row>
    <row r="203">
      <c r="J203" s="47"/>
      <c r="K203" s="47"/>
    </row>
    <row r="204">
      <c r="J204" s="47"/>
      <c r="K204" s="47"/>
    </row>
    <row r="205">
      <c r="J205" s="47"/>
      <c r="K205" s="47"/>
    </row>
    <row r="206">
      <c r="J206" s="47"/>
      <c r="K206" s="47"/>
    </row>
    <row r="207">
      <c r="J207" s="47"/>
      <c r="K207" s="47"/>
    </row>
    <row r="208">
      <c r="J208" s="47"/>
      <c r="K208" s="47"/>
    </row>
    <row r="209">
      <c r="J209" s="47"/>
      <c r="K209" s="47"/>
    </row>
    <row r="210">
      <c r="J210" s="47"/>
      <c r="K210" s="47"/>
    </row>
    <row r="211">
      <c r="J211" s="47"/>
      <c r="K211" s="47"/>
    </row>
    <row r="212">
      <c r="J212" s="47"/>
      <c r="K212" s="47"/>
    </row>
    <row r="213">
      <c r="J213" s="47"/>
      <c r="K213" s="47"/>
    </row>
    <row r="214">
      <c r="J214" s="47"/>
      <c r="K214" s="47"/>
    </row>
    <row r="215">
      <c r="J215" s="47"/>
      <c r="K215" s="47"/>
    </row>
    <row r="216">
      <c r="J216" s="47"/>
      <c r="K216" s="47"/>
    </row>
    <row r="217">
      <c r="J217" s="47"/>
      <c r="K217" s="47"/>
    </row>
    <row r="218">
      <c r="J218" s="47"/>
      <c r="K218" s="47"/>
    </row>
    <row r="219">
      <c r="J219" s="47"/>
      <c r="K219" s="47"/>
    </row>
    <row r="220">
      <c r="J220" s="47"/>
      <c r="K220" s="47"/>
    </row>
    <row r="221">
      <c r="J221" s="47"/>
      <c r="K221" s="47"/>
    </row>
    <row r="222">
      <c r="J222" s="47"/>
      <c r="K222" s="47"/>
    </row>
    <row r="223">
      <c r="J223" s="47"/>
      <c r="K223" s="47"/>
    </row>
    <row r="224">
      <c r="J224" s="47"/>
      <c r="K224" s="47"/>
    </row>
    <row r="225">
      <c r="J225" s="47"/>
      <c r="K225" s="47"/>
    </row>
    <row r="226">
      <c r="J226" s="47"/>
      <c r="K226" s="47"/>
    </row>
    <row r="227">
      <c r="J227" s="47"/>
      <c r="K227" s="47"/>
    </row>
    <row r="228">
      <c r="J228" s="47"/>
      <c r="K228" s="47"/>
    </row>
    <row r="229">
      <c r="J229" s="47"/>
      <c r="K229" s="47"/>
    </row>
    <row r="230">
      <c r="J230" s="47"/>
      <c r="K230" s="47"/>
    </row>
    <row r="231">
      <c r="J231" s="47"/>
      <c r="K231" s="47"/>
    </row>
    <row r="232">
      <c r="J232" s="47"/>
      <c r="K232" s="47"/>
    </row>
    <row r="233">
      <c r="J233" s="47"/>
      <c r="K233" s="47"/>
    </row>
    <row r="234">
      <c r="J234" s="47"/>
      <c r="K234" s="47"/>
    </row>
    <row r="235">
      <c r="J235" s="47"/>
      <c r="K235" s="47"/>
    </row>
    <row r="236">
      <c r="J236" s="47"/>
      <c r="K236" s="47"/>
    </row>
    <row r="237">
      <c r="J237" s="47"/>
      <c r="K237" s="47"/>
    </row>
    <row r="238">
      <c r="J238" s="47"/>
      <c r="K238" s="47"/>
    </row>
    <row r="239">
      <c r="J239" s="47"/>
      <c r="K239" s="47"/>
    </row>
    <row r="240">
      <c r="J240" s="47"/>
      <c r="K240" s="47"/>
    </row>
    <row r="241">
      <c r="J241" s="47"/>
      <c r="K241" s="47"/>
    </row>
    <row r="242">
      <c r="J242" s="47"/>
      <c r="K242" s="47"/>
    </row>
    <row r="243">
      <c r="J243" s="47"/>
      <c r="K243" s="47"/>
    </row>
    <row r="244">
      <c r="J244" s="47"/>
      <c r="K244" s="47"/>
    </row>
    <row r="245">
      <c r="J245" s="47"/>
      <c r="K245" s="47"/>
    </row>
    <row r="246">
      <c r="J246" s="47"/>
      <c r="K246" s="47"/>
    </row>
    <row r="247">
      <c r="J247" s="47"/>
      <c r="K247" s="47"/>
    </row>
    <row r="248">
      <c r="J248" s="47"/>
      <c r="K248" s="47"/>
    </row>
    <row r="249">
      <c r="J249" s="47"/>
      <c r="K249" s="47"/>
    </row>
    <row r="250">
      <c r="J250" s="47"/>
      <c r="K250" s="47"/>
    </row>
    <row r="251">
      <c r="J251" s="47"/>
      <c r="K251" s="47"/>
    </row>
    <row r="252">
      <c r="J252" s="47"/>
      <c r="K252" s="47"/>
    </row>
    <row r="253">
      <c r="J253" s="47"/>
      <c r="K253" s="47"/>
    </row>
    <row r="254">
      <c r="J254" s="47"/>
      <c r="K254" s="47"/>
    </row>
    <row r="255">
      <c r="J255" s="47"/>
      <c r="K255" s="47"/>
    </row>
    <row r="256">
      <c r="J256" s="47"/>
      <c r="K256" s="47"/>
    </row>
    <row r="257">
      <c r="J257" s="47"/>
      <c r="K257" s="47"/>
    </row>
    <row r="258">
      <c r="J258" s="47"/>
      <c r="K258" s="47"/>
    </row>
    <row r="259">
      <c r="J259" s="47"/>
      <c r="K259" s="47"/>
    </row>
    <row r="260">
      <c r="J260" s="47"/>
      <c r="K260" s="47"/>
    </row>
    <row r="261">
      <c r="J261" s="47"/>
      <c r="K261" s="47"/>
    </row>
    <row r="262">
      <c r="J262" s="47"/>
      <c r="K262" s="47"/>
    </row>
    <row r="263">
      <c r="J263" s="47"/>
      <c r="K263" s="47"/>
    </row>
    <row r="264">
      <c r="J264" s="47"/>
      <c r="K264" s="47"/>
    </row>
    <row r="265">
      <c r="J265" s="47"/>
      <c r="K265" s="47"/>
    </row>
    <row r="266">
      <c r="J266" s="47"/>
      <c r="K266" s="47"/>
    </row>
    <row r="267">
      <c r="J267" s="47"/>
      <c r="K267" s="47"/>
    </row>
    <row r="268">
      <c r="J268" s="47"/>
      <c r="K268" s="47"/>
    </row>
    <row r="269">
      <c r="J269" s="47"/>
      <c r="K269" s="47"/>
    </row>
    <row r="270">
      <c r="J270" s="47"/>
      <c r="K270" s="47"/>
    </row>
    <row r="271">
      <c r="J271" s="47"/>
      <c r="K271" s="47"/>
    </row>
    <row r="272">
      <c r="J272" s="47"/>
      <c r="K272" s="47"/>
    </row>
    <row r="273">
      <c r="J273" s="47"/>
      <c r="K273" s="47"/>
    </row>
    <row r="274">
      <c r="J274" s="47"/>
      <c r="K274" s="47"/>
    </row>
    <row r="275">
      <c r="J275" s="47"/>
      <c r="K275" s="47"/>
    </row>
    <row r="276">
      <c r="J276" s="47"/>
      <c r="K276" s="47"/>
    </row>
    <row r="277">
      <c r="J277" s="47"/>
      <c r="K277" s="47"/>
    </row>
    <row r="278">
      <c r="J278" s="47"/>
      <c r="K278" s="47"/>
    </row>
    <row r="279">
      <c r="J279" s="47"/>
      <c r="K279" s="47"/>
    </row>
    <row r="280">
      <c r="J280" s="47"/>
      <c r="K280" s="47"/>
    </row>
    <row r="281">
      <c r="J281" s="47"/>
      <c r="K281" s="47"/>
    </row>
    <row r="282">
      <c r="J282" s="47"/>
      <c r="K282" s="47"/>
    </row>
    <row r="283">
      <c r="J283" s="47"/>
      <c r="K283" s="47"/>
    </row>
    <row r="284">
      <c r="J284" s="47"/>
      <c r="K284" s="47"/>
    </row>
    <row r="285">
      <c r="J285" s="47"/>
      <c r="K285" s="47"/>
    </row>
    <row r="286">
      <c r="J286" s="47"/>
      <c r="K286" s="47"/>
    </row>
    <row r="287">
      <c r="J287" s="47"/>
      <c r="K287" s="47"/>
    </row>
    <row r="288">
      <c r="J288" s="47"/>
      <c r="K288" s="47"/>
    </row>
    <row r="289">
      <c r="J289" s="47"/>
      <c r="K289" s="47"/>
    </row>
    <row r="290">
      <c r="J290" s="47"/>
      <c r="K290" s="47"/>
    </row>
    <row r="291">
      <c r="J291" s="47"/>
      <c r="K291" s="47"/>
    </row>
    <row r="292">
      <c r="J292" s="47"/>
      <c r="K292" s="47"/>
    </row>
    <row r="293">
      <c r="J293" s="47"/>
      <c r="K293" s="47"/>
    </row>
    <row r="294">
      <c r="J294" s="47"/>
      <c r="K294" s="47"/>
    </row>
    <row r="295">
      <c r="J295" s="47"/>
      <c r="K295" s="47"/>
    </row>
    <row r="296">
      <c r="J296" s="47"/>
      <c r="K296" s="47"/>
    </row>
    <row r="297">
      <c r="J297" s="47"/>
      <c r="K297" s="47"/>
    </row>
    <row r="298">
      <c r="J298" s="47"/>
      <c r="K298" s="47"/>
    </row>
    <row r="299">
      <c r="J299" s="47"/>
      <c r="K299" s="47"/>
    </row>
    <row r="300">
      <c r="J300" s="47"/>
      <c r="K300" s="47"/>
    </row>
    <row r="301">
      <c r="J301" s="47"/>
      <c r="K301" s="47"/>
    </row>
    <row r="302">
      <c r="J302" s="47"/>
      <c r="K302" s="47"/>
    </row>
    <row r="303">
      <c r="J303" s="47"/>
      <c r="K303" s="47"/>
    </row>
    <row r="304">
      <c r="J304" s="47"/>
      <c r="K304" s="47"/>
    </row>
    <row r="305">
      <c r="J305" s="47"/>
      <c r="K305" s="47"/>
    </row>
    <row r="306">
      <c r="J306" s="47"/>
      <c r="K306" s="47"/>
    </row>
    <row r="307">
      <c r="J307" s="47"/>
      <c r="K307" s="47"/>
    </row>
    <row r="308">
      <c r="J308" s="47"/>
      <c r="K308" s="47"/>
    </row>
    <row r="309">
      <c r="J309" s="47"/>
      <c r="K309" s="47"/>
    </row>
    <row r="310">
      <c r="J310" s="47"/>
      <c r="K310" s="47"/>
    </row>
    <row r="311">
      <c r="J311" s="47"/>
      <c r="K311" s="47"/>
    </row>
    <row r="312">
      <c r="J312" s="47"/>
      <c r="K312" s="47"/>
    </row>
    <row r="313">
      <c r="J313" s="47"/>
      <c r="K313" s="47"/>
    </row>
    <row r="314">
      <c r="J314" s="47"/>
      <c r="K314" s="47"/>
    </row>
    <row r="315">
      <c r="J315" s="47"/>
      <c r="K315" s="47"/>
    </row>
    <row r="316">
      <c r="J316" s="47"/>
      <c r="K316" s="47"/>
    </row>
    <row r="317">
      <c r="J317" s="47"/>
      <c r="K317" s="47"/>
    </row>
    <row r="318">
      <c r="J318" s="47"/>
      <c r="K318" s="47"/>
    </row>
    <row r="319">
      <c r="J319" s="47"/>
      <c r="K319" s="47"/>
    </row>
    <row r="320">
      <c r="J320" s="47"/>
      <c r="K320" s="47"/>
    </row>
    <row r="321">
      <c r="J321" s="47"/>
      <c r="K321" s="47"/>
    </row>
    <row r="322">
      <c r="J322" s="47"/>
      <c r="K322" s="47"/>
    </row>
    <row r="323">
      <c r="J323" s="47"/>
      <c r="K323" s="47"/>
    </row>
    <row r="324">
      <c r="J324" s="47"/>
      <c r="K324" s="47"/>
    </row>
    <row r="325">
      <c r="J325" s="47"/>
      <c r="K325" s="47"/>
    </row>
    <row r="326">
      <c r="J326" s="47"/>
      <c r="K326" s="47"/>
    </row>
    <row r="327">
      <c r="J327" s="47"/>
      <c r="K327" s="47"/>
    </row>
    <row r="328">
      <c r="J328" s="47"/>
      <c r="K328" s="47"/>
    </row>
    <row r="329">
      <c r="J329" s="47"/>
      <c r="K329" s="47"/>
    </row>
    <row r="330">
      <c r="J330" s="47"/>
      <c r="K330" s="47"/>
    </row>
    <row r="331">
      <c r="J331" s="47"/>
      <c r="K331" s="47"/>
    </row>
    <row r="332">
      <c r="J332" s="47"/>
      <c r="K332" s="47"/>
    </row>
    <row r="333">
      <c r="J333" s="47"/>
      <c r="K333" s="47"/>
    </row>
    <row r="334">
      <c r="J334" s="47"/>
      <c r="K334" s="47"/>
    </row>
    <row r="335">
      <c r="J335" s="47"/>
      <c r="K335" s="47"/>
    </row>
    <row r="336">
      <c r="J336" s="47"/>
      <c r="K336" s="47"/>
    </row>
    <row r="337">
      <c r="J337" s="47"/>
      <c r="K337" s="47"/>
    </row>
    <row r="338">
      <c r="J338" s="47"/>
      <c r="K338" s="47"/>
    </row>
    <row r="339">
      <c r="J339" s="47"/>
      <c r="K339" s="47"/>
    </row>
    <row r="340">
      <c r="J340" s="47"/>
      <c r="K340" s="47"/>
    </row>
    <row r="341">
      <c r="J341" s="47"/>
      <c r="K341" s="47"/>
    </row>
    <row r="342">
      <c r="J342" s="47"/>
      <c r="K342" s="47"/>
    </row>
    <row r="343">
      <c r="J343" s="47"/>
      <c r="K343" s="47"/>
    </row>
    <row r="344">
      <c r="J344" s="47"/>
      <c r="K344" s="47"/>
    </row>
    <row r="345">
      <c r="J345" s="47"/>
      <c r="K345" s="47"/>
    </row>
    <row r="346">
      <c r="J346" s="47"/>
      <c r="K346" s="47"/>
    </row>
    <row r="347">
      <c r="J347" s="47"/>
      <c r="K347" s="47"/>
    </row>
    <row r="348">
      <c r="J348" s="47"/>
      <c r="K348" s="47"/>
    </row>
    <row r="349">
      <c r="J349" s="47"/>
      <c r="K349" s="47"/>
    </row>
    <row r="350">
      <c r="J350" s="47"/>
      <c r="K350" s="47"/>
    </row>
    <row r="351">
      <c r="J351" s="47"/>
      <c r="K351" s="47"/>
    </row>
    <row r="352">
      <c r="J352" s="47"/>
      <c r="K352" s="47"/>
    </row>
    <row r="353">
      <c r="J353" s="47"/>
      <c r="K353" s="47"/>
    </row>
    <row r="354">
      <c r="J354" s="47"/>
      <c r="K354" s="47"/>
    </row>
    <row r="355">
      <c r="J355" s="47"/>
      <c r="K355" s="47"/>
    </row>
    <row r="356">
      <c r="J356" s="47"/>
      <c r="K356" s="47"/>
    </row>
    <row r="357">
      <c r="J357" s="47"/>
      <c r="K357" s="47"/>
    </row>
    <row r="358">
      <c r="J358" s="47"/>
      <c r="K358" s="47"/>
    </row>
    <row r="359">
      <c r="J359" s="47"/>
      <c r="K359" s="47"/>
    </row>
    <row r="360">
      <c r="J360" s="47"/>
      <c r="K360" s="47"/>
    </row>
    <row r="361">
      <c r="J361" s="47"/>
      <c r="K361" s="47"/>
    </row>
    <row r="362">
      <c r="J362" s="47"/>
      <c r="K362" s="47"/>
    </row>
    <row r="363">
      <c r="J363" s="47"/>
      <c r="K363" s="47"/>
    </row>
    <row r="364">
      <c r="J364" s="47"/>
      <c r="K364" s="47"/>
    </row>
    <row r="365">
      <c r="J365" s="47"/>
      <c r="K365" s="47"/>
    </row>
    <row r="366">
      <c r="J366" s="47"/>
      <c r="K366" s="47"/>
    </row>
    <row r="367">
      <c r="J367" s="47"/>
      <c r="K367" s="47"/>
    </row>
    <row r="368">
      <c r="J368" s="47"/>
      <c r="K368" s="47"/>
    </row>
    <row r="369">
      <c r="J369" s="47"/>
      <c r="K369" s="47"/>
    </row>
    <row r="370">
      <c r="J370" s="47"/>
      <c r="K370" s="47"/>
    </row>
    <row r="371">
      <c r="J371" s="47"/>
      <c r="K371" s="47"/>
    </row>
    <row r="372">
      <c r="J372" s="47"/>
      <c r="K372" s="47"/>
    </row>
    <row r="373">
      <c r="J373" s="47"/>
      <c r="K373" s="47"/>
    </row>
    <row r="374">
      <c r="J374" s="47"/>
      <c r="K374" s="47"/>
    </row>
    <row r="375">
      <c r="J375" s="47"/>
      <c r="K375" s="47"/>
    </row>
    <row r="376">
      <c r="J376" s="47"/>
      <c r="K376" s="47"/>
    </row>
    <row r="377">
      <c r="J377" s="47"/>
      <c r="K377" s="47"/>
    </row>
    <row r="378">
      <c r="J378" s="47"/>
      <c r="K378" s="47"/>
    </row>
    <row r="379">
      <c r="J379" s="47"/>
      <c r="K379" s="47"/>
    </row>
    <row r="380">
      <c r="J380" s="47"/>
      <c r="K380" s="47"/>
    </row>
    <row r="381">
      <c r="J381" s="47"/>
      <c r="K381" s="47"/>
    </row>
    <row r="382">
      <c r="J382" s="47"/>
      <c r="K382" s="47"/>
    </row>
    <row r="383">
      <c r="J383" s="47"/>
      <c r="K383" s="47"/>
    </row>
    <row r="384">
      <c r="J384" s="47"/>
      <c r="K384" s="47"/>
    </row>
    <row r="385">
      <c r="J385" s="47"/>
      <c r="K385" s="47"/>
    </row>
    <row r="386">
      <c r="J386" s="47"/>
      <c r="K386" s="47"/>
    </row>
    <row r="387">
      <c r="J387" s="47"/>
      <c r="K387" s="47"/>
    </row>
    <row r="388">
      <c r="J388" s="47"/>
      <c r="K388" s="47"/>
    </row>
    <row r="389">
      <c r="J389" s="47"/>
      <c r="K389" s="47"/>
    </row>
    <row r="390">
      <c r="J390" s="47"/>
      <c r="K390" s="47"/>
    </row>
    <row r="391">
      <c r="J391" s="47"/>
      <c r="K391" s="47"/>
    </row>
    <row r="392">
      <c r="J392" s="47"/>
      <c r="K392" s="47"/>
    </row>
    <row r="393">
      <c r="J393" s="47"/>
      <c r="K393" s="47"/>
    </row>
    <row r="394">
      <c r="J394" s="47"/>
      <c r="K394" s="47"/>
    </row>
    <row r="395">
      <c r="J395" s="47"/>
      <c r="K395" s="47"/>
    </row>
    <row r="396">
      <c r="J396" s="47"/>
      <c r="K396" s="47"/>
    </row>
    <row r="397">
      <c r="J397" s="47"/>
      <c r="K397" s="47"/>
    </row>
    <row r="398">
      <c r="J398" s="47"/>
      <c r="K398" s="47"/>
    </row>
    <row r="399">
      <c r="J399" s="47"/>
      <c r="K399" s="47"/>
    </row>
    <row r="400">
      <c r="J400" s="47"/>
      <c r="K400" s="47"/>
    </row>
    <row r="401">
      <c r="J401" s="47"/>
      <c r="K401" s="47"/>
    </row>
    <row r="402">
      <c r="J402" s="47"/>
      <c r="K402" s="47"/>
    </row>
    <row r="403">
      <c r="J403" s="47"/>
      <c r="K403" s="47"/>
    </row>
    <row r="404">
      <c r="J404" s="47"/>
      <c r="K404" s="47"/>
    </row>
    <row r="405">
      <c r="J405" s="47"/>
      <c r="K405" s="47"/>
    </row>
    <row r="406">
      <c r="J406" s="47"/>
      <c r="K406" s="47"/>
    </row>
    <row r="407">
      <c r="J407" s="47"/>
      <c r="K407" s="47"/>
    </row>
    <row r="408">
      <c r="J408" s="47"/>
      <c r="K408" s="47"/>
    </row>
    <row r="409">
      <c r="J409" s="47"/>
      <c r="K409" s="47"/>
    </row>
    <row r="410">
      <c r="J410" s="47"/>
      <c r="K410" s="47"/>
    </row>
    <row r="411">
      <c r="J411" s="47"/>
      <c r="K411" s="47"/>
    </row>
    <row r="412">
      <c r="J412" s="47"/>
      <c r="K412" s="47"/>
    </row>
    <row r="413">
      <c r="J413" s="47"/>
      <c r="K413" s="47"/>
    </row>
    <row r="414">
      <c r="J414" s="47"/>
      <c r="K414" s="47"/>
    </row>
    <row r="415">
      <c r="J415" s="47"/>
      <c r="K415" s="47"/>
    </row>
    <row r="416">
      <c r="J416" s="47"/>
      <c r="K416" s="47"/>
    </row>
    <row r="417">
      <c r="J417" s="47"/>
      <c r="K417" s="47"/>
    </row>
    <row r="418">
      <c r="J418" s="47"/>
      <c r="K418" s="47"/>
    </row>
    <row r="419">
      <c r="J419" s="47"/>
      <c r="K419" s="47"/>
    </row>
    <row r="420">
      <c r="J420" s="47"/>
      <c r="K420" s="47"/>
    </row>
    <row r="421">
      <c r="J421" s="47"/>
      <c r="K421" s="47"/>
    </row>
    <row r="422">
      <c r="J422" s="47"/>
      <c r="K422" s="47"/>
    </row>
    <row r="423">
      <c r="J423" s="47"/>
      <c r="K423" s="47"/>
    </row>
    <row r="424">
      <c r="J424" s="47"/>
      <c r="K424" s="47"/>
    </row>
    <row r="425">
      <c r="J425" s="47"/>
      <c r="K425" s="47"/>
    </row>
    <row r="426">
      <c r="J426" s="47"/>
      <c r="K426" s="47"/>
    </row>
    <row r="427">
      <c r="J427" s="47"/>
      <c r="K427" s="47"/>
    </row>
    <row r="428">
      <c r="J428" s="47"/>
      <c r="K428" s="47"/>
    </row>
    <row r="429">
      <c r="J429" s="47"/>
      <c r="K429" s="47"/>
    </row>
    <row r="430">
      <c r="J430" s="47"/>
      <c r="K430" s="47"/>
    </row>
    <row r="431">
      <c r="J431" s="47"/>
      <c r="K431" s="47"/>
    </row>
    <row r="432">
      <c r="J432" s="47"/>
      <c r="K432" s="47"/>
    </row>
    <row r="433">
      <c r="J433" s="47"/>
      <c r="K433" s="47"/>
    </row>
    <row r="434">
      <c r="J434" s="47"/>
      <c r="K434" s="47"/>
    </row>
    <row r="435">
      <c r="J435" s="47"/>
      <c r="K435" s="47"/>
    </row>
    <row r="436">
      <c r="J436" s="47"/>
      <c r="K436" s="47"/>
    </row>
    <row r="437">
      <c r="J437" s="47"/>
      <c r="K437" s="47"/>
    </row>
    <row r="438">
      <c r="J438" s="47"/>
      <c r="K438" s="47"/>
    </row>
    <row r="439">
      <c r="J439" s="47"/>
      <c r="K439" s="47"/>
    </row>
    <row r="440">
      <c r="J440" s="47"/>
      <c r="K440" s="47"/>
    </row>
    <row r="441">
      <c r="J441" s="47"/>
      <c r="K441" s="47"/>
    </row>
    <row r="442">
      <c r="J442" s="47"/>
      <c r="K442" s="47"/>
    </row>
    <row r="443">
      <c r="J443" s="47"/>
      <c r="K443" s="47"/>
    </row>
    <row r="444">
      <c r="J444" s="47"/>
      <c r="K444" s="47"/>
    </row>
    <row r="445">
      <c r="J445" s="47"/>
      <c r="K445" s="47"/>
    </row>
    <row r="446">
      <c r="J446" s="47"/>
      <c r="K446" s="47"/>
    </row>
    <row r="447">
      <c r="J447" s="47"/>
      <c r="K447" s="47"/>
    </row>
    <row r="448">
      <c r="J448" s="47"/>
      <c r="K448" s="47"/>
    </row>
    <row r="449">
      <c r="J449" s="47"/>
      <c r="K449" s="47"/>
    </row>
    <row r="450">
      <c r="J450" s="47"/>
      <c r="K450" s="47"/>
    </row>
    <row r="451">
      <c r="J451" s="47"/>
      <c r="K451" s="47"/>
    </row>
    <row r="452">
      <c r="J452" s="47"/>
      <c r="K452" s="47"/>
    </row>
    <row r="453">
      <c r="J453" s="47"/>
      <c r="K453" s="47"/>
    </row>
    <row r="454">
      <c r="J454" s="47"/>
      <c r="K454" s="47"/>
    </row>
    <row r="455">
      <c r="J455" s="47"/>
      <c r="K455" s="47"/>
    </row>
    <row r="456">
      <c r="J456" s="47"/>
      <c r="K456" s="47"/>
    </row>
    <row r="457">
      <c r="J457" s="47"/>
      <c r="K457" s="47"/>
    </row>
    <row r="458">
      <c r="J458" s="47"/>
      <c r="K458" s="47"/>
    </row>
    <row r="459">
      <c r="J459" s="47"/>
      <c r="K459" s="47"/>
    </row>
    <row r="460">
      <c r="J460" s="47"/>
      <c r="K460" s="47"/>
    </row>
    <row r="461">
      <c r="J461" s="47"/>
      <c r="K461" s="47"/>
    </row>
    <row r="462">
      <c r="J462" s="47"/>
      <c r="K462" s="47"/>
    </row>
    <row r="463">
      <c r="J463" s="47"/>
      <c r="K463" s="47"/>
    </row>
    <row r="464">
      <c r="J464" s="47"/>
      <c r="K464" s="47"/>
    </row>
    <row r="465">
      <c r="J465" s="47"/>
      <c r="K465" s="47"/>
    </row>
    <row r="466">
      <c r="J466" s="47"/>
      <c r="K466" s="47"/>
    </row>
    <row r="467">
      <c r="J467" s="47"/>
      <c r="K467" s="47"/>
    </row>
    <row r="468">
      <c r="J468" s="47"/>
      <c r="K468" s="47"/>
    </row>
    <row r="469">
      <c r="J469" s="47"/>
      <c r="K469" s="47"/>
    </row>
    <row r="470">
      <c r="J470" s="47"/>
      <c r="K470" s="47"/>
    </row>
    <row r="471">
      <c r="J471" s="47"/>
      <c r="K471" s="47"/>
    </row>
    <row r="472">
      <c r="J472" s="47"/>
      <c r="K472" s="47"/>
    </row>
    <row r="473">
      <c r="J473" s="47"/>
      <c r="K473" s="47"/>
    </row>
    <row r="474">
      <c r="J474" s="47"/>
      <c r="K474" s="47"/>
    </row>
    <row r="475">
      <c r="J475" s="47"/>
      <c r="K475" s="47"/>
    </row>
    <row r="476">
      <c r="J476" s="47"/>
      <c r="K476" s="47"/>
    </row>
    <row r="477">
      <c r="J477" s="47"/>
      <c r="K477" s="47"/>
    </row>
    <row r="478">
      <c r="J478" s="47"/>
      <c r="K478" s="47"/>
    </row>
    <row r="479">
      <c r="J479" s="47"/>
      <c r="K479" s="47"/>
    </row>
    <row r="480">
      <c r="J480" s="47"/>
      <c r="K480" s="47"/>
    </row>
    <row r="481">
      <c r="J481" s="47"/>
      <c r="K481" s="47"/>
    </row>
    <row r="482">
      <c r="J482" s="47"/>
      <c r="K482" s="47"/>
    </row>
    <row r="483">
      <c r="J483" s="47"/>
      <c r="K483" s="47"/>
    </row>
    <row r="484">
      <c r="J484" s="47"/>
      <c r="K484" s="47"/>
    </row>
    <row r="485">
      <c r="J485" s="47"/>
      <c r="K485" s="47"/>
    </row>
    <row r="486">
      <c r="J486" s="47"/>
      <c r="K486" s="47"/>
    </row>
    <row r="487">
      <c r="J487" s="47"/>
      <c r="K487" s="47"/>
    </row>
    <row r="488">
      <c r="J488" s="47"/>
      <c r="K488" s="47"/>
    </row>
    <row r="489">
      <c r="J489" s="47"/>
      <c r="K489" s="47"/>
    </row>
    <row r="490">
      <c r="J490" s="47"/>
      <c r="K490" s="47"/>
    </row>
    <row r="491">
      <c r="J491" s="47"/>
      <c r="K491" s="47"/>
    </row>
    <row r="492">
      <c r="J492" s="47"/>
      <c r="K492" s="47"/>
    </row>
    <row r="493">
      <c r="J493" s="47"/>
      <c r="K493" s="47"/>
    </row>
    <row r="494">
      <c r="J494" s="47"/>
      <c r="K494" s="47"/>
    </row>
    <row r="495">
      <c r="J495" s="47"/>
      <c r="K495" s="47"/>
    </row>
    <row r="496">
      <c r="J496" s="47"/>
      <c r="K496" s="47"/>
    </row>
    <row r="497">
      <c r="J497" s="47"/>
      <c r="K497" s="47"/>
    </row>
    <row r="498">
      <c r="J498" s="47"/>
      <c r="K498" s="47"/>
    </row>
    <row r="499">
      <c r="J499" s="47"/>
      <c r="K499" s="47"/>
    </row>
    <row r="500">
      <c r="J500" s="47"/>
      <c r="K500" s="47"/>
    </row>
    <row r="501">
      <c r="J501" s="47"/>
      <c r="K501" s="47"/>
    </row>
    <row r="502">
      <c r="J502" s="47"/>
      <c r="K502" s="47"/>
    </row>
    <row r="503">
      <c r="J503" s="47"/>
      <c r="K503" s="47"/>
    </row>
    <row r="504">
      <c r="J504" s="47"/>
      <c r="K504" s="47"/>
    </row>
    <row r="505">
      <c r="J505" s="47"/>
      <c r="K505" s="47"/>
    </row>
    <row r="506">
      <c r="J506" s="47"/>
      <c r="K506" s="47"/>
    </row>
    <row r="507">
      <c r="J507" s="47"/>
      <c r="K507" s="47"/>
    </row>
    <row r="508">
      <c r="J508" s="47"/>
      <c r="K508" s="47"/>
    </row>
    <row r="509">
      <c r="J509" s="47"/>
      <c r="K509" s="47"/>
    </row>
    <row r="510">
      <c r="J510" s="47"/>
      <c r="K510" s="47"/>
    </row>
    <row r="511">
      <c r="J511" s="47"/>
      <c r="K511" s="47"/>
    </row>
    <row r="512">
      <c r="J512" s="47"/>
      <c r="K512" s="47"/>
    </row>
    <row r="513">
      <c r="J513" s="47"/>
      <c r="K513" s="47"/>
    </row>
    <row r="514">
      <c r="J514" s="47"/>
      <c r="K514" s="47"/>
    </row>
    <row r="515">
      <c r="J515" s="47"/>
      <c r="K515" s="47"/>
    </row>
    <row r="516">
      <c r="J516" s="47"/>
      <c r="K516" s="47"/>
    </row>
    <row r="517">
      <c r="J517" s="47"/>
      <c r="K517" s="47"/>
    </row>
    <row r="518">
      <c r="J518" s="47"/>
      <c r="K518" s="47"/>
    </row>
    <row r="519">
      <c r="J519" s="47"/>
      <c r="K519" s="47"/>
    </row>
    <row r="520">
      <c r="J520" s="47"/>
      <c r="K520" s="47"/>
    </row>
    <row r="521">
      <c r="J521" s="47"/>
      <c r="K521" s="47"/>
    </row>
    <row r="522">
      <c r="J522" s="47"/>
      <c r="K522" s="47"/>
    </row>
    <row r="523">
      <c r="J523" s="47"/>
      <c r="K523" s="47"/>
    </row>
    <row r="524">
      <c r="J524" s="47"/>
      <c r="K524" s="47"/>
    </row>
    <row r="525">
      <c r="J525" s="47"/>
      <c r="K525" s="47"/>
    </row>
    <row r="526">
      <c r="J526" s="47"/>
      <c r="K526" s="47"/>
    </row>
    <row r="527">
      <c r="J527" s="47"/>
      <c r="K527" s="47"/>
    </row>
    <row r="528">
      <c r="J528" s="47"/>
      <c r="K528" s="47"/>
    </row>
    <row r="529">
      <c r="J529" s="47"/>
      <c r="K529" s="47"/>
    </row>
    <row r="530">
      <c r="J530" s="47"/>
      <c r="K530" s="47"/>
    </row>
    <row r="531">
      <c r="J531" s="47"/>
      <c r="K531" s="47"/>
    </row>
    <row r="532">
      <c r="J532" s="47"/>
      <c r="K532" s="47"/>
    </row>
    <row r="533">
      <c r="J533" s="47"/>
      <c r="K533" s="47"/>
    </row>
    <row r="534">
      <c r="J534" s="47"/>
      <c r="K534" s="47"/>
    </row>
    <row r="535">
      <c r="J535" s="47"/>
      <c r="K535" s="47"/>
    </row>
    <row r="536">
      <c r="J536" s="47"/>
      <c r="K536" s="47"/>
    </row>
    <row r="537">
      <c r="J537" s="47"/>
      <c r="K537" s="47"/>
    </row>
    <row r="538">
      <c r="J538" s="47"/>
      <c r="K538" s="47"/>
    </row>
    <row r="539">
      <c r="J539" s="47"/>
      <c r="K539" s="47"/>
    </row>
    <row r="540">
      <c r="J540" s="47"/>
      <c r="K540" s="47"/>
    </row>
    <row r="541">
      <c r="J541" s="47"/>
      <c r="K541" s="47"/>
    </row>
    <row r="542">
      <c r="J542" s="47"/>
      <c r="K542" s="47"/>
    </row>
    <row r="543">
      <c r="J543" s="47"/>
      <c r="K543" s="47"/>
    </row>
    <row r="544">
      <c r="J544" s="47"/>
      <c r="K544" s="47"/>
    </row>
    <row r="545">
      <c r="J545" s="47"/>
      <c r="K545" s="47"/>
    </row>
    <row r="546">
      <c r="J546" s="47"/>
      <c r="K546" s="47"/>
    </row>
    <row r="547">
      <c r="J547" s="47"/>
      <c r="K547" s="47"/>
    </row>
    <row r="548">
      <c r="J548" s="47"/>
      <c r="K548" s="47"/>
    </row>
    <row r="549">
      <c r="J549" s="47"/>
      <c r="K549" s="47"/>
    </row>
    <row r="550">
      <c r="J550" s="47"/>
      <c r="K550" s="47"/>
    </row>
    <row r="551">
      <c r="J551" s="47"/>
      <c r="K551" s="47"/>
    </row>
    <row r="552">
      <c r="J552" s="47"/>
      <c r="K552" s="47"/>
    </row>
    <row r="553">
      <c r="J553" s="47"/>
      <c r="K553" s="47"/>
    </row>
    <row r="554">
      <c r="J554" s="47"/>
      <c r="K554" s="47"/>
    </row>
    <row r="555">
      <c r="J555" s="47"/>
      <c r="K555" s="47"/>
    </row>
    <row r="556">
      <c r="J556" s="47"/>
      <c r="K556" s="47"/>
    </row>
    <row r="557">
      <c r="J557" s="47"/>
      <c r="K557" s="47"/>
    </row>
    <row r="558">
      <c r="J558" s="47"/>
      <c r="K558" s="47"/>
    </row>
    <row r="559">
      <c r="J559" s="47"/>
      <c r="K559" s="47"/>
    </row>
    <row r="560">
      <c r="J560" s="47"/>
      <c r="K560" s="47"/>
    </row>
    <row r="561">
      <c r="J561" s="47"/>
      <c r="K561" s="47"/>
    </row>
    <row r="562">
      <c r="J562" s="47"/>
      <c r="K562" s="47"/>
    </row>
    <row r="563">
      <c r="J563" s="47"/>
      <c r="K563" s="47"/>
    </row>
    <row r="564">
      <c r="J564" s="47"/>
      <c r="K564" s="47"/>
    </row>
    <row r="565">
      <c r="J565" s="47"/>
      <c r="K565" s="47"/>
    </row>
    <row r="566">
      <c r="J566" s="47"/>
      <c r="K566" s="47"/>
    </row>
    <row r="567">
      <c r="J567" s="47"/>
      <c r="K567" s="47"/>
    </row>
    <row r="568">
      <c r="J568" s="47"/>
      <c r="K568" s="47"/>
    </row>
    <row r="569">
      <c r="J569" s="47"/>
      <c r="K569" s="47"/>
    </row>
    <row r="570">
      <c r="J570" s="47"/>
      <c r="K570" s="47"/>
    </row>
    <row r="571">
      <c r="J571" s="47"/>
      <c r="K571" s="47"/>
    </row>
    <row r="572">
      <c r="J572" s="47"/>
      <c r="K572" s="47"/>
    </row>
    <row r="573">
      <c r="J573" s="47"/>
      <c r="K573" s="47"/>
    </row>
    <row r="574">
      <c r="J574" s="47"/>
      <c r="K574" s="47"/>
    </row>
    <row r="575">
      <c r="J575" s="47"/>
      <c r="K575" s="47"/>
    </row>
    <row r="576">
      <c r="J576" s="47"/>
      <c r="K576" s="47"/>
    </row>
    <row r="577">
      <c r="J577" s="47"/>
      <c r="K577" s="47"/>
    </row>
    <row r="578">
      <c r="J578" s="47"/>
      <c r="K578" s="47"/>
    </row>
    <row r="579">
      <c r="J579" s="47"/>
      <c r="K579" s="47"/>
    </row>
    <row r="580">
      <c r="J580" s="47"/>
      <c r="K580" s="47"/>
    </row>
    <row r="581">
      <c r="J581" s="47"/>
      <c r="K581" s="47"/>
    </row>
    <row r="582">
      <c r="J582" s="47"/>
      <c r="K582" s="47"/>
    </row>
    <row r="583">
      <c r="J583" s="47"/>
      <c r="K583" s="47"/>
    </row>
    <row r="584">
      <c r="J584" s="47"/>
      <c r="K584" s="47"/>
    </row>
    <row r="585">
      <c r="J585" s="47"/>
      <c r="K585" s="47"/>
    </row>
    <row r="586">
      <c r="J586" s="47"/>
      <c r="K586" s="47"/>
    </row>
    <row r="587">
      <c r="J587" s="47"/>
      <c r="K587" s="47"/>
    </row>
    <row r="588">
      <c r="J588" s="47"/>
      <c r="K588" s="47"/>
    </row>
    <row r="589">
      <c r="J589" s="47"/>
      <c r="K589" s="47"/>
    </row>
    <row r="590">
      <c r="J590" s="47"/>
      <c r="K590" s="47"/>
    </row>
    <row r="591">
      <c r="J591" s="47"/>
      <c r="K591" s="47"/>
    </row>
    <row r="592">
      <c r="J592" s="47"/>
      <c r="K592" s="47"/>
    </row>
    <row r="593">
      <c r="J593" s="47"/>
      <c r="K593" s="47"/>
    </row>
    <row r="594">
      <c r="J594" s="47"/>
      <c r="K594" s="47"/>
    </row>
    <row r="595">
      <c r="J595" s="47"/>
      <c r="K595" s="47"/>
    </row>
    <row r="596">
      <c r="J596" s="47"/>
      <c r="K596" s="47"/>
    </row>
    <row r="597">
      <c r="J597" s="47"/>
      <c r="K597" s="47"/>
    </row>
    <row r="598">
      <c r="J598" s="47"/>
      <c r="K598" s="47"/>
    </row>
    <row r="599">
      <c r="J599" s="47"/>
      <c r="K599" s="47"/>
    </row>
    <row r="600">
      <c r="J600" s="47"/>
      <c r="K600" s="47"/>
    </row>
    <row r="601">
      <c r="J601" s="47"/>
      <c r="K601" s="47"/>
    </row>
    <row r="602">
      <c r="J602" s="47"/>
      <c r="K602" s="47"/>
    </row>
    <row r="603">
      <c r="J603" s="47"/>
      <c r="K603" s="47"/>
    </row>
    <row r="604">
      <c r="J604" s="47"/>
      <c r="K604" s="47"/>
    </row>
    <row r="605">
      <c r="J605" s="47"/>
      <c r="K605" s="47"/>
    </row>
    <row r="606">
      <c r="J606" s="47"/>
      <c r="K606" s="47"/>
    </row>
    <row r="607">
      <c r="J607" s="47"/>
      <c r="K607" s="47"/>
    </row>
    <row r="608">
      <c r="J608" s="47"/>
      <c r="K608" s="47"/>
    </row>
    <row r="609">
      <c r="J609" s="47"/>
      <c r="K609" s="47"/>
    </row>
    <row r="610">
      <c r="J610" s="47"/>
      <c r="K610" s="47"/>
    </row>
    <row r="611">
      <c r="J611" s="47"/>
      <c r="K611" s="47"/>
    </row>
    <row r="612">
      <c r="J612" s="47"/>
      <c r="K612" s="47"/>
    </row>
    <row r="613">
      <c r="J613" s="47"/>
      <c r="K613" s="47"/>
    </row>
    <row r="614">
      <c r="J614" s="47"/>
      <c r="K614" s="47"/>
    </row>
    <row r="615">
      <c r="J615" s="47"/>
      <c r="K615" s="47"/>
    </row>
    <row r="616">
      <c r="J616" s="47"/>
      <c r="K616" s="47"/>
    </row>
    <row r="617">
      <c r="J617" s="47"/>
      <c r="K617" s="47"/>
    </row>
    <row r="618">
      <c r="J618" s="47"/>
      <c r="K618" s="47"/>
    </row>
    <row r="619">
      <c r="J619" s="47"/>
      <c r="K619" s="47"/>
    </row>
    <row r="620">
      <c r="J620" s="47"/>
      <c r="K620" s="47"/>
    </row>
    <row r="621">
      <c r="J621" s="47"/>
      <c r="K621" s="47"/>
    </row>
    <row r="622">
      <c r="J622" s="47"/>
      <c r="K622" s="47"/>
    </row>
    <row r="623">
      <c r="J623" s="47"/>
      <c r="K623" s="47"/>
    </row>
    <row r="624">
      <c r="J624" s="47"/>
      <c r="K624" s="47"/>
    </row>
    <row r="625">
      <c r="J625" s="47"/>
      <c r="K625" s="47"/>
    </row>
    <row r="626">
      <c r="J626" s="47"/>
      <c r="K626" s="47"/>
    </row>
    <row r="627">
      <c r="J627" s="47"/>
      <c r="K627" s="47"/>
    </row>
    <row r="628">
      <c r="J628" s="47"/>
      <c r="K628" s="47"/>
    </row>
    <row r="629">
      <c r="J629" s="47"/>
      <c r="K629" s="47"/>
    </row>
    <row r="630">
      <c r="J630" s="47"/>
      <c r="K630" s="47"/>
    </row>
    <row r="631">
      <c r="J631" s="47"/>
      <c r="K631" s="47"/>
    </row>
    <row r="632">
      <c r="J632" s="47"/>
      <c r="K632" s="47"/>
    </row>
    <row r="633">
      <c r="J633" s="47"/>
      <c r="K633" s="47"/>
    </row>
    <row r="634">
      <c r="J634" s="47"/>
      <c r="K634" s="47"/>
    </row>
    <row r="635">
      <c r="J635" s="47"/>
      <c r="K635" s="47"/>
    </row>
    <row r="636">
      <c r="J636" s="47"/>
      <c r="K636" s="47"/>
    </row>
    <row r="637">
      <c r="J637" s="47"/>
      <c r="K637" s="47"/>
    </row>
    <row r="638">
      <c r="J638" s="47"/>
      <c r="K638" s="47"/>
    </row>
    <row r="639">
      <c r="J639" s="47"/>
      <c r="K639" s="47"/>
    </row>
    <row r="640">
      <c r="J640" s="47"/>
      <c r="K640" s="47"/>
    </row>
    <row r="641">
      <c r="J641" s="47"/>
      <c r="K641" s="47"/>
    </row>
    <row r="642">
      <c r="J642" s="47"/>
      <c r="K642" s="47"/>
    </row>
    <row r="643">
      <c r="J643" s="47"/>
      <c r="K643" s="47"/>
    </row>
    <row r="644">
      <c r="J644" s="47"/>
      <c r="K644" s="47"/>
    </row>
    <row r="645">
      <c r="J645" s="47"/>
      <c r="K645" s="47"/>
    </row>
    <row r="646">
      <c r="J646" s="47"/>
      <c r="K646" s="47"/>
    </row>
    <row r="647">
      <c r="J647" s="47"/>
      <c r="K647" s="47"/>
    </row>
    <row r="648">
      <c r="J648" s="47"/>
      <c r="K648" s="47"/>
    </row>
    <row r="649">
      <c r="J649" s="47"/>
      <c r="K649" s="47"/>
    </row>
    <row r="650">
      <c r="J650" s="47"/>
      <c r="K650" s="47"/>
    </row>
    <row r="651">
      <c r="J651" s="47"/>
      <c r="K651" s="47"/>
    </row>
    <row r="652">
      <c r="J652" s="47"/>
      <c r="K652" s="47"/>
    </row>
    <row r="653">
      <c r="J653" s="47"/>
      <c r="K653" s="47"/>
    </row>
    <row r="654">
      <c r="J654" s="47"/>
      <c r="K654" s="47"/>
    </row>
    <row r="655">
      <c r="J655" s="47"/>
      <c r="K655" s="47"/>
    </row>
    <row r="656">
      <c r="J656" s="47"/>
      <c r="K656" s="47"/>
    </row>
    <row r="657">
      <c r="J657" s="47"/>
      <c r="K657" s="47"/>
    </row>
    <row r="658">
      <c r="J658" s="47"/>
      <c r="K658" s="47"/>
    </row>
    <row r="659">
      <c r="J659" s="47"/>
      <c r="K659" s="47"/>
    </row>
    <row r="660">
      <c r="J660" s="47"/>
      <c r="K660" s="47"/>
    </row>
    <row r="661">
      <c r="J661" s="47"/>
      <c r="K661" s="47"/>
    </row>
    <row r="662">
      <c r="J662" s="47"/>
      <c r="K662" s="47"/>
    </row>
    <row r="663">
      <c r="J663" s="47"/>
      <c r="K663" s="47"/>
    </row>
    <row r="664">
      <c r="J664" s="47"/>
      <c r="K664" s="47"/>
    </row>
    <row r="665">
      <c r="J665" s="47"/>
      <c r="K665" s="47"/>
    </row>
    <row r="666">
      <c r="J666" s="47"/>
      <c r="K666" s="47"/>
    </row>
    <row r="667">
      <c r="J667" s="47"/>
      <c r="K667" s="47"/>
    </row>
    <row r="668">
      <c r="J668" s="47"/>
      <c r="K668" s="47"/>
    </row>
    <row r="669">
      <c r="J669" s="47"/>
      <c r="K669" s="47"/>
    </row>
    <row r="670">
      <c r="J670" s="47"/>
      <c r="K670" s="47"/>
    </row>
    <row r="671">
      <c r="J671" s="47"/>
      <c r="K671" s="47"/>
    </row>
    <row r="672">
      <c r="J672" s="47"/>
      <c r="K672" s="47"/>
    </row>
    <row r="673">
      <c r="J673" s="47"/>
      <c r="K673" s="47"/>
    </row>
    <row r="674">
      <c r="J674" s="47"/>
      <c r="K674" s="47"/>
    </row>
    <row r="675">
      <c r="J675" s="47"/>
      <c r="K675" s="47"/>
    </row>
    <row r="676">
      <c r="J676" s="47"/>
      <c r="K676" s="47"/>
    </row>
    <row r="677">
      <c r="J677" s="47"/>
      <c r="K677" s="47"/>
    </row>
    <row r="678">
      <c r="J678" s="47"/>
      <c r="K678" s="47"/>
    </row>
    <row r="679">
      <c r="J679" s="47"/>
      <c r="K679" s="47"/>
    </row>
    <row r="680">
      <c r="J680" s="47"/>
      <c r="K680" s="47"/>
    </row>
    <row r="681">
      <c r="J681" s="47"/>
      <c r="K681" s="47"/>
    </row>
    <row r="682">
      <c r="J682" s="47"/>
      <c r="K682" s="47"/>
    </row>
    <row r="683">
      <c r="J683" s="47"/>
      <c r="K683" s="47"/>
    </row>
    <row r="684">
      <c r="J684" s="47"/>
      <c r="K684" s="47"/>
    </row>
    <row r="685">
      <c r="J685" s="47"/>
      <c r="K685" s="47"/>
    </row>
    <row r="686">
      <c r="J686" s="47"/>
      <c r="K686" s="47"/>
    </row>
    <row r="687">
      <c r="J687" s="47"/>
      <c r="K687" s="47"/>
    </row>
    <row r="688">
      <c r="J688" s="47"/>
      <c r="K688" s="47"/>
    </row>
    <row r="689">
      <c r="J689" s="47"/>
      <c r="K689" s="47"/>
    </row>
    <row r="690">
      <c r="J690" s="47"/>
      <c r="K690" s="47"/>
    </row>
    <row r="691">
      <c r="J691" s="47"/>
      <c r="K691" s="47"/>
    </row>
    <row r="692">
      <c r="J692" s="47"/>
      <c r="K692" s="47"/>
    </row>
    <row r="693">
      <c r="J693" s="47"/>
      <c r="K693" s="47"/>
    </row>
    <row r="694">
      <c r="J694" s="47"/>
      <c r="K694" s="47"/>
    </row>
    <row r="695">
      <c r="J695" s="47"/>
      <c r="K695" s="47"/>
    </row>
    <row r="696">
      <c r="J696" s="47"/>
      <c r="K696" s="47"/>
    </row>
    <row r="697">
      <c r="J697" s="47"/>
      <c r="K697" s="47"/>
    </row>
    <row r="698">
      <c r="J698" s="47"/>
      <c r="K698" s="47"/>
    </row>
    <row r="699">
      <c r="J699" s="47"/>
      <c r="K699" s="47"/>
    </row>
    <row r="700">
      <c r="J700" s="47"/>
      <c r="K700" s="47"/>
    </row>
    <row r="701">
      <c r="J701" s="47"/>
      <c r="K701" s="47"/>
    </row>
    <row r="702">
      <c r="J702" s="47"/>
      <c r="K702" s="47"/>
    </row>
    <row r="703">
      <c r="J703" s="47"/>
      <c r="K703" s="47"/>
    </row>
    <row r="704">
      <c r="J704" s="47"/>
      <c r="K704" s="47"/>
    </row>
    <row r="705">
      <c r="J705" s="47"/>
      <c r="K705" s="47"/>
    </row>
    <row r="706">
      <c r="J706" s="47"/>
      <c r="K706" s="47"/>
    </row>
    <row r="707">
      <c r="J707" s="47"/>
      <c r="K707" s="47"/>
    </row>
    <row r="708">
      <c r="J708" s="47"/>
      <c r="K708" s="47"/>
    </row>
    <row r="709">
      <c r="J709" s="47"/>
      <c r="K709" s="47"/>
    </row>
    <row r="710">
      <c r="J710" s="47"/>
      <c r="K710" s="47"/>
    </row>
    <row r="711">
      <c r="J711" s="47"/>
      <c r="K711" s="47"/>
    </row>
    <row r="712">
      <c r="J712" s="47"/>
      <c r="K712" s="47"/>
    </row>
    <row r="713">
      <c r="J713" s="47"/>
      <c r="K713" s="47"/>
    </row>
    <row r="714">
      <c r="J714" s="47"/>
      <c r="K714" s="47"/>
    </row>
    <row r="715">
      <c r="J715" s="47"/>
      <c r="K715" s="47"/>
    </row>
    <row r="716">
      <c r="J716" s="47"/>
      <c r="K716" s="47"/>
    </row>
    <row r="717">
      <c r="J717" s="47"/>
      <c r="K717" s="47"/>
    </row>
    <row r="718">
      <c r="J718" s="47"/>
      <c r="K718" s="47"/>
    </row>
    <row r="719">
      <c r="J719" s="47"/>
      <c r="K719" s="47"/>
    </row>
    <row r="720">
      <c r="J720" s="47"/>
      <c r="K720" s="47"/>
    </row>
    <row r="721">
      <c r="J721" s="47"/>
      <c r="K721" s="47"/>
    </row>
    <row r="722">
      <c r="J722" s="47"/>
      <c r="K722" s="47"/>
    </row>
    <row r="723">
      <c r="J723" s="47"/>
      <c r="K723" s="47"/>
    </row>
    <row r="724">
      <c r="J724" s="47"/>
      <c r="K724" s="47"/>
    </row>
    <row r="725">
      <c r="J725" s="47"/>
      <c r="K725" s="47"/>
    </row>
    <row r="726">
      <c r="J726" s="47"/>
      <c r="K726" s="47"/>
    </row>
    <row r="727">
      <c r="J727" s="47"/>
      <c r="K727" s="47"/>
    </row>
    <row r="728">
      <c r="J728" s="47"/>
      <c r="K728" s="47"/>
    </row>
    <row r="729">
      <c r="J729" s="47"/>
      <c r="K729" s="47"/>
    </row>
    <row r="730">
      <c r="J730" s="47"/>
      <c r="K730" s="47"/>
    </row>
    <row r="731">
      <c r="J731" s="47"/>
      <c r="K731" s="47"/>
    </row>
    <row r="732">
      <c r="J732" s="47"/>
      <c r="K732" s="47"/>
    </row>
    <row r="733">
      <c r="J733" s="47"/>
      <c r="K733" s="47"/>
    </row>
    <row r="734">
      <c r="J734" s="47"/>
      <c r="K734" s="47"/>
    </row>
    <row r="735">
      <c r="J735" s="47"/>
      <c r="K735" s="47"/>
    </row>
    <row r="736">
      <c r="J736" s="47"/>
      <c r="K736" s="47"/>
    </row>
    <row r="737">
      <c r="J737" s="47"/>
      <c r="K737" s="47"/>
    </row>
    <row r="738">
      <c r="J738" s="47"/>
      <c r="K738" s="47"/>
    </row>
    <row r="739">
      <c r="J739" s="47"/>
      <c r="K739" s="47"/>
    </row>
    <row r="740">
      <c r="J740" s="47"/>
      <c r="K740" s="47"/>
    </row>
    <row r="741">
      <c r="J741" s="47"/>
      <c r="K741" s="47"/>
    </row>
    <row r="742">
      <c r="J742" s="47"/>
      <c r="K742" s="47"/>
    </row>
    <row r="743">
      <c r="J743" s="47"/>
      <c r="K743" s="47"/>
    </row>
    <row r="744">
      <c r="J744" s="47"/>
      <c r="K744" s="47"/>
    </row>
    <row r="745">
      <c r="J745" s="47"/>
      <c r="K745" s="47"/>
    </row>
    <row r="746">
      <c r="J746" s="47"/>
      <c r="K746" s="47"/>
    </row>
    <row r="747">
      <c r="J747" s="47"/>
      <c r="K747" s="47"/>
    </row>
    <row r="748">
      <c r="J748" s="47"/>
      <c r="K748" s="47"/>
    </row>
    <row r="749">
      <c r="J749" s="47"/>
      <c r="K749" s="47"/>
    </row>
    <row r="750">
      <c r="J750" s="47"/>
      <c r="K750" s="47"/>
    </row>
    <row r="751">
      <c r="J751" s="47"/>
      <c r="K751" s="47"/>
    </row>
    <row r="752">
      <c r="J752" s="47"/>
      <c r="K752" s="47"/>
    </row>
    <row r="753">
      <c r="J753" s="47"/>
      <c r="K753" s="47"/>
    </row>
    <row r="754">
      <c r="J754" s="47"/>
      <c r="K754" s="47"/>
    </row>
    <row r="755">
      <c r="J755" s="47"/>
      <c r="K755" s="47"/>
    </row>
    <row r="756">
      <c r="J756" s="47"/>
      <c r="K756" s="47"/>
    </row>
    <row r="757">
      <c r="J757" s="47"/>
      <c r="K757" s="47"/>
    </row>
    <row r="758">
      <c r="J758" s="47"/>
      <c r="K758" s="47"/>
    </row>
    <row r="759">
      <c r="J759" s="47"/>
      <c r="K759" s="47"/>
    </row>
    <row r="760">
      <c r="J760" s="47"/>
      <c r="K760" s="47"/>
    </row>
    <row r="761">
      <c r="J761" s="47"/>
      <c r="K761" s="47"/>
    </row>
    <row r="762">
      <c r="J762" s="47"/>
      <c r="K762" s="47"/>
    </row>
    <row r="763">
      <c r="J763" s="47"/>
      <c r="K763" s="47"/>
    </row>
    <row r="764">
      <c r="J764" s="47"/>
      <c r="K764" s="47"/>
    </row>
    <row r="765">
      <c r="J765" s="47"/>
      <c r="K765" s="47"/>
    </row>
    <row r="766">
      <c r="J766" s="47"/>
      <c r="K766" s="47"/>
    </row>
    <row r="767">
      <c r="J767" s="47"/>
      <c r="K767" s="47"/>
    </row>
    <row r="768">
      <c r="J768" s="47"/>
      <c r="K768" s="47"/>
    </row>
    <row r="769">
      <c r="J769" s="47"/>
      <c r="K769" s="47"/>
    </row>
    <row r="770">
      <c r="J770" s="47"/>
      <c r="K770" s="47"/>
    </row>
    <row r="771">
      <c r="J771" s="47"/>
      <c r="K771" s="47"/>
    </row>
    <row r="772">
      <c r="J772" s="47"/>
      <c r="K772" s="47"/>
    </row>
    <row r="773">
      <c r="J773" s="47"/>
      <c r="K773" s="47"/>
    </row>
    <row r="774">
      <c r="J774" s="47"/>
      <c r="K774" s="47"/>
    </row>
    <row r="775">
      <c r="J775" s="47"/>
      <c r="K775" s="47"/>
    </row>
    <row r="776">
      <c r="J776" s="47"/>
      <c r="K776" s="47"/>
    </row>
    <row r="777">
      <c r="J777" s="47"/>
      <c r="K777" s="47"/>
    </row>
    <row r="778">
      <c r="J778" s="47"/>
      <c r="K778" s="47"/>
    </row>
    <row r="779">
      <c r="J779" s="47"/>
      <c r="K779" s="47"/>
    </row>
    <row r="780">
      <c r="J780" s="47"/>
      <c r="K780" s="47"/>
    </row>
    <row r="781">
      <c r="J781" s="47"/>
      <c r="K781" s="47"/>
    </row>
    <row r="782">
      <c r="J782" s="47"/>
      <c r="K782" s="47"/>
    </row>
    <row r="783">
      <c r="J783" s="47"/>
      <c r="K783" s="47"/>
    </row>
    <row r="784">
      <c r="J784" s="47"/>
      <c r="K784" s="47"/>
    </row>
    <row r="785">
      <c r="J785" s="47"/>
      <c r="K785" s="47"/>
    </row>
    <row r="786">
      <c r="J786" s="47"/>
      <c r="K786" s="47"/>
    </row>
    <row r="787">
      <c r="J787" s="47"/>
      <c r="K787" s="47"/>
    </row>
    <row r="788">
      <c r="J788" s="47"/>
      <c r="K788" s="47"/>
    </row>
    <row r="789">
      <c r="J789" s="47"/>
      <c r="K789" s="47"/>
    </row>
    <row r="790">
      <c r="J790" s="47"/>
      <c r="K790" s="47"/>
    </row>
    <row r="791">
      <c r="J791" s="47"/>
      <c r="K791" s="47"/>
    </row>
    <row r="792">
      <c r="J792" s="47"/>
      <c r="K792" s="47"/>
    </row>
    <row r="793">
      <c r="J793" s="47"/>
      <c r="K793" s="47"/>
    </row>
    <row r="794">
      <c r="J794" s="47"/>
      <c r="K794" s="47"/>
    </row>
    <row r="795">
      <c r="J795" s="47"/>
      <c r="K795" s="47"/>
    </row>
    <row r="796">
      <c r="J796" s="47"/>
      <c r="K796" s="47"/>
    </row>
    <row r="797">
      <c r="J797" s="47"/>
      <c r="K797" s="47"/>
    </row>
    <row r="798">
      <c r="J798" s="47"/>
      <c r="K798" s="47"/>
    </row>
    <row r="799">
      <c r="J799" s="47"/>
      <c r="K799" s="47"/>
    </row>
    <row r="800">
      <c r="J800" s="47"/>
      <c r="K800" s="47"/>
    </row>
    <row r="801">
      <c r="J801" s="47"/>
      <c r="K801" s="47"/>
    </row>
    <row r="802">
      <c r="J802" s="47"/>
      <c r="K802" s="47"/>
    </row>
    <row r="803">
      <c r="J803" s="47"/>
      <c r="K803" s="47"/>
    </row>
    <row r="804">
      <c r="J804" s="47"/>
      <c r="K804" s="47"/>
    </row>
    <row r="805">
      <c r="J805" s="47"/>
      <c r="K805" s="47"/>
    </row>
    <row r="806">
      <c r="J806" s="47"/>
      <c r="K806" s="47"/>
    </row>
    <row r="807">
      <c r="J807" s="47"/>
      <c r="K807" s="47"/>
    </row>
    <row r="808">
      <c r="J808" s="47"/>
      <c r="K808" s="47"/>
    </row>
    <row r="809">
      <c r="J809" s="47"/>
      <c r="K809" s="47"/>
    </row>
    <row r="810">
      <c r="J810" s="47"/>
      <c r="K810" s="47"/>
    </row>
    <row r="811">
      <c r="J811" s="47"/>
      <c r="K811" s="47"/>
    </row>
    <row r="812">
      <c r="J812" s="47"/>
      <c r="K812" s="47"/>
    </row>
    <row r="813">
      <c r="J813" s="47"/>
      <c r="K813" s="47"/>
    </row>
    <row r="814">
      <c r="J814" s="47"/>
      <c r="K814" s="47"/>
    </row>
    <row r="815">
      <c r="J815" s="47"/>
      <c r="K815" s="47"/>
    </row>
    <row r="816">
      <c r="J816" s="47"/>
      <c r="K816" s="47"/>
    </row>
    <row r="817">
      <c r="J817" s="47"/>
      <c r="K817" s="47"/>
    </row>
    <row r="818">
      <c r="J818" s="47"/>
      <c r="K818" s="47"/>
    </row>
    <row r="819">
      <c r="J819" s="47"/>
      <c r="K819" s="47"/>
    </row>
    <row r="820">
      <c r="J820" s="47"/>
      <c r="K820" s="47"/>
    </row>
    <row r="821">
      <c r="J821" s="47"/>
      <c r="K821" s="47"/>
    </row>
    <row r="822">
      <c r="J822" s="47"/>
      <c r="K822" s="47"/>
    </row>
    <row r="823">
      <c r="J823" s="47"/>
      <c r="K823" s="47"/>
    </row>
    <row r="824">
      <c r="J824" s="47"/>
      <c r="K824" s="47"/>
    </row>
    <row r="825">
      <c r="J825" s="47"/>
      <c r="K825" s="47"/>
    </row>
    <row r="826">
      <c r="J826" s="47"/>
      <c r="K826" s="47"/>
    </row>
    <row r="827">
      <c r="J827" s="47"/>
      <c r="K827" s="47"/>
    </row>
    <row r="828">
      <c r="J828" s="47"/>
      <c r="K828" s="47"/>
    </row>
    <row r="829">
      <c r="J829" s="47"/>
      <c r="K829" s="47"/>
    </row>
    <row r="830">
      <c r="J830" s="47"/>
      <c r="K830" s="47"/>
    </row>
    <row r="831">
      <c r="J831" s="47"/>
      <c r="K831" s="47"/>
    </row>
    <row r="832">
      <c r="J832" s="47"/>
      <c r="K832" s="47"/>
    </row>
    <row r="833">
      <c r="J833" s="47"/>
      <c r="K833" s="47"/>
    </row>
    <row r="834">
      <c r="J834" s="47"/>
      <c r="K834" s="47"/>
    </row>
    <row r="835">
      <c r="J835" s="47"/>
      <c r="K835" s="47"/>
    </row>
    <row r="836">
      <c r="J836" s="47"/>
      <c r="K836" s="47"/>
    </row>
    <row r="837">
      <c r="J837" s="47"/>
      <c r="K837" s="47"/>
    </row>
    <row r="838">
      <c r="J838" s="47"/>
      <c r="K838" s="47"/>
    </row>
    <row r="839">
      <c r="J839" s="47"/>
      <c r="K839" s="47"/>
    </row>
    <row r="840">
      <c r="J840" s="47"/>
      <c r="K840" s="47"/>
    </row>
    <row r="841">
      <c r="J841" s="47"/>
      <c r="K841" s="47"/>
    </row>
    <row r="842">
      <c r="J842" s="47"/>
      <c r="K842" s="47"/>
    </row>
    <row r="843">
      <c r="J843" s="47"/>
      <c r="K843" s="47"/>
    </row>
    <row r="844">
      <c r="J844" s="47"/>
      <c r="K844" s="47"/>
    </row>
    <row r="845">
      <c r="J845" s="47"/>
      <c r="K845" s="47"/>
    </row>
    <row r="846">
      <c r="J846" s="47"/>
      <c r="K846" s="47"/>
    </row>
    <row r="847">
      <c r="J847" s="47"/>
      <c r="K847" s="47"/>
    </row>
    <row r="848">
      <c r="J848" s="47"/>
      <c r="K848" s="47"/>
    </row>
    <row r="849">
      <c r="J849" s="47"/>
      <c r="K849" s="47"/>
    </row>
    <row r="850">
      <c r="J850" s="47"/>
      <c r="K850" s="47"/>
    </row>
    <row r="851">
      <c r="J851" s="47"/>
      <c r="K851" s="47"/>
    </row>
    <row r="852">
      <c r="J852" s="47"/>
      <c r="K852" s="47"/>
    </row>
    <row r="853">
      <c r="J853" s="47"/>
      <c r="K853" s="47"/>
    </row>
    <row r="854">
      <c r="J854" s="47"/>
      <c r="K854" s="47"/>
    </row>
    <row r="855">
      <c r="J855" s="47"/>
      <c r="K855" s="47"/>
    </row>
    <row r="856">
      <c r="J856" s="47"/>
      <c r="K856" s="47"/>
    </row>
    <row r="857">
      <c r="J857" s="47"/>
      <c r="K857" s="47"/>
    </row>
    <row r="858">
      <c r="J858" s="47"/>
      <c r="K858" s="47"/>
    </row>
    <row r="859">
      <c r="J859" s="47"/>
      <c r="K859" s="47"/>
    </row>
    <row r="860">
      <c r="J860" s="47"/>
      <c r="K860" s="47"/>
    </row>
    <row r="861">
      <c r="J861" s="47"/>
      <c r="K861" s="47"/>
    </row>
    <row r="862">
      <c r="J862" s="47"/>
      <c r="K862" s="47"/>
    </row>
    <row r="863">
      <c r="J863" s="47"/>
      <c r="K863" s="47"/>
    </row>
    <row r="864">
      <c r="J864" s="47"/>
      <c r="K864" s="47"/>
    </row>
    <row r="865">
      <c r="J865" s="47"/>
      <c r="K865" s="47"/>
    </row>
    <row r="866">
      <c r="J866" s="47"/>
      <c r="K866" s="47"/>
    </row>
    <row r="867">
      <c r="J867" s="47"/>
      <c r="K867" s="47"/>
    </row>
    <row r="868">
      <c r="J868" s="47"/>
      <c r="K868" s="47"/>
    </row>
    <row r="869">
      <c r="J869" s="47"/>
      <c r="K869" s="47"/>
    </row>
    <row r="870">
      <c r="J870" s="47"/>
      <c r="K870" s="47"/>
    </row>
    <row r="871">
      <c r="J871" s="47"/>
      <c r="K871" s="47"/>
    </row>
    <row r="872">
      <c r="J872" s="47"/>
      <c r="K872" s="47"/>
    </row>
    <row r="873">
      <c r="J873" s="47"/>
      <c r="K873" s="47"/>
    </row>
    <row r="874">
      <c r="J874" s="47"/>
      <c r="K874" s="47"/>
    </row>
    <row r="875">
      <c r="J875" s="47"/>
      <c r="K875" s="47"/>
    </row>
    <row r="876">
      <c r="J876" s="47"/>
      <c r="K876" s="47"/>
    </row>
    <row r="877">
      <c r="J877" s="47"/>
      <c r="K877" s="47"/>
    </row>
    <row r="878">
      <c r="J878" s="47"/>
      <c r="K878" s="47"/>
    </row>
    <row r="879">
      <c r="J879" s="47"/>
      <c r="K879" s="47"/>
    </row>
    <row r="880">
      <c r="J880" s="47"/>
      <c r="K880" s="47"/>
    </row>
    <row r="881">
      <c r="J881" s="47"/>
      <c r="K881" s="47"/>
    </row>
    <row r="882">
      <c r="J882" s="47"/>
      <c r="K882" s="47"/>
    </row>
    <row r="883">
      <c r="J883" s="47"/>
      <c r="K883" s="47"/>
    </row>
    <row r="884">
      <c r="J884" s="47"/>
      <c r="K884" s="47"/>
    </row>
    <row r="885">
      <c r="J885" s="47"/>
      <c r="K885" s="47"/>
    </row>
    <row r="886">
      <c r="J886" s="47"/>
      <c r="K886" s="47"/>
    </row>
    <row r="887">
      <c r="J887" s="47"/>
      <c r="K887" s="47"/>
    </row>
    <row r="888">
      <c r="J888" s="47"/>
      <c r="K888" s="47"/>
    </row>
    <row r="889">
      <c r="J889" s="47"/>
      <c r="K889" s="47"/>
    </row>
    <row r="890">
      <c r="J890" s="47"/>
      <c r="K890" s="47"/>
    </row>
    <row r="891">
      <c r="J891" s="47"/>
      <c r="K891" s="47"/>
    </row>
    <row r="892">
      <c r="J892" s="47"/>
      <c r="K892" s="47"/>
    </row>
    <row r="893">
      <c r="J893" s="47"/>
      <c r="K893" s="47"/>
    </row>
    <row r="894">
      <c r="J894" s="47"/>
      <c r="K894" s="47"/>
    </row>
    <row r="895">
      <c r="J895" s="47"/>
      <c r="K895" s="47"/>
    </row>
    <row r="896">
      <c r="J896" s="47"/>
      <c r="K896" s="47"/>
    </row>
    <row r="897">
      <c r="J897" s="47"/>
      <c r="K897" s="47"/>
    </row>
    <row r="898">
      <c r="J898" s="47"/>
      <c r="K898" s="47"/>
    </row>
    <row r="899">
      <c r="J899" s="47"/>
      <c r="K899" s="47"/>
    </row>
    <row r="900">
      <c r="J900" s="47"/>
      <c r="K900" s="47"/>
    </row>
    <row r="901">
      <c r="J901" s="47"/>
      <c r="K901" s="47"/>
    </row>
    <row r="902">
      <c r="J902" s="47"/>
      <c r="K902" s="47"/>
    </row>
    <row r="903">
      <c r="J903" s="47"/>
      <c r="K903" s="47"/>
    </row>
    <row r="904">
      <c r="J904" s="47"/>
      <c r="K904" s="47"/>
    </row>
    <row r="905">
      <c r="J905" s="47"/>
      <c r="K905" s="47"/>
    </row>
    <row r="906">
      <c r="J906" s="47"/>
      <c r="K906" s="47"/>
    </row>
    <row r="907">
      <c r="J907" s="47"/>
      <c r="K907" s="47"/>
    </row>
    <row r="908">
      <c r="J908" s="47"/>
      <c r="K908" s="47"/>
    </row>
    <row r="909">
      <c r="J909" s="47"/>
      <c r="K909" s="47"/>
    </row>
    <row r="910">
      <c r="J910" s="47"/>
      <c r="K910" s="47"/>
    </row>
    <row r="911">
      <c r="J911" s="47"/>
      <c r="K911" s="47"/>
    </row>
    <row r="912">
      <c r="J912" s="47"/>
      <c r="K912" s="47"/>
    </row>
    <row r="913">
      <c r="J913" s="47"/>
      <c r="K913" s="47"/>
    </row>
    <row r="914">
      <c r="J914" s="47"/>
      <c r="K914" s="47"/>
    </row>
    <row r="915">
      <c r="J915" s="47"/>
      <c r="K915" s="47"/>
    </row>
    <row r="916">
      <c r="J916" s="47"/>
      <c r="K916" s="47"/>
    </row>
    <row r="917">
      <c r="J917" s="47"/>
      <c r="K917" s="47"/>
    </row>
    <row r="918">
      <c r="J918" s="47"/>
      <c r="K918" s="47"/>
    </row>
    <row r="919">
      <c r="J919" s="47"/>
      <c r="K919" s="47"/>
    </row>
    <row r="920">
      <c r="J920" s="47"/>
      <c r="K920" s="47"/>
    </row>
    <row r="921">
      <c r="J921" s="47"/>
      <c r="K921" s="47"/>
    </row>
    <row r="922">
      <c r="J922" s="47"/>
      <c r="K922" s="47"/>
    </row>
    <row r="923">
      <c r="J923" s="47"/>
      <c r="K923" s="47"/>
    </row>
    <row r="924">
      <c r="J924" s="47"/>
      <c r="K924" s="47"/>
    </row>
    <row r="925">
      <c r="J925" s="47"/>
      <c r="K925" s="47"/>
    </row>
    <row r="926">
      <c r="J926" s="47"/>
      <c r="K926" s="47"/>
    </row>
    <row r="927">
      <c r="J927" s="47"/>
      <c r="K927" s="47"/>
    </row>
    <row r="928">
      <c r="J928" s="47"/>
      <c r="K928" s="47"/>
    </row>
    <row r="929">
      <c r="J929" s="47"/>
      <c r="K929" s="47"/>
    </row>
    <row r="930">
      <c r="J930" s="47"/>
      <c r="K930" s="47"/>
    </row>
    <row r="931">
      <c r="J931" s="47"/>
      <c r="K931" s="47"/>
    </row>
    <row r="932">
      <c r="J932" s="47"/>
      <c r="K932" s="47"/>
    </row>
    <row r="933">
      <c r="J933" s="47"/>
      <c r="K933" s="47"/>
    </row>
    <row r="934">
      <c r="J934" s="47"/>
      <c r="K934" s="47"/>
    </row>
    <row r="935">
      <c r="J935" s="47"/>
      <c r="K935" s="47"/>
    </row>
    <row r="936">
      <c r="J936" s="47"/>
      <c r="K936" s="47"/>
    </row>
    <row r="937">
      <c r="J937" s="47"/>
      <c r="K937" s="47"/>
    </row>
    <row r="938">
      <c r="J938" s="47"/>
      <c r="K938" s="47"/>
    </row>
    <row r="939">
      <c r="J939" s="47"/>
      <c r="K939" s="47"/>
    </row>
    <row r="940">
      <c r="J940" s="47"/>
      <c r="K940" s="47"/>
    </row>
    <row r="941">
      <c r="J941" s="47"/>
      <c r="K941" s="47"/>
    </row>
    <row r="942">
      <c r="J942" s="47"/>
      <c r="K942" s="47"/>
    </row>
    <row r="943">
      <c r="J943" s="47"/>
      <c r="K943" s="47"/>
    </row>
    <row r="944">
      <c r="J944" s="47"/>
      <c r="K944" s="47"/>
    </row>
    <row r="945">
      <c r="J945" s="47"/>
      <c r="K945" s="47"/>
    </row>
    <row r="946">
      <c r="J946" s="47"/>
      <c r="K946" s="47"/>
    </row>
    <row r="947">
      <c r="J947" s="47"/>
      <c r="K947" s="47"/>
    </row>
    <row r="948">
      <c r="J948" s="47"/>
      <c r="K948" s="47"/>
    </row>
    <row r="949">
      <c r="J949" s="47"/>
      <c r="K949" s="47"/>
    </row>
    <row r="950">
      <c r="J950" s="47"/>
      <c r="K950" s="47"/>
    </row>
    <row r="951">
      <c r="J951" s="47"/>
      <c r="K951" s="47"/>
    </row>
    <row r="952">
      <c r="J952" s="47"/>
      <c r="K952" s="47"/>
    </row>
    <row r="953">
      <c r="J953" s="47"/>
      <c r="K953" s="47"/>
    </row>
    <row r="954">
      <c r="J954" s="47"/>
      <c r="K954" s="47"/>
    </row>
    <row r="955">
      <c r="J955" s="47"/>
      <c r="K955" s="47"/>
    </row>
    <row r="956">
      <c r="J956" s="47"/>
      <c r="K956" s="47"/>
    </row>
    <row r="957">
      <c r="J957" s="47"/>
      <c r="K957" s="47"/>
    </row>
    <row r="958">
      <c r="J958" s="47"/>
      <c r="K958" s="47"/>
    </row>
    <row r="959">
      <c r="J959" s="47"/>
      <c r="K959" s="47"/>
    </row>
    <row r="960">
      <c r="J960" s="47"/>
      <c r="K960" s="47"/>
    </row>
    <row r="961">
      <c r="J961" s="47"/>
      <c r="K961" s="47"/>
    </row>
    <row r="962">
      <c r="J962" s="47"/>
      <c r="K962" s="47"/>
    </row>
    <row r="963">
      <c r="J963" s="47"/>
      <c r="K963" s="47"/>
    </row>
    <row r="964">
      <c r="J964" s="47"/>
      <c r="K964" s="47"/>
    </row>
    <row r="965">
      <c r="J965" s="47"/>
      <c r="K965" s="47"/>
    </row>
    <row r="966">
      <c r="J966" s="47"/>
      <c r="K966" s="47"/>
    </row>
    <row r="967">
      <c r="J967" s="47"/>
      <c r="K967" s="47"/>
    </row>
    <row r="968">
      <c r="J968" s="47"/>
      <c r="K968" s="47"/>
    </row>
    <row r="969">
      <c r="J969" s="47"/>
      <c r="K969" s="47"/>
    </row>
    <row r="970">
      <c r="J970" s="47"/>
      <c r="K970" s="47"/>
    </row>
    <row r="971">
      <c r="J971" s="47"/>
      <c r="K971" s="47"/>
    </row>
    <row r="972">
      <c r="J972" s="47"/>
      <c r="K972" s="47"/>
    </row>
    <row r="973">
      <c r="J973" s="47"/>
      <c r="K973" s="47"/>
    </row>
    <row r="974">
      <c r="J974" s="47"/>
      <c r="K974" s="47"/>
    </row>
    <row r="975">
      <c r="J975" s="47"/>
      <c r="K975" s="47"/>
    </row>
    <row r="976">
      <c r="J976" s="47"/>
      <c r="K976" s="47"/>
    </row>
    <row r="977">
      <c r="J977" s="47"/>
      <c r="K977" s="47"/>
    </row>
    <row r="978">
      <c r="J978" s="47"/>
      <c r="K978" s="47"/>
    </row>
    <row r="979">
      <c r="J979" s="47"/>
      <c r="K979" s="47"/>
    </row>
    <row r="980">
      <c r="J980" s="47"/>
      <c r="K980" s="47"/>
    </row>
    <row r="981">
      <c r="J981" s="47"/>
      <c r="K981" s="47"/>
    </row>
    <row r="982">
      <c r="J982" s="47"/>
      <c r="K982" s="47"/>
    </row>
    <row r="983">
      <c r="J983" s="47"/>
      <c r="K983" s="47"/>
    </row>
    <row r="984">
      <c r="J984" s="47"/>
      <c r="K984" s="47"/>
    </row>
    <row r="985">
      <c r="J985" s="47"/>
      <c r="K985" s="47"/>
    </row>
    <row r="986">
      <c r="J986" s="47"/>
      <c r="K986" s="47"/>
    </row>
    <row r="987">
      <c r="J987" s="47"/>
      <c r="K987" s="47"/>
    </row>
    <row r="988">
      <c r="J988" s="47"/>
      <c r="K988" s="47"/>
    </row>
    <row r="989">
      <c r="J989" s="47"/>
      <c r="K989" s="47"/>
    </row>
    <row r="990">
      <c r="J990" s="47"/>
      <c r="K990" s="47"/>
    </row>
    <row r="991">
      <c r="J991" s="47"/>
      <c r="K991" s="47"/>
    </row>
    <row r="992">
      <c r="J992" s="47"/>
      <c r="K992" s="47"/>
    </row>
    <row r="993">
      <c r="J993" s="47"/>
      <c r="K993" s="47"/>
    </row>
    <row r="994">
      <c r="J994" s="47"/>
      <c r="K994" s="47"/>
    </row>
    <row r="995">
      <c r="J995" s="47"/>
      <c r="K995" s="47"/>
    </row>
    <row r="996">
      <c r="J996" s="47"/>
      <c r="K996" s="47"/>
    </row>
    <row r="997">
      <c r="J997" s="47"/>
      <c r="K997" s="47"/>
    </row>
    <row r="998">
      <c r="J998" s="47"/>
      <c r="K998" s="47"/>
    </row>
    <row r="999">
      <c r="J999" s="47"/>
      <c r="K999" s="47"/>
    </row>
    <row r="1000">
      <c r="J1000" s="47"/>
      <c r="K1000" s="47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4D79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5.63"/>
    <col customWidth="1" min="2" max="2" width="17.75"/>
    <col customWidth="1" min="3" max="3" width="7.88"/>
    <col customWidth="1" min="4" max="4" width="19.75"/>
    <col customWidth="1" min="5" max="5" width="7.5"/>
    <col customWidth="1" min="6" max="6" width="17.63"/>
    <col customWidth="1" min="7" max="7" width="6.5"/>
    <col customWidth="1" min="8" max="8" width="13.63"/>
    <col customWidth="1" min="9" max="9" width="9.75"/>
    <col customWidth="1" min="10" max="10" width="13.38"/>
    <col customWidth="1" min="11" max="11" width="6.88"/>
    <col customWidth="1" min="13" max="13" width="6.38"/>
    <col customWidth="1" min="14" max="14" width="11.5"/>
    <col customWidth="1" min="15" max="15" width="11.75"/>
    <col customWidth="1" min="16" max="16" width="12.0"/>
    <col customWidth="1" min="17" max="17" width="24.38"/>
  </cols>
  <sheetData>
    <row r="1" ht="16.5" customHeight="1">
      <c r="A1" s="73" t="s">
        <v>1225</v>
      </c>
      <c r="C1" s="73" t="s">
        <v>1226</v>
      </c>
      <c r="E1" s="73" t="s">
        <v>1227</v>
      </c>
      <c r="G1" s="73" t="s">
        <v>1228</v>
      </c>
      <c r="I1" s="73" t="s">
        <v>1229</v>
      </c>
      <c r="K1" s="73" t="s">
        <v>1230</v>
      </c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</row>
    <row r="2">
      <c r="A2" s="75" t="s">
        <v>0</v>
      </c>
      <c r="B2" s="75" t="s">
        <v>926</v>
      </c>
      <c r="C2" s="75" t="s">
        <v>1231</v>
      </c>
      <c r="D2" s="75" t="s">
        <v>926</v>
      </c>
      <c r="E2" s="75" t="s">
        <v>1231</v>
      </c>
      <c r="F2" s="75" t="s">
        <v>926</v>
      </c>
      <c r="G2" s="75" t="s">
        <v>1231</v>
      </c>
      <c r="H2" s="75" t="s">
        <v>926</v>
      </c>
      <c r="I2" s="75" t="s">
        <v>1231</v>
      </c>
      <c r="J2" s="75" t="s">
        <v>926</v>
      </c>
      <c r="K2" s="75" t="s">
        <v>1231</v>
      </c>
      <c r="L2" s="75" t="s">
        <v>926</v>
      </c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</row>
    <row r="3">
      <c r="A3" s="77">
        <v>1.0</v>
      </c>
      <c r="B3" s="77" t="s">
        <v>1232</v>
      </c>
      <c r="C3" s="77">
        <v>34252.0</v>
      </c>
      <c r="D3" s="77" t="s">
        <v>1233</v>
      </c>
      <c r="E3" s="77">
        <v>34458.0</v>
      </c>
      <c r="F3" s="77" t="s">
        <v>1234</v>
      </c>
      <c r="G3" s="77" t="s">
        <v>95</v>
      </c>
      <c r="H3" s="77" t="s">
        <v>95</v>
      </c>
      <c r="I3" s="77" t="s">
        <v>95</v>
      </c>
      <c r="J3" s="77" t="s">
        <v>95</v>
      </c>
      <c r="K3" s="77" t="s">
        <v>95</v>
      </c>
      <c r="L3" s="77" t="s">
        <v>95</v>
      </c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</row>
    <row r="4">
      <c r="A4" s="77">
        <v>2.0</v>
      </c>
      <c r="B4" s="77" t="s">
        <v>1235</v>
      </c>
      <c r="C4" s="77">
        <v>34586.0</v>
      </c>
      <c r="D4" s="77" t="s">
        <v>1236</v>
      </c>
      <c r="E4" s="77">
        <v>38151.0</v>
      </c>
      <c r="F4" s="77" t="s">
        <v>1237</v>
      </c>
      <c r="G4" s="77" t="s">
        <v>95</v>
      </c>
      <c r="H4" s="77" t="s">
        <v>95</v>
      </c>
      <c r="I4" s="77" t="s">
        <v>95</v>
      </c>
      <c r="J4" s="77" t="s">
        <v>95</v>
      </c>
      <c r="K4" s="77" t="s">
        <v>95</v>
      </c>
      <c r="L4" s="77" t="s">
        <v>95</v>
      </c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</row>
    <row r="5">
      <c r="A5" s="77">
        <v>3.0</v>
      </c>
      <c r="B5" s="77" t="s">
        <v>1238</v>
      </c>
      <c r="C5" s="77">
        <v>34252.0</v>
      </c>
      <c r="D5" s="77" t="s">
        <v>1239</v>
      </c>
      <c r="E5" s="77">
        <v>34438.0</v>
      </c>
      <c r="F5" s="77" t="s">
        <v>1240</v>
      </c>
      <c r="G5" s="77" t="s">
        <v>95</v>
      </c>
      <c r="H5" s="77" t="s">
        <v>95</v>
      </c>
      <c r="I5" s="77" t="s">
        <v>95</v>
      </c>
      <c r="J5" s="77" t="s">
        <v>95</v>
      </c>
      <c r="K5" s="77" t="s">
        <v>95</v>
      </c>
      <c r="L5" s="77" t="s">
        <v>95</v>
      </c>
      <c r="M5" s="76"/>
      <c r="N5" s="78" t="s">
        <v>1241</v>
      </c>
      <c r="O5" s="79"/>
      <c r="P5" s="79"/>
      <c r="Q5" s="80"/>
      <c r="R5" s="32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</row>
    <row r="6">
      <c r="A6" s="77">
        <v>4.0</v>
      </c>
      <c r="B6" s="77" t="s">
        <v>1242</v>
      </c>
      <c r="C6" s="77">
        <v>34252.0</v>
      </c>
      <c r="D6" s="77" t="s">
        <v>1243</v>
      </c>
      <c r="E6" s="77">
        <v>34971.0</v>
      </c>
      <c r="F6" s="77" t="s">
        <v>1244</v>
      </c>
      <c r="G6" s="77" t="s">
        <v>95</v>
      </c>
      <c r="H6" s="77" t="s">
        <v>95</v>
      </c>
      <c r="I6" s="77" t="s">
        <v>95</v>
      </c>
      <c r="J6" s="77" t="s">
        <v>95</v>
      </c>
      <c r="K6" s="77" t="s">
        <v>95</v>
      </c>
      <c r="L6" s="77" t="s">
        <v>95</v>
      </c>
      <c r="M6" s="76"/>
      <c r="N6" s="81" t="s">
        <v>1040</v>
      </c>
      <c r="O6" s="82" t="s">
        <v>2</v>
      </c>
      <c r="P6" s="83" t="s">
        <v>925</v>
      </c>
      <c r="Q6" s="84" t="s">
        <v>926</v>
      </c>
      <c r="R6" s="32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</row>
    <row r="7">
      <c r="A7" s="77">
        <v>5.0</v>
      </c>
      <c r="B7" s="77" t="s">
        <v>1245</v>
      </c>
      <c r="C7" s="77">
        <v>34413.0</v>
      </c>
      <c r="D7" s="77" t="s">
        <v>1246</v>
      </c>
      <c r="E7" s="77" t="s">
        <v>95</v>
      </c>
      <c r="F7" s="77" t="s">
        <v>95</v>
      </c>
      <c r="G7" s="77" t="s">
        <v>95</v>
      </c>
      <c r="H7" s="77" t="s">
        <v>95</v>
      </c>
      <c r="I7" s="77" t="s">
        <v>95</v>
      </c>
      <c r="J7" s="77" t="s">
        <v>95</v>
      </c>
      <c r="K7" s="77" t="s">
        <v>95</v>
      </c>
      <c r="L7" s="77" t="s">
        <v>95</v>
      </c>
      <c r="M7" s="76"/>
      <c r="N7" s="85" t="s">
        <v>1247</v>
      </c>
      <c r="O7" s="77" t="s">
        <v>1248</v>
      </c>
      <c r="P7" s="64" t="s">
        <v>937</v>
      </c>
      <c r="Q7" s="86" t="s">
        <v>1249</v>
      </c>
      <c r="R7" s="32"/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</row>
    <row r="8">
      <c r="A8" s="77">
        <v>6.0</v>
      </c>
      <c r="B8" s="77" t="s">
        <v>1250</v>
      </c>
      <c r="C8" s="77">
        <v>34241.0</v>
      </c>
      <c r="D8" s="77" t="s">
        <v>1251</v>
      </c>
      <c r="E8" s="77">
        <v>35261.0</v>
      </c>
      <c r="F8" s="77" t="s">
        <v>1252</v>
      </c>
      <c r="G8" s="77" t="s">
        <v>95</v>
      </c>
      <c r="H8" s="77" t="s">
        <v>95</v>
      </c>
      <c r="I8" s="77" t="s">
        <v>95</v>
      </c>
      <c r="J8" s="77" t="s">
        <v>95</v>
      </c>
      <c r="K8" s="77" t="s">
        <v>95</v>
      </c>
      <c r="L8" s="77" t="s">
        <v>95</v>
      </c>
      <c r="M8" s="76"/>
      <c r="N8" s="85" t="s">
        <v>1253</v>
      </c>
      <c r="O8" s="77" t="s">
        <v>1254</v>
      </c>
      <c r="P8" s="64" t="s">
        <v>941</v>
      </c>
      <c r="Q8" s="86" t="s">
        <v>1255</v>
      </c>
      <c r="R8" s="32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</row>
    <row r="9">
      <c r="A9" s="77">
        <v>7.0</v>
      </c>
      <c r="B9" s="77" t="s">
        <v>1256</v>
      </c>
      <c r="C9" s="77">
        <v>34248.0</v>
      </c>
      <c r="D9" s="77" t="s">
        <v>1257</v>
      </c>
      <c r="E9" s="77" t="s">
        <v>95</v>
      </c>
      <c r="F9" s="77" t="s">
        <v>95</v>
      </c>
      <c r="G9" s="77" t="s">
        <v>95</v>
      </c>
      <c r="H9" s="77" t="s">
        <v>95</v>
      </c>
      <c r="I9" s="77" t="s">
        <v>95</v>
      </c>
      <c r="J9" s="77" t="s">
        <v>95</v>
      </c>
      <c r="K9" s="77" t="s">
        <v>95</v>
      </c>
      <c r="L9" s="77" t="s">
        <v>95</v>
      </c>
      <c r="M9" s="76"/>
      <c r="N9" s="85" t="s">
        <v>1258</v>
      </c>
      <c r="O9" s="77" t="s">
        <v>1259</v>
      </c>
      <c r="P9" s="64" t="s">
        <v>937</v>
      </c>
      <c r="Q9" s="86" t="s">
        <v>1260</v>
      </c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</row>
    <row r="10">
      <c r="A10" s="77">
        <v>8.0</v>
      </c>
      <c r="B10" s="77" t="s">
        <v>1261</v>
      </c>
      <c r="C10" s="77">
        <v>34866.0</v>
      </c>
      <c r="D10" s="77" t="s">
        <v>1261</v>
      </c>
      <c r="E10" s="77" t="s">
        <v>95</v>
      </c>
      <c r="F10" s="77" t="s">
        <v>95</v>
      </c>
      <c r="G10" s="77" t="s">
        <v>95</v>
      </c>
      <c r="H10" s="77" t="s">
        <v>95</v>
      </c>
      <c r="I10" s="77" t="s">
        <v>95</v>
      </c>
      <c r="J10" s="77" t="s">
        <v>95</v>
      </c>
      <c r="K10" s="77" t="s">
        <v>95</v>
      </c>
      <c r="L10" s="77" t="s">
        <v>95</v>
      </c>
      <c r="M10" s="76"/>
      <c r="N10" s="85" t="s">
        <v>1262</v>
      </c>
      <c r="O10" s="77" t="s">
        <v>1263</v>
      </c>
      <c r="P10" s="64" t="s">
        <v>937</v>
      </c>
      <c r="Q10" s="86" t="s">
        <v>1264</v>
      </c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</row>
    <row r="11">
      <c r="A11" s="77">
        <v>9.0</v>
      </c>
      <c r="B11" s="77" t="s">
        <v>1265</v>
      </c>
      <c r="C11" s="77">
        <v>34218.0</v>
      </c>
      <c r="D11" s="77" t="s">
        <v>1265</v>
      </c>
      <c r="E11" s="77" t="s">
        <v>95</v>
      </c>
      <c r="F11" s="77" t="s">
        <v>95</v>
      </c>
      <c r="G11" s="77" t="s">
        <v>95</v>
      </c>
      <c r="H11" s="77" t="s">
        <v>95</v>
      </c>
      <c r="I11" s="77" t="s">
        <v>95</v>
      </c>
      <c r="J11" s="77" t="s">
        <v>95</v>
      </c>
      <c r="K11" s="77" t="s">
        <v>95</v>
      </c>
      <c r="L11" s="77" t="s">
        <v>95</v>
      </c>
      <c r="M11" s="76"/>
      <c r="N11" s="85" t="s">
        <v>1266</v>
      </c>
      <c r="O11" s="77" t="s">
        <v>1267</v>
      </c>
      <c r="P11" s="64" t="s">
        <v>937</v>
      </c>
      <c r="Q11" s="86" t="s">
        <v>1268</v>
      </c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76"/>
      <c r="AD11" s="76"/>
      <c r="AE11" s="76"/>
    </row>
    <row r="12">
      <c r="A12" s="77">
        <v>10.0</v>
      </c>
      <c r="B12" s="77" t="s">
        <v>1269</v>
      </c>
      <c r="C12" s="77">
        <v>34319.0</v>
      </c>
      <c r="D12" s="77" t="s">
        <v>1270</v>
      </c>
      <c r="E12" s="77">
        <v>39141.0</v>
      </c>
      <c r="F12" s="77" t="s">
        <v>1271</v>
      </c>
      <c r="G12" s="77" t="s">
        <v>95</v>
      </c>
      <c r="H12" s="77" t="s">
        <v>95</v>
      </c>
      <c r="I12" s="77" t="s">
        <v>95</v>
      </c>
      <c r="J12" s="77" t="s">
        <v>95</v>
      </c>
      <c r="K12" s="77" t="s">
        <v>95</v>
      </c>
      <c r="L12" s="77" t="s">
        <v>95</v>
      </c>
      <c r="M12" s="76"/>
      <c r="N12" s="85" t="s">
        <v>1272</v>
      </c>
      <c r="O12" s="77" t="s">
        <v>1273</v>
      </c>
      <c r="P12" s="64" t="s">
        <v>937</v>
      </c>
      <c r="Q12" s="86" t="s">
        <v>1274</v>
      </c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6"/>
      <c r="AD12" s="76"/>
      <c r="AE12" s="76"/>
    </row>
    <row r="13">
      <c r="A13" s="77">
        <v>11.0</v>
      </c>
      <c r="B13" s="77" t="s">
        <v>1275</v>
      </c>
      <c r="C13" s="77">
        <v>34286.0</v>
      </c>
      <c r="D13" s="77" t="s">
        <v>1276</v>
      </c>
      <c r="E13" s="77">
        <v>45436.0</v>
      </c>
      <c r="F13" s="77" t="s">
        <v>1277</v>
      </c>
      <c r="G13" s="77">
        <v>54696.0</v>
      </c>
      <c r="H13" s="77" t="s">
        <v>1278</v>
      </c>
      <c r="I13" s="77" t="s">
        <v>95</v>
      </c>
      <c r="J13" s="77" t="s">
        <v>95</v>
      </c>
      <c r="K13" s="77" t="s">
        <v>95</v>
      </c>
      <c r="L13" s="77" t="s">
        <v>95</v>
      </c>
      <c r="M13" s="76"/>
      <c r="N13" s="87" t="s">
        <v>1279</v>
      </c>
      <c r="O13" s="64" t="s">
        <v>1280</v>
      </c>
      <c r="P13" s="64" t="s">
        <v>937</v>
      </c>
      <c r="Q13" s="86" t="s">
        <v>1274</v>
      </c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</row>
    <row r="14">
      <c r="A14" s="77">
        <v>12.0</v>
      </c>
      <c r="B14" s="77" t="s">
        <v>1281</v>
      </c>
      <c r="C14" s="77">
        <v>34267.0</v>
      </c>
      <c r="D14" s="77" t="s">
        <v>1282</v>
      </c>
      <c r="E14" s="77">
        <v>40347.0</v>
      </c>
      <c r="F14" s="77" t="s">
        <v>1283</v>
      </c>
      <c r="G14" s="77" t="s">
        <v>95</v>
      </c>
      <c r="H14" s="77" t="s">
        <v>95</v>
      </c>
      <c r="I14" s="77" t="s">
        <v>95</v>
      </c>
      <c r="J14" s="77" t="s">
        <v>95</v>
      </c>
      <c r="K14" s="77" t="s">
        <v>95</v>
      </c>
      <c r="L14" s="77" t="s">
        <v>95</v>
      </c>
      <c r="M14" s="76"/>
      <c r="N14" s="85" t="s">
        <v>1284</v>
      </c>
      <c r="O14" s="77" t="s">
        <v>1285</v>
      </c>
      <c r="P14" s="64" t="s">
        <v>937</v>
      </c>
      <c r="Q14" s="86" t="s">
        <v>1286</v>
      </c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</row>
    <row r="15">
      <c r="A15" s="77">
        <v>13.0</v>
      </c>
      <c r="B15" s="77" t="s">
        <v>1287</v>
      </c>
      <c r="C15" s="77">
        <v>34267.0</v>
      </c>
      <c r="D15" s="77" t="s">
        <v>1288</v>
      </c>
      <c r="E15" s="77">
        <v>37430.0</v>
      </c>
      <c r="F15" s="77" t="s">
        <v>1289</v>
      </c>
      <c r="G15" s="77" t="s">
        <v>95</v>
      </c>
      <c r="H15" s="77" t="s">
        <v>95</v>
      </c>
      <c r="I15" s="77" t="s">
        <v>95</v>
      </c>
      <c r="J15" s="77" t="s">
        <v>95</v>
      </c>
      <c r="K15" s="77" t="s">
        <v>95</v>
      </c>
      <c r="L15" s="77" t="s">
        <v>95</v>
      </c>
      <c r="M15" s="76"/>
      <c r="N15" s="85" t="s">
        <v>1290</v>
      </c>
      <c r="O15" s="77" t="s">
        <v>1291</v>
      </c>
      <c r="P15" s="77" t="s">
        <v>1292</v>
      </c>
      <c r="Q15" s="86" t="s">
        <v>1293</v>
      </c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</row>
    <row r="16">
      <c r="A16" s="77">
        <v>14.0</v>
      </c>
      <c r="B16" s="77" t="s">
        <v>1294</v>
      </c>
      <c r="C16" s="77">
        <v>34222.0</v>
      </c>
      <c r="D16" s="77" t="s">
        <v>1295</v>
      </c>
      <c r="E16" s="77">
        <v>35492.0</v>
      </c>
      <c r="F16" s="77" t="s">
        <v>1296</v>
      </c>
      <c r="G16" s="77" t="s">
        <v>95</v>
      </c>
      <c r="H16" s="77" t="s">
        <v>95</v>
      </c>
      <c r="I16" s="77" t="s">
        <v>95</v>
      </c>
      <c r="J16" s="77" t="s">
        <v>95</v>
      </c>
      <c r="K16" s="77" t="s">
        <v>95</v>
      </c>
      <c r="L16" s="77" t="s">
        <v>95</v>
      </c>
      <c r="M16" s="76"/>
      <c r="N16" s="88" t="s">
        <v>1297</v>
      </c>
      <c r="O16" s="89" t="s">
        <v>1298</v>
      </c>
      <c r="P16" s="90" t="s">
        <v>941</v>
      </c>
      <c r="Q16" s="91" t="s">
        <v>1299</v>
      </c>
      <c r="R16" s="92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</row>
    <row r="17">
      <c r="A17" s="77">
        <v>15.0</v>
      </c>
      <c r="B17" s="77" t="s">
        <v>1300</v>
      </c>
      <c r="C17" s="77">
        <v>34226.0</v>
      </c>
      <c r="D17" s="77" t="s">
        <v>1301</v>
      </c>
      <c r="E17" s="77">
        <v>34694.0</v>
      </c>
      <c r="F17" s="77" t="s">
        <v>1302</v>
      </c>
      <c r="G17" s="77">
        <v>35145.0</v>
      </c>
      <c r="H17" s="77" t="s">
        <v>1303</v>
      </c>
      <c r="I17" s="77" t="s">
        <v>95</v>
      </c>
      <c r="J17" s="77" t="s">
        <v>95</v>
      </c>
      <c r="K17" s="77" t="s">
        <v>95</v>
      </c>
      <c r="L17" s="77" t="s">
        <v>95</v>
      </c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</row>
    <row r="18" ht="14.25" customHeight="1">
      <c r="A18" s="77">
        <v>16.0</v>
      </c>
      <c r="B18" s="93" t="s">
        <v>1304</v>
      </c>
      <c r="C18" s="93">
        <v>34599.0</v>
      </c>
      <c r="D18" s="77" t="s">
        <v>1305</v>
      </c>
      <c r="E18" s="77" t="s">
        <v>95</v>
      </c>
      <c r="F18" s="77" t="s">
        <v>95</v>
      </c>
      <c r="G18" s="77" t="s">
        <v>95</v>
      </c>
      <c r="H18" s="77" t="s">
        <v>95</v>
      </c>
      <c r="I18" s="77" t="s">
        <v>95</v>
      </c>
      <c r="J18" s="77" t="s">
        <v>95</v>
      </c>
      <c r="K18" s="77" t="s">
        <v>95</v>
      </c>
      <c r="L18" s="77" t="s">
        <v>95</v>
      </c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</row>
    <row r="19" ht="16.5" customHeight="1">
      <c r="A19" s="77">
        <v>17.0</v>
      </c>
      <c r="B19" s="93" t="s">
        <v>1306</v>
      </c>
      <c r="C19" s="93">
        <v>34184.0</v>
      </c>
      <c r="D19" s="93" t="s">
        <v>1306</v>
      </c>
      <c r="E19" s="77" t="s">
        <v>95</v>
      </c>
      <c r="F19" s="77" t="s">
        <v>95</v>
      </c>
      <c r="G19" s="77" t="s">
        <v>95</v>
      </c>
      <c r="H19" s="77" t="s">
        <v>95</v>
      </c>
      <c r="I19" s="77" t="s">
        <v>95</v>
      </c>
      <c r="J19" s="77" t="s">
        <v>95</v>
      </c>
      <c r="K19" s="77" t="s">
        <v>95</v>
      </c>
      <c r="L19" s="77" t="s">
        <v>95</v>
      </c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</row>
    <row r="20">
      <c r="A20" s="77">
        <v>18.0</v>
      </c>
      <c r="B20" s="93" t="s">
        <v>1307</v>
      </c>
      <c r="C20" s="93">
        <v>34278.0</v>
      </c>
      <c r="D20" s="77" t="s">
        <v>1308</v>
      </c>
      <c r="E20" s="77" t="s">
        <v>95</v>
      </c>
      <c r="F20" s="77" t="s">
        <v>95</v>
      </c>
      <c r="G20" s="77" t="s">
        <v>95</v>
      </c>
      <c r="H20" s="77" t="s">
        <v>95</v>
      </c>
      <c r="I20" s="77" t="s">
        <v>95</v>
      </c>
      <c r="J20" s="77" t="s">
        <v>95</v>
      </c>
      <c r="K20" s="77" t="s">
        <v>95</v>
      </c>
      <c r="L20" s="77" t="s">
        <v>95</v>
      </c>
      <c r="M20" s="92"/>
      <c r="N20" s="92"/>
      <c r="O20" s="92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6"/>
      <c r="AC20" s="76"/>
      <c r="AD20" s="76"/>
      <c r="AE20" s="76"/>
    </row>
    <row r="21">
      <c r="A21" s="77">
        <v>19.0</v>
      </c>
      <c r="B21" s="77" t="s">
        <v>1309</v>
      </c>
      <c r="C21" s="77">
        <v>34222.0</v>
      </c>
      <c r="D21" s="77" t="s">
        <v>1310</v>
      </c>
      <c r="E21" s="77">
        <v>34397.0</v>
      </c>
      <c r="F21" s="77" t="s">
        <v>1311</v>
      </c>
      <c r="G21" s="77" t="s">
        <v>95</v>
      </c>
      <c r="H21" s="77" t="s">
        <v>95</v>
      </c>
      <c r="I21" s="77" t="s">
        <v>95</v>
      </c>
      <c r="J21" s="77" t="s">
        <v>95</v>
      </c>
      <c r="K21" s="77" t="s">
        <v>95</v>
      </c>
      <c r="L21" s="77" t="s">
        <v>95</v>
      </c>
      <c r="M21" s="92"/>
      <c r="N21" s="77" t="s">
        <v>1312</v>
      </c>
      <c r="O21" s="92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  <c r="AE21" s="76"/>
    </row>
    <row r="22">
      <c r="A22" s="77">
        <v>20.0</v>
      </c>
      <c r="B22" s="77" t="s">
        <v>1313</v>
      </c>
      <c r="C22" s="77">
        <v>34260.0</v>
      </c>
      <c r="D22" s="77" t="s">
        <v>1314</v>
      </c>
      <c r="E22" s="77">
        <v>36975.0</v>
      </c>
      <c r="F22" s="77" t="s">
        <v>1315</v>
      </c>
      <c r="G22" s="77" t="s">
        <v>95</v>
      </c>
      <c r="H22" s="77" t="s">
        <v>95</v>
      </c>
      <c r="I22" s="77" t="s">
        <v>95</v>
      </c>
      <c r="J22" s="77" t="s">
        <v>95</v>
      </c>
      <c r="K22" s="77" t="s">
        <v>95</v>
      </c>
      <c r="L22" s="77" t="s">
        <v>95</v>
      </c>
      <c r="M22" s="92"/>
      <c r="N22" s="92"/>
      <c r="O22" s="92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6"/>
      <c r="AC22" s="76"/>
      <c r="AD22" s="76"/>
      <c r="AE22" s="76"/>
    </row>
    <row r="23">
      <c r="A23" s="77">
        <v>21.0</v>
      </c>
      <c r="B23" s="77" t="s">
        <v>1316</v>
      </c>
      <c r="C23" s="77">
        <v>34334.0</v>
      </c>
      <c r="D23" s="77" t="s">
        <v>1317</v>
      </c>
      <c r="E23" s="77">
        <v>40888.0</v>
      </c>
      <c r="F23" s="77" t="s">
        <v>1318</v>
      </c>
      <c r="G23" s="77" t="s">
        <v>95</v>
      </c>
      <c r="H23" s="77" t="s">
        <v>95</v>
      </c>
      <c r="I23" s="77" t="s">
        <v>95</v>
      </c>
      <c r="J23" s="77" t="s">
        <v>95</v>
      </c>
      <c r="K23" s="77" t="s">
        <v>95</v>
      </c>
      <c r="L23" s="77" t="s">
        <v>95</v>
      </c>
      <c r="M23" s="92"/>
      <c r="N23" s="92"/>
      <c r="O23" s="92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</row>
    <row r="24">
      <c r="A24" s="77">
        <v>22.0</v>
      </c>
      <c r="B24" s="77" t="s">
        <v>1319</v>
      </c>
      <c r="C24" s="77">
        <v>34188.0</v>
      </c>
      <c r="D24" s="77" t="s">
        <v>1320</v>
      </c>
      <c r="E24" s="77">
        <v>44638.0</v>
      </c>
      <c r="F24" s="77" t="s">
        <v>1321</v>
      </c>
      <c r="G24" s="77" t="s">
        <v>95</v>
      </c>
      <c r="H24" s="77" t="s">
        <v>95</v>
      </c>
      <c r="I24" s="77" t="s">
        <v>95</v>
      </c>
      <c r="J24" s="77" t="s">
        <v>95</v>
      </c>
      <c r="K24" s="77" t="s">
        <v>95</v>
      </c>
      <c r="L24" s="77" t="s">
        <v>95</v>
      </c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</row>
    <row r="25">
      <c r="A25" s="77">
        <v>23.0</v>
      </c>
      <c r="B25" s="77" t="s">
        <v>1322</v>
      </c>
      <c r="C25" s="77">
        <v>34248.0</v>
      </c>
      <c r="D25" s="77" t="s">
        <v>1322</v>
      </c>
      <c r="E25" s="77" t="s">
        <v>95</v>
      </c>
      <c r="F25" s="77" t="s">
        <v>95</v>
      </c>
      <c r="G25" s="77" t="s">
        <v>95</v>
      </c>
      <c r="H25" s="77" t="s">
        <v>95</v>
      </c>
      <c r="I25" s="77" t="s">
        <v>95</v>
      </c>
      <c r="J25" s="77" t="s">
        <v>95</v>
      </c>
      <c r="K25" s="77" t="s">
        <v>95</v>
      </c>
      <c r="L25" s="77" t="s">
        <v>95</v>
      </c>
      <c r="M25" s="76"/>
      <c r="Q25" s="77"/>
      <c r="R25" s="77"/>
      <c r="S25" s="77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</row>
    <row r="26">
      <c r="A26" s="77">
        <v>24.0</v>
      </c>
      <c r="B26" s="77" t="s">
        <v>1323</v>
      </c>
      <c r="C26" s="77">
        <v>34642.0</v>
      </c>
      <c r="D26" s="77" t="s">
        <v>1324</v>
      </c>
      <c r="E26" s="77">
        <v>39239.0</v>
      </c>
      <c r="F26" s="77" t="s">
        <v>1325</v>
      </c>
      <c r="G26" s="77" t="s">
        <v>95</v>
      </c>
      <c r="H26" s="77" t="s">
        <v>95</v>
      </c>
      <c r="I26" s="77" t="s">
        <v>95</v>
      </c>
      <c r="J26" s="77" t="s">
        <v>95</v>
      </c>
      <c r="K26" s="77" t="s">
        <v>95</v>
      </c>
      <c r="L26" s="77" t="s">
        <v>95</v>
      </c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</row>
    <row r="27">
      <c r="A27" s="77">
        <v>25.0</v>
      </c>
      <c r="B27" s="77" t="s">
        <v>1326</v>
      </c>
      <c r="C27" s="77">
        <v>34188.0</v>
      </c>
      <c r="D27" s="77" t="s">
        <v>1327</v>
      </c>
      <c r="E27" s="77">
        <v>52007.0</v>
      </c>
      <c r="F27" s="77" t="s">
        <v>1328</v>
      </c>
      <c r="G27" s="77" t="s">
        <v>95</v>
      </c>
      <c r="H27" s="77" t="s">
        <v>95</v>
      </c>
      <c r="I27" s="77" t="s">
        <v>95</v>
      </c>
      <c r="J27" s="77" t="s">
        <v>95</v>
      </c>
      <c r="K27" s="77" t="s">
        <v>95</v>
      </c>
      <c r="L27" s="77" t="s">
        <v>95</v>
      </c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</row>
    <row r="28">
      <c r="A28" s="77">
        <v>26.0</v>
      </c>
      <c r="B28" s="77" t="s">
        <v>1329</v>
      </c>
      <c r="C28" s="77">
        <v>34275.0</v>
      </c>
      <c r="D28" s="77" t="s">
        <v>1329</v>
      </c>
      <c r="E28" s="77">
        <v>36712.0</v>
      </c>
      <c r="F28" s="77" t="s">
        <v>1244</v>
      </c>
      <c r="G28" s="77" t="s">
        <v>95</v>
      </c>
      <c r="H28" s="77" t="s">
        <v>95</v>
      </c>
      <c r="I28" s="77" t="s">
        <v>95</v>
      </c>
      <c r="J28" s="77" t="s">
        <v>95</v>
      </c>
      <c r="K28" s="77" t="s">
        <v>95</v>
      </c>
      <c r="L28" s="77" t="s">
        <v>95</v>
      </c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</row>
    <row r="29">
      <c r="A29" s="77">
        <v>27.0</v>
      </c>
      <c r="B29" s="77" t="s">
        <v>1330</v>
      </c>
      <c r="C29" s="77">
        <v>34252.0</v>
      </c>
      <c r="D29" s="77" t="s">
        <v>1330</v>
      </c>
      <c r="E29" s="77">
        <v>40874.0</v>
      </c>
      <c r="F29" s="77" t="s">
        <v>1331</v>
      </c>
      <c r="G29" s="77" t="s">
        <v>95</v>
      </c>
      <c r="H29" s="77" t="s">
        <v>95</v>
      </c>
      <c r="I29" s="77" t="s">
        <v>95</v>
      </c>
      <c r="J29" s="77" t="s">
        <v>95</v>
      </c>
      <c r="K29" s="77" t="s">
        <v>95</v>
      </c>
      <c r="L29" s="77" t="s">
        <v>95</v>
      </c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</row>
    <row r="30">
      <c r="A30" s="77">
        <v>28.0</v>
      </c>
      <c r="B30" s="77" t="s">
        <v>1332</v>
      </c>
      <c r="C30" s="77">
        <v>34188.0</v>
      </c>
      <c r="D30" s="77" t="s">
        <v>1333</v>
      </c>
      <c r="E30" s="77">
        <v>42653.0</v>
      </c>
      <c r="F30" s="77" t="s">
        <v>1334</v>
      </c>
      <c r="G30" s="77" t="s">
        <v>95</v>
      </c>
      <c r="H30" s="77" t="s">
        <v>95</v>
      </c>
      <c r="I30" s="77" t="s">
        <v>95</v>
      </c>
      <c r="J30" s="77" t="s">
        <v>95</v>
      </c>
      <c r="K30" s="77" t="s">
        <v>95</v>
      </c>
      <c r="L30" s="77" t="s">
        <v>95</v>
      </c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</row>
    <row r="31">
      <c r="A31" s="77">
        <v>29.0</v>
      </c>
      <c r="B31" s="77" t="s">
        <v>1335</v>
      </c>
      <c r="C31" s="77">
        <v>34192.0</v>
      </c>
      <c r="D31" s="77" t="s">
        <v>1336</v>
      </c>
      <c r="E31" s="77">
        <v>35244.0</v>
      </c>
      <c r="F31" s="77" t="s">
        <v>1337</v>
      </c>
      <c r="G31" s="77">
        <v>40648.0</v>
      </c>
      <c r="H31" s="77" t="s">
        <v>1338</v>
      </c>
      <c r="I31" s="77" t="s">
        <v>95</v>
      </c>
      <c r="J31" s="77" t="s">
        <v>95</v>
      </c>
      <c r="K31" s="77" t="s">
        <v>95</v>
      </c>
      <c r="L31" s="77" t="s">
        <v>95</v>
      </c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6"/>
      <c r="AD31" s="76"/>
      <c r="AE31" s="76"/>
    </row>
    <row r="32">
      <c r="A32" s="77">
        <v>30.0</v>
      </c>
      <c r="B32" s="77" t="s">
        <v>1339</v>
      </c>
      <c r="C32" s="77">
        <v>34200.0</v>
      </c>
      <c r="D32" s="77" t="s">
        <v>1340</v>
      </c>
      <c r="E32" s="77">
        <v>37052.0</v>
      </c>
      <c r="F32" s="77" t="s">
        <v>1341</v>
      </c>
      <c r="G32" s="77">
        <v>39874.0</v>
      </c>
      <c r="H32" s="77" t="s">
        <v>1342</v>
      </c>
      <c r="I32" s="77">
        <v>44344.0</v>
      </c>
      <c r="J32" s="77" t="s">
        <v>1343</v>
      </c>
      <c r="K32" s="77">
        <v>48328.0</v>
      </c>
      <c r="L32" s="77" t="s">
        <v>1344</v>
      </c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6"/>
      <c r="AB32" s="76"/>
      <c r="AC32" s="76"/>
      <c r="AD32" s="76"/>
      <c r="AE32" s="76"/>
    </row>
    <row r="33">
      <c r="A33" s="77">
        <v>31.0</v>
      </c>
      <c r="B33" s="77" t="s">
        <v>1345</v>
      </c>
      <c r="C33" s="77">
        <v>34200.0</v>
      </c>
      <c r="D33" s="77" t="s">
        <v>1340</v>
      </c>
      <c r="E33" s="77">
        <v>37052.0</v>
      </c>
      <c r="F33" s="77" t="s">
        <v>1341</v>
      </c>
      <c r="G33" s="77">
        <v>39048.0</v>
      </c>
      <c r="H33" s="77" t="s">
        <v>1346</v>
      </c>
      <c r="I33" s="77">
        <v>44344.0</v>
      </c>
      <c r="J33" s="77" t="s">
        <v>1343</v>
      </c>
      <c r="K33" s="77">
        <v>48328.0</v>
      </c>
      <c r="L33" s="77" t="s">
        <v>1344</v>
      </c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  <c r="AE33" s="76"/>
    </row>
    <row r="34">
      <c r="A34" s="77">
        <v>32.0</v>
      </c>
      <c r="B34" s="77" t="s">
        <v>1347</v>
      </c>
      <c r="C34" s="77">
        <v>34200.0</v>
      </c>
      <c r="D34" s="77" t="s">
        <v>1340</v>
      </c>
      <c r="E34" s="77">
        <v>37052.0</v>
      </c>
      <c r="F34" s="77" t="s">
        <v>1341</v>
      </c>
      <c r="G34" s="77">
        <v>39650.0</v>
      </c>
      <c r="H34" s="77" t="s">
        <v>1348</v>
      </c>
      <c r="I34" s="94">
        <v>44554.0</v>
      </c>
      <c r="J34" s="77" t="s">
        <v>1343</v>
      </c>
      <c r="K34" s="95">
        <v>48540.0</v>
      </c>
      <c r="L34" s="77" t="s">
        <v>1344</v>
      </c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</row>
    <row r="35">
      <c r="A35" s="77">
        <v>33.0</v>
      </c>
      <c r="B35" s="77" t="s">
        <v>1349</v>
      </c>
      <c r="C35" s="77">
        <v>34413.0</v>
      </c>
      <c r="D35" s="77" t="s">
        <v>1350</v>
      </c>
      <c r="E35" s="77">
        <v>40697.0</v>
      </c>
      <c r="F35" s="77" t="s">
        <v>1351</v>
      </c>
      <c r="G35" s="77">
        <v>47585.0</v>
      </c>
      <c r="H35" s="64" t="s">
        <v>1352</v>
      </c>
      <c r="I35" s="77">
        <v>50785.0</v>
      </c>
      <c r="J35" s="77" t="s">
        <v>1353</v>
      </c>
      <c r="K35" s="77" t="s">
        <v>95</v>
      </c>
      <c r="L35" s="77" t="s">
        <v>95</v>
      </c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</row>
    <row r="36">
      <c r="A36" s="76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  <c r="AA36" s="76"/>
      <c r="AB36" s="76"/>
      <c r="AC36" s="76"/>
      <c r="AD36" s="76"/>
      <c r="AE36" s="76"/>
    </row>
    <row r="37">
      <c r="A37" s="76"/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6"/>
      <c r="AC37" s="76"/>
      <c r="AD37" s="76"/>
      <c r="AE37" s="76"/>
    </row>
    <row r="38">
      <c r="A38" s="76"/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  <c r="AA38" s="76"/>
      <c r="AB38" s="76"/>
      <c r="AC38" s="76"/>
      <c r="AD38" s="76"/>
      <c r="AE38" s="76"/>
    </row>
    <row r="39">
      <c r="A39" s="76"/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  <c r="AA39" s="76"/>
      <c r="AB39" s="76"/>
      <c r="AC39" s="76"/>
      <c r="AD39" s="76"/>
      <c r="AE39" s="76"/>
    </row>
    <row r="40">
      <c r="A40" s="76"/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  <c r="AB40" s="76"/>
      <c r="AC40" s="76"/>
      <c r="AD40" s="76"/>
      <c r="AE40" s="76"/>
    </row>
    <row r="41">
      <c r="A41" s="76"/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  <c r="AB41" s="76"/>
      <c r="AC41" s="76"/>
      <c r="AD41" s="76"/>
      <c r="AE41" s="76"/>
    </row>
    <row r="42">
      <c r="A42" s="76"/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76"/>
      <c r="AE42" s="76"/>
    </row>
    <row r="43">
      <c r="A43" s="76"/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  <c r="AB43" s="76"/>
      <c r="AC43" s="76"/>
      <c r="AD43" s="76"/>
      <c r="AE43" s="76"/>
    </row>
    <row r="44">
      <c r="A44" s="76"/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</row>
    <row r="45">
      <c r="A45" s="76"/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  <c r="AA45" s="76"/>
      <c r="AB45" s="76"/>
      <c r="AC45" s="76"/>
      <c r="AD45" s="76"/>
      <c r="AE45" s="76"/>
    </row>
    <row r="46">
      <c r="A46" s="76"/>
      <c r="B46" s="76"/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76"/>
      <c r="AE46" s="76"/>
    </row>
    <row r="47">
      <c r="A47" s="76"/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</row>
    <row r="48">
      <c r="A48" s="76"/>
      <c r="B48" s="76"/>
      <c r="C48" s="76"/>
      <c r="D48" s="76"/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76"/>
      <c r="AE48" s="76"/>
    </row>
    <row r="49">
      <c r="A49" s="76"/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  <c r="AA49" s="76"/>
      <c r="AB49" s="76"/>
      <c r="AC49" s="76"/>
      <c r="AD49" s="76"/>
      <c r="AE49" s="76"/>
    </row>
    <row r="50">
      <c r="A50" s="76"/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</row>
    <row r="51">
      <c r="A51" s="76"/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  <c r="AA51" s="76"/>
      <c r="AB51" s="76"/>
      <c r="AC51" s="76"/>
      <c r="AD51" s="76"/>
      <c r="AE51" s="76"/>
    </row>
    <row r="52">
      <c r="A52" s="76"/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</row>
    <row r="53">
      <c r="A53" s="76"/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</row>
    <row r="54">
      <c r="A54" s="76"/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</row>
    <row r="55">
      <c r="A55" s="76"/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</row>
    <row r="56">
      <c r="A56" s="76"/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6"/>
      <c r="AB56" s="76"/>
      <c r="AC56" s="76"/>
      <c r="AD56" s="76"/>
      <c r="AE56" s="76"/>
    </row>
    <row r="57">
      <c r="A57" s="76"/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</row>
    <row r="58">
      <c r="A58" s="76"/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  <c r="AA58" s="76"/>
      <c r="AB58" s="76"/>
      <c r="AC58" s="76"/>
      <c r="AD58" s="76"/>
      <c r="AE58" s="76"/>
    </row>
    <row r="59">
      <c r="A59" s="76"/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  <c r="AA59" s="76"/>
      <c r="AB59" s="76"/>
      <c r="AC59" s="76"/>
      <c r="AD59" s="76"/>
      <c r="AE59" s="76"/>
    </row>
    <row r="60">
      <c r="A60" s="76"/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  <c r="AA60" s="76"/>
      <c r="AB60" s="76"/>
      <c r="AC60" s="76"/>
      <c r="AD60" s="76"/>
      <c r="AE60" s="76"/>
    </row>
    <row r="61">
      <c r="A61" s="76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  <c r="AA61" s="76"/>
      <c r="AB61" s="76"/>
      <c r="AC61" s="76"/>
      <c r="AD61" s="76"/>
      <c r="AE61" s="76"/>
    </row>
    <row r="62">
      <c r="A62" s="76"/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  <c r="AA62" s="76"/>
      <c r="AB62" s="76"/>
      <c r="AC62" s="76"/>
      <c r="AD62" s="76"/>
      <c r="AE62" s="76"/>
    </row>
    <row r="63">
      <c r="A63" s="76"/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  <c r="AA63" s="76"/>
      <c r="AB63" s="76"/>
      <c r="AC63" s="76"/>
      <c r="AD63" s="76"/>
      <c r="AE63" s="76"/>
    </row>
    <row r="64">
      <c r="A64" s="76"/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  <c r="AA64" s="76"/>
      <c r="AB64" s="76"/>
      <c r="AC64" s="76"/>
      <c r="AD64" s="76"/>
      <c r="AE64" s="76"/>
    </row>
    <row r="65">
      <c r="A65" s="76"/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  <c r="AA65" s="76"/>
      <c r="AB65" s="76"/>
      <c r="AC65" s="76"/>
      <c r="AD65" s="76"/>
      <c r="AE65" s="76"/>
    </row>
    <row r="66">
      <c r="A66" s="76"/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  <c r="AA66" s="76"/>
      <c r="AB66" s="76"/>
      <c r="AC66" s="76"/>
      <c r="AD66" s="76"/>
      <c r="AE66" s="76"/>
    </row>
    <row r="67">
      <c r="A67" s="76"/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  <c r="AA67" s="76"/>
      <c r="AB67" s="76"/>
      <c r="AC67" s="76"/>
      <c r="AD67" s="76"/>
      <c r="AE67" s="76"/>
    </row>
    <row r="68">
      <c r="A68" s="76"/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  <c r="AA68" s="76"/>
      <c r="AB68" s="76"/>
      <c r="AC68" s="76"/>
      <c r="AD68" s="76"/>
      <c r="AE68" s="76"/>
    </row>
    <row r="69">
      <c r="A69" s="76"/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  <c r="AA69" s="76"/>
      <c r="AB69" s="76"/>
      <c r="AC69" s="76"/>
      <c r="AD69" s="76"/>
      <c r="AE69" s="76"/>
    </row>
    <row r="70">
      <c r="A70" s="76"/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  <c r="AA70" s="76"/>
      <c r="AB70" s="76"/>
      <c r="AC70" s="76"/>
      <c r="AD70" s="76"/>
      <c r="AE70" s="76"/>
    </row>
    <row r="71">
      <c r="A71" s="76"/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  <c r="AA71" s="76"/>
      <c r="AB71" s="76"/>
      <c r="AC71" s="76"/>
      <c r="AD71" s="76"/>
      <c r="AE71" s="76"/>
    </row>
    <row r="72">
      <c r="A72" s="76"/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6"/>
      <c r="AD72" s="76"/>
      <c r="AE72" s="76"/>
    </row>
    <row r="73">
      <c r="A73" s="76"/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  <c r="AA73" s="76"/>
      <c r="AB73" s="76"/>
      <c r="AC73" s="76"/>
      <c r="AD73" s="76"/>
      <c r="AE73" s="76"/>
    </row>
    <row r="74">
      <c r="A74" s="76"/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76"/>
      <c r="AB74" s="76"/>
      <c r="AC74" s="76"/>
      <c r="AD74" s="76"/>
      <c r="AE74" s="76"/>
    </row>
    <row r="75">
      <c r="A75" s="76"/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  <c r="AA75" s="76"/>
      <c r="AB75" s="76"/>
      <c r="AC75" s="76"/>
      <c r="AD75" s="76"/>
      <c r="AE75" s="76"/>
    </row>
    <row r="76">
      <c r="A76" s="76"/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  <c r="AA76" s="76"/>
      <c r="AB76" s="76"/>
      <c r="AC76" s="76"/>
      <c r="AD76" s="76"/>
      <c r="AE76" s="76"/>
    </row>
    <row r="77">
      <c r="A77" s="76"/>
      <c r="B77" s="76"/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  <c r="AA77" s="76"/>
      <c r="AB77" s="76"/>
      <c r="AC77" s="76"/>
      <c r="AD77" s="76"/>
      <c r="AE77" s="76"/>
    </row>
    <row r="78">
      <c r="A78" s="76"/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  <c r="AA78" s="76"/>
      <c r="AB78" s="76"/>
      <c r="AC78" s="76"/>
      <c r="AD78" s="76"/>
      <c r="AE78" s="76"/>
    </row>
    <row r="79">
      <c r="A79" s="76"/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  <c r="AE79" s="76"/>
    </row>
    <row r="80">
      <c r="A80" s="76"/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  <c r="AA80" s="76"/>
      <c r="AB80" s="76"/>
      <c r="AC80" s="76"/>
      <c r="AD80" s="76"/>
      <c r="AE80" s="76"/>
    </row>
    <row r="81">
      <c r="A81" s="76"/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/>
      <c r="AB81" s="76"/>
      <c r="AC81" s="76"/>
      <c r="AD81" s="76"/>
      <c r="AE81" s="76"/>
    </row>
    <row r="82">
      <c r="A82" s="76"/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</row>
    <row r="83">
      <c r="A83" s="76"/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  <c r="AB83" s="76"/>
      <c r="AC83" s="76"/>
      <c r="AD83" s="76"/>
      <c r="AE83" s="76"/>
    </row>
    <row r="84">
      <c r="A84" s="76"/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6"/>
      <c r="AB84" s="76"/>
      <c r="AC84" s="76"/>
      <c r="AD84" s="76"/>
      <c r="AE84" s="76"/>
    </row>
    <row r="85">
      <c r="A85" s="76"/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</row>
    <row r="86">
      <c r="A86" s="76"/>
      <c r="B86" s="76"/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  <c r="AA86" s="76"/>
      <c r="AB86" s="76"/>
      <c r="AC86" s="76"/>
      <c r="AD86" s="76"/>
      <c r="AE86" s="76"/>
    </row>
    <row r="87">
      <c r="A87" s="76"/>
      <c r="B87" s="76"/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  <c r="AA87" s="76"/>
      <c r="AB87" s="76"/>
      <c r="AC87" s="76"/>
      <c r="AD87" s="76"/>
      <c r="AE87" s="76"/>
    </row>
    <row r="88">
      <c r="A88" s="76"/>
      <c r="B88" s="76"/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  <c r="AA88" s="76"/>
      <c r="AB88" s="76"/>
      <c r="AC88" s="76"/>
      <c r="AD88" s="76"/>
      <c r="AE88" s="76"/>
    </row>
    <row r="89">
      <c r="A89" s="76"/>
      <c r="B89" s="76"/>
      <c r="C89" s="76"/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  <c r="AA89" s="76"/>
      <c r="AB89" s="76"/>
      <c r="AC89" s="76"/>
      <c r="AD89" s="76"/>
      <c r="AE89" s="76"/>
    </row>
    <row r="90">
      <c r="A90" s="76"/>
      <c r="B90" s="76"/>
      <c r="C90" s="76"/>
      <c r="D90" s="76"/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  <c r="AA90" s="76"/>
      <c r="AB90" s="76"/>
      <c r="AC90" s="76"/>
      <c r="AD90" s="76"/>
      <c r="AE90" s="76"/>
    </row>
    <row r="91">
      <c r="A91" s="76"/>
      <c r="B91" s="76"/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  <c r="AA91" s="76"/>
      <c r="AB91" s="76"/>
      <c r="AC91" s="76"/>
      <c r="AD91" s="76"/>
      <c r="AE91" s="76"/>
    </row>
    <row r="92">
      <c r="A92" s="76"/>
      <c r="B92" s="76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  <c r="AA92" s="76"/>
      <c r="AB92" s="76"/>
      <c r="AC92" s="76"/>
      <c r="AD92" s="76"/>
      <c r="AE92" s="76"/>
    </row>
    <row r="93">
      <c r="A93" s="76"/>
      <c r="B93" s="76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  <c r="AA93" s="76"/>
      <c r="AB93" s="76"/>
      <c r="AC93" s="76"/>
      <c r="AD93" s="76"/>
      <c r="AE93" s="76"/>
    </row>
    <row r="94">
      <c r="A94" s="76"/>
      <c r="B94" s="76"/>
      <c r="C94" s="76"/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  <c r="AA94" s="76"/>
      <c r="AB94" s="76"/>
      <c r="AC94" s="76"/>
      <c r="AD94" s="76"/>
      <c r="AE94" s="76"/>
    </row>
    <row r="95">
      <c r="A95" s="76"/>
      <c r="B95" s="76"/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  <c r="AA95" s="76"/>
      <c r="AB95" s="76"/>
      <c r="AC95" s="76"/>
      <c r="AD95" s="76"/>
      <c r="AE95" s="76"/>
    </row>
    <row r="96">
      <c r="A96" s="76"/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  <c r="AB96" s="76"/>
      <c r="AC96" s="76"/>
      <c r="AD96" s="76"/>
      <c r="AE96" s="76"/>
    </row>
    <row r="97">
      <c r="A97" s="76"/>
      <c r="B97" s="76"/>
      <c r="C97" s="76"/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  <c r="AA97" s="76"/>
      <c r="AB97" s="76"/>
      <c r="AC97" s="76"/>
      <c r="AD97" s="76"/>
      <c r="AE97" s="76"/>
    </row>
    <row r="98">
      <c r="A98" s="76"/>
      <c r="B98" s="76"/>
      <c r="C98" s="76"/>
      <c r="D98" s="76"/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  <c r="AB98" s="76"/>
      <c r="AC98" s="76"/>
      <c r="AD98" s="76"/>
      <c r="AE98" s="76"/>
    </row>
    <row r="99">
      <c r="A99" s="76"/>
      <c r="B99" s="76"/>
      <c r="C99" s="76"/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  <c r="AB99" s="76"/>
      <c r="AC99" s="76"/>
      <c r="AD99" s="76"/>
      <c r="AE99" s="76"/>
    </row>
    <row r="100">
      <c r="A100" s="76"/>
      <c r="B100" s="76"/>
      <c r="C100" s="76"/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</row>
    <row r="101">
      <c r="A101" s="76"/>
      <c r="B101" s="76"/>
      <c r="C101" s="76"/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</row>
    <row r="102">
      <c r="A102" s="76"/>
      <c r="B102" s="76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  <c r="AA102" s="76"/>
      <c r="AB102" s="76"/>
      <c r="AC102" s="76"/>
      <c r="AD102" s="76"/>
      <c r="AE102" s="76"/>
    </row>
    <row r="103">
      <c r="A103" s="76"/>
      <c r="B103" s="76"/>
      <c r="C103" s="76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  <c r="AA103" s="76"/>
      <c r="AB103" s="76"/>
      <c r="AC103" s="76"/>
      <c r="AD103" s="76"/>
      <c r="AE103" s="76"/>
    </row>
    <row r="104">
      <c r="A104" s="76"/>
      <c r="B104" s="76"/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  <c r="AC104" s="76"/>
      <c r="AD104" s="76"/>
      <c r="AE104" s="76"/>
    </row>
    <row r="105">
      <c r="A105" s="76"/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  <c r="AA105" s="76"/>
      <c r="AB105" s="76"/>
      <c r="AC105" s="76"/>
      <c r="AD105" s="76"/>
      <c r="AE105" s="76"/>
    </row>
    <row r="106">
      <c r="A106" s="76"/>
      <c r="B106" s="76"/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  <c r="AA106" s="76"/>
      <c r="AB106" s="76"/>
      <c r="AC106" s="76"/>
      <c r="AD106" s="76"/>
      <c r="AE106" s="76"/>
    </row>
    <row r="107">
      <c r="A107" s="76"/>
      <c r="B107" s="76"/>
      <c r="C107" s="76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  <c r="AA107" s="76"/>
      <c r="AB107" s="76"/>
      <c r="AC107" s="76"/>
      <c r="AD107" s="76"/>
      <c r="AE107" s="76"/>
    </row>
    <row r="108">
      <c r="A108" s="76"/>
      <c r="B108" s="76"/>
      <c r="C108" s="76"/>
      <c r="D108" s="76"/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  <c r="AA108" s="76"/>
      <c r="AB108" s="76"/>
      <c r="AC108" s="76"/>
      <c r="AD108" s="76"/>
      <c r="AE108" s="76"/>
    </row>
    <row r="109">
      <c r="A109" s="76"/>
      <c r="B109" s="76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  <c r="AA109" s="76"/>
      <c r="AB109" s="76"/>
      <c r="AC109" s="76"/>
      <c r="AD109" s="76"/>
      <c r="AE109" s="76"/>
    </row>
    <row r="110">
      <c r="A110" s="76"/>
      <c r="B110" s="76"/>
      <c r="C110" s="76"/>
      <c r="D110" s="76"/>
      <c r="E110" s="76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  <c r="AA110" s="76"/>
      <c r="AB110" s="76"/>
      <c r="AC110" s="76"/>
      <c r="AD110" s="76"/>
      <c r="AE110" s="76"/>
    </row>
    <row r="111">
      <c r="A111" s="76"/>
      <c r="B111" s="76"/>
      <c r="C111" s="76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  <c r="AA111" s="76"/>
      <c r="AB111" s="76"/>
      <c r="AC111" s="76"/>
      <c r="AD111" s="76"/>
      <c r="AE111" s="76"/>
    </row>
    <row r="112">
      <c r="A112" s="76"/>
      <c r="B112" s="76"/>
      <c r="C112" s="76"/>
      <c r="D112" s="76"/>
      <c r="E112" s="76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  <c r="AA112" s="76"/>
      <c r="AB112" s="76"/>
      <c r="AC112" s="76"/>
      <c r="AD112" s="76"/>
      <c r="AE112" s="76"/>
    </row>
    <row r="113">
      <c r="A113" s="76"/>
      <c r="B113" s="76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  <c r="AA113" s="76"/>
      <c r="AB113" s="76"/>
      <c r="AC113" s="76"/>
      <c r="AD113" s="76"/>
      <c r="AE113" s="76"/>
    </row>
    <row r="114">
      <c r="A114" s="76"/>
      <c r="B114" s="76"/>
      <c r="C114" s="76"/>
      <c r="D114" s="76"/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  <c r="AA114" s="76"/>
      <c r="AB114" s="76"/>
      <c r="AC114" s="76"/>
      <c r="AD114" s="76"/>
      <c r="AE114" s="76"/>
    </row>
    <row r="115">
      <c r="A115" s="76"/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  <c r="AA115" s="76"/>
      <c r="AB115" s="76"/>
      <c r="AC115" s="76"/>
      <c r="AD115" s="76"/>
      <c r="AE115" s="76"/>
    </row>
    <row r="116">
      <c r="A116" s="76"/>
      <c r="B116" s="76"/>
      <c r="C116" s="76"/>
      <c r="D116" s="76"/>
      <c r="E116" s="7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  <c r="AA116" s="76"/>
      <c r="AB116" s="76"/>
      <c r="AC116" s="76"/>
      <c r="AD116" s="76"/>
      <c r="AE116" s="76"/>
    </row>
    <row r="117">
      <c r="A117" s="76"/>
      <c r="B117" s="76"/>
      <c r="C117" s="76"/>
      <c r="D117" s="76"/>
      <c r="E117" s="76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  <c r="AA117" s="76"/>
      <c r="AB117" s="76"/>
      <c r="AC117" s="76"/>
      <c r="AD117" s="76"/>
      <c r="AE117" s="76"/>
    </row>
    <row r="118">
      <c r="A118" s="76"/>
      <c r="B118" s="76"/>
      <c r="C118" s="76"/>
      <c r="D118" s="76"/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  <c r="AA118" s="76"/>
      <c r="AB118" s="76"/>
      <c r="AC118" s="76"/>
      <c r="AD118" s="76"/>
      <c r="AE118" s="76"/>
    </row>
    <row r="119">
      <c r="A119" s="76"/>
      <c r="B119" s="76"/>
      <c r="C119" s="76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  <c r="AA119" s="76"/>
      <c r="AB119" s="76"/>
      <c r="AC119" s="76"/>
      <c r="AD119" s="76"/>
      <c r="AE119" s="76"/>
    </row>
    <row r="120">
      <c r="A120" s="76"/>
      <c r="B120" s="76"/>
      <c r="C120" s="76"/>
      <c r="D120" s="76"/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  <c r="AA120" s="76"/>
      <c r="AB120" s="76"/>
      <c r="AC120" s="76"/>
      <c r="AD120" s="76"/>
      <c r="AE120" s="76"/>
    </row>
    <row r="121">
      <c r="A121" s="76"/>
      <c r="B121" s="76"/>
      <c r="C121" s="76"/>
      <c r="D121" s="76"/>
      <c r="E121" s="76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  <c r="AA121" s="76"/>
      <c r="AB121" s="76"/>
      <c r="AC121" s="76"/>
      <c r="AD121" s="76"/>
      <c r="AE121" s="76"/>
    </row>
    <row r="122">
      <c r="A122" s="76"/>
      <c r="B122" s="76"/>
      <c r="C122" s="76"/>
      <c r="D122" s="76"/>
      <c r="E122" s="76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  <c r="AA122" s="76"/>
      <c r="AB122" s="76"/>
      <c r="AC122" s="76"/>
      <c r="AD122" s="76"/>
      <c r="AE122" s="76"/>
    </row>
    <row r="123">
      <c r="A123" s="76"/>
      <c r="B123" s="76"/>
      <c r="C123" s="76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  <c r="AA123" s="76"/>
      <c r="AB123" s="76"/>
      <c r="AC123" s="76"/>
      <c r="AD123" s="76"/>
      <c r="AE123" s="76"/>
    </row>
    <row r="124">
      <c r="A124" s="76"/>
      <c r="B124" s="76"/>
      <c r="C124" s="76"/>
      <c r="D124" s="76"/>
      <c r="E124" s="76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  <c r="AA124" s="76"/>
      <c r="AB124" s="76"/>
      <c r="AC124" s="76"/>
      <c r="AD124" s="76"/>
      <c r="AE124" s="76"/>
    </row>
    <row r="125">
      <c r="A125" s="76"/>
      <c r="B125" s="76"/>
      <c r="C125" s="76"/>
      <c r="D125" s="76"/>
      <c r="E125" s="76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  <c r="AA125" s="76"/>
      <c r="AB125" s="76"/>
      <c r="AC125" s="76"/>
      <c r="AD125" s="76"/>
      <c r="AE125" s="76"/>
    </row>
    <row r="126">
      <c r="A126" s="76"/>
      <c r="B126" s="76"/>
      <c r="C126" s="76"/>
      <c r="D126" s="76"/>
      <c r="E126" s="76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  <c r="AA126" s="76"/>
      <c r="AB126" s="76"/>
      <c r="AC126" s="76"/>
      <c r="AD126" s="76"/>
      <c r="AE126" s="76"/>
    </row>
    <row r="127">
      <c r="A127" s="76"/>
      <c r="B127" s="76"/>
      <c r="C127" s="76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  <c r="AA127" s="76"/>
      <c r="AB127" s="76"/>
      <c r="AC127" s="76"/>
      <c r="AD127" s="76"/>
      <c r="AE127" s="76"/>
    </row>
    <row r="128">
      <c r="A128" s="76"/>
      <c r="B128" s="76"/>
      <c r="C128" s="76"/>
      <c r="D128" s="76"/>
      <c r="E128" s="7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  <c r="AA128" s="76"/>
      <c r="AB128" s="76"/>
      <c r="AC128" s="76"/>
      <c r="AD128" s="76"/>
      <c r="AE128" s="76"/>
    </row>
    <row r="129">
      <c r="A129" s="76"/>
      <c r="B129" s="76"/>
      <c r="C129" s="76"/>
      <c r="D129" s="76"/>
      <c r="E129" s="76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  <c r="AA129" s="76"/>
      <c r="AB129" s="76"/>
      <c r="AC129" s="76"/>
      <c r="AD129" s="76"/>
      <c r="AE129" s="76"/>
    </row>
    <row r="130">
      <c r="A130" s="76"/>
      <c r="B130" s="76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  <c r="AA130" s="76"/>
      <c r="AB130" s="76"/>
      <c r="AC130" s="76"/>
      <c r="AD130" s="76"/>
      <c r="AE130" s="76"/>
    </row>
    <row r="131">
      <c r="A131" s="76"/>
      <c r="B131" s="76"/>
      <c r="C131" s="76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  <c r="AA131" s="76"/>
      <c r="AB131" s="76"/>
      <c r="AC131" s="76"/>
      <c r="AD131" s="76"/>
      <c r="AE131" s="76"/>
    </row>
    <row r="132">
      <c r="A132" s="76"/>
      <c r="B132" s="76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  <c r="AA132" s="76"/>
      <c r="AB132" s="76"/>
      <c r="AC132" s="76"/>
      <c r="AD132" s="76"/>
      <c r="AE132" s="76"/>
    </row>
    <row r="133">
      <c r="A133" s="76"/>
      <c r="B133" s="76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  <c r="AA133" s="76"/>
      <c r="AB133" s="76"/>
      <c r="AC133" s="76"/>
      <c r="AD133" s="76"/>
      <c r="AE133" s="76"/>
    </row>
    <row r="134">
      <c r="A134" s="76"/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  <c r="AA134" s="76"/>
      <c r="AB134" s="76"/>
      <c r="AC134" s="76"/>
      <c r="AD134" s="76"/>
      <c r="AE134" s="76"/>
    </row>
    <row r="135">
      <c r="A135" s="76"/>
      <c r="B135" s="76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  <c r="AA135" s="76"/>
      <c r="AB135" s="76"/>
      <c r="AC135" s="76"/>
      <c r="AD135" s="76"/>
      <c r="AE135" s="76"/>
    </row>
    <row r="136">
      <c r="A136" s="76"/>
      <c r="B136" s="76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  <c r="AA136" s="76"/>
      <c r="AB136" s="76"/>
      <c r="AC136" s="76"/>
      <c r="AD136" s="76"/>
      <c r="AE136" s="76"/>
    </row>
    <row r="137">
      <c r="A137" s="76"/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  <c r="AA137" s="76"/>
      <c r="AB137" s="76"/>
      <c r="AC137" s="76"/>
      <c r="AD137" s="76"/>
      <c r="AE137" s="76"/>
    </row>
    <row r="138">
      <c r="A138" s="76"/>
      <c r="B138" s="76"/>
      <c r="C138" s="76"/>
      <c r="D138" s="76"/>
      <c r="E138" s="76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  <c r="AA138" s="76"/>
      <c r="AB138" s="76"/>
      <c r="AC138" s="76"/>
      <c r="AD138" s="76"/>
      <c r="AE138" s="76"/>
    </row>
    <row r="139">
      <c r="A139" s="76"/>
      <c r="B139" s="76"/>
      <c r="C139" s="76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  <c r="AA139" s="76"/>
      <c r="AB139" s="76"/>
      <c r="AC139" s="76"/>
      <c r="AD139" s="76"/>
      <c r="AE139" s="76"/>
    </row>
    <row r="140">
      <c r="A140" s="76"/>
      <c r="B140" s="76"/>
      <c r="C140" s="76"/>
      <c r="D140" s="76"/>
      <c r="E140" s="7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  <c r="AA140" s="76"/>
      <c r="AB140" s="76"/>
      <c r="AC140" s="76"/>
      <c r="AD140" s="76"/>
      <c r="AE140" s="76"/>
    </row>
    <row r="141">
      <c r="A141" s="76"/>
      <c r="B141" s="76"/>
      <c r="C141" s="76"/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  <c r="AA141" s="76"/>
      <c r="AB141" s="76"/>
      <c r="AC141" s="76"/>
      <c r="AD141" s="76"/>
      <c r="AE141" s="76"/>
    </row>
    <row r="142">
      <c r="A142" s="76"/>
      <c r="B142" s="76"/>
      <c r="C142" s="76"/>
      <c r="D142" s="76"/>
      <c r="E142" s="76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  <c r="AA142" s="76"/>
      <c r="AB142" s="76"/>
      <c r="AC142" s="76"/>
      <c r="AD142" s="76"/>
      <c r="AE142" s="76"/>
    </row>
    <row r="143">
      <c r="A143" s="76"/>
      <c r="B143" s="76"/>
      <c r="C143" s="76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  <c r="AA143" s="76"/>
      <c r="AB143" s="76"/>
      <c r="AC143" s="76"/>
      <c r="AD143" s="76"/>
      <c r="AE143" s="76"/>
    </row>
    <row r="144">
      <c r="A144" s="76"/>
      <c r="B144" s="76"/>
      <c r="C144" s="76"/>
      <c r="D144" s="76"/>
      <c r="E144" s="76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  <c r="AA144" s="76"/>
      <c r="AB144" s="76"/>
      <c r="AC144" s="76"/>
      <c r="AD144" s="76"/>
      <c r="AE144" s="76"/>
    </row>
    <row r="145">
      <c r="A145" s="76"/>
      <c r="B145" s="76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  <c r="AA145" s="76"/>
      <c r="AB145" s="76"/>
      <c r="AC145" s="76"/>
      <c r="AD145" s="76"/>
      <c r="AE145" s="76"/>
    </row>
    <row r="146">
      <c r="A146" s="76"/>
      <c r="B146" s="76"/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  <c r="AA146" s="76"/>
      <c r="AB146" s="76"/>
      <c r="AC146" s="76"/>
      <c r="AD146" s="76"/>
      <c r="AE146" s="76"/>
    </row>
    <row r="147">
      <c r="A147" s="76"/>
      <c r="B147" s="76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  <c r="AA147" s="76"/>
      <c r="AB147" s="76"/>
      <c r="AC147" s="76"/>
      <c r="AD147" s="76"/>
      <c r="AE147" s="76"/>
    </row>
    <row r="148">
      <c r="A148" s="76"/>
      <c r="B148" s="76"/>
      <c r="C148" s="76"/>
      <c r="D148" s="76"/>
      <c r="E148" s="76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  <c r="AA148" s="76"/>
      <c r="AB148" s="76"/>
      <c r="AC148" s="76"/>
      <c r="AD148" s="76"/>
      <c r="AE148" s="76"/>
    </row>
    <row r="149">
      <c r="A149" s="76"/>
      <c r="B149" s="76"/>
      <c r="C149" s="76"/>
      <c r="D149" s="76"/>
      <c r="E149" s="76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  <c r="AA149" s="76"/>
      <c r="AB149" s="76"/>
      <c r="AC149" s="76"/>
      <c r="AD149" s="76"/>
      <c r="AE149" s="76"/>
    </row>
    <row r="150">
      <c r="A150" s="76"/>
      <c r="B150" s="76"/>
      <c r="C150" s="76"/>
      <c r="D150" s="76"/>
      <c r="E150" s="76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  <c r="AA150" s="76"/>
      <c r="AB150" s="76"/>
      <c r="AC150" s="76"/>
      <c r="AD150" s="76"/>
      <c r="AE150" s="76"/>
    </row>
    <row r="151">
      <c r="A151" s="76"/>
      <c r="B151" s="76"/>
      <c r="C151" s="76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  <c r="AA151" s="76"/>
      <c r="AB151" s="76"/>
      <c r="AC151" s="76"/>
      <c r="AD151" s="76"/>
      <c r="AE151" s="76"/>
    </row>
    <row r="152">
      <c r="A152" s="76"/>
      <c r="B152" s="76"/>
      <c r="C152" s="76"/>
      <c r="D152" s="76"/>
      <c r="E152" s="7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  <c r="AA152" s="76"/>
      <c r="AB152" s="76"/>
      <c r="AC152" s="76"/>
      <c r="AD152" s="76"/>
      <c r="AE152" s="76"/>
    </row>
    <row r="153">
      <c r="A153" s="76"/>
      <c r="B153" s="76"/>
      <c r="C153" s="76"/>
      <c r="D153" s="76"/>
      <c r="E153" s="76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  <c r="AA153" s="76"/>
      <c r="AB153" s="76"/>
      <c r="AC153" s="76"/>
      <c r="AD153" s="76"/>
      <c r="AE153" s="76"/>
    </row>
    <row r="154">
      <c r="A154" s="76"/>
      <c r="B154" s="76"/>
      <c r="C154" s="76"/>
      <c r="D154" s="76"/>
      <c r="E154" s="76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  <c r="AA154" s="76"/>
      <c r="AB154" s="76"/>
      <c r="AC154" s="76"/>
      <c r="AD154" s="76"/>
      <c r="AE154" s="76"/>
    </row>
    <row r="155">
      <c r="A155" s="76"/>
      <c r="B155" s="76"/>
      <c r="C155" s="76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  <c r="AA155" s="76"/>
      <c r="AB155" s="76"/>
      <c r="AC155" s="76"/>
      <c r="AD155" s="76"/>
      <c r="AE155" s="76"/>
    </row>
    <row r="156">
      <c r="A156" s="76"/>
      <c r="B156" s="76"/>
      <c r="C156" s="76"/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  <c r="AA156" s="76"/>
      <c r="AB156" s="76"/>
      <c r="AC156" s="76"/>
      <c r="AD156" s="76"/>
      <c r="AE156" s="76"/>
    </row>
    <row r="157">
      <c r="A157" s="76"/>
      <c r="B157" s="76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  <c r="AA157" s="76"/>
      <c r="AB157" s="76"/>
      <c r="AC157" s="76"/>
      <c r="AD157" s="76"/>
      <c r="AE157" s="76"/>
    </row>
    <row r="158">
      <c r="A158" s="76"/>
      <c r="B158" s="76"/>
      <c r="C158" s="76"/>
      <c r="D158" s="76"/>
      <c r="E158" s="76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  <c r="AA158" s="76"/>
      <c r="AB158" s="76"/>
      <c r="AC158" s="76"/>
      <c r="AD158" s="76"/>
      <c r="AE158" s="76"/>
    </row>
    <row r="159">
      <c r="A159" s="76"/>
      <c r="B159" s="76"/>
      <c r="C159" s="76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  <c r="AA159" s="76"/>
      <c r="AB159" s="76"/>
      <c r="AC159" s="76"/>
      <c r="AD159" s="76"/>
      <c r="AE159" s="76"/>
    </row>
    <row r="160">
      <c r="A160" s="76"/>
      <c r="B160" s="76"/>
      <c r="C160" s="76"/>
      <c r="D160" s="76"/>
      <c r="E160" s="76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  <c r="AA160" s="76"/>
      <c r="AB160" s="76"/>
      <c r="AC160" s="76"/>
      <c r="AD160" s="76"/>
      <c r="AE160" s="76"/>
    </row>
    <row r="161">
      <c r="A161" s="76"/>
      <c r="B161" s="76"/>
      <c r="C161" s="76"/>
      <c r="D161" s="76"/>
      <c r="E161" s="76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  <c r="AA161" s="76"/>
      <c r="AB161" s="76"/>
      <c r="AC161" s="76"/>
      <c r="AD161" s="76"/>
      <c r="AE161" s="76"/>
    </row>
    <row r="162">
      <c r="A162" s="76"/>
      <c r="B162" s="76"/>
      <c r="C162" s="76"/>
      <c r="D162" s="76"/>
      <c r="E162" s="76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  <c r="AA162" s="76"/>
      <c r="AB162" s="76"/>
      <c r="AC162" s="76"/>
      <c r="AD162" s="76"/>
      <c r="AE162" s="76"/>
    </row>
    <row r="163">
      <c r="A163" s="76"/>
      <c r="B163" s="76"/>
      <c r="C163" s="76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  <c r="AA163" s="76"/>
      <c r="AB163" s="76"/>
      <c r="AC163" s="76"/>
      <c r="AD163" s="76"/>
      <c r="AE163" s="76"/>
    </row>
    <row r="164">
      <c r="A164" s="76"/>
      <c r="B164" s="76"/>
      <c r="C164" s="76"/>
      <c r="D164" s="76"/>
      <c r="E164" s="7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  <c r="AA164" s="76"/>
      <c r="AB164" s="76"/>
      <c r="AC164" s="76"/>
      <c r="AD164" s="76"/>
      <c r="AE164" s="76"/>
    </row>
    <row r="165">
      <c r="A165" s="76"/>
      <c r="B165" s="76"/>
      <c r="C165" s="76"/>
      <c r="D165" s="76"/>
      <c r="E165" s="76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  <c r="AA165" s="76"/>
      <c r="AB165" s="76"/>
      <c r="AC165" s="76"/>
      <c r="AD165" s="76"/>
      <c r="AE165" s="76"/>
    </row>
    <row r="166">
      <c r="A166" s="76"/>
      <c r="B166" s="76"/>
      <c r="C166" s="76"/>
      <c r="D166" s="76"/>
      <c r="E166" s="76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  <c r="AA166" s="76"/>
      <c r="AB166" s="76"/>
      <c r="AC166" s="76"/>
      <c r="AD166" s="76"/>
      <c r="AE166" s="76"/>
    </row>
    <row r="167">
      <c r="A167" s="76"/>
      <c r="B167" s="76"/>
      <c r="C167" s="76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  <c r="AA167" s="76"/>
      <c r="AB167" s="76"/>
      <c r="AC167" s="76"/>
      <c r="AD167" s="76"/>
      <c r="AE167" s="76"/>
    </row>
    <row r="168">
      <c r="A168" s="76"/>
      <c r="B168" s="76"/>
      <c r="C168" s="76"/>
      <c r="D168" s="76"/>
      <c r="E168" s="76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  <c r="AA168" s="76"/>
      <c r="AB168" s="76"/>
      <c r="AC168" s="76"/>
      <c r="AD168" s="76"/>
      <c r="AE168" s="76"/>
    </row>
    <row r="169">
      <c r="A169" s="76"/>
      <c r="B169" s="76"/>
      <c r="C169" s="76"/>
      <c r="D169" s="76"/>
      <c r="E169" s="76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  <c r="AA169" s="76"/>
      <c r="AB169" s="76"/>
      <c r="AC169" s="76"/>
      <c r="AD169" s="76"/>
      <c r="AE169" s="76"/>
    </row>
    <row r="170">
      <c r="A170" s="76"/>
      <c r="B170" s="76"/>
      <c r="C170" s="76"/>
      <c r="D170" s="76"/>
      <c r="E170" s="76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  <c r="AA170" s="76"/>
      <c r="AB170" s="76"/>
      <c r="AC170" s="76"/>
      <c r="AD170" s="76"/>
      <c r="AE170" s="76"/>
    </row>
    <row r="171">
      <c r="A171" s="76"/>
      <c r="B171" s="76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  <c r="AA171" s="76"/>
      <c r="AB171" s="76"/>
      <c r="AC171" s="76"/>
      <c r="AD171" s="76"/>
      <c r="AE171" s="76"/>
    </row>
    <row r="172">
      <c r="A172" s="76"/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  <c r="AA172" s="76"/>
      <c r="AB172" s="76"/>
      <c r="AC172" s="76"/>
      <c r="AD172" s="76"/>
      <c r="AE172" s="76"/>
    </row>
    <row r="173">
      <c r="A173" s="76"/>
      <c r="B173" s="76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  <c r="AA173" s="76"/>
      <c r="AB173" s="76"/>
      <c r="AC173" s="76"/>
      <c r="AD173" s="76"/>
      <c r="AE173" s="76"/>
    </row>
    <row r="174">
      <c r="A174" s="76"/>
      <c r="B174" s="76"/>
      <c r="C174" s="76"/>
      <c r="D174" s="76"/>
      <c r="E174" s="76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  <c r="AA174" s="76"/>
      <c r="AB174" s="76"/>
      <c r="AC174" s="76"/>
      <c r="AD174" s="76"/>
      <c r="AE174" s="76"/>
    </row>
    <row r="175">
      <c r="A175" s="76"/>
      <c r="B175" s="76"/>
      <c r="C175" s="76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</row>
    <row r="176">
      <c r="A176" s="76"/>
      <c r="B176" s="76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  <c r="AA176" s="76"/>
      <c r="AB176" s="76"/>
      <c r="AC176" s="76"/>
      <c r="AD176" s="76"/>
      <c r="AE176" s="76"/>
    </row>
    <row r="177">
      <c r="A177" s="76"/>
      <c r="B177" s="76"/>
      <c r="C177" s="76"/>
      <c r="D177" s="76"/>
      <c r="E177" s="76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  <c r="AA177" s="76"/>
      <c r="AB177" s="76"/>
      <c r="AC177" s="76"/>
      <c r="AD177" s="76"/>
      <c r="AE177" s="76"/>
    </row>
    <row r="178">
      <c r="A178" s="76"/>
      <c r="B178" s="76"/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  <c r="AA178" s="76"/>
      <c r="AB178" s="76"/>
      <c r="AC178" s="76"/>
      <c r="AD178" s="76"/>
      <c r="AE178" s="76"/>
    </row>
    <row r="179">
      <c r="A179" s="76"/>
      <c r="B179" s="76"/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  <c r="AA179" s="76"/>
      <c r="AB179" s="76"/>
      <c r="AC179" s="76"/>
      <c r="AD179" s="76"/>
      <c r="AE179" s="76"/>
    </row>
    <row r="180">
      <c r="A180" s="76"/>
      <c r="B180" s="76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  <c r="AA180" s="76"/>
      <c r="AB180" s="76"/>
      <c r="AC180" s="76"/>
      <c r="AD180" s="76"/>
      <c r="AE180" s="76"/>
    </row>
    <row r="181">
      <c r="A181" s="76"/>
      <c r="B181" s="76"/>
      <c r="C181" s="76"/>
      <c r="D181" s="76"/>
      <c r="E181" s="76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  <c r="AA181" s="76"/>
      <c r="AB181" s="76"/>
      <c r="AC181" s="76"/>
      <c r="AD181" s="76"/>
      <c r="AE181" s="76"/>
    </row>
    <row r="182">
      <c r="A182" s="76"/>
      <c r="B182" s="76"/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  <c r="AA182" s="76"/>
      <c r="AB182" s="76"/>
      <c r="AC182" s="76"/>
      <c r="AD182" s="76"/>
      <c r="AE182" s="76"/>
    </row>
    <row r="183">
      <c r="A183" s="76"/>
      <c r="B183" s="76"/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  <c r="AA183" s="76"/>
      <c r="AB183" s="76"/>
      <c r="AC183" s="76"/>
      <c r="AD183" s="76"/>
      <c r="AE183" s="76"/>
    </row>
    <row r="184">
      <c r="A184" s="76"/>
      <c r="B184" s="76"/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  <c r="AA184" s="76"/>
      <c r="AB184" s="76"/>
      <c r="AC184" s="76"/>
      <c r="AD184" s="76"/>
      <c r="AE184" s="76"/>
    </row>
    <row r="185">
      <c r="A185" s="76"/>
      <c r="B185" s="76"/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  <c r="AA185" s="76"/>
      <c r="AB185" s="76"/>
      <c r="AC185" s="76"/>
      <c r="AD185" s="76"/>
      <c r="AE185" s="76"/>
    </row>
    <row r="186">
      <c r="A186" s="76"/>
      <c r="B186" s="76"/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  <c r="AA186" s="76"/>
      <c r="AB186" s="76"/>
      <c r="AC186" s="76"/>
      <c r="AD186" s="76"/>
      <c r="AE186" s="76"/>
    </row>
    <row r="187">
      <c r="A187" s="76"/>
      <c r="B187" s="76"/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  <c r="AA187" s="76"/>
      <c r="AB187" s="76"/>
      <c r="AC187" s="76"/>
      <c r="AD187" s="76"/>
      <c r="AE187" s="76"/>
    </row>
    <row r="188">
      <c r="A188" s="76"/>
      <c r="B188" s="76"/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  <c r="AA188" s="76"/>
      <c r="AB188" s="76"/>
      <c r="AC188" s="76"/>
      <c r="AD188" s="76"/>
      <c r="AE188" s="76"/>
    </row>
    <row r="189">
      <c r="A189" s="76"/>
      <c r="B189" s="76"/>
      <c r="C189" s="76"/>
      <c r="D189" s="76"/>
      <c r="E189" s="76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  <c r="AA189" s="76"/>
      <c r="AB189" s="76"/>
      <c r="AC189" s="76"/>
      <c r="AD189" s="76"/>
      <c r="AE189" s="76"/>
    </row>
    <row r="190">
      <c r="A190" s="76"/>
      <c r="B190" s="76"/>
      <c r="C190" s="76"/>
      <c r="D190" s="76"/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  <c r="AA190" s="76"/>
      <c r="AB190" s="76"/>
      <c r="AC190" s="76"/>
      <c r="AD190" s="76"/>
      <c r="AE190" s="76"/>
    </row>
    <row r="191">
      <c r="A191" s="76"/>
      <c r="B191" s="76"/>
      <c r="C191" s="76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  <c r="AA191" s="76"/>
      <c r="AB191" s="76"/>
      <c r="AC191" s="76"/>
      <c r="AD191" s="76"/>
      <c r="AE191" s="76"/>
    </row>
    <row r="192">
      <c r="A192" s="76"/>
      <c r="B192" s="76"/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  <c r="AA192" s="76"/>
      <c r="AB192" s="76"/>
      <c r="AC192" s="76"/>
      <c r="AD192" s="76"/>
      <c r="AE192" s="76"/>
    </row>
    <row r="193">
      <c r="A193" s="76"/>
      <c r="B193" s="76"/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  <c r="AA193" s="76"/>
      <c r="AB193" s="76"/>
      <c r="AC193" s="76"/>
      <c r="AD193" s="76"/>
      <c r="AE193" s="76"/>
    </row>
    <row r="194">
      <c r="A194" s="76"/>
      <c r="B194" s="76"/>
      <c r="C194" s="76"/>
      <c r="D194" s="76"/>
      <c r="E194" s="76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  <c r="AA194" s="76"/>
      <c r="AB194" s="76"/>
      <c r="AC194" s="76"/>
      <c r="AD194" s="76"/>
      <c r="AE194" s="76"/>
    </row>
    <row r="195">
      <c r="A195" s="76"/>
      <c r="B195" s="76"/>
      <c r="C195" s="76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  <c r="AA195" s="76"/>
      <c r="AB195" s="76"/>
      <c r="AC195" s="76"/>
      <c r="AD195" s="76"/>
      <c r="AE195" s="76"/>
    </row>
    <row r="196">
      <c r="A196" s="76"/>
      <c r="B196" s="76"/>
      <c r="C196" s="76"/>
      <c r="D196" s="76"/>
      <c r="E196" s="76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  <c r="AA196" s="76"/>
      <c r="AB196" s="76"/>
      <c r="AC196" s="76"/>
      <c r="AD196" s="76"/>
      <c r="AE196" s="76"/>
    </row>
    <row r="197">
      <c r="A197" s="76"/>
      <c r="B197" s="76"/>
      <c r="C197" s="76"/>
      <c r="D197" s="76"/>
      <c r="E197" s="76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  <c r="AA197" s="76"/>
      <c r="AB197" s="76"/>
      <c r="AC197" s="76"/>
      <c r="AD197" s="76"/>
      <c r="AE197" s="76"/>
    </row>
    <row r="198">
      <c r="A198" s="76"/>
      <c r="B198" s="76"/>
      <c r="C198" s="76"/>
      <c r="D198" s="76"/>
      <c r="E198" s="76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  <c r="AA198" s="76"/>
      <c r="AB198" s="76"/>
      <c r="AC198" s="76"/>
      <c r="AD198" s="76"/>
      <c r="AE198" s="76"/>
    </row>
    <row r="199">
      <c r="A199" s="76"/>
      <c r="B199" s="76"/>
      <c r="C199" s="76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  <c r="AA199" s="76"/>
      <c r="AB199" s="76"/>
      <c r="AC199" s="76"/>
      <c r="AD199" s="76"/>
      <c r="AE199" s="76"/>
    </row>
    <row r="200">
      <c r="A200" s="76"/>
      <c r="B200" s="76"/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  <c r="AA200" s="76"/>
      <c r="AB200" s="76"/>
      <c r="AC200" s="76"/>
      <c r="AD200" s="76"/>
      <c r="AE200" s="76"/>
    </row>
    <row r="201">
      <c r="A201" s="76"/>
      <c r="B201" s="76"/>
      <c r="C201" s="76"/>
      <c r="D201" s="76"/>
      <c r="E201" s="76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  <c r="AA201" s="76"/>
      <c r="AB201" s="76"/>
      <c r="AC201" s="76"/>
      <c r="AD201" s="76"/>
      <c r="AE201" s="76"/>
    </row>
    <row r="202">
      <c r="A202" s="76"/>
      <c r="B202" s="76"/>
      <c r="C202" s="76"/>
      <c r="D202" s="76"/>
      <c r="E202" s="76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  <c r="AA202" s="76"/>
      <c r="AB202" s="76"/>
      <c r="AC202" s="76"/>
      <c r="AD202" s="76"/>
      <c r="AE202" s="76"/>
    </row>
    <row r="203">
      <c r="A203" s="76"/>
      <c r="B203" s="76"/>
      <c r="C203" s="76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  <c r="AA203" s="76"/>
      <c r="AB203" s="76"/>
      <c r="AC203" s="76"/>
      <c r="AD203" s="76"/>
      <c r="AE203" s="76"/>
    </row>
    <row r="204">
      <c r="A204" s="76"/>
      <c r="B204" s="76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  <c r="AA204" s="76"/>
      <c r="AB204" s="76"/>
      <c r="AC204" s="76"/>
      <c r="AD204" s="76"/>
      <c r="AE204" s="76"/>
    </row>
    <row r="205">
      <c r="A205" s="76"/>
      <c r="B205" s="76"/>
      <c r="C205" s="76"/>
      <c r="D205" s="76"/>
      <c r="E205" s="76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  <c r="AA205" s="76"/>
      <c r="AB205" s="76"/>
      <c r="AC205" s="76"/>
      <c r="AD205" s="76"/>
      <c r="AE205" s="76"/>
    </row>
    <row r="206">
      <c r="A206" s="76"/>
      <c r="B206" s="76"/>
      <c r="C206" s="76"/>
      <c r="D206" s="76"/>
      <c r="E206" s="76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  <c r="AA206" s="76"/>
      <c r="AB206" s="76"/>
      <c r="AC206" s="76"/>
      <c r="AD206" s="76"/>
      <c r="AE206" s="76"/>
    </row>
    <row r="207">
      <c r="A207" s="76"/>
      <c r="B207" s="76"/>
      <c r="C207" s="76"/>
      <c r="D207" s="76"/>
      <c r="E207" s="76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  <c r="AA207" s="76"/>
      <c r="AB207" s="76"/>
      <c r="AC207" s="76"/>
      <c r="AD207" s="76"/>
      <c r="AE207" s="76"/>
    </row>
    <row r="208">
      <c r="A208" s="76"/>
      <c r="B208" s="76"/>
      <c r="C208" s="76"/>
      <c r="D208" s="76"/>
      <c r="E208" s="76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  <c r="AA208" s="76"/>
      <c r="AB208" s="76"/>
      <c r="AC208" s="76"/>
      <c r="AD208" s="76"/>
      <c r="AE208" s="76"/>
    </row>
    <row r="209">
      <c r="A209" s="76"/>
      <c r="B209" s="76"/>
      <c r="C209" s="76"/>
      <c r="D209" s="76"/>
      <c r="E209" s="76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  <c r="AA209" s="76"/>
      <c r="AB209" s="76"/>
      <c r="AC209" s="76"/>
      <c r="AD209" s="76"/>
      <c r="AE209" s="76"/>
    </row>
    <row r="210">
      <c r="A210" s="76"/>
      <c r="B210" s="76"/>
      <c r="C210" s="76"/>
      <c r="D210" s="76"/>
      <c r="E210" s="76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  <c r="AA210" s="76"/>
      <c r="AB210" s="76"/>
      <c r="AC210" s="76"/>
      <c r="AD210" s="76"/>
      <c r="AE210" s="76"/>
    </row>
    <row r="211">
      <c r="A211" s="76"/>
      <c r="B211" s="76"/>
      <c r="C211" s="76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  <c r="AA211" s="76"/>
      <c r="AB211" s="76"/>
      <c r="AC211" s="76"/>
      <c r="AD211" s="76"/>
      <c r="AE211" s="76"/>
    </row>
    <row r="212">
      <c r="A212" s="76"/>
      <c r="B212" s="76"/>
      <c r="C212" s="76"/>
      <c r="D212" s="76"/>
      <c r="E212" s="7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  <c r="AA212" s="76"/>
      <c r="AB212" s="76"/>
      <c r="AC212" s="76"/>
      <c r="AD212" s="76"/>
      <c r="AE212" s="76"/>
    </row>
    <row r="213">
      <c r="A213" s="76"/>
      <c r="B213" s="76"/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  <c r="AA213" s="76"/>
      <c r="AB213" s="76"/>
      <c r="AC213" s="76"/>
      <c r="AD213" s="76"/>
      <c r="AE213" s="76"/>
    </row>
    <row r="214">
      <c r="A214" s="76"/>
      <c r="B214" s="76"/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  <c r="AA214" s="76"/>
      <c r="AB214" s="76"/>
      <c r="AC214" s="76"/>
      <c r="AD214" s="76"/>
      <c r="AE214" s="76"/>
    </row>
    <row r="215">
      <c r="A215" s="76"/>
      <c r="B215" s="76"/>
      <c r="C215" s="76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  <c r="AA215" s="76"/>
      <c r="AB215" s="76"/>
      <c r="AC215" s="76"/>
      <c r="AD215" s="76"/>
      <c r="AE215" s="76"/>
    </row>
    <row r="216">
      <c r="A216" s="76"/>
      <c r="B216" s="76"/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  <c r="AA216" s="76"/>
      <c r="AB216" s="76"/>
      <c r="AC216" s="76"/>
      <c r="AD216" s="76"/>
      <c r="AE216" s="76"/>
    </row>
    <row r="217">
      <c r="A217" s="76"/>
      <c r="B217" s="76"/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  <c r="AA217" s="76"/>
      <c r="AB217" s="76"/>
      <c r="AC217" s="76"/>
      <c r="AD217" s="76"/>
      <c r="AE217" s="76"/>
    </row>
    <row r="218">
      <c r="A218" s="76"/>
      <c r="B218" s="76"/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  <c r="AA218" s="76"/>
      <c r="AB218" s="76"/>
      <c r="AC218" s="76"/>
      <c r="AD218" s="76"/>
      <c r="AE218" s="76"/>
    </row>
    <row r="219">
      <c r="A219" s="76"/>
      <c r="B219" s="76"/>
      <c r="C219" s="76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  <c r="AA219" s="76"/>
      <c r="AB219" s="76"/>
      <c r="AC219" s="76"/>
      <c r="AD219" s="76"/>
      <c r="AE219" s="76"/>
    </row>
    <row r="220">
      <c r="A220" s="76"/>
      <c r="B220" s="76"/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  <c r="AA220" s="76"/>
      <c r="AB220" s="76"/>
      <c r="AC220" s="76"/>
      <c r="AD220" s="76"/>
      <c r="AE220" s="76"/>
    </row>
    <row r="221">
      <c r="A221" s="76"/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  <c r="AA221" s="76"/>
      <c r="AB221" s="76"/>
      <c r="AC221" s="76"/>
      <c r="AD221" s="76"/>
      <c r="AE221" s="76"/>
    </row>
    <row r="222">
      <c r="A222" s="76"/>
      <c r="B222" s="76"/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  <c r="AA222" s="76"/>
      <c r="AB222" s="76"/>
      <c r="AC222" s="76"/>
      <c r="AD222" s="76"/>
      <c r="AE222" s="76"/>
    </row>
    <row r="223">
      <c r="A223" s="76"/>
      <c r="B223" s="76"/>
      <c r="C223" s="76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  <c r="AA223" s="76"/>
      <c r="AB223" s="76"/>
      <c r="AC223" s="76"/>
      <c r="AD223" s="76"/>
      <c r="AE223" s="76"/>
    </row>
    <row r="224">
      <c r="A224" s="76"/>
      <c r="B224" s="76"/>
      <c r="C224" s="76"/>
      <c r="D224" s="76"/>
      <c r="E224" s="7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  <c r="AA224" s="76"/>
      <c r="AB224" s="76"/>
      <c r="AC224" s="76"/>
      <c r="AD224" s="76"/>
      <c r="AE224" s="76"/>
    </row>
    <row r="225">
      <c r="A225" s="76"/>
      <c r="B225" s="76"/>
      <c r="C225" s="76"/>
      <c r="D225" s="76"/>
      <c r="E225" s="76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  <c r="AA225" s="76"/>
      <c r="AB225" s="76"/>
      <c r="AC225" s="76"/>
      <c r="AD225" s="76"/>
      <c r="AE225" s="76"/>
    </row>
    <row r="226">
      <c r="A226" s="76"/>
      <c r="B226" s="76"/>
      <c r="C226" s="76"/>
      <c r="D226" s="76"/>
      <c r="E226" s="76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  <c r="AA226" s="76"/>
      <c r="AB226" s="76"/>
      <c r="AC226" s="76"/>
      <c r="AD226" s="76"/>
      <c r="AE226" s="76"/>
    </row>
    <row r="227">
      <c r="A227" s="76"/>
      <c r="B227" s="76"/>
      <c r="C227" s="76"/>
      <c r="D227" s="76"/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  <c r="AA227" s="76"/>
      <c r="AB227" s="76"/>
      <c r="AC227" s="76"/>
      <c r="AD227" s="76"/>
      <c r="AE227" s="76"/>
    </row>
    <row r="228">
      <c r="A228" s="76"/>
      <c r="B228" s="76"/>
      <c r="C228" s="76"/>
      <c r="D228" s="76"/>
      <c r="E228" s="76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  <c r="AA228" s="76"/>
      <c r="AB228" s="76"/>
      <c r="AC228" s="76"/>
      <c r="AD228" s="76"/>
      <c r="AE228" s="76"/>
    </row>
    <row r="229">
      <c r="A229" s="76"/>
      <c r="B229" s="76"/>
      <c r="C229" s="76"/>
      <c r="D229" s="76"/>
      <c r="E229" s="76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  <c r="AA229" s="76"/>
      <c r="AB229" s="76"/>
      <c r="AC229" s="76"/>
      <c r="AD229" s="76"/>
      <c r="AE229" s="76"/>
    </row>
    <row r="230">
      <c r="A230" s="76"/>
      <c r="B230" s="76"/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  <c r="AA230" s="76"/>
      <c r="AB230" s="76"/>
      <c r="AC230" s="76"/>
      <c r="AD230" s="76"/>
      <c r="AE230" s="76"/>
    </row>
    <row r="231">
      <c r="A231" s="76"/>
      <c r="B231" s="76"/>
      <c r="C231" s="76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  <c r="AA231" s="76"/>
      <c r="AB231" s="76"/>
      <c r="AC231" s="76"/>
      <c r="AD231" s="76"/>
      <c r="AE231" s="76"/>
    </row>
    <row r="232">
      <c r="A232" s="76"/>
      <c r="B232" s="76"/>
      <c r="C232" s="76"/>
      <c r="D232" s="76"/>
      <c r="E232" s="76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  <c r="AA232" s="76"/>
      <c r="AB232" s="76"/>
      <c r="AC232" s="76"/>
      <c r="AD232" s="76"/>
      <c r="AE232" s="76"/>
    </row>
    <row r="233">
      <c r="A233" s="76"/>
      <c r="B233" s="76"/>
      <c r="C233" s="76"/>
      <c r="D233" s="76"/>
      <c r="E233" s="76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  <c r="AA233" s="76"/>
      <c r="AB233" s="76"/>
      <c r="AC233" s="76"/>
      <c r="AD233" s="76"/>
      <c r="AE233" s="76"/>
    </row>
    <row r="234">
      <c r="A234" s="76"/>
      <c r="B234" s="76"/>
      <c r="C234" s="76"/>
      <c r="D234" s="76"/>
      <c r="E234" s="76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  <c r="AA234" s="76"/>
      <c r="AB234" s="76"/>
      <c r="AC234" s="76"/>
      <c r="AD234" s="76"/>
      <c r="AE234" s="76"/>
    </row>
    <row r="235">
      <c r="A235" s="76"/>
      <c r="B235" s="76"/>
      <c r="C235" s="76"/>
      <c r="D235" s="76"/>
      <c r="E235" s="76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  <c r="AA235" s="76"/>
      <c r="AB235" s="76"/>
      <c r="AC235" s="76"/>
      <c r="AD235" s="76"/>
      <c r="AE235" s="76"/>
    </row>
    <row r="236">
      <c r="A236" s="76"/>
      <c r="B236" s="76"/>
      <c r="C236" s="76"/>
      <c r="D236" s="76"/>
      <c r="E236" s="7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  <c r="AA236" s="76"/>
      <c r="AB236" s="76"/>
      <c r="AC236" s="76"/>
      <c r="AD236" s="76"/>
      <c r="AE236" s="76"/>
    </row>
    <row r="237">
      <c r="A237" s="76"/>
      <c r="B237" s="76"/>
      <c r="C237" s="76"/>
      <c r="D237" s="76"/>
      <c r="E237" s="76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  <c r="AA237" s="76"/>
      <c r="AB237" s="76"/>
      <c r="AC237" s="76"/>
      <c r="AD237" s="76"/>
      <c r="AE237" s="76"/>
    </row>
    <row r="238">
      <c r="A238" s="76"/>
      <c r="B238" s="76"/>
      <c r="C238" s="76"/>
      <c r="D238" s="76"/>
      <c r="E238" s="76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  <c r="AA238" s="76"/>
      <c r="AB238" s="76"/>
      <c r="AC238" s="76"/>
      <c r="AD238" s="76"/>
      <c r="AE238" s="76"/>
    </row>
    <row r="239">
      <c r="A239" s="76"/>
      <c r="B239" s="76"/>
      <c r="C239" s="76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  <c r="AA239" s="76"/>
      <c r="AB239" s="76"/>
      <c r="AC239" s="76"/>
      <c r="AD239" s="76"/>
      <c r="AE239" s="76"/>
    </row>
    <row r="240">
      <c r="A240" s="76"/>
      <c r="B240" s="76"/>
      <c r="C240" s="76"/>
      <c r="D240" s="76"/>
      <c r="E240" s="76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  <c r="AA240" s="76"/>
      <c r="AB240" s="76"/>
      <c r="AC240" s="76"/>
      <c r="AD240" s="76"/>
      <c r="AE240" s="76"/>
    </row>
    <row r="241">
      <c r="A241" s="76"/>
      <c r="B241" s="76"/>
      <c r="C241" s="76"/>
      <c r="D241" s="76"/>
      <c r="E241" s="76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  <c r="AA241" s="76"/>
      <c r="AB241" s="76"/>
      <c r="AC241" s="76"/>
      <c r="AD241" s="76"/>
      <c r="AE241" s="76"/>
    </row>
    <row r="242">
      <c r="A242" s="76"/>
      <c r="B242" s="76"/>
      <c r="C242" s="76"/>
      <c r="D242" s="76"/>
      <c r="E242" s="76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  <c r="AA242" s="76"/>
      <c r="AB242" s="76"/>
      <c r="AC242" s="76"/>
      <c r="AD242" s="76"/>
      <c r="AE242" s="76"/>
    </row>
    <row r="243">
      <c r="A243" s="76"/>
      <c r="B243" s="76"/>
      <c r="C243" s="76"/>
      <c r="D243" s="76"/>
      <c r="E243" s="76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  <c r="AA243" s="76"/>
      <c r="AB243" s="76"/>
      <c r="AC243" s="76"/>
      <c r="AD243" s="76"/>
      <c r="AE243" s="76"/>
    </row>
    <row r="244">
      <c r="A244" s="76"/>
      <c r="B244" s="76"/>
      <c r="C244" s="76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  <c r="AA244" s="76"/>
      <c r="AB244" s="76"/>
      <c r="AC244" s="76"/>
      <c r="AD244" s="76"/>
      <c r="AE244" s="76"/>
    </row>
    <row r="245">
      <c r="A245" s="76"/>
      <c r="B245" s="76"/>
      <c r="C245" s="76"/>
      <c r="D245" s="76"/>
      <c r="E245" s="76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  <c r="AA245" s="76"/>
      <c r="AB245" s="76"/>
      <c r="AC245" s="76"/>
      <c r="AD245" s="76"/>
      <c r="AE245" s="76"/>
    </row>
    <row r="246">
      <c r="A246" s="76"/>
      <c r="B246" s="76"/>
      <c r="C246" s="76"/>
      <c r="D246" s="76"/>
      <c r="E246" s="76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  <c r="AA246" s="76"/>
      <c r="AB246" s="76"/>
      <c r="AC246" s="76"/>
      <c r="AD246" s="76"/>
      <c r="AE246" s="76"/>
    </row>
    <row r="247">
      <c r="A247" s="76"/>
      <c r="B247" s="76"/>
      <c r="C247" s="76"/>
      <c r="D247" s="76"/>
      <c r="E247" s="76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  <c r="AA247" s="76"/>
      <c r="AB247" s="76"/>
      <c r="AC247" s="76"/>
      <c r="AD247" s="76"/>
      <c r="AE247" s="76"/>
    </row>
    <row r="248">
      <c r="A248" s="76"/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  <c r="AA248" s="76"/>
      <c r="AB248" s="76"/>
      <c r="AC248" s="76"/>
      <c r="AD248" s="76"/>
      <c r="AE248" s="76"/>
    </row>
    <row r="249">
      <c r="A249" s="76"/>
      <c r="B249" s="76"/>
      <c r="C249" s="76"/>
      <c r="D249" s="76"/>
      <c r="E249" s="76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  <c r="AA249" s="76"/>
      <c r="AB249" s="76"/>
      <c r="AC249" s="76"/>
      <c r="AD249" s="76"/>
      <c r="AE249" s="76"/>
    </row>
    <row r="250">
      <c r="A250" s="76"/>
      <c r="B250" s="76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  <c r="AA250" s="76"/>
      <c r="AB250" s="76"/>
      <c r="AC250" s="76"/>
      <c r="AD250" s="76"/>
      <c r="AE250" s="76"/>
    </row>
    <row r="251">
      <c r="A251" s="76"/>
      <c r="B251" s="76"/>
      <c r="C251" s="76"/>
      <c r="D251" s="76"/>
      <c r="E251" s="76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  <c r="AA251" s="76"/>
      <c r="AB251" s="76"/>
      <c r="AC251" s="76"/>
      <c r="AD251" s="76"/>
      <c r="AE251" s="76"/>
    </row>
    <row r="252">
      <c r="A252" s="76"/>
      <c r="B252" s="76"/>
      <c r="C252" s="76"/>
      <c r="D252" s="76"/>
      <c r="E252" s="76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  <c r="AA252" s="76"/>
      <c r="AB252" s="76"/>
      <c r="AC252" s="76"/>
      <c r="AD252" s="76"/>
      <c r="AE252" s="76"/>
    </row>
    <row r="253">
      <c r="A253" s="76"/>
      <c r="B253" s="76"/>
      <c r="C253" s="76"/>
      <c r="D253" s="76"/>
      <c r="E253" s="76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  <c r="AA253" s="76"/>
      <c r="AB253" s="76"/>
      <c r="AC253" s="76"/>
      <c r="AD253" s="76"/>
      <c r="AE253" s="76"/>
    </row>
    <row r="254">
      <c r="A254" s="76"/>
      <c r="B254" s="76"/>
      <c r="C254" s="76"/>
      <c r="D254" s="76"/>
      <c r="E254" s="76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  <c r="AA254" s="76"/>
      <c r="AB254" s="76"/>
      <c r="AC254" s="76"/>
      <c r="AD254" s="76"/>
      <c r="AE254" s="76"/>
    </row>
    <row r="255">
      <c r="A255" s="76"/>
      <c r="B255" s="76"/>
      <c r="C255" s="76"/>
      <c r="D255" s="76"/>
      <c r="E255" s="76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  <c r="AA255" s="76"/>
      <c r="AB255" s="76"/>
      <c r="AC255" s="76"/>
      <c r="AD255" s="76"/>
      <c r="AE255" s="76"/>
    </row>
    <row r="256">
      <c r="A256" s="76"/>
      <c r="B256" s="76"/>
      <c r="C256" s="76"/>
      <c r="D256" s="76"/>
      <c r="E256" s="76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  <c r="AA256" s="76"/>
      <c r="AB256" s="76"/>
      <c r="AC256" s="76"/>
      <c r="AD256" s="76"/>
      <c r="AE256" s="76"/>
    </row>
    <row r="257">
      <c r="A257" s="76"/>
      <c r="B257" s="76"/>
      <c r="C257" s="76"/>
      <c r="D257" s="76"/>
      <c r="E257" s="76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  <c r="AA257" s="76"/>
      <c r="AB257" s="76"/>
      <c r="AC257" s="76"/>
      <c r="AD257" s="76"/>
      <c r="AE257" s="76"/>
    </row>
    <row r="258">
      <c r="A258" s="76"/>
      <c r="B258" s="76"/>
      <c r="C258" s="76"/>
      <c r="D258" s="76"/>
      <c r="E258" s="76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  <c r="AA258" s="76"/>
      <c r="AB258" s="76"/>
      <c r="AC258" s="76"/>
      <c r="AD258" s="76"/>
      <c r="AE258" s="76"/>
    </row>
    <row r="259">
      <c r="A259" s="76"/>
      <c r="B259" s="76"/>
      <c r="C259" s="76"/>
      <c r="D259" s="76"/>
      <c r="E259" s="76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  <c r="AA259" s="76"/>
      <c r="AB259" s="76"/>
      <c r="AC259" s="76"/>
      <c r="AD259" s="76"/>
      <c r="AE259" s="76"/>
    </row>
    <row r="260">
      <c r="A260" s="76"/>
      <c r="B260" s="76"/>
      <c r="C260" s="76"/>
      <c r="D260" s="76"/>
      <c r="E260" s="76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  <c r="AA260" s="76"/>
      <c r="AB260" s="76"/>
      <c r="AC260" s="76"/>
      <c r="AD260" s="76"/>
      <c r="AE260" s="76"/>
    </row>
    <row r="261">
      <c r="A261" s="76"/>
      <c r="B261" s="76"/>
      <c r="C261" s="76"/>
      <c r="D261" s="76"/>
      <c r="E261" s="76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  <c r="AA261" s="76"/>
      <c r="AB261" s="76"/>
      <c r="AC261" s="76"/>
      <c r="AD261" s="76"/>
      <c r="AE261" s="76"/>
    </row>
    <row r="262">
      <c r="A262" s="76"/>
      <c r="B262" s="76"/>
      <c r="C262" s="76"/>
      <c r="D262" s="76"/>
      <c r="E262" s="76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  <c r="AA262" s="76"/>
      <c r="AB262" s="76"/>
      <c r="AC262" s="76"/>
      <c r="AD262" s="76"/>
      <c r="AE262" s="76"/>
    </row>
    <row r="263">
      <c r="A263" s="76"/>
      <c r="B263" s="76"/>
      <c r="C263" s="76"/>
      <c r="D263" s="76"/>
      <c r="E263" s="76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  <c r="AA263" s="76"/>
      <c r="AB263" s="76"/>
      <c r="AC263" s="76"/>
      <c r="AD263" s="76"/>
      <c r="AE263" s="76"/>
    </row>
    <row r="264">
      <c r="A264" s="76"/>
      <c r="B264" s="76"/>
      <c r="C264" s="76"/>
      <c r="D264" s="76"/>
      <c r="E264" s="76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  <c r="AA264" s="76"/>
      <c r="AB264" s="76"/>
      <c r="AC264" s="76"/>
      <c r="AD264" s="76"/>
      <c r="AE264" s="76"/>
    </row>
    <row r="265">
      <c r="A265" s="76"/>
      <c r="B265" s="76"/>
      <c r="C265" s="76"/>
      <c r="D265" s="76"/>
      <c r="E265" s="76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  <c r="AA265" s="76"/>
      <c r="AB265" s="76"/>
      <c r="AC265" s="76"/>
      <c r="AD265" s="76"/>
      <c r="AE265" s="76"/>
    </row>
    <row r="266">
      <c r="A266" s="76"/>
      <c r="B266" s="76"/>
      <c r="C266" s="76"/>
      <c r="D266" s="76"/>
      <c r="E266" s="76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  <c r="AA266" s="76"/>
      <c r="AB266" s="76"/>
      <c r="AC266" s="76"/>
      <c r="AD266" s="76"/>
      <c r="AE266" s="76"/>
    </row>
    <row r="267">
      <c r="A267" s="76"/>
      <c r="B267" s="76"/>
      <c r="C267" s="76"/>
      <c r="D267" s="76"/>
      <c r="E267" s="76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  <c r="AA267" s="76"/>
      <c r="AB267" s="76"/>
      <c r="AC267" s="76"/>
      <c r="AD267" s="76"/>
      <c r="AE267" s="76"/>
    </row>
    <row r="268">
      <c r="A268" s="76"/>
      <c r="B268" s="76"/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  <c r="AA268" s="76"/>
      <c r="AB268" s="76"/>
      <c r="AC268" s="76"/>
      <c r="AD268" s="76"/>
      <c r="AE268" s="76"/>
    </row>
    <row r="269">
      <c r="A269" s="76"/>
      <c r="B269" s="76"/>
      <c r="C269" s="76"/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  <c r="AA269" s="76"/>
      <c r="AB269" s="76"/>
      <c r="AC269" s="76"/>
      <c r="AD269" s="76"/>
      <c r="AE269" s="76"/>
    </row>
    <row r="270">
      <c r="A270" s="76"/>
      <c r="B270" s="76"/>
      <c r="C270" s="76"/>
      <c r="D270" s="76"/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  <c r="AA270" s="76"/>
      <c r="AB270" s="76"/>
      <c r="AC270" s="76"/>
      <c r="AD270" s="76"/>
      <c r="AE270" s="76"/>
    </row>
    <row r="271">
      <c r="A271" s="76"/>
      <c r="B271" s="76"/>
      <c r="C271" s="76"/>
      <c r="D271" s="76"/>
      <c r="E271" s="76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  <c r="AA271" s="76"/>
      <c r="AB271" s="76"/>
      <c r="AC271" s="76"/>
      <c r="AD271" s="76"/>
      <c r="AE271" s="76"/>
    </row>
    <row r="272">
      <c r="A272" s="76"/>
      <c r="B272" s="76"/>
      <c r="C272" s="76"/>
      <c r="D272" s="76"/>
      <c r="E272" s="76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  <c r="AA272" s="76"/>
      <c r="AB272" s="76"/>
      <c r="AC272" s="76"/>
      <c r="AD272" s="76"/>
      <c r="AE272" s="76"/>
    </row>
    <row r="273">
      <c r="A273" s="76"/>
      <c r="B273" s="76"/>
      <c r="C273" s="76"/>
      <c r="D273" s="76"/>
      <c r="E273" s="76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  <c r="AA273" s="76"/>
      <c r="AB273" s="76"/>
      <c r="AC273" s="76"/>
      <c r="AD273" s="76"/>
      <c r="AE273" s="76"/>
    </row>
    <row r="274">
      <c r="A274" s="76"/>
      <c r="B274" s="76"/>
      <c r="C274" s="76"/>
      <c r="D274" s="76"/>
      <c r="E274" s="76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  <c r="AA274" s="76"/>
      <c r="AB274" s="76"/>
      <c r="AC274" s="76"/>
      <c r="AD274" s="76"/>
      <c r="AE274" s="76"/>
    </row>
    <row r="275">
      <c r="A275" s="76"/>
      <c r="B275" s="76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  <c r="AA275" s="76"/>
      <c r="AB275" s="76"/>
      <c r="AC275" s="76"/>
      <c r="AD275" s="76"/>
      <c r="AE275" s="76"/>
    </row>
    <row r="276">
      <c r="A276" s="76"/>
      <c r="B276" s="76"/>
      <c r="C276" s="76"/>
      <c r="D276" s="76"/>
      <c r="E276" s="76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  <c r="AA276" s="76"/>
      <c r="AB276" s="76"/>
      <c r="AC276" s="76"/>
      <c r="AD276" s="76"/>
      <c r="AE276" s="76"/>
    </row>
    <row r="277">
      <c r="A277" s="76"/>
      <c r="B277" s="76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  <c r="AA277" s="76"/>
      <c r="AB277" s="76"/>
      <c r="AC277" s="76"/>
      <c r="AD277" s="76"/>
      <c r="AE277" s="76"/>
    </row>
    <row r="278">
      <c r="A278" s="76"/>
      <c r="B278" s="76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  <c r="AA278" s="76"/>
      <c r="AB278" s="76"/>
      <c r="AC278" s="76"/>
      <c r="AD278" s="76"/>
      <c r="AE278" s="76"/>
    </row>
    <row r="279">
      <c r="A279" s="76"/>
      <c r="B279" s="76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  <c r="AA279" s="76"/>
      <c r="AB279" s="76"/>
      <c r="AC279" s="76"/>
      <c r="AD279" s="76"/>
      <c r="AE279" s="76"/>
    </row>
    <row r="280">
      <c r="A280" s="76"/>
      <c r="B280" s="76"/>
      <c r="C280" s="76"/>
      <c r="D280" s="76"/>
      <c r="E280" s="7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  <c r="AA280" s="76"/>
      <c r="AB280" s="76"/>
      <c r="AC280" s="76"/>
      <c r="AD280" s="76"/>
      <c r="AE280" s="76"/>
    </row>
    <row r="281">
      <c r="A281" s="76"/>
      <c r="B281" s="76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  <c r="AA281" s="76"/>
      <c r="AB281" s="76"/>
      <c r="AC281" s="76"/>
      <c r="AD281" s="76"/>
      <c r="AE281" s="76"/>
    </row>
    <row r="282">
      <c r="A282" s="76"/>
      <c r="B282" s="76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  <c r="AA282" s="76"/>
      <c r="AB282" s="76"/>
      <c r="AC282" s="76"/>
      <c r="AD282" s="76"/>
      <c r="AE282" s="76"/>
    </row>
    <row r="283">
      <c r="A283" s="76"/>
      <c r="B283" s="76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  <c r="AA283" s="76"/>
      <c r="AB283" s="76"/>
      <c r="AC283" s="76"/>
      <c r="AD283" s="76"/>
      <c r="AE283" s="76"/>
    </row>
    <row r="284">
      <c r="A284" s="76"/>
      <c r="B284" s="76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  <c r="AA284" s="76"/>
      <c r="AB284" s="76"/>
      <c r="AC284" s="76"/>
      <c r="AD284" s="76"/>
      <c r="AE284" s="76"/>
    </row>
    <row r="285">
      <c r="A285" s="76"/>
      <c r="B285" s="76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  <c r="AA285" s="76"/>
      <c r="AB285" s="76"/>
      <c r="AC285" s="76"/>
      <c r="AD285" s="76"/>
      <c r="AE285" s="76"/>
    </row>
    <row r="286">
      <c r="A286" s="76"/>
      <c r="B286" s="76"/>
      <c r="C286" s="76"/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  <c r="AA286" s="76"/>
      <c r="AB286" s="76"/>
      <c r="AC286" s="76"/>
      <c r="AD286" s="76"/>
      <c r="AE286" s="76"/>
    </row>
    <row r="287">
      <c r="A287" s="76"/>
      <c r="B287" s="76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  <c r="AA287" s="76"/>
      <c r="AB287" s="76"/>
      <c r="AC287" s="76"/>
      <c r="AD287" s="76"/>
      <c r="AE287" s="76"/>
    </row>
    <row r="288">
      <c r="A288" s="76"/>
      <c r="B288" s="76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  <c r="AA288" s="76"/>
      <c r="AB288" s="76"/>
      <c r="AC288" s="76"/>
      <c r="AD288" s="76"/>
      <c r="AE288" s="76"/>
    </row>
    <row r="289">
      <c r="A289" s="76"/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  <c r="AA289" s="76"/>
      <c r="AB289" s="76"/>
      <c r="AC289" s="76"/>
      <c r="AD289" s="76"/>
      <c r="AE289" s="76"/>
    </row>
    <row r="290">
      <c r="A290" s="76"/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  <c r="AA290" s="76"/>
      <c r="AB290" s="76"/>
      <c r="AC290" s="76"/>
      <c r="AD290" s="76"/>
      <c r="AE290" s="76"/>
    </row>
    <row r="291">
      <c r="A291" s="76"/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  <c r="AA291" s="76"/>
      <c r="AB291" s="76"/>
      <c r="AC291" s="76"/>
      <c r="AD291" s="76"/>
      <c r="AE291" s="76"/>
    </row>
    <row r="292">
      <c r="A292" s="76"/>
      <c r="B292" s="76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  <c r="AA292" s="76"/>
      <c r="AB292" s="76"/>
      <c r="AC292" s="76"/>
      <c r="AD292" s="76"/>
      <c r="AE292" s="76"/>
    </row>
    <row r="293">
      <c r="A293" s="76"/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  <c r="AA293" s="76"/>
      <c r="AB293" s="76"/>
      <c r="AC293" s="76"/>
      <c r="AD293" s="76"/>
      <c r="AE293" s="76"/>
    </row>
    <row r="294">
      <c r="A294" s="76"/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  <c r="AA294" s="76"/>
      <c r="AB294" s="76"/>
      <c r="AC294" s="76"/>
      <c r="AD294" s="76"/>
      <c r="AE294" s="76"/>
    </row>
    <row r="295">
      <c r="A295" s="76"/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  <c r="AA295" s="76"/>
      <c r="AB295" s="76"/>
      <c r="AC295" s="76"/>
      <c r="AD295" s="76"/>
      <c r="AE295" s="76"/>
    </row>
    <row r="296">
      <c r="A296" s="76"/>
      <c r="B296" s="76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  <c r="AA296" s="76"/>
      <c r="AB296" s="76"/>
      <c r="AC296" s="76"/>
      <c r="AD296" s="76"/>
      <c r="AE296" s="76"/>
    </row>
    <row r="297">
      <c r="A297" s="76"/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  <c r="AA297" s="76"/>
      <c r="AB297" s="76"/>
      <c r="AC297" s="76"/>
      <c r="AD297" s="76"/>
      <c r="AE297" s="76"/>
    </row>
    <row r="298">
      <c r="A298" s="76"/>
      <c r="B298" s="76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  <c r="AA298" s="76"/>
      <c r="AB298" s="76"/>
      <c r="AC298" s="76"/>
      <c r="AD298" s="76"/>
      <c r="AE298" s="76"/>
    </row>
    <row r="299">
      <c r="A299" s="76"/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  <c r="AA299" s="76"/>
      <c r="AB299" s="76"/>
      <c r="AC299" s="76"/>
      <c r="AD299" s="76"/>
      <c r="AE299" s="76"/>
    </row>
    <row r="300">
      <c r="A300" s="76"/>
      <c r="B300" s="76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  <c r="AA300" s="76"/>
      <c r="AB300" s="76"/>
      <c r="AC300" s="76"/>
      <c r="AD300" s="76"/>
      <c r="AE300" s="76"/>
    </row>
    <row r="301">
      <c r="A301" s="76"/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  <c r="AA301" s="76"/>
      <c r="AB301" s="76"/>
      <c r="AC301" s="76"/>
      <c r="AD301" s="76"/>
      <c r="AE301" s="76"/>
    </row>
    <row r="302">
      <c r="A302" s="76"/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  <c r="AA302" s="76"/>
      <c r="AB302" s="76"/>
      <c r="AC302" s="76"/>
      <c r="AD302" s="76"/>
      <c r="AE302" s="76"/>
    </row>
    <row r="303">
      <c r="A303" s="76"/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  <c r="AA303" s="76"/>
      <c r="AB303" s="76"/>
      <c r="AC303" s="76"/>
      <c r="AD303" s="76"/>
      <c r="AE303" s="76"/>
    </row>
    <row r="304">
      <c r="A304" s="76"/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  <c r="AA304" s="76"/>
      <c r="AB304" s="76"/>
      <c r="AC304" s="76"/>
      <c r="AD304" s="76"/>
      <c r="AE304" s="76"/>
    </row>
    <row r="305">
      <c r="A305" s="76"/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  <c r="AA305" s="76"/>
      <c r="AB305" s="76"/>
      <c r="AC305" s="76"/>
      <c r="AD305" s="76"/>
      <c r="AE305" s="76"/>
    </row>
    <row r="306">
      <c r="A306" s="76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  <c r="AA306" s="76"/>
      <c r="AB306" s="76"/>
      <c r="AC306" s="76"/>
      <c r="AD306" s="76"/>
      <c r="AE306" s="76"/>
    </row>
    <row r="307">
      <c r="A307" s="76"/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  <c r="AA307" s="76"/>
      <c r="AB307" s="76"/>
      <c r="AC307" s="76"/>
      <c r="AD307" s="76"/>
      <c r="AE307" s="76"/>
    </row>
    <row r="308">
      <c r="A308" s="76"/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  <c r="AA308" s="76"/>
      <c r="AB308" s="76"/>
      <c r="AC308" s="76"/>
      <c r="AD308" s="76"/>
      <c r="AE308" s="76"/>
    </row>
    <row r="309">
      <c r="A309" s="76"/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  <c r="AA309" s="76"/>
      <c r="AB309" s="76"/>
      <c r="AC309" s="76"/>
      <c r="AD309" s="76"/>
      <c r="AE309" s="76"/>
    </row>
    <row r="310">
      <c r="A310" s="76"/>
      <c r="B310" s="76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  <c r="AA310" s="76"/>
      <c r="AB310" s="76"/>
      <c r="AC310" s="76"/>
      <c r="AD310" s="76"/>
      <c r="AE310" s="76"/>
    </row>
    <row r="311">
      <c r="A311" s="76"/>
      <c r="B311" s="76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  <c r="AA311" s="76"/>
      <c r="AB311" s="76"/>
      <c r="AC311" s="76"/>
      <c r="AD311" s="76"/>
      <c r="AE311" s="76"/>
    </row>
    <row r="312">
      <c r="A312" s="76"/>
      <c r="B312" s="76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  <c r="AA312" s="76"/>
      <c r="AB312" s="76"/>
      <c r="AC312" s="76"/>
      <c r="AD312" s="76"/>
      <c r="AE312" s="76"/>
    </row>
    <row r="313">
      <c r="A313" s="76"/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  <c r="AA313" s="76"/>
      <c r="AB313" s="76"/>
      <c r="AC313" s="76"/>
      <c r="AD313" s="76"/>
      <c r="AE313" s="76"/>
    </row>
    <row r="314">
      <c r="A314" s="76"/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  <c r="AA314" s="76"/>
      <c r="AB314" s="76"/>
      <c r="AC314" s="76"/>
      <c r="AD314" s="76"/>
      <c r="AE314" s="76"/>
    </row>
    <row r="315">
      <c r="A315" s="76"/>
      <c r="B315" s="76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  <c r="AA315" s="76"/>
      <c r="AB315" s="76"/>
      <c r="AC315" s="76"/>
      <c r="AD315" s="76"/>
      <c r="AE315" s="76"/>
    </row>
    <row r="316">
      <c r="A316" s="76"/>
      <c r="B316" s="76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  <c r="AA316" s="76"/>
      <c r="AB316" s="76"/>
      <c r="AC316" s="76"/>
      <c r="AD316" s="76"/>
      <c r="AE316" s="76"/>
    </row>
    <row r="317">
      <c r="A317" s="76"/>
      <c r="B317" s="76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  <c r="AA317" s="76"/>
      <c r="AB317" s="76"/>
      <c r="AC317" s="76"/>
      <c r="AD317" s="76"/>
      <c r="AE317" s="76"/>
    </row>
    <row r="318">
      <c r="A318" s="76"/>
      <c r="B318" s="76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  <c r="AA318" s="76"/>
      <c r="AB318" s="76"/>
      <c r="AC318" s="76"/>
      <c r="AD318" s="76"/>
      <c r="AE318" s="76"/>
    </row>
    <row r="319">
      <c r="A319" s="76"/>
      <c r="B319" s="76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  <c r="AA319" s="76"/>
      <c r="AB319" s="76"/>
      <c r="AC319" s="76"/>
      <c r="AD319" s="76"/>
      <c r="AE319" s="76"/>
    </row>
    <row r="320">
      <c r="A320" s="76"/>
      <c r="B320" s="76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  <c r="AA320" s="76"/>
      <c r="AB320" s="76"/>
      <c r="AC320" s="76"/>
      <c r="AD320" s="76"/>
      <c r="AE320" s="76"/>
    </row>
    <row r="321">
      <c r="A321" s="76"/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  <c r="AA321" s="76"/>
      <c r="AB321" s="76"/>
      <c r="AC321" s="76"/>
      <c r="AD321" s="76"/>
      <c r="AE321" s="76"/>
    </row>
    <row r="322">
      <c r="A322" s="76"/>
      <c r="B322" s="76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  <c r="AA322" s="76"/>
      <c r="AB322" s="76"/>
      <c r="AC322" s="76"/>
      <c r="AD322" s="76"/>
      <c r="AE322" s="76"/>
    </row>
    <row r="323">
      <c r="A323" s="76"/>
      <c r="B323" s="76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  <c r="AA323" s="76"/>
      <c r="AB323" s="76"/>
      <c r="AC323" s="76"/>
      <c r="AD323" s="76"/>
      <c r="AE323" s="76"/>
    </row>
    <row r="324">
      <c r="A324" s="76"/>
      <c r="B324" s="76"/>
      <c r="C324" s="76"/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  <c r="AA324" s="76"/>
      <c r="AB324" s="76"/>
      <c r="AC324" s="76"/>
      <c r="AD324" s="76"/>
      <c r="AE324" s="76"/>
    </row>
    <row r="325">
      <c r="A325" s="76"/>
      <c r="B325" s="76"/>
      <c r="C325" s="76"/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  <c r="AA325" s="76"/>
      <c r="AB325" s="76"/>
      <c r="AC325" s="76"/>
      <c r="AD325" s="76"/>
      <c r="AE325" s="76"/>
    </row>
    <row r="326">
      <c r="A326" s="76"/>
      <c r="B326" s="76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  <c r="AA326" s="76"/>
      <c r="AB326" s="76"/>
      <c r="AC326" s="76"/>
      <c r="AD326" s="76"/>
      <c r="AE326" s="76"/>
    </row>
    <row r="327">
      <c r="A327" s="76"/>
      <c r="B327" s="76"/>
      <c r="C327" s="76"/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  <c r="AA327" s="76"/>
      <c r="AB327" s="76"/>
      <c r="AC327" s="76"/>
      <c r="AD327" s="76"/>
      <c r="AE327" s="76"/>
    </row>
    <row r="328">
      <c r="A328" s="76"/>
      <c r="B328" s="76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  <c r="AA328" s="76"/>
      <c r="AB328" s="76"/>
      <c r="AC328" s="76"/>
      <c r="AD328" s="76"/>
      <c r="AE328" s="76"/>
    </row>
    <row r="329">
      <c r="A329" s="76"/>
      <c r="B329" s="76"/>
      <c r="C329" s="76"/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  <c r="AA329" s="76"/>
      <c r="AB329" s="76"/>
      <c r="AC329" s="76"/>
      <c r="AD329" s="76"/>
      <c r="AE329" s="76"/>
    </row>
    <row r="330">
      <c r="A330" s="76"/>
      <c r="B330" s="76"/>
      <c r="C330" s="76"/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  <c r="AA330" s="76"/>
      <c r="AB330" s="76"/>
      <c r="AC330" s="76"/>
      <c r="AD330" s="76"/>
      <c r="AE330" s="76"/>
    </row>
    <row r="331">
      <c r="A331" s="76"/>
      <c r="B331" s="76"/>
      <c r="C331" s="76"/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  <c r="AA331" s="76"/>
      <c r="AB331" s="76"/>
      <c r="AC331" s="76"/>
      <c r="AD331" s="76"/>
      <c r="AE331" s="76"/>
    </row>
    <row r="332">
      <c r="A332" s="76"/>
      <c r="B332" s="76"/>
      <c r="C332" s="76"/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  <c r="AA332" s="76"/>
      <c r="AB332" s="76"/>
      <c r="AC332" s="76"/>
      <c r="AD332" s="76"/>
      <c r="AE332" s="76"/>
    </row>
    <row r="333">
      <c r="A333" s="76"/>
      <c r="B333" s="76"/>
      <c r="C333" s="76"/>
      <c r="D333" s="76"/>
      <c r="E333" s="76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  <c r="AA333" s="76"/>
      <c r="AB333" s="76"/>
      <c r="AC333" s="76"/>
      <c r="AD333" s="76"/>
      <c r="AE333" s="76"/>
    </row>
    <row r="334">
      <c r="A334" s="76"/>
      <c r="B334" s="76"/>
      <c r="C334" s="76"/>
      <c r="D334" s="76"/>
      <c r="E334" s="76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  <c r="AA334" s="76"/>
      <c r="AB334" s="76"/>
      <c r="AC334" s="76"/>
      <c r="AD334" s="76"/>
      <c r="AE334" s="76"/>
    </row>
    <row r="335">
      <c r="A335" s="76"/>
      <c r="B335" s="76"/>
      <c r="C335" s="76"/>
      <c r="D335" s="76"/>
      <c r="E335" s="76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  <c r="AA335" s="76"/>
      <c r="AB335" s="76"/>
      <c r="AC335" s="76"/>
      <c r="AD335" s="76"/>
      <c r="AE335" s="76"/>
    </row>
    <row r="336">
      <c r="A336" s="76"/>
      <c r="B336" s="76"/>
      <c r="C336" s="76"/>
      <c r="D336" s="76"/>
      <c r="E336" s="76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  <c r="AA336" s="76"/>
      <c r="AB336" s="76"/>
      <c r="AC336" s="76"/>
      <c r="AD336" s="76"/>
      <c r="AE336" s="76"/>
    </row>
    <row r="337">
      <c r="A337" s="76"/>
      <c r="B337" s="76"/>
      <c r="C337" s="76"/>
      <c r="D337" s="76"/>
      <c r="E337" s="76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  <c r="AA337" s="76"/>
      <c r="AB337" s="76"/>
      <c r="AC337" s="76"/>
      <c r="AD337" s="76"/>
      <c r="AE337" s="76"/>
    </row>
    <row r="338">
      <c r="A338" s="76"/>
      <c r="B338" s="76"/>
      <c r="C338" s="76"/>
      <c r="D338" s="76"/>
      <c r="E338" s="76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  <c r="AA338" s="76"/>
      <c r="AB338" s="76"/>
      <c r="AC338" s="76"/>
      <c r="AD338" s="76"/>
      <c r="AE338" s="76"/>
    </row>
    <row r="339">
      <c r="A339" s="76"/>
      <c r="B339" s="76"/>
      <c r="C339" s="76"/>
      <c r="D339" s="76"/>
      <c r="E339" s="76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  <c r="AA339" s="76"/>
      <c r="AB339" s="76"/>
      <c r="AC339" s="76"/>
      <c r="AD339" s="76"/>
      <c r="AE339" s="76"/>
    </row>
    <row r="340">
      <c r="A340" s="76"/>
      <c r="B340" s="76"/>
      <c r="C340" s="76"/>
      <c r="D340" s="76"/>
      <c r="E340" s="76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  <c r="AA340" s="76"/>
      <c r="AB340" s="76"/>
      <c r="AC340" s="76"/>
      <c r="AD340" s="76"/>
      <c r="AE340" s="76"/>
    </row>
    <row r="341">
      <c r="A341" s="76"/>
      <c r="B341" s="76"/>
      <c r="C341" s="76"/>
      <c r="D341" s="76"/>
      <c r="E341" s="76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  <c r="AA341" s="76"/>
      <c r="AB341" s="76"/>
      <c r="AC341" s="76"/>
      <c r="AD341" s="76"/>
      <c r="AE341" s="76"/>
    </row>
    <row r="342">
      <c r="A342" s="76"/>
      <c r="B342" s="76"/>
      <c r="C342" s="76"/>
      <c r="D342" s="76"/>
      <c r="E342" s="76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  <c r="AA342" s="76"/>
      <c r="AB342" s="76"/>
      <c r="AC342" s="76"/>
      <c r="AD342" s="76"/>
      <c r="AE342" s="76"/>
    </row>
    <row r="343">
      <c r="A343" s="76"/>
      <c r="B343" s="76"/>
      <c r="C343" s="76"/>
      <c r="D343" s="76"/>
      <c r="E343" s="76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  <c r="AA343" s="76"/>
      <c r="AB343" s="76"/>
      <c r="AC343" s="76"/>
      <c r="AD343" s="76"/>
      <c r="AE343" s="76"/>
    </row>
    <row r="344">
      <c r="A344" s="76"/>
      <c r="B344" s="76"/>
      <c r="C344" s="76"/>
      <c r="D344" s="76"/>
      <c r="E344" s="76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  <c r="AA344" s="76"/>
      <c r="AB344" s="76"/>
      <c r="AC344" s="76"/>
      <c r="AD344" s="76"/>
      <c r="AE344" s="76"/>
    </row>
    <row r="345">
      <c r="A345" s="76"/>
      <c r="B345" s="76"/>
      <c r="C345" s="76"/>
      <c r="D345" s="76"/>
      <c r="E345" s="76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  <c r="AA345" s="76"/>
      <c r="AB345" s="76"/>
      <c r="AC345" s="76"/>
      <c r="AD345" s="76"/>
      <c r="AE345" s="76"/>
    </row>
    <row r="346">
      <c r="A346" s="76"/>
      <c r="B346" s="76"/>
      <c r="C346" s="76"/>
      <c r="D346" s="76"/>
      <c r="E346" s="76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  <c r="AA346" s="76"/>
      <c r="AB346" s="76"/>
      <c r="AC346" s="76"/>
      <c r="AD346" s="76"/>
      <c r="AE346" s="76"/>
    </row>
    <row r="347">
      <c r="A347" s="76"/>
      <c r="B347" s="76"/>
      <c r="C347" s="76"/>
      <c r="D347" s="76"/>
      <c r="E347" s="76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  <c r="AA347" s="76"/>
      <c r="AB347" s="76"/>
      <c r="AC347" s="76"/>
      <c r="AD347" s="76"/>
      <c r="AE347" s="76"/>
    </row>
    <row r="348">
      <c r="A348" s="76"/>
      <c r="B348" s="76"/>
      <c r="C348" s="76"/>
      <c r="D348" s="76"/>
      <c r="E348" s="76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  <c r="AA348" s="76"/>
      <c r="AB348" s="76"/>
      <c r="AC348" s="76"/>
      <c r="AD348" s="76"/>
      <c r="AE348" s="76"/>
    </row>
    <row r="349">
      <c r="A349" s="76"/>
      <c r="B349" s="76"/>
      <c r="C349" s="76"/>
      <c r="D349" s="76"/>
      <c r="E349" s="76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  <c r="AA349" s="76"/>
      <c r="AB349" s="76"/>
      <c r="AC349" s="76"/>
      <c r="AD349" s="76"/>
      <c r="AE349" s="76"/>
    </row>
    <row r="350">
      <c r="A350" s="76"/>
      <c r="B350" s="76"/>
      <c r="C350" s="76"/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  <c r="AA350" s="76"/>
      <c r="AB350" s="76"/>
      <c r="AC350" s="76"/>
      <c r="AD350" s="76"/>
      <c r="AE350" s="76"/>
    </row>
    <row r="351">
      <c r="A351" s="76"/>
      <c r="B351" s="76"/>
      <c r="C351" s="76"/>
      <c r="D351" s="76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  <c r="AA351" s="76"/>
      <c r="AB351" s="76"/>
      <c r="AC351" s="76"/>
      <c r="AD351" s="76"/>
      <c r="AE351" s="76"/>
    </row>
    <row r="352">
      <c r="A352" s="76"/>
      <c r="B352" s="76"/>
      <c r="C352" s="76"/>
      <c r="D352" s="76"/>
      <c r="E352" s="76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  <c r="AA352" s="76"/>
      <c r="AB352" s="76"/>
      <c r="AC352" s="76"/>
      <c r="AD352" s="76"/>
      <c r="AE352" s="76"/>
    </row>
    <row r="353">
      <c r="A353" s="76"/>
      <c r="B353" s="76"/>
      <c r="C353" s="76"/>
      <c r="D353" s="76"/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  <c r="AA353" s="76"/>
      <c r="AB353" s="76"/>
      <c r="AC353" s="76"/>
      <c r="AD353" s="76"/>
      <c r="AE353" s="76"/>
    </row>
    <row r="354">
      <c r="A354" s="76"/>
      <c r="B354" s="76"/>
      <c r="C354" s="76"/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  <c r="AA354" s="76"/>
      <c r="AB354" s="76"/>
      <c r="AC354" s="76"/>
      <c r="AD354" s="76"/>
      <c r="AE354" s="76"/>
    </row>
    <row r="355">
      <c r="A355" s="76"/>
      <c r="B355" s="76"/>
      <c r="C355" s="76"/>
      <c r="D355" s="76"/>
      <c r="E355" s="76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  <c r="AA355" s="76"/>
      <c r="AB355" s="76"/>
      <c r="AC355" s="76"/>
      <c r="AD355" s="76"/>
      <c r="AE355" s="76"/>
    </row>
    <row r="356">
      <c r="A356" s="76"/>
      <c r="B356" s="76"/>
      <c r="C356" s="76"/>
      <c r="D356" s="76"/>
      <c r="E356" s="76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  <c r="AA356" s="76"/>
      <c r="AB356" s="76"/>
      <c r="AC356" s="76"/>
      <c r="AD356" s="76"/>
      <c r="AE356" s="76"/>
    </row>
    <row r="357">
      <c r="A357" s="76"/>
      <c r="B357" s="76"/>
      <c r="C357" s="76"/>
      <c r="D357" s="76"/>
      <c r="E357" s="76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  <c r="AA357" s="76"/>
      <c r="AB357" s="76"/>
      <c r="AC357" s="76"/>
      <c r="AD357" s="76"/>
      <c r="AE357" s="76"/>
    </row>
    <row r="358">
      <c r="A358" s="76"/>
      <c r="B358" s="76"/>
      <c r="C358" s="76"/>
      <c r="D358" s="76"/>
      <c r="E358" s="76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  <c r="AA358" s="76"/>
      <c r="AB358" s="76"/>
      <c r="AC358" s="76"/>
      <c r="AD358" s="76"/>
      <c r="AE358" s="76"/>
    </row>
    <row r="359">
      <c r="A359" s="76"/>
      <c r="B359" s="76"/>
      <c r="C359" s="76"/>
      <c r="D359" s="76"/>
      <c r="E359" s="76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  <c r="AA359" s="76"/>
      <c r="AB359" s="76"/>
      <c r="AC359" s="76"/>
      <c r="AD359" s="76"/>
      <c r="AE359" s="76"/>
    </row>
    <row r="360">
      <c r="A360" s="76"/>
      <c r="B360" s="76"/>
      <c r="C360" s="76"/>
      <c r="D360" s="76"/>
      <c r="E360" s="76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  <c r="AA360" s="76"/>
      <c r="AB360" s="76"/>
      <c r="AC360" s="76"/>
      <c r="AD360" s="76"/>
      <c r="AE360" s="76"/>
    </row>
    <row r="361">
      <c r="A361" s="76"/>
      <c r="B361" s="76"/>
      <c r="C361" s="76"/>
      <c r="D361" s="76"/>
      <c r="E361" s="76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  <c r="AA361" s="76"/>
      <c r="AB361" s="76"/>
      <c r="AC361" s="76"/>
      <c r="AD361" s="76"/>
      <c r="AE361" s="76"/>
    </row>
    <row r="362">
      <c r="A362" s="76"/>
      <c r="B362" s="76"/>
      <c r="C362" s="76"/>
      <c r="D362" s="76"/>
      <c r="E362" s="76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  <c r="AA362" s="76"/>
      <c r="AB362" s="76"/>
      <c r="AC362" s="76"/>
      <c r="AD362" s="76"/>
      <c r="AE362" s="76"/>
    </row>
    <row r="363">
      <c r="A363" s="76"/>
      <c r="B363" s="76"/>
      <c r="C363" s="76"/>
      <c r="D363" s="76"/>
      <c r="E363" s="76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  <c r="AA363" s="76"/>
      <c r="AB363" s="76"/>
      <c r="AC363" s="76"/>
      <c r="AD363" s="76"/>
      <c r="AE363" s="76"/>
    </row>
    <row r="364">
      <c r="A364" s="76"/>
      <c r="B364" s="76"/>
      <c r="C364" s="76"/>
      <c r="D364" s="76"/>
      <c r="E364" s="76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  <c r="AA364" s="76"/>
      <c r="AB364" s="76"/>
      <c r="AC364" s="76"/>
      <c r="AD364" s="76"/>
      <c r="AE364" s="76"/>
    </row>
    <row r="365">
      <c r="A365" s="76"/>
      <c r="B365" s="76"/>
      <c r="C365" s="76"/>
      <c r="D365" s="76"/>
      <c r="E365" s="76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  <c r="AA365" s="76"/>
      <c r="AB365" s="76"/>
      <c r="AC365" s="76"/>
      <c r="AD365" s="76"/>
      <c r="AE365" s="76"/>
    </row>
    <row r="366">
      <c r="A366" s="76"/>
      <c r="B366" s="76"/>
      <c r="C366" s="76"/>
      <c r="D366" s="76"/>
      <c r="E366" s="76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  <c r="AA366" s="76"/>
      <c r="AB366" s="76"/>
      <c r="AC366" s="76"/>
      <c r="AD366" s="76"/>
      <c r="AE366" s="76"/>
    </row>
    <row r="367">
      <c r="A367" s="76"/>
      <c r="B367" s="76"/>
      <c r="C367" s="76"/>
      <c r="D367" s="76"/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  <c r="AA367" s="76"/>
      <c r="AB367" s="76"/>
      <c r="AC367" s="76"/>
      <c r="AD367" s="76"/>
      <c r="AE367" s="76"/>
    </row>
    <row r="368">
      <c r="A368" s="76"/>
      <c r="B368" s="76"/>
      <c r="C368" s="76"/>
      <c r="D368" s="76"/>
      <c r="E368" s="76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  <c r="AA368" s="76"/>
      <c r="AB368" s="76"/>
      <c r="AC368" s="76"/>
      <c r="AD368" s="76"/>
      <c r="AE368" s="76"/>
    </row>
    <row r="369">
      <c r="A369" s="76"/>
      <c r="B369" s="76"/>
      <c r="C369" s="76"/>
      <c r="D369" s="76"/>
      <c r="E369" s="76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  <c r="AA369" s="76"/>
      <c r="AB369" s="76"/>
      <c r="AC369" s="76"/>
      <c r="AD369" s="76"/>
      <c r="AE369" s="76"/>
    </row>
    <row r="370">
      <c r="A370" s="76"/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  <c r="AA370" s="76"/>
      <c r="AB370" s="76"/>
      <c r="AC370" s="76"/>
      <c r="AD370" s="76"/>
      <c r="AE370" s="76"/>
    </row>
    <row r="371">
      <c r="A371" s="76"/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  <c r="AA371" s="76"/>
      <c r="AB371" s="76"/>
      <c r="AC371" s="76"/>
      <c r="AD371" s="76"/>
      <c r="AE371" s="76"/>
    </row>
    <row r="372">
      <c r="A372" s="76"/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  <c r="AA372" s="76"/>
      <c r="AB372" s="76"/>
      <c r="AC372" s="76"/>
      <c r="AD372" s="76"/>
      <c r="AE372" s="76"/>
    </row>
    <row r="373">
      <c r="A373" s="76"/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  <c r="AA373" s="76"/>
      <c r="AB373" s="76"/>
      <c r="AC373" s="76"/>
      <c r="AD373" s="76"/>
      <c r="AE373" s="76"/>
    </row>
    <row r="374">
      <c r="A374" s="76"/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  <c r="AA374" s="76"/>
      <c r="AB374" s="76"/>
      <c r="AC374" s="76"/>
      <c r="AD374" s="76"/>
      <c r="AE374" s="76"/>
    </row>
    <row r="375">
      <c r="A375" s="76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  <c r="AA375" s="76"/>
      <c r="AB375" s="76"/>
      <c r="AC375" s="76"/>
      <c r="AD375" s="76"/>
      <c r="AE375" s="76"/>
    </row>
    <row r="376">
      <c r="A376" s="76"/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  <c r="AA376" s="76"/>
      <c r="AB376" s="76"/>
      <c r="AC376" s="76"/>
      <c r="AD376" s="76"/>
      <c r="AE376" s="76"/>
    </row>
    <row r="377">
      <c r="A377" s="76"/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  <c r="AA377" s="76"/>
      <c r="AB377" s="76"/>
      <c r="AC377" s="76"/>
      <c r="AD377" s="76"/>
      <c r="AE377" s="76"/>
    </row>
    <row r="378">
      <c r="A378" s="76"/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  <c r="AA378" s="76"/>
      <c r="AB378" s="76"/>
      <c r="AC378" s="76"/>
      <c r="AD378" s="76"/>
      <c r="AE378" s="76"/>
    </row>
    <row r="379">
      <c r="A379" s="76"/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  <c r="AA379" s="76"/>
      <c r="AB379" s="76"/>
      <c r="AC379" s="76"/>
      <c r="AD379" s="76"/>
      <c r="AE379" s="76"/>
    </row>
    <row r="380">
      <c r="A380" s="76"/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  <c r="AA380" s="76"/>
      <c r="AB380" s="76"/>
      <c r="AC380" s="76"/>
      <c r="AD380" s="76"/>
      <c r="AE380" s="76"/>
    </row>
    <row r="381">
      <c r="A381" s="76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  <c r="AA381" s="76"/>
      <c r="AB381" s="76"/>
      <c r="AC381" s="76"/>
      <c r="AD381" s="76"/>
      <c r="AE381" s="76"/>
    </row>
    <row r="382">
      <c r="A382" s="76"/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  <c r="AA382" s="76"/>
      <c r="AB382" s="76"/>
      <c r="AC382" s="76"/>
      <c r="AD382" s="76"/>
      <c r="AE382" s="76"/>
    </row>
    <row r="383">
      <c r="A383" s="76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  <c r="AA383" s="76"/>
      <c r="AB383" s="76"/>
      <c r="AC383" s="76"/>
      <c r="AD383" s="76"/>
      <c r="AE383" s="76"/>
    </row>
    <row r="384">
      <c r="A384" s="76"/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  <c r="AA384" s="76"/>
      <c r="AB384" s="76"/>
      <c r="AC384" s="76"/>
      <c r="AD384" s="76"/>
      <c r="AE384" s="76"/>
    </row>
    <row r="385">
      <c r="A385" s="76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  <c r="AA385" s="76"/>
      <c r="AB385" s="76"/>
      <c r="AC385" s="76"/>
      <c r="AD385" s="76"/>
      <c r="AE385" s="76"/>
    </row>
    <row r="386">
      <c r="A386" s="76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  <c r="AA386" s="76"/>
      <c r="AB386" s="76"/>
      <c r="AC386" s="76"/>
      <c r="AD386" s="76"/>
      <c r="AE386" s="76"/>
    </row>
    <row r="387">
      <c r="A387" s="76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  <c r="AA387" s="76"/>
      <c r="AB387" s="76"/>
      <c r="AC387" s="76"/>
      <c r="AD387" s="76"/>
      <c r="AE387" s="76"/>
    </row>
    <row r="388">
      <c r="A388" s="76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  <c r="AA388" s="76"/>
      <c r="AB388" s="76"/>
      <c r="AC388" s="76"/>
      <c r="AD388" s="76"/>
      <c r="AE388" s="76"/>
    </row>
    <row r="389">
      <c r="A389" s="76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  <c r="AA389" s="76"/>
      <c r="AB389" s="76"/>
      <c r="AC389" s="76"/>
      <c r="AD389" s="76"/>
      <c r="AE389" s="76"/>
    </row>
    <row r="390">
      <c r="A390" s="76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  <c r="AA390" s="76"/>
      <c r="AB390" s="76"/>
      <c r="AC390" s="76"/>
      <c r="AD390" s="76"/>
      <c r="AE390" s="76"/>
    </row>
    <row r="391">
      <c r="A391" s="76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  <c r="AA391" s="76"/>
      <c r="AB391" s="76"/>
      <c r="AC391" s="76"/>
      <c r="AD391" s="76"/>
      <c r="AE391" s="76"/>
    </row>
    <row r="392">
      <c r="A392" s="76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  <c r="AA392" s="76"/>
      <c r="AB392" s="76"/>
      <c r="AC392" s="76"/>
      <c r="AD392" s="76"/>
      <c r="AE392" s="76"/>
    </row>
    <row r="393">
      <c r="A393" s="76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  <c r="AA393" s="76"/>
      <c r="AB393" s="76"/>
      <c r="AC393" s="76"/>
      <c r="AD393" s="76"/>
      <c r="AE393" s="76"/>
    </row>
    <row r="394">
      <c r="A394" s="76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  <c r="AA394" s="76"/>
      <c r="AB394" s="76"/>
      <c r="AC394" s="76"/>
      <c r="AD394" s="76"/>
      <c r="AE394" s="76"/>
    </row>
    <row r="395">
      <c r="A395" s="76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  <c r="AA395" s="76"/>
      <c r="AB395" s="76"/>
      <c r="AC395" s="76"/>
      <c r="AD395" s="76"/>
      <c r="AE395" s="76"/>
    </row>
    <row r="396">
      <c r="A396" s="76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  <c r="AA396" s="76"/>
      <c r="AB396" s="76"/>
      <c r="AC396" s="76"/>
      <c r="AD396" s="76"/>
      <c r="AE396" s="76"/>
    </row>
    <row r="397">
      <c r="A397" s="76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  <c r="AA397" s="76"/>
      <c r="AB397" s="76"/>
      <c r="AC397" s="76"/>
      <c r="AD397" s="76"/>
      <c r="AE397" s="76"/>
    </row>
    <row r="398">
      <c r="A398" s="76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  <c r="AA398" s="76"/>
      <c r="AB398" s="76"/>
      <c r="AC398" s="76"/>
      <c r="AD398" s="76"/>
      <c r="AE398" s="76"/>
    </row>
    <row r="399">
      <c r="A399" s="76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  <c r="AA399" s="76"/>
      <c r="AB399" s="76"/>
      <c r="AC399" s="76"/>
      <c r="AD399" s="76"/>
      <c r="AE399" s="76"/>
    </row>
    <row r="400">
      <c r="A400" s="76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  <c r="AA400" s="76"/>
      <c r="AB400" s="76"/>
      <c r="AC400" s="76"/>
      <c r="AD400" s="76"/>
      <c r="AE400" s="76"/>
    </row>
    <row r="401">
      <c r="A401" s="76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  <c r="AA401" s="76"/>
      <c r="AB401" s="76"/>
      <c r="AC401" s="76"/>
      <c r="AD401" s="76"/>
      <c r="AE401" s="76"/>
    </row>
    <row r="402">
      <c r="A402" s="76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  <c r="AA402" s="76"/>
      <c r="AB402" s="76"/>
      <c r="AC402" s="76"/>
      <c r="AD402" s="76"/>
      <c r="AE402" s="76"/>
    </row>
    <row r="403">
      <c r="A403" s="76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  <c r="AA403" s="76"/>
      <c r="AB403" s="76"/>
      <c r="AC403" s="76"/>
      <c r="AD403" s="76"/>
      <c r="AE403" s="76"/>
    </row>
    <row r="404">
      <c r="A404" s="76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  <c r="AA404" s="76"/>
      <c r="AB404" s="76"/>
      <c r="AC404" s="76"/>
      <c r="AD404" s="76"/>
      <c r="AE404" s="76"/>
    </row>
    <row r="405">
      <c r="A405" s="76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  <c r="AA405" s="76"/>
      <c r="AB405" s="76"/>
      <c r="AC405" s="76"/>
      <c r="AD405" s="76"/>
      <c r="AE405" s="76"/>
    </row>
    <row r="406">
      <c r="A406" s="76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  <c r="AA406" s="76"/>
      <c r="AB406" s="76"/>
      <c r="AC406" s="76"/>
      <c r="AD406" s="76"/>
      <c r="AE406" s="76"/>
    </row>
    <row r="407">
      <c r="A407" s="76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  <c r="AA407" s="76"/>
      <c r="AB407" s="76"/>
      <c r="AC407" s="76"/>
      <c r="AD407" s="76"/>
      <c r="AE407" s="76"/>
    </row>
    <row r="408">
      <c r="A408" s="76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  <c r="AA408" s="76"/>
      <c r="AB408" s="76"/>
      <c r="AC408" s="76"/>
      <c r="AD408" s="76"/>
      <c r="AE408" s="76"/>
    </row>
    <row r="409">
      <c r="A409" s="76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  <c r="AA409" s="76"/>
      <c r="AB409" s="76"/>
      <c r="AC409" s="76"/>
      <c r="AD409" s="76"/>
      <c r="AE409" s="76"/>
    </row>
    <row r="410">
      <c r="A410" s="76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  <c r="AA410" s="76"/>
      <c r="AB410" s="76"/>
      <c r="AC410" s="76"/>
      <c r="AD410" s="76"/>
      <c r="AE410" s="76"/>
    </row>
    <row r="411">
      <c r="A411" s="76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  <c r="AA411" s="76"/>
      <c r="AB411" s="76"/>
      <c r="AC411" s="76"/>
      <c r="AD411" s="76"/>
      <c r="AE411" s="76"/>
    </row>
    <row r="412">
      <c r="A412" s="76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  <c r="AA412" s="76"/>
      <c r="AB412" s="76"/>
      <c r="AC412" s="76"/>
      <c r="AD412" s="76"/>
      <c r="AE412" s="76"/>
    </row>
    <row r="413">
      <c r="A413" s="76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  <c r="AA413" s="76"/>
      <c r="AB413" s="76"/>
      <c r="AC413" s="76"/>
      <c r="AD413" s="76"/>
      <c r="AE413" s="76"/>
    </row>
    <row r="414">
      <c r="A414" s="76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  <c r="AA414" s="76"/>
      <c r="AB414" s="76"/>
      <c r="AC414" s="76"/>
      <c r="AD414" s="76"/>
      <c r="AE414" s="76"/>
    </row>
    <row r="415">
      <c r="A415" s="76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  <c r="AA415" s="76"/>
      <c r="AB415" s="76"/>
      <c r="AC415" s="76"/>
      <c r="AD415" s="76"/>
      <c r="AE415" s="76"/>
    </row>
    <row r="416">
      <c r="A416" s="76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  <c r="AA416" s="76"/>
      <c r="AB416" s="76"/>
      <c r="AC416" s="76"/>
      <c r="AD416" s="76"/>
      <c r="AE416" s="76"/>
    </row>
    <row r="417">
      <c r="A417" s="76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  <c r="AA417" s="76"/>
      <c r="AB417" s="76"/>
      <c r="AC417" s="76"/>
      <c r="AD417" s="76"/>
      <c r="AE417" s="76"/>
    </row>
    <row r="418">
      <c r="A418" s="76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  <c r="AA418" s="76"/>
      <c r="AB418" s="76"/>
      <c r="AC418" s="76"/>
      <c r="AD418" s="76"/>
      <c r="AE418" s="76"/>
    </row>
    <row r="419">
      <c r="A419" s="76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  <c r="AA419" s="76"/>
      <c r="AB419" s="76"/>
      <c r="AC419" s="76"/>
      <c r="AD419" s="76"/>
      <c r="AE419" s="76"/>
    </row>
    <row r="420">
      <c r="A420" s="76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  <c r="AA420" s="76"/>
      <c r="AB420" s="76"/>
      <c r="AC420" s="76"/>
      <c r="AD420" s="76"/>
      <c r="AE420" s="76"/>
    </row>
    <row r="421">
      <c r="A421" s="76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  <c r="AA421" s="76"/>
      <c r="AB421" s="76"/>
      <c r="AC421" s="76"/>
      <c r="AD421" s="76"/>
      <c r="AE421" s="76"/>
    </row>
    <row r="422">
      <c r="A422" s="76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  <c r="AA422" s="76"/>
      <c r="AB422" s="76"/>
      <c r="AC422" s="76"/>
      <c r="AD422" s="76"/>
      <c r="AE422" s="76"/>
    </row>
    <row r="423">
      <c r="A423" s="76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  <c r="AA423" s="76"/>
      <c r="AB423" s="76"/>
      <c r="AC423" s="76"/>
      <c r="AD423" s="76"/>
      <c r="AE423" s="76"/>
    </row>
    <row r="424">
      <c r="A424" s="76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  <c r="AA424" s="76"/>
      <c r="AB424" s="76"/>
      <c r="AC424" s="76"/>
      <c r="AD424" s="76"/>
      <c r="AE424" s="76"/>
    </row>
    <row r="425">
      <c r="A425" s="76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  <c r="AA425" s="76"/>
      <c r="AB425" s="76"/>
      <c r="AC425" s="76"/>
      <c r="AD425" s="76"/>
      <c r="AE425" s="76"/>
    </row>
    <row r="426">
      <c r="A426" s="76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  <c r="AA426" s="76"/>
      <c r="AB426" s="76"/>
      <c r="AC426" s="76"/>
      <c r="AD426" s="76"/>
      <c r="AE426" s="76"/>
    </row>
    <row r="427">
      <c r="A427" s="76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  <c r="AA427" s="76"/>
      <c r="AB427" s="76"/>
      <c r="AC427" s="76"/>
      <c r="AD427" s="76"/>
      <c r="AE427" s="76"/>
    </row>
    <row r="428">
      <c r="A428" s="76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  <c r="AA428" s="76"/>
      <c r="AB428" s="76"/>
      <c r="AC428" s="76"/>
      <c r="AD428" s="76"/>
      <c r="AE428" s="76"/>
    </row>
    <row r="429">
      <c r="A429" s="76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  <c r="AA429" s="76"/>
      <c r="AB429" s="76"/>
      <c r="AC429" s="76"/>
      <c r="AD429" s="76"/>
      <c r="AE429" s="76"/>
    </row>
    <row r="430">
      <c r="A430" s="76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  <c r="AA430" s="76"/>
      <c r="AB430" s="76"/>
      <c r="AC430" s="76"/>
      <c r="AD430" s="76"/>
      <c r="AE430" s="76"/>
    </row>
    <row r="431">
      <c r="A431" s="76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  <c r="AA431" s="76"/>
      <c r="AB431" s="76"/>
      <c r="AC431" s="76"/>
      <c r="AD431" s="76"/>
      <c r="AE431" s="76"/>
    </row>
    <row r="432">
      <c r="A432" s="76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  <c r="AA432" s="76"/>
      <c r="AB432" s="76"/>
      <c r="AC432" s="76"/>
      <c r="AD432" s="76"/>
      <c r="AE432" s="76"/>
    </row>
    <row r="433">
      <c r="A433" s="76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  <c r="AA433" s="76"/>
      <c r="AB433" s="76"/>
      <c r="AC433" s="76"/>
      <c r="AD433" s="76"/>
      <c r="AE433" s="76"/>
    </row>
    <row r="434">
      <c r="A434" s="76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  <c r="AA434" s="76"/>
      <c r="AB434" s="76"/>
      <c r="AC434" s="76"/>
      <c r="AD434" s="76"/>
      <c r="AE434" s="76"/>
    </row>
    <row r="435">
      <c r="A435" s="76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  <c r="AA435" s="76"/>
      <c r="AB435" s="76"/>
      <c r="AC435" s="76"/>
      <c r="AD435" s="76"/>
      <c r="AE435" s="76"/>
    </row>
    <row r="436">
      <c r="A436" s="76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  <c r="AA436" s="76"/>
      <c r="AB436" s="76"/>
      <c r="AC436" s="76"/>
      <c r="AD436" s="76"/>
      <c r="AE436" s="76"/>
    </row>
    <row r="437">
      <c r="A437" s="76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  <c r="AA437" s="76"/>
      <c r="AB437" s="76"/>
      <c r="AC437" s="76"/>
      <c r="AD437" s="76"/>
      <c r="AE437" s="76"/>
    </row>
    <row r="438">
      <c r="A438" s="76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  <c r="AA438" s="76"/>
      <c r="AB438" s="76"/>
      <c r="AC438" s="76"/>
      <c r="AD438" s="76"/>
      <c r="AE438" s="76"/>
    </row>
    <row r="439">
      <c r="A439" s="76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  <c r="AA439" s="76"/>
      <c r="AB439" s="76"/>
      <c r="AC439" s="76"/>
      <c r="AD439" s="76"/>
      <c r="AE439" s="76"/>
    </row>
    <row r="440">
      <c r="A440" s="76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  <c r="AA440" s="76"/>
      <c r="AB440" s="76"/>
      <c r="AC440" s="76"/>
      <c r="AD440" s="76"/>
      <c r="AE440" s="76"/>
    </row>
    <row r="441">
      <c r="A441" s="76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  <c r="AA441" s="76"/>
      <c r="AB441" s="76"/>
      <c r="AC441" s="76"/>
      <c r="AD441" s="76"/>
      <c r="AE441" s="76"/>
    </row>
    <row r="442">
      <c r="A442" s="76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  <c r="AA442" s="76"/>
      <c r="AB442" s="76"/>
      <c r="AC442" s="76"/>
      <c r="AD442" s="76"/>
      <c r="AE442" s="76"/>
    </row>
    <row r="443">
      <c r="A443" s="76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  <c r="AA443" s="76"/>
      <c r="AB443" s="76"/>
      <c r="AC443" s="76"/>
      <c r="AD443" s="76"/>
      <c r="AE443" s="76"/>
    </row>
    <row r="444">
      <c r="A444" s="76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  <c r="AA444" s="76"/>
      <c r="AB444" s="76"/>
      <c r="AC444" s="76"/>
      <c r="AD444" s="76"/>
      <c r="AE444" s="76"/>
    </row>
    <row r="445">
      <c r="A445" s="76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  <c r="AA445" s="76"/>
      <c r="AB445" s="76"/>
      <c r="AC445" s="76"/>
      <c r="AD445" s="76"/>
      <c r="AE445" s="76"/>
    </row>
    <row r="446">
      <c r="A446" s="76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  <c r="AA446" s="76"/>
      <c r="AB446" s="76"/>
      <c r="AC446" s="76"/>
      <c r="AD446" s="76"/>
      <c r="AE446" s="76"/>
    </row>
    <row r="447">
      <c r="A447" s="76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  <c r="AA447" s="76"/>
      <c r="AB447" s="76"/>
      <c r="AC447" s="76"/>
      <c r="AD447" s="76"/>
      <c r="AE447" s="76"/>
    </row>
    <row r="448">
      <c r="A448" s="76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  <c r="AA448" s="76"/>
      <c r="AB448" s="76"/>
      <c r="AC448" s="76"/>
      <c r="AD448" s="76"/>
      <c r="AE448" s="76"/>
    </row>
    <row r="449">
      <c r="A449" s="76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  <c r="AA449" s="76"/>
      <c r="AB449" s="76"/>
      <c r="AC449" s="76"/>
      <c r="AD449" s="76"/>
      <c r="AE449" s="76"/>
    </row>
    <row r="450">
      <c r="A450" s="76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  <c r="AA450" s="76"/>
      <c r="AB450" s="76"/>
      <c r="AC450" s="76"/>
      <c r="AD450" s="76"/>
      <c r="AE450" s="76"/>
    </row>
    <row r="451">
      <c r="A451" s="76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  <c r="AA451" s="76"/>
      <c r="AB451" s="76"/>
      <c r="AC451" s="76"/>
      <c r="AD451" s="76"/>
      <c r="AE451" s="76"/>
    </row>
    <row r="452">
      <c r="A452" s="76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  <c r="AA452" s="76"/>
      <c r="AB452" s="76"/>
      <c r="AC452" s="76"/>
      <c r="AD452" s="76"/>
      <c r="AE452" s="76"/>
    </row>
    <row r="453">
      <c r="A453" s="76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  <c r="AA453" s="76"/>
      <c r="AB453" s="76"/>
      <c r="AC453" s="76"/>
      <c r="AD453" s="76"/>
      <c r="AE453" s="76"/>
    </row>
    <row r="454">
      <c r="A454" s="76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  <c r="AA454" s="76"/>
      <c r="AB454" s="76"/>
      <c r="AC454" s="76"/>
      <c r="AD454" s="76"/>
      <c r="AE454" s="76"/>
    </row>
    <row r="455">
      <c r="A455" s="76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  <c r="AA455" s="76"/>
      <c r="AB455" s="76"/>
      <c r="AC455" s="76"/>
      <c r="AD455" s="76"/>
      <c r="AE455" s="76"/>
    </row>
    <row r="456">
      <c r="A456" s="76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  <c r="AA456" s="76"/>
      <c r="AB456" s="76"/>
      <c r="AC456" s="76"/>
      <c r="AD456" s="76"/>
      <c r="AE456" s="76"/>
    </row>
    <row r="457">
      <c r="A457" s="76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  <c r="AA457" s="76"/>
      <c r="AB457" s="76"/>
      <c r="AC457" s="76"/>
      <c r="AD457" s="76"/>
      <c r="AE457" s="76"/>
    </row>
    <row r="458">
      <c r="A458" s="76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  <c r="AA458" s="76"/>
      <c r="AB458" s="76"/>
      <c r="AC458" s="76"/>
      <c r="AD458" s="76"/>
      <c r="AE458" s="76"/>
    </row>
    <row r="459">
      <c r="A459" s="76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  <c r="AA459" s="76"/>
      <c r="AB459" s="76"/>
      <c r="AC459" s="76"/>
      <c r="AD459" s="76"/>
      <c r="AE459" s="76"/>
    </row>
    <row r="460">
      <c r="A460" s="76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  <c r="AA460" s="76"/>
      <c r="AB460" s="76"/>
      <c r="AC460" s="76"/>
      <c r="AD460" s="76"/>
      <c r="AE460" s="76"/>
    </row>
    <row r="461">
      <c r="A461" s="76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  <c r="AA461" s="76"/>
      <c r="AB461" s="76"/>
      <c r="AC461" s="76"/>
      <c r="AD461" s="76"/>
      <c r="AE461" s="76"/>
    </row>
    <row r="462">
      <c r="A462" s="76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  <c r="AA462" s="76"/>
      <c r="AB462" s="76"/>
      <c r="AC462" s="76"/>
      <c r="AD462" s="76"/>
      <c r="AE462" s="76"/>
    </row>
    <row r="463">
      <c r="A463" s="76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  <c r="AA463" s="76"/>
      <c r="AB463" s="76"/>
      <c r="AC463" s="76"/>
      <c r="AD463" s="76"/>
      <c r="AE463" s="76"/>
    </row>
    <row r="464">
      <c r="A464" s="76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  <c r="AA464" s="76"/>
      <c r="AB464" s="76"/>
      <c r="AC464" s="76"/>
      <c r="AD464" s="76"/>
      <c r="AE464" s="76"/>
    </row>
    <row r="465">
      <c r="A465" s="76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  <c r="AA465" s="76"/>
      <c r="AB465" s="76"/>
      <c r="AC465" s="76"/>
      <c r="AD465" s="76"/>
      <c r="AE465" s="76"/>
    </row>
    <row r="466">
      <c r="A466" s="76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  <c r="AA466" s="76"/>
      <c r="AB466" s="76"/>
      <c r="AC466" s="76"/>
      <c r="AD466" s="76"/>
      <c r="AE466" s="76"/>
    </row>
    <row r="467">
      <c r="A467" s="76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  <c r="AA467" s="76"/>
      <c r="AB467" s="76"/>
      <c r="AC467" s="76"/>
      <c r="AD467" s="76"/>
      <c r="AE467" s="76"/>
    </row>
    <row r="468">
      <c r="A468" s="76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  <c r="AA468" s="76"/>
      <c r="AB468" s="76"/>
      <c r="AC468" s="76"/>
      <c r="AD468" s="76"/>
      <c r="AE468" s="76"/>
    </row>
    <row r="469">
      <c r="A469" s="76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  <c r="AA469" s="76"/>
      <c r="AB469" s="76"/>
      <c r="AC469" s="76"/>
      <c r="AD469" s="76"/>
      <c r="AE469" s="76"/>
    </row>
    <row r="470">
      <c r="A470" s="76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  <c r="AA470" s="76"/>
      <c r="AB470" s="76"/>
      <c r="AC470" s="76"/>
      <c r="AD470" s="76"/>
      <c r="AE470" s="76"/>
    </row>
    <row r="471">
      <c r="A471" s="76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  <c r="AA471" s="76"/>
      <c r="AB471" s="76"/>
      <c r="AC471" s="76"/>
      <c r="AD471" s="76"/>
      <c r="AE471" s="76"/>
    </row>
    <row r="472">
      <c r="A472" s="76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  <c r="AA472" s="76"/>
      <c r="AB472" s="76"/>
      <c r="AC472" s="76"/>
      <c r="AD472" s="76"/>
      <c r="AE472" s="76"/>
    </row>
    <row r="473">
      <c r="A473" s="76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  <c r="AA473" s="76"/>
      <c r="AB473" s="76"/>
      <c r="AC473" s="76"/>
      <c r="AD473" s="76"/>
      <c r="AE473" s="76"/>
    </row>
    <row r="474">
      <c r="A474" s="76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  <c r="AA474" s="76"/>
      <c r="AB474" s="76"/>
      <c r="AC474" s="76"/>
      <c r="AD474" s="76"/>
      <c r="AE474" s="76"/>
    </row>
    <row r="475">
      <c r="A475" s="76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  <c r="AA475" s="76"/>
      <c r="AB475" s="76"/>
      <c r="AC475" s="76"/>
      <c r="AD475" s="76"/>
      <c r="AE475" s="76"/>
    </row>
    <row r="476">
      <c r="A476" s="76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  <c r="AA476" s="76"/>
      <c r="AB476" s="76"/>
      <c r="AC476" s="76"/>
      <c r="AD476" s="76"/>
      <c r="AE476" s="76"/>
    </row>
    <row r="477">
      <c r="A477" s="76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  <c r="AA477" s="76"/>
      <c r="AB477" s="76"/>
      <c r="AC477" s="76"/>
      <c r="AD477" s="76"/>
      <c r="AE477" s="76"/>
    </row>
    <row r="478">
      <c r="A478" s="76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  <c r="AA478" s="76"/>
      <c r="AB478" s="76"/>
      <c r="AC478" s="76"/>
      <c r="AD478" s="76"/>
      <c r="AE478" s="76"/>
    </row>
    <row r="479">
      <c r="A479" s="76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  <c r="AA479" s="76"/>
      <c r="AB479" s="76"/>
      <c r="AC479" s="76"/>
      <c r="AD479" s="76"/>
      <c r="AE479" s="76"/>
    </row>
    <row r="480">
      <c r="A480" s="76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  <c r="AA480" s="76"/>
      <c r="AB480" s="76"/>
      <c r="AC480" s="76"/>
      <c r="AD480" s="76"/>
      <c r="AE480" s="76"/>
    </row>
    <row r="481">
      <c r="A481" s="76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  <c r="AA481" s="76"/>
      <c r="AB481" s="76"/>
      <c r="AC481" s="76"/>
      <c r="AD481" s="76"/>
      <c r="AE481" s="76"/>
    </row>
    <row r="482">
      <c r="A482" s="76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  <c r="AA482" s="76"/>
      <c r="AB482" s="76"/>
      <c r="AC482" s="76"/>
      <c r="AD482" s="76"/>
      <c r="AE482" s="76"/>
    </row>
    <row r="483">
      <c r="A483" s="76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  <c r="AA483" s="76"/>
      <c r="AB483" s="76"/>
      <c r="AC483" s="76"/>
      <c r="AD483" s="76"/>
      <c r="AE483" s="76"/>
    </row>
    <row r="484">
      <c r="A484" s="76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  <c r="AA484" s="76"/>
      <c r="AB484" s="76"/>
      <c r="AC484" s="76"/>
      <c r="AD484" s="76"/>
      <c r="AE484" s="76"/>
    </row>
    <row r="485">
      <c r="A485" s="76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  <c r="AA485" s="76"/>
      <c r="AB485" s="76"/>
      <c r="AC485" s="76"/>
      <c r="AD485" s="76"/>
      <c r="AE485" s="76"/>
    </row>
    <row r="486">
      <c r="A486" s="76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  <c r="AA486" s="76"/>
      <c r="AB486" s="76"/>
      <c r="AC486" s="76"/>
      <c r="AD486" s="76"/>
      <c r="AE486" s="76"/>
    </row>
    <row r="487">
      <c r="A487" s="76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  <c r="AA487" s="76"/>
      <c r="AB487" s="76"/>
      <c r="AC487" s="76"/>
      <c r="AD487" s="76"/>
      <c r="AE487" s="76"/>
    </row>
    <row r="488">
      <c r="A488" s="76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  <c r="AA488" s="76"/>
      <c r="AB488" s="76"/>
      <c r="AC488" s="76"/>
      <c r="AD488" s="76"/>
      <c r="AE488" s="76"/>
    </row>
    <row r="489">
      <c r="A489" s="76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  <c r="AA489" s="76"/>
      <c r="AB489" s="76"/>
      <c r="AC489" s="76"/>
      <c r="AD489" s="76"/>
      <c r="AE489" s="76"/>
    </row>
    <row r="490">
      <c r="A490" s="76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  <c r="AA490" s="76"/>
      <c r="AB490" s="76"/>
      <c r="AC490" s="76"/>
      <c r="AD490" s="76"/>
      <c r="AE490" s="76"/>
    </row>
    <row r="491">
      <c r="A491" s="76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  <c r="AA491" s="76"/>
      <c r="AB491" s="76"/>
      <c r="AC491" s="76"/>
      <c r="AD491" s="76"/>
      <c r="AE491" s="76"/>
    </row>
    <row r="492">
      <c r="A492" s="76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  <c r="AA492" s="76"/>
      <c r="AB492" s="76"/>
      <c r="AC492" s="76"/>
      <c r="AD492" s="76"/>
      <c r="AE492" s="76"/>
    </row>
    <row r="493">
      <c r="A493" s="76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  <c r="AA493" s="76"/>
      <c r="AB493" s="76"/>
      <c r="AC493" s="76"/>
      <c r="AD493" s="76"/>
      <c r="AE493" s="76"/>
    </row>
    <row r="494">
      <c r="A494" s="76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  <c r="AA494" s="76"/>
      <c r="AB494" s="76"/>
      <c r="AC494" s="76"/>
      <c r="AD494" s="76"/>
      <c r="AE494" s="76"/>
    </row>
    <row r="495">
      <c r="A495" s="76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  <c r="AA495" s="76"/>
      <c r="AB495" s="76"/>
      <c r="AC495" s="76"/>
      <c r="AD495" s="76"/>
      <c r="AE495" s="76"/>
    </row>
    <row r="496">
      <c r="A496" s="76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  <c r="AA496" s="76"/>
      <c r="AB496" s="76"/>
      <c r="AC496" s="76"/>
      <c r="AD496" s="76"/>
      <c r="AE496" s="76"/>
    </row>
    <row r="497">
      <c r="A497" s="76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  <c r="AA497" s="76"/>
      <c r="AB497" s="76"/>
      <c r="AC497" s="76"/>
      <c r="AD497" s="76"/>
      <c r="AE497" s="76"/>
    </row>
    <row r="498">
      <c r="A498" s="76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  <c r="AA498" s="76"/>
      <c r="AB498" s="76"/>
      <c r="AC498" s="76"/>
      <c r="AD498" s="76"/>
      <c r="AE498" s="76"/>
    </row>
    <row r="499">
      <c r="A499" s="76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  <c r="AA499" s="76"/>
      <c r="AB499" s="76"/>
      <c r="AC499" s="76"/>
      <c r="AD499" s="76"/>
      <c r="AE499" s="76"/>
    </row>
    <row r="500">
      <c r="A500" s="76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  <c r="AA500" s="76"/>
      <c r="AB500" s="76"/>
      <c r="AC500" s="76"/>
      <c r="AD500" s="76"/>
      <c r="AE500" s="76"/>
    </row>
    <row r="501">
      <c r="A501" s="76"/>
      <c r="B501" s="76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  <c r="AA501" s="76"/>
      <c r="AB501" s="76"/>
      <c r="AC501" s="76"/>
      <c r="AD501" s="76"/>
      <c r="AE501" s="76"/>
    </row>
    <row r="502">
      <c r="A502" s="76"/>
      <c r="B502" s="76"/>
      <c r="C502" s="76"/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  <c r="AA502" s="76"/>
      <c r="AB502" s="76"/>
      <c r="AC502" s="76"/>
      <c r="AD502" s="76"/>
      <c r="AE502" s="76"/>
    </row>
    <row r="503">
      <c r="A503" s="76"/>
      <c r="B503" s="76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  <c r="AA503" s="76"/>
      <c r="AB503" s="76"/>
      <c r="AC503" s="76"/>
      <c r="AD503" s="76"/>
      <c r="AE503" s="76"/>
    </row>
    <row r="504">
      <c r="A504" s="76"/>
      <c r="B504" s="76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  <c r="AA504" s="76"/>
      <c r="AB504" s="76"/>
      <c r="AC504" s="76"/>
      <c r="AD504" s="76"/>
      <c r="AE504" s="76"/>
    </row>
    <row r="505">
      <c r="A505" s="76"/>
      <c r="B505" s="76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  <c r="AA505" s="76"/>
      <c r="AB505" s="76"/>
      <c r="AC505" s="76"/>
      <c r="AD505" s="76"/>
      <c r="AE505" s="76"/>
    </row>
    <row r="506">
      <c r="A506" s="76"/>
      <c r="B506" s="76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  <c r="AA506" s="76"/>
      <c r="AB506" s="76"/>
      <c r="AC506" s="76"/>
      <c r="AD506" s="76"/>
      <c r="AE506" s="76"/>
    </row>
    <row r="507">
      <c r="A507" s="76"/>
      <c r="B507" s="76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  <c r="AA507" s="76"/>
      <c r="AB507" s="76"/>
      <c r="AC507" s="76"/>
      <c r="AD507" s="76"/>
      <c r="AE507" s="76"/>
    </row>
    <row r="508">
      <c r="A508" s="76"/>
      <c r="B508" s="76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  <c r="AA508" s="76"/>
      <c r="AB508" s="76"/>
      <c r="AC508" s="76"/>
      <c r="AD508" s="76"/>
      <c r="AE508" s="76"/>
    </row>
    <row r="509">
      <c r="A509" s="76"/>
      <c r="B509" s="76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  <c r="AA509" s="76"/>
      <c r="AB509" s="76"/>
      <c r="AC509" s="76"/>
      <c r="AD509" s="76"/>
      <c r="AE509" s="76"/>
    </row>
    <row r="510">
      <c r="A510" s="76"/>
      <c r="B510" s="76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  <c r="AA510" s="76"/>
      <c r="AB510" s="76"/>
      <c r="AC510" s="76"/>
      <c r="AD510" s="76"/>
      <c r="AE510" s="76"/>
    </row>
    <row r="511">
      <c r="A511" s="76"/>
      <c r="B511" s="76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  <c r="AA511" s="76"/>
      <c r="AB511" s="76"/>
      <c r="AC511" s="76"/>
      <c r="AD511" s="76"/>
      <c r="AE511" s="76"/>
    </row>
    <row r="512">
      <c r="A512" s="76"/>
      <c r="B512" s="76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  <c r="AA512" s="76"/>
      <c r="AB512" s="76"/>
      <c r="AC512" s="76"/>
      <c r="AD512" s="76"/>
      <c r="AE512" s="76"/>
    </row>
    <row r="513">
      <c r="A513" s="76"/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  <c r="AA513" s="76"/>
      <c r="AB513" s="76"/>
      <c r="AC513" s="76"/>
      <c r="AD513" s="76"/>
      <c r="AE513" s="76"/>
    </row>
    <row r="514">
      <c r="A514" s="76"/>
      <c r="B514" s="76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  <c r="AA514" s="76"/>
      <c r="AB514" s="76"/>
      <c r="AC514" s="76"/>
      <c r="AD514" s="76"/>
      <c r="AE514" s="76"/>
    </row>
    <row r="515">
      <c r="A515" s="76"/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  <c r="AA515" s="76"/>
      <c r="AB515" s="76"/>
      <c r="AC515" s="76"/>
      <c r="AD515" s="76"/>
      <c r="AE515" s="76"/>
    </row>
    <row r="516">
      <c r="A516" s="76"/>
      <c r="B516" s="76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  <c r="AA516" s="76"/>
      <c r="AB516" s="76"/>
      <c r="AC516" s="76"/>
      <c r="AD516" s="76"/>
      <c r="AE516" s="76"/>
    </row>
    <row r="517">
      <c r="A517" s="76"/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  <c r="AA517" s="76"/>
      <c r="AB517" s="76"/>
      <c r="AC517" s="76"/>
      <c r="AD517" s="76"/>
      <c r="AE517" s="76"/>
    </row>
    <row r="518">
      <c r="A518" s="76"/>
      <c r="B518" s="76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  <c r="AA518" s="76"/>
      <c r="AB518" s="76"/>
      <c r="AC518" s="76"/>
      <c r="AD518" s="76"/>
      <c r="AE518" s="76"/>
    </row>
    <row r="519">
      <c r="A519" s="76"/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  <c r="AA519" s="76"/>
      <c r="AB519" s="76"/>
      <c r="AC519" s="76"/>
      <c r="AD519" s="76"/>
      <c r="AE519" s="76"/>
    </row>
    <row r="520">
      <c r="A520" s="76"/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  <c r="AA520" s="76"/>
      <c r="AB520" s="76"/>
      <c r="AC520" s="76"/>
      <c r="AD520" s="76"/>
      <c r="AE520" s="76"/>
    </row>
    <row r="521">
      <c r="A521" s="76"/>
      <c r="B521" s="76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  <c r="AA521" s="76"/>
      <c r="AB521" s="76"/>
      <c r="AC521" s="76"/>
      <c r="AD521" s="76"/>
      <c r="AE521" s="76"/>
    </row>
    <row r="522">
      <c r="A522" s="76"/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  <c r="AA522" s="76"/>
      <c r="AB522" s="76"/>
      <c r="AC522" s="76"/>
      <c r="AD522" s="76"/>
      <c r="AE522" s="76"/>
    </row>
    <row r="523">
      <c r="A523" s="76"/>
      <c r="B523" s="76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  <c r="AA523" s="76"/>
      <c r="AB523" s="76"/>
      <c r="AC523" s="76"/>
      <c r="AD523" s="76"/>
      <c r="AE523" s="76"/>
    </row>
    <row r="524">
      <c r="A524" s="76"/>
      <c r="B524" s="76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  <c r="AA524" s="76"/>
      <c r="AB524" s="76"/>
      <c r="AC524" s="76"/>
      <c r="AD524" s="76"/>
      <c r="AE524" s="76"/>
    </row>
    <row r="525">
      <c r="A525" s="76"/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  <c r="AA525" s="76"/>
      <c r="AB525" s="76"/>
      <c r="AC525" s="76"/>
      <c r="AD525" s="76"/>
      <c r="AE525" s="76"/>
    </row>
    <row r="526">
      <c r="A526" s="76"/>
      <c r="B526" s="76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  <c r="AA526" s="76"/>
      <c r="AB526" s="76"/>
      <c r="AC526" s="76"/>
      <c r="AD526" s="76"/>
      <c r="AE526" s="76"/>
    </row>
    <row r="527">
      <c r="A527" s="76"/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  <c r="AA527" s="76"/>
      <c r="AB527" s="76"/>
      <c r="AC527" s="76"/>
      <c r="AD527" s="76"/>
      <c r="AE527" s="76"/>
    </row>
    <row r="528">
      <c r="A528" s="76"/>
      <c r="B528" s="76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  <c r="AA528" s="76"/>
      <c r="AB528" s="76"/>
      <c r="AC528" s="76"/>
      <c r="AD528" s="76"/>
      <c r="AE528" s="76"/>
    </row>
    <row r="529">
      <c r="A529" s="76"/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  <c r="AA529" s="76"/>
      <c r="AB529" s="76"/>
      <c r="AC529" s="76"/>
      <c r="AD529" s="76"/>
      <c r="AE529" s="76"/>
    </row>
    <row r="530">
      <c r="A530" s="76"/>
      <c r="B530" s="76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  <c r="AA530" s="76"/>
      <c r="AB530" s="76"/>
      <c r="AC530" s="76"/>
      <c r="AD530" s="76"/>
      <c r="AE530" s="76"/>
    </row>
    <row r="531">
      <c r="A531" s="76"/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  <c r="AA531" s="76"/>
      <c r="AB531" s="76"/>
      <c r="AC531" s="76"/>
      <c r="AD531" s="76"/>
      <c r="AE531" s="76"/>
    </row>
    <row r="532">
      <c r="A532" s="76"/>
      <c r="B532" s="76"/>
      <c r="C532" s="76"/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  <c r="AA532" s="76"/>
      <c r="AB532" s="76"/>
      <c r="AC532" s="76"/>
      <c r="AD532" s="76"/>
      <c r="AE532" s="76"/>
    </row>
    <row r="533">
      <c r="A533" s="76"/>
      <c r="B533" s="76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  <c r="AA533" s="76"/>
      <c r="AB533" s="76"/>
      <c r="AC533" s="76"/>
      <c r="AD533" s="76"/>
      <c r="AE533" s="76"/>
    </row>
    <row r="534">
      <c r="A534" s="76"/>
      <c r="B534" s="76"/>
      <c r="C534" s="76"/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  <c r="AA534" s="76"/>
      <c r="AB534" s="76"/>
      <c r="AC534" s="76"/>
      <c r="AD534" s="76"/>
      <c r="AE534" s="76"/>
    </row>
    <row r="535">
      <c r="A535" s="76"/>
      <c r="B535" s="76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  <c r="AA535" s="76"/>
      <c r="AB535" s="76"/>
      <c r="AC535" s="76"/>
      <c r="AD535" s="76"/>
      <c r="AE535" s="76"/>
    </row>
    <row r="536">
      <c r="A536" s="76"/>
      <c r="B536" s="76"/>
      <c r="C536" s="76"/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  <c r="AA536" s="76"/>
      <c r="AB536" s="76"/>
      <c r="AC536" s="76"/>
      <c r="AD536" s="76"/>
      <c r="AE536" s="76"/>
    </row>
    <row r="537">
      <c r="A537" s="76"/>
      <c r="B537" s="76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  <c r="AA537" s="76"/>
      <c r="AB537" s="76"/>
      <c r="AC537" s="76"/>
      <c r="AD537" s="76"/>
      <c r="AE537" s="76"/>
    </row>
    <row r="538">
      <c r="A538" s="76"/>
      <c r="B538" s="76"/>
      <c r="C538" s="76"/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  <c r="AA538" s="76"/>
      <c r="AB538" s="76"/>
      <c r="AC538" s="76"/>
      <c r="AD538" s="76"/>
      <c r="AE538" s="76"/>
    </row>
    <row r="539">
      <c r="A539" s="76"/>
      <c r="B539" s="76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  <c r="AA539" s="76"/>
      <c r="AB539" s="76"/>
      <c r="AC539" s="76"/>
      <c r="AD539" s="76"/>
      <c r="AE539" s="76"/>
    </row>
    <row r="540">
      <c r="A540" s="76"/>
      <c r="B540" s="76"/>
      <c r="C540" s="76"/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  <c r="AA540" s="76"/>
      <c r="AB540" s="76"/>
      <c r="AC540" s="76"/>
      <c r="AD540" s="76"/>
      <c r="AE540" s="76"/>
    </row>
    <row r="541">
      <c r="A541" s="76"/>
      <c r="B541" s="76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  <c r="AA541" s="76"/>
      <c r="AB541" s="76"/>
      <c r="AC541" s="76"/>
      <c r="AD541" s="76"/>
      <c r="AE541" s="76"/>
    </row>
    <row r="542">
      <c r="A542" s="76"/>
      <c r="B542" s="76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  <c r="AA542" s="76"/>
      <c r="AB542" s="76"/>
      <c r="AC542" s="76"/>
      <c r="AD542" s="76"/>
      <c r="AE542" s="76"/>
    </row>
    <row r="543">
      <c r="A543" s="76"/>
      <c r="B543" s="76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  <c r="AA543" s="76"/>
      <c r="AB543" s="76"/>
      <c r="AC543" s="76"/>
      <c r="AD543" s="76"/>
      <c r="AE543" s="76"/>
    </row>
    <row r="544">
      <c r="A544" s="76"/>
      <c r="B544" s="76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  <c r="AA544" s="76"/>
      <c r="AB544" s="76"/>
      <c r="AC544" s="76"/>
      <c r="AD544" s="76"/>
      <c r="AE544" s="76"/>
    </row>
    <row r="545">
      <c r="A545" s="76"/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  <c r="AA545" s="76"/>
      <c r="AB545" s="76"/>
      <c r="AC545" s="76"/>
      <c r="AD545" s="76"/>
      <c r="AE545" s="76"/>
    </row>
    <row r="546">
      <c r="A546" s="76"/>
      <c r="B546" s="76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  <c r="AA546" s="76"/>
      <c r="AB546" s="76"/>
      <c r="AC546" s="76"/>
      <c r="AD546" s="76"/>
      <c r="AE546" s="76"/>
    </row>
    <row r="547">
      <c r="A547" s="76"/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  <c r="AA547" s="76"/>
      <c r="AB547" s="76"/>
      <c r="AC547" s="76"/>
      <c r="AD547" s="76"/>
      <c r="AE547" s="76"/>
    </row>
    <row r="548">
      <c r="A548" s="76"/>
      <c r="B548" s="76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  <c r="AA548" s="76"/>
      <c r="AB548" s="76"/>
      <c r="AC548" s="76"/>
      <c r="AD548" s="76"/>
      <c r="AE548" s="76"/>
    </row>
    <row r="549">
      <c r="A549" s="76"/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  <c r="AA549" s="76"/>
      <c r="AB549" s="76"/>
      <c r="AC549" s="76"/>
      <c r="AD549" s="76"/>
      <c r="AE549" s="76"/>
    </row>
    <row r="550">
      <c r="A550" s="76"/>
      <c r="B550" s="76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  <c r="AA550" s="76"/>
      <c r="AB550" s="76"/>
      <c r="AC550" s="76"/>
      <c r="AD550" s="76"/>
      <c r="AE550" s="76"/>
    </row>
    <row r="551">
      <c r="A551" s="76"/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  <c r="AA551" s="76"/>
      <c r="AB551" s="76"/>
      <c r="AC551" s="76"/>
      <c r="AD551" s="76"/>
      <c r="AE551" s="76"/>
    </row>
    <row r="552">
      <c r="A552" s="76"/>
      <c r="B552" s="76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  <c r="AA552" s="76"/>
      <c r="AB552" s="76"/>
      <c r="AC552" s="76"/>
      <c r="AD552" s="76"/>
      <c r="AE552" s="76"/>
    </row>
    <row r="553">
      <c r="A553" s="76"/>
      <c r="B553" s="76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  <c r="AA553" s="76"/>
      <c r="AB553" s="76"/>
      <c r="AC553" s="76"/>
      <c r="AD553" s="76"/>
      <c r="AE553" s="76"/>
    </row>
    <row r="554">
      <c r="A554" s="76"/>
      <c r="B554" s="76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  <c r="AA554" s="76"/>
      <c r="AB554" s="76"/>
      <c r="AC554" s="76"/>
      <c r="AD554" s="76"/>
      <c r="AE554" s="76"/>
    </row>
    <row r="555">
      <c r="A555" s="76"/>
      <c r="B555" s="76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  <c r="AA555" s="76"/>
      <c r="AB555" s="76"/>
      <c r="AC555" s="76"/>
      <c r="AD555" s="76"/>
      <c r="AE555" s="76"/>
    </row>
    <row r="556">
      <c r="A556" s="76"/>
      <c r="B556" s="76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  <c r="AA556" s="76"/>
      <c r="AB556" s="76"/>
      <c r="AC556" s="76"/>
      <c r="AD556" s="76"/>
      <c r="AE556" s="76"/>
    </row>
    <row r="557">
      <c r="A557" s="76"/>
      <c r="B557" s="76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  <c r="AA557" s="76"/>
      <c r="AB557" s="76"/>
      <c r="AC557" s="76"/>
      <c r="AD557" s="76"/>
      <c r="AE557" s="76"/>
    </row>
    <row r="558">
      <c r="A558" s="76"/>
      <c r="B558" s="76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  <c r="AA558" s="76"/>
      <c r="AB558" s="76"/>
      <c r="AC558" s="76"/>
      <c r="AD558" s="76"/>
      <c r="AE558" s="76"/>
    </row>
    <row r="559">
      <c r="A559" s="76"/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  <c r="AA559" s="76"/>
      <c r="AB559" s="76"/>
      <c r="AC559" s="76"/>
      <c r="AD559" s="76"/>
      <c r="AE559" s="76"/>
    </row>
    <row r="560">
      <c r="A560" s="76"/>
      <c r="B560" s="76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  <c r="AA560" s="76"/>
      <c r="AB560" s="76"/>
      <c r="AC560" s="76"/>
      <c r="AD560" s="76"/>
      <c r="AE560" s="76"/>
    </row>
    <row r="561">
      <c r="A561" s="76"/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  <c r="AA561" s="76"/>
      <c r="AB561" s="76"/>
      <c r="AC561" s="76"/>
      <c r="AD561" s="76"/>
      <c r="AE561" s="76"/>
    </row>
    <row r="562">
      <c r="A562" s="76"/>
      <c r="B562" s="76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  <c r="AA562" s="76"/>
      <c r="AB562" s="76"/>
      <c r="AC562" s="76"/>
      <c r="AD562" s="76"/>
      <c r="AE562" s="76"/>
    </row>
    <row r="563">
      <c r="A563" s="76"/>
      <c r="B563" s="76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  <c r="AA563" s="76"/>
      <c r="AB563" s="76"/>
      <c r="AC563" s="76"/>
      <c r="AD563" s="76"/>
      <c r="AE563" s="76"/>
    </row>
    <row r="564">
      <c r="A564" s="76"/>
      <c r="B564" s="76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  <c r="AA564" s="76"/>
      <c r="AB564" s="76"/>
      <c r="AC564" s="76"/>
      <c r="AD564" s="76"/>
      <c r="AE564" s="76"/>
    </row>
    <row r="565">
      <c r="A565" s="76"/>
      <c r="B565" s="76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  <c r="AA565" s="76"/>
      <c r="AB565" s="76"/>
      <c r="AC565" s="76"/>
      <c r="AD565" s="76"/>
      <c r="AE565" s="76"/>
    </row>
    <row r="566">
      <c r="A566" s="76"/>
      <c r="B566" s="76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  <c r="AA566" s="76"/>
      <c r="AB566" s="76"/>
      <c r="AC566" s="76"/>
      <c r="AD566" s="76"/>
      <c r="AE566" s="76"/>
    </row>
    <row r="567">
      <c r="A567" s="76"/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  <c r="AA567" s="76"/>
      <c r="AB567" s="76"/>
      <c r="AC567" s="76"/>
      <c r="AD567" s="76"/>
      <c r="AE567" s="76"/>
    </row>
    <row r="568">
      <c r="A568" s="76"/>
      <c r="B568" s="76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  <c r="AA568" s="76"/>
      <c r="AB568" s="76"/>
      <c r="AC568" s="76"/>
      <c r="AD568" s="76"/>
      <c r="AE568" s="76"/>
    </row>
    <row r="569">
      <c r="A569" s="76"/>
      <c r="B569" s="76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  <c r="AA569" s="76"/>
      <c r="AB569" s="76"/>
      <c r="AC569" s="76"/>
      <c r="AD569" s="76"/>
      <c r="AE569" s="76"/>
    </row>
    <row r="570">
      <c r="A570" s="76"/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  <c r="AA570" s="76"/>
      <c r="AB570" s="76"/>
      <c r="AC570" s="76"/>
      <c r="AD570" s="76"/>
      <c r="AE570" s="76"/>
    </row>
    <row r="571">
      <c r="A571" s="76"/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  <c r="AA571" s="76"/>
      <c r="AB571" s="76"/>
      <c r="AC571" s="76"/>
      <c r="AD571" s="76"/>
      <c r="AE571" s="76"/>
    </row>
    <row r="572">
      <c r="A572" s="76"/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  <c r="AA572" s="76"/>
      <c r="AB572" s="76"/>
      <c r="AC572" s="76"/>
      <c r="AD572" s="76"/>
      <c r="AE572" s="76"/>
    </row>
    <row r="573">
      <c r="A573" s="76"/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  <c r="AA573" s="76"/>
      <c r="AB573" s="76"/>
      <c r="AC573" s="76"/>
      <c r="AD573" s="76"/>
      <c r="AE573" s="76"/>
    </row>
    <row r="574">
      <c r="A574" s="76"/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  <c r="AA574" s="76"/>
      <c r="AB574" s="76"/>
      <c r="AC574" s="76"/>
      <c r="AD574" s="76"/>
      <c r="AE574" s="76"/>
    </row>
    <row r="575">
      <c r="A575" s="76"/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  <c r="AA575" s="76"/>
      <c r="AB575" s="76"/>
      <c r="AC575" s="76"/>
      <c r="AD575" s="76"/>
      <c r="AE575" s="76"/>
    </row>
    <row r="576">
      <c r="A576" s="76"/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  <c r="AA576" s="76"/>
      <c r="AB576" s="76"/>
      <c r="AC576" s="76"/>
      <c r="AD576" s="76"/>
      <c r="AE576" s="76"/>
    </row>
    <row r="577">
      <c r="A577" s="76"/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  <c r="AA577" s="76"/>
      <c r="AB577" s="76"/>
      <c r="AC577" s="76"/>
      <c r="AD577" s="76"/>
      <c r="AE577" s="76"/>
    </row>
    <row r="578">
      <c r="A578" s="76"/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  <c r="AA578" s="76"/>
      <c r="AB578" s="76"/>
      <c r="AC578" s="76"/>
      <c r="AD578" s="76"/>
      <c r="AE578" s="76"/>
    </row>
    <row r="579">
      <c r="A579" s="76"/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  <c r="AA579" s="76"/>
      <c r="AB579" s="76"/>
      <c r="AC579" s="76"/>
      <c r="AD579" s="76"/>
      <c r="AE579" s="76"/>
    </row>
    <row r="580">
      <c r="A580" s="76"/>
      <c r="B580" s="76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  <c r="AA580" s="76"/>
      <c r="AB580" s="76"/>
      <c r="AC580" s="76"/>
      <c r="AD580" s="76"/>
      <c r="AE580" s="76"/>
    </row>
    <row r="581">
      <c r="A581" s="76"/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  <c r="AA581" s="76"/>
      <c r="AB581" s="76"/>
      <c r="AC581" s="76"/>
      <c r="AD581" s="76"/>
      <c r="AE581" s="76"/>
    </row>
    <row r="582">
      <c r="A582" s="76"/>
      <c r="B582" s="76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  <c r="AA582" s="76"/>
      <c r="AB582" s="76"/>
      <c r="AC582" s="76"/>
      <c r="AD582" s="76"/>
      <c r="AE582" s="76"/>
    </row>
    <row r="583">
      <c r="A583" s="76"/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  <c r="AA583" s="76"/>
      <c r="AB583" s="76"/>
      <c r="AC583" s="76"/>
      <c r="AD583" s="76"/>
      <c r="AE583" s="76"/>
    </row>
    <row r="584">
      <c r="A584" s="76"/>
      <c r="B584" s="76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  <c r="AA584" s="76"/>
      <c r="AB584" s="76"/>
      <c r="AC584" s="76"/>
      <c r="AD584" s="76"/>
      <c r="AE584" s="76"/>
    </row>
    <row r="585">
      <c r="A585" s="76"/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  <c r="AA585" s="76"/>
      <c r="AB585" s="76"/>
      <c r="AC585" s="76"/>
      <c r="AD585" s="76"/>
      <c r="AE585" s="76"/>
    </row>
    <row r="586">
      <c r="A586" s="76"/>
      <c r="B586" s="76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  <c r="AA586" s="76"/>
      <c r="AB586" s="76"/>
      <c r="AC586" s="76"/>
      <c r="AD586" s="76"/>
      <c r="AE586" s="76"/>
    </row>
    <row r="587">
      <c r="A587" s="76"/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  <c r="AA587" s="76"/>
      <c r="AB587" s="76"/>
      <c r="AC587" s="76"/>
      <c r="AD587" s="76"/>
      <c r="AE587" s="76"/>
    </row>
    <row r="588">
      <c r="A588" s="76"/>
      <c r="B588" s="76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  <c r="AA588" s="76"/>
      <c r="AB588" s="76"/>
      <c r="AC588" s="76"/>
      <c r="AD588" s="76"/>
      <c r="AE588" s="76"/>
    </row>
    <row r="589">
      <c r="A589" s="76"/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  <c r="AA589" s="76"/>
      <c r="AB589" s="76"/>
      <c r="AC589" s="76"/>
      <c r="AD589" s="76"/>
      <c r="AE589" s="76"/>
    </row>
    <row r="590">
      <c r="A590" s="76"/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  <c r="AA590" s="76"/>
      <c r="AB590" s="76"/>
      <c r="AC590" s="76"/>
      <c r="AD590" s="76"/>
      <c r="AE590" s="76"/>
    </row>
    <row r="591">
      <c r="A591" s="76"/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  <c r="AA591" s="76"/>
      <c r="AB591" s="76"/>
      <c r="AC591" s="76"/>
      <c r="AD591" s="76"/>
      <c r="AE591" s="76"/>
    </row>
    <row r="592">
      <c r="A592" s="76"/>
      <c r="B592" s="76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  <c r="AA592" s="76"/>
      <c r="AB592" s="76"/>
      <c r="AC592" s="76"/>
      <c r="AD592" s="76"/>
      <c r="AE592" s="76"/>
    </row>
    <row r="593">
      <c r="A593" s="76"/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  <c r="AA593" s="76"/>
      <c r="AB593" s="76"/>
      <c r="AC593" s="76"/>
      <c r="AD593" s="76"/>
      <c r="AE593" s="76"/>
    </row>
    <row r="594">
      <c r="A594" s="76"/>
      <c r="B594" s="76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  <c r="AA594" s="76"/>
      <c r="AB594" s="76"/>
      <c r="AC594" s="76"/>
      <c r="AD594" s="76"/>
      <c r="AE594" s="76"/>
    </row>
    <row r="595">
      <c r="A595" s="76"/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  <c r="AA595" s="76"/>
      <c r="AB595" s="76"/>
      <c r="AC595" s="76"/>
      <c r="AD595" s="76"/>
      <c r="AE595" s="76"/>
    </row>
    <row r="596">
      <c r="A596" s="76"/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  <c r="AA596" s="76"/>
      <c r="AB596" s="76"/>
      <c r="AC596" s="76"/>
      <c r="AD596" s="76"/>
      <c r="AE596" s="76"/>
    </row>
    <row r="597">
      <c r="A597" s="76"/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  <c r="AA597" s="76"/>
      <c r="AB597" s="76"/>
      <c r="AC597" s="76"/>
      <c r="AD597" s="76"/>
      <c r="AE597" s="76"/>
    </row>
    <row r="598">
      <c r="A598" s="76"/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  <c r="AA598" s="76"/>
      <c r="AB598" s="76"/>
      <c r="AC598" s="76"/>
      <c r="AD598" s="76"/>
      <c r="AE598" s="76"/>
    </row>
    <row r="599">
      <c r="A599" s="76"/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  <c r="AA599" s="76"/>
      <c r="AB599" s="76"/>
      <c r="AC599" s="76"/>
      <c r="AD599" s="76"/>
      <c r="AE599" s="76"/>
    </row>
    <row r="600">
      <c r="A600" s="76"/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  <c r="AA600" s="76"/>
      <c r="AB600" s="76"/>
      <c r="AC600" s="76"/>
      <c r="AD600" s="76"/>
      <c r="AE600" s="76"/>
    </row>
    <row r="601">
      <c r="A601" s="76"/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  <c r="AA601" s="76"/>
      <c r="AB601" s="76"/>
      <c r="AC601" s="76"/>
      <c r="AD601" s="76"/>
      <c r="AE601" s="76"/>
    </row>
    <row r="602">
      <c r="A602" s="76"/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  <c r="AA602" s="76"/>
      <c r="AB602" s="76"/>
      <c r="AC602" s="76"/>
      <c r="AD602" s="76"/>
      <c r="AE602" s="76"/>
    </row>
    <row r="603">
      <c r="A603" s="76"/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  <c r="AA603" s="76"/>
      <c r="AB603" s="76"/>
      <c r="AC603" s="76"/>
      <c r="AD603" s="76"/>
      <c r="AE603" s="76"/>
    </row>
    <row r="604">
      <c r="A604" s="76"/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  <c r="AA604" s="76"/>
      <c r="AB604" s="76"/>
      <c r="AC604" s="76"/>
      <c r="AD604" s="76"/>
      <c r="AE604" s="76"/>
    </row>
    <row r="605">
      <c r="A605" s="76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  <c r="AA605" s="76"/>
      <c r="AB605" s="76"/>
      <c r="AC605" s="76"/>
      <c r="AD605" s="76"/>
      <c r="AE605" s="76"/>
    </row>
    <row r="606">
      <c r="A606" s="76"/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  <c r="AA606" s="76"/>
      <c r="AB606" s="76"/>
      <c r="AC606" s="76"/>
      <c r="AD606" s="76"/>
      <c r="AE606" s="76"/>
    </row>
    <row r="607">
      <c r="A607" s="76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  <c r="AA607" s="76"/>
      <c r="AB607" s="76"/>
      <c r="AC607" s="76"/>
      <c r="AD607" s="76"/>
      <c r="AE607" s="76"/>
    </row>
    <row r="608">
      <c r="A608" s="76"/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  <c r="AA608" s="76"/>
      <c r="AB608" s="76"/>
      <c r="AC608" s="76"/>
      <c r="AD608" s="76"/>
      <c r="AE608" s="76"/>
    </row>
    <row r="609">
      <c r="A609" s="76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  <c r="AA609" s="76"/>
      <c r="AB609" s="76"/>
      <c r="AC609" s="76"/>
      <c r="AD609" s="76"/>
      <c r="AE609" s="76"/>
    </row>
    <row r="610">
      <c r="A610" s="76"/>
      <c r="B610" s="76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  <c r="AA610" s="76"/>
      <c r="AB610" s="76"/>
      <c r="AC610" s="76"/>
      <c r="AD610" s="76"/>
      <c r="AE610" s="76"/>
    </row>
    <row r="611">
      <c r="A611" s="76"/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  <c r="AA611" s="76"/>
      <c r="AB611" s="76"/>
      <c r="AC611" s="76"/>
      <c r="AD611" s="76"/>
      <c r="AE611" s="76"/>
    </row>
    <row r="612">
      <c r="A612" s="76"/>
      <c r="B612" s="76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  <c r="AA612" s="76"/>
      <c r="AB612" s="76"/>
      <c r="AC612" s="76"/>
      <c r="AD612" s="76"/>
      <c r="AE612" s="76"/>
    </row>
    <row r="613">
      <c r="A613" s="76"/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  <c r="AA613" s="76"/>
      <c r="AB613" s="76"/>
      <c r="AC613" s="76"/>
      <c r="AD613" s="76"/>
      <c r="AE613" s="76"/>
    </row>
    <row r="614">
      <c r="A614" s="76"/>
      <c r="B614" s="76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  <c r="AA614" s="76"/>
      <c r="AB614" s="76"/>
      <c r="AC614" s="76"/>
      <c r="AD614" s="76"/>
      <c r="AE614" s="76"/>
    </row>
    <row r="615">
      <c r="A615" s="76"/>
      <c r="B615" s="76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  <c r="AA615" s="76"/>
      <c r="AB615" s="76"/>
      <c r="AC615" s="76"/>
      <c r="AD615" s="76"/>
      <c r="AE615" s="76"/>
    </row>
    <row r="616">
      <c r="A616" s="76"/>
      <c r="B616" s="76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  <c r="AA616" s="76"/>
      <c r="AB616" s="76"/>
      <c r="AC616" s="76"/>
      <c r="AD616" s="76"/>
      <c r="AE616" s="76"/>
    </row>
    <row r="617">
      <c r="A617" s="76"/>
      <c r="B617" s="76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  <c r="AA617" s="76"/>
      <c r="AB617" s="76"/>
      <c r="AC617" s="76"/>
      <c r="AD617" s="76"/>
      <c r="AE617" s="76"/>
    </row>
    <row r="618">
      <c r="A618" s="76"/>
      <c r="B618" s="76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  <c r="AA618" s="76"/>
      <c r="AB618" s="76"/>
      <c r="AC618" s="76"/>
      <c r="AD618" s="76"/>
      <c r="AE618" s="76"/>
    </row>
    <row r="619">
      <c r="A619" s="76"/>
      <c r="B619" s="76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  <c r="AA619" s="76"/>
      <c r="AB619" s="76"/>
      <c r="AC619" s="76"/>
      <c r="AD619" s="76"/>
      <c r="AE619" s="76"/>
    </row>
    <row r="620">
      <c r="A620" s="76"/>
      <c r="B620" s="76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  <c r="AA620" s="76"/>
      <c r="AB620" s="76"/>
      <c r="AC620" s="76"/>
      <c r="AD620" s="76"/>
      <c r="AE620" s="76"/>
    </row>
    <row r="621">
      <c r="A621" s="76"/>
      <c r="B621" s="76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  <c r="AA621" s="76"/>
      <c r="AB621" s="76"/>
      <c r="AC621" s="76"/>
      <c r="AD621" s="76"/>
      <c r="AE621" s="76"/>
    </row>
    <row r="622">
      <c r="A622" s="76"/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  <c r="AA622" s="76"/>
      <c r="AB622" s="76"/>
      <c r="AC622" s="76"/>
      <c r="AD622" s="76"/>
      <c r="AE622" s="76"/>
    </row>
    <row r="623">
      <c r="A623" s="76"/>
      <c r="B623" s="76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  <c r="AA623" s="76"/>
      <c r="AB623" s="76"/>
      <c r="AC623" s="76"/>
      <c r="AD623" s="76"/>
      <c r="AE623" s="76"/>
    </row>
    <row r="624">
      <c r="A624" s="76"/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  <c r="AA624" s="76"/>
      <c r="AB624" s="76"/>
      <c r="AC624" s="76"/>
      <c r="AD624" s="76"/>
      <c r="AE624" s="76"/>
    </row>
    <row r="625">
      <c r="A625" s="76"/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  <c r="AA625" s="76"/>
      <c r="AB625" s="76"/>
      <c r="AC625" s="76"/>
      <c r="AD625" s="76"/>
      <c r="AE625" s="76"/>
    </row>
    <row r="626">
      <c r="A626" s="76"/>
      <c r="B626" s="76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  <c r="AA626" s="76"/>
      <c r="AB626" s="76"/>
      <c r="AC626" s="76"/>
      <c r="AD626" s="76"/>
      <c r="AE626" s="76"/>
    </row>
    <row r="627">
      <c r="A627" s="76"/>
      <c r="B627" s="76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  <c r="AA627" s="76"/>
      <c r="AB627" s="76"/>
      <c r="AC627" s="76"/>
      <c r="AD627" s="76"/>
      <c r="AE627" s="76"/>
    </row>
    <row r="628">
      <c r="A628" s="76"/>
      <c r="B628" s="76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  <c r="AA628" s="76"/>
      <c r="AB628" s="76"/>
      <c r="AC628" s="76"/>
      <c r="AD628" s="76"/>
      <c r="AE628" s="76"/>
    </row>
    <row r="629">
      <c r="A629" s="76"/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  <c r="AA629" s="76"/>
      <c r="AB629" s="76"/>
      <c r="AC629" s="76"/>
      <c r="AD629" s="76"/>
      <c r="AE629" s="76"/>
    </row>
    <row r="630">
      <c r="A630" s="76"/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  <c r="AA630" s="76"/>
      <c r="AB630" s="76"/>
      <c r="AC630" s="76"/>
      <c r="AD630" s="76"/>
      <c r="AE630" s="76"/>
    </row>
    <row r="631">
      <c r="A631" s="76"/>
      <c r="B631" s="76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  <c r="AA631" s="76"/>
      <c r="AB631" s="76"/>
      <c r="AC631" s="76"/>
      <c r="AD631" s="76"/>
      <c r="AE631" s="76"/>
    </row>
    <row r="632">
      <c r="A632" s="76"/>
      <c r="B632" s="76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  <c r="AA632" s="76"/>
      <c r="AB632" s="76"/>
      <c r="AC632" s="76"/>
      <c r="AD632" s="76"/>
      <c r="AE632" s="76"/>
    </row>
    <row r="633">
      <c r="A633" s="76"/>
      <c r="B633" s="76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  <c r="AA633" s="76"/>
      <c r="AB633" s="76"/>
      <c r="AC633" s="76"/>
      <c r="AD633" s="76"/>
      <c r="AE633" s="76"/>
    </row>
    <row r="634">
      <c r="A634" s="76"/>
      <c r="B634" s="76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  <c r="AA634" s="76"/>
      <c r="AB634" s="76"/>
      <c r="AC634" s="76"/>
      <c r="AD634" s="76"/>
      <c r="AE634" s="76"/>
    </row>
    <row r="635">
      <c r="A635" s="76"/>
      <c r="B635" s="76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  <c r="AA635" s="76"/>
      <c r="AB635" s="76"/>
      <c r="AC635" s="76"/>
      <c r="AD635" s="76"/>
      <c r="AE635" s="76"/>
    </row>
    <row r="636">
      <c r="A636" s="76"/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  <c r="AA636" s="76"/>
      <c r="AB636" s="76"/>
      <c r="AC636" s="76"/>
      <c r="AD636" s="76"/>
      <c r="AE636" s="76"/>
    </row>
    <row r="637">
      <c r="A637" s="76"/>
      <c r="B637" s="76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  <c r="AA637" s="76"/>
      <c r="AB637" s="76"/>
      <c r="AC637" s="76"/>
      <c r="AD637" s="76"/>
      <c r="AE637" s="76"/>
    </row>
    <row r="638">
      <c r="A638" s="76"/>
      <c r="B638" s="76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  <c r="AA638" s="76"/>
      <c r="AB638" s="76"/>
      <c r="AC638" s="76"/>
      <c r="AD638" s="76"/>
      <c r="AE638" s="76"/>
    </row>
    <row r="639">
      <c r="A639" s="76"/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  <c r="AA639" s="76"/>
      <c r="AB639" s="76"/>
      <c r="AC639" s="76"/>
      <c r="AD639" s="76"/>
      <c r="AE639" s="76"/>
    </row>
    <row r="640">
      <c r="A640" s="76"/>
      <c r="B640" s="76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  <c r="AA640" s="76"/>
      <c r="AB640" s="76"/>
      <c r="AC640" s="76"/>
      <c r="AD640" s="76"/>
      <c r="AE640" s="76"/>
    </row>
    <row r="641">
      <c r="A641" s="76"/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  <c r="AA641" s="76"/>
      <c r="AB641" s="76"/>
      <c r="AC641" s="76"/>
      <c r="AD641" s="76"/>
      <c r="AE641" s="76"/>
    </row>
    <row r="642">
      <c r="A642" s="76"/>
      <c r="B642" s="76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  <c r="AA642" s="76"/>
      <c r="AB642" s="76"/>
      <c r="AC642" s="76"/>
      <c r="AD642" s="76"/>
      <c r="AE642" s="76"/>
    </row>
    <row r="643">
      <c r="A643" s="76"/>
      <c r="B643" s="76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  <c r="AA643" s="76"/>
      <c r="AB643" s="76"/>
      <c r="AC643" s="76"/>
      <c r="AD643" s="76"/>
      <c r="AE643" s="76"/>
    </row>
    <row r="644">
      <c r="A644" s="76"/>
      <c r="B644" s="76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  <c r="AA644" s="76"/>
      <c r="AB644" s="76"/>
      <c r="AC644" s="76"/>
      <c r="AD644" s="76"/>
      <c r="AE644" s="76"/>
    </row>
    <row r="645">
      <c r="A645" s="76"/>
      <c r="B645" s="76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  <c r="AA645" s="76"/>
      <c r="AB645" s="76"/>
      <c r="AC645" s="76"/>
      <c r="AD645" s="76"/>
      <c r="AE645" s="76"/>
    </row>
    <row r="646">
      <c r="A646" s="76"/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  <c r="AA646" s="76"/>
      <c r="AB646" s="76"/>
      <c r="AC646" s="76"/>
      <c r="AD646" s="76"/>
      <c r="AE646" s="76"/>
    </row>
    <row r="647">
      <c r="A647" s="76"/>
      <c r="B647" s="76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  <c r="AA647" s="76"/>
      <c r="AB647" s="76"/>
      <c r="AC647" s="76"/>
      <c r="AD647" s="76"/>
      <c r="AE647" s="76"/>
    </row>
    <row r="648">
      <c r="A648" s="76"/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  <c r="AA648" s="76"/>
      <c r="AB648" s="76"/>
      <c r="AC648" s="76"/>
      <c r="AD648" s="76"/>
      <c r="AE648" s="76"/>
    </row>
    <row r="649">
      <c r="A649" s="76"/>
      <c r="B649" s="76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  <c r="AA649" s="76"/>
      <c r="AB649" s="76"/>
      <c r="AC649" s="76"/>
      <c r="AD649" s="76"/>
      <c r="AE649" s="76"/>
    </row>
    <row r="650">
      <c r="A650" s="76"/>
      <c r="B650" s="76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  <c r="AA650" s="76"/>
      <c r="AB650" s="76"/>
      <c r="AC650" s="76"/>
      <c r="AD650" s="76"/>
      <c r="AE650" s="76"/>
    </row>
    <row r="651">
      <c r="A651" s="76"/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  <c r="AA651" s="76"/>
      <c r="AB651" s="76"/>
      <c r="AC651" s="76"/>
      <c r="AD651" s="76"/>
      <c r="AE651" s="76"/>
    </row>
    <row r="652">
      <c r="A652" s="76"/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  <c r="AA652" s="76"/>
      <c r="AB652" s="76"/>
      <c r="AC652" s="76"/>
      <c r="AD652" s="76"/>
      <c r="AE652" s="76"/>
    </row>
    <row r="653">
      <c r="A653" s="76"/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  <c r="AA653" s="76"/>
      <c r="AB653" s="76"/>
      <c r="AC653" s="76"/>
      <c r="AD653" s="76"/>
      <c r="AE653" s="76"/>
    </row>
    <row r="654">
      <c r="A654" s="76"/>
      <c r="B654" s="76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  <c r="AA654" s="76"/>
      <c r="AB654" s="76"/>
      <c r="AC654" s="76"/>
      <c r="AD654" s="76"/>
      <c r="AE654" s="76"/>
    </row>
    <row r="655">
      <c r="A655" s="76"/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  <c r="AA655" s="76"/>
      <c r="AB655" s="76"/>
      <c r="AC655" s="76"/>
      <c r="AD655" s="76"/>
      <c r="AE655" s="76"/>
    </row>
    <row r="656">
      <c r="A656" s="76"/>
      <c r="B656" s="76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  <c r="AA656" s="76"/>
      <c r="AB656" s="76"/>
      <c r="AC656" s="76"/>
      <c r="AD656" s="76"/>
      <c r="AE656" s="76"/>
    </row>
    <row r="657">
      <c r="A657" s="76"/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  <c r="AA657" s="76"/>
      <c r="AB657" s="76"/>
      <c r="AC657" s="76"/>
      <c r="AD657" s="76"/>
      <c r="AE657" s="76"/>
    </row>
    <row r="658">
      <c r="A658" s="76"/>
      <c r="B658" s="76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  <c r="AA658" s="76"/>
      <c r="AB658" s="76"/>
      <c r="AC658" s="76"/>
      <c r="AD658" s="76"/>
      <c r="AE658" s="76"/>
    </row>
    <row r="659">
      <c r="A659" s="76"/>
      <c r="B659" s="76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  <c r="AA659" s="76"/>
      <c r="AB659" s="76"/>
      <c r="AC659" s="76"/>
      <c r="AD659" s="76"/>
      <c r="AE659" s="76"/>
    </row>
    <row r="660">
      <c r="A660" s="76"/>
      <c r="B660" s="76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  <c r="AA660" s="76"/>
      <c r="AB660" s="76"/>
      <c r="AC660" s="76"/>
      <c r="AD660" s="76"/>
      <c r="AE660" s="76"/>
    </row>
    <row r="661">
      <c r="A661" s="76"/>
      <c r="B661" s="76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  <c r="AA661" s="76"/>
      <c r="AB661" s="76"/>
      <c r="AC661" s="76"/>
      <c r="AD661" s="76"/>
      <c r="AE661" s="76"/>
    </row>
    <row r="662">
      <c r="A662" s="76"/>
      <c r="B662" s="76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  <c r="AA662" s="76"/>
      <c r="AB662" s="76"/>
      <c r="AC662" s="76"/>
      <c r="AD662" s="76"/>
      <c r="AE662" s="76"/>
    </row>
    <row r="663">
      <c r="A663" s="76"/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  <c r="AA663" s="76"/>
      <c r="AB663" s="76"/>
      <c r="AC663" s="76"/>
      <c r="AD663" s="76"/>
      <c r="AE663" s="76"/>
    </row>
    <row r="664">
      <c r="A664" s="76"/>
      <c r="B664" s="76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  <c r="AA664" s="76"/>
      <c r="AB664" s="76"/>
      <c r="AC664" s="76"/>
      <c r="AD664" s="76"/>
      <c r="AE664" s="76"/>
    </row>
    <row r="665">
      <c r="A665" s="76"/>
      <c r="B665" s="76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  <c r="AA665" s="76"/>
      <c r="AB665" s="76"/>
      <c r="AC665" s="76"/>
      <c r="AD665" s="76"/>
      <c r="AE665" s="76"/>
    </row>
    <row r="666">
      <c r="A666" s="76"/>
      <c r="B666" s="76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  <c r="AA666" s="76"/>
      <c r="AB666" s="76"/>
      <c r="AC666" s="76"/>
      <c r="AD666" s="76"/>
      <c r="AE666" s="76"/>
    </row>
    <row r="667">
      <c r="A667" s="76"/>
      <c r="B667" s="76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  <c r="AA667" s="76"/>
      <c r="AB667" s="76"/>
      <c r="AC667" s="76"/>
      <c r="AD667" s="76"/>
      <c r="AE667" s="76"/>
    </row>
    <row r="668">
      <c r="A668" s="76"/>
      <c r="B668" s="76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  <c r="AA668" s="76"/>
      <c r="AB668" s="76"/>
      <c r="AC668" s="76"/>
      <c r="AD668" s="76"/>
      <c r="AE668" s="76"/>
    </row>
    <row r="669">
      <c r="A669" s="76"/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  <c r="AA669" s="76"/>
      <c r="AB669" s="76"/>
      <c r="AC669" s="76"/>
      <c r="AD669" s="76"/>
      <c r="AE669" s="76"/>
    </row>
    <row r="670">
      <c r="A670" s="76"/>
      <c r="B670" s="76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  <c r="AA670" s="76"/>
      <c r="AB670" s="76"/>
      <c r="AC670" s="76"/>
      <c r="AD670" s="76"/>
      <c r="AE670" s="76"/>
    </row>
    <row r="671">
      <c r="A671" s="76"/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  <c r="AA671" s="76"/>
      <c r="AB671" s="76"/>
      <c r="AC671" s="76"/>
      <c r="AD671" s="76"/>
      <c r="AE671" s="76"/>
    </row>
    <row r="672">
      <c r="A672" s="76"/>
      <c r="B672" s="76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  <c r="AA672" s="76"/>
      <c r="AB672" s="76"/>
      <c r="AC672" s="76"/>
      <c r="AD672" s="76"/>
      <c r="AE672" s="76"/>
    </row>
    <row r="673">
      <c r="A673" s="76"/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  <c r="AA673" s="76"/>
      <c r="AB673" s="76"/>
      <c r="AC673" s="76"/>
      <c r="AD673" s="76"/>
      <c r="AE673" s="76"/>
    </row>
    <row r="674">
      <c r="A674" s="76"/>
      <c r="B674" s="76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  <c r="AA674" s="76"/>
      <c r="AB674" s="76"/>
      <c r="AC674" s="76"/>
      <c r="AD674" s="76"/>
      <c r="AE674" s="76"/>
    </row>
    <row r="675">
      <c r="A675" s="76"/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  <c r="AA675" s="76"/>
      <c r="AB675" s="76"/>
      <c r="AC675" s="76"/>
      <c r="AD675" s="76"/>
      <c r="AE675" s="76"/>
    </row>
    <row r="676">
      <c r="A676" s="76"/>
      <c r="B676" s="76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  <c r="AA676" s="76"/>
      <c r="AB676" s="76"/>
      <c r="AC676" s="76"/>
      <c r="AD676" s="76"/>
      <c r="AE676" s="76"/>
    </row>
    <row r="677">
      <c r="A677" s="76"/>
      <c r="B677" s="76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  <c r="AA677" s="76"/>
      <c r="AB677" s="76"/>
      <c r="AC677" s="76"/>
      <c r="AD677" s="76"/>
      <c r="AE677" s="76"/>
    </row>
    <row r="678">
      <c r="A678" s="76"/>
      <c r="B678" s="76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  <c r="AA678" s="76"/>
      <c r="AB678" s="76"/>
      <c r="AC678" s="76"/>
      <c r="AD678" s="76"/>
      <c r="AE678" s="76"/>
    </row>
    <row r="679">
      <c r="A679" s="76"/>
      <c r="B679" s="76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  <c r="AA679" s="76"/>
      <c r="AB679" s="76"/>
      <c r="AC679" s="76"/>
      <c r="AD679" s="76"/>
      <c r="AE679" s="76"/>
    </row>
    <row r="680">
      <c r="A680" s="76"/>
      <c r="B680" s="76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  <c r="AA680" s="76"/>
      <c r="AB680" s="76"/>
      <c r="AC680" s="76"/>
      <c r="AD680" s="76"/>
      <c r="AE680" s="76"/>
    </row>
    <row r="681">
      <c r="A681" s="76"/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  <c r="AA681" s="76"/>
      <c r="AB681" s="76"/>
      <c r="AC681" s="76"/>
      <c r="AD681" s="76"/>
      <c r="AE681" s="76"/>
    </row>
    <row r="682">
      <c r="A682" s="76"/>
      <c r="B682" s="76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  <c r="AA682" s="76"/>
      <c r="AB682" s="76"/>
      <c r="AC682" s="76"/>
      <c r="AD682" s="76"/>
      <c r="AE682" s="76"/>
    </row>
    <row r="683">
      <c r="A683" s="76"/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  <c r="AA683" s="76"/>
      <c r="AB683" s="76"/>
      <c r="AC683" s="76"/>
      <c r="AD683" s="76"/>
      <c r="AE683" s="76"/>
    </row>
    <row r="684">
      <c r="A684" s="76"/>
      <c r="B684" s="76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  <c r="AA684" s="76"/>
      <c r="AB684" s="76"/>
      <c r="AC684" s="76"/>
      <c r="AD684" s="76"/>
      <c r="AE684" s="76"/>
    </row>
    <row r="685">
      <c r="A685" s="76"/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  <c r="AA685" s="76"/>
      <c r="AB685" s="76"/>
      <c r="AC685" s="76"/>
      <c r="AD685" s="76"/>
      <c r="AE685" s="76"/>
    </row>
    <row r="686">
      <c r="A686" s="76"/>
      <c r="B686" s="76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  <c r="AA686" s="76"/>
      <c r="AB686" s="76"/>
      <c r="AC686" s="76"/>
      <c r="AD686" s="76"/>
      <c r="AE686" s="76"/>
    </row>
    <row r="687">
      <c r="A687" s="76"/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  <c r="AA687" s="76"/>
      <c r="AB687" s="76"/>
      <c r="AC687" s="76"/>
      <c r="AD687" s="76"/>
      <c r="AE687" s="76"/>
    </row>
    <row r="688">
      <c r="A688" s="76"/>
      <c r="B688" s="76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  <c r="AA688" s="76"/>
      <c r="AB688" s="76"/>
      <c r="AC688" s="76"/>
      <c r="AD688" s="76"/>
      <c r="AE688" s="76"/>
    </row>
    <row r="689">
      <c r="A689" s="76"/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  <c r="AA689" s="76"/>
      <c r="AB689" s="76"/>
      <c r="AC689" s="76"/>
      <c r="AD689" s="76"/>
      <c r="AE689" s="76"/>
    </row>
    <row r="690">
      <c r="A690" s="76"/>
      <c r="B690" s="76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  <c r="AA690" s="76"/>
      <c r="AB690" s="76"/>
      <c r="AC690" s="76"/>
      <c r="AD690" s="76"/>
      <c r="AE690" s="76"/>
    </row>
    <row r="691">
      <c r="A691" s="76"/>
      <c r="B691" s="76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  <c r="AA691" s="76"/>
      <c r="AB691" s="76"/>
      <c r="AC691" s="76"/>
      <c r="AD691" s="76"/>
      <c r="AE691" s="76"/>
    </row>
    <row r="692">
      <c r="A692" s="76"/>
      <c r="B692" s="76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  <c r="AA692" s="76"/>
      <c r="AB692" s="76"/>
      <c r="AC692" s="76"/>
      <c r="AD692" s="76"/>
      <c r="AE692" s="76"/>
    </row>
    <row r="693">
      <c r="A693" s="76"/>
      <c r="B693" s="76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  <c r="AA693" s="76"/>
      <c r="AB693" s="76"/>
      <c r="AC693" s="76"/>
      <c r="AD693" s="76"/>
      <c r="AE693" s="76"/>
    </row>
    <row r="694">
      <c r="A694" s="76"/>
      <c r="B694" s="76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  <c r="AA694" s="76"/>
      <c r="AB694" s="76"/>
      <c r="AC694" s="76"/>
      <c r="AD694" s="76"/>
      <c r="AE694" s="76"/>
    </row>
    <row r="695">
      <c r="A695" s="76"/>
      <c r="B695" s="76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  <c r="AA695" s="76"/>
      <c r="AB695" s="76"/>
      <c r="AC695" s="76"/>
      <c r="AD695" s="76"/>
      <c r="AE695" s="76"/>
    </row>
    <row r="696">
      <c r="A696" s="76"/>
      <c r="B696" s="76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  <c r="AA696" s="76"/>
      <c r="AB696" s="76"/>
      <c r="AC696" s="76"/>
      <c r="AD696" s="76"/>
      <c r="AE696" s="76"/>
    </row>
    <row r="697">
      <c r="A697" s="76"/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  <c r="AA697" s="76"/>
      <c r="AB697" s="76"/>
      <c r="AC697" s="76"/>
      <c r="AD697" s="76"/>
      <c r="AE697" s="76"/>
    </row>
    <row r="698">
      <c r="A698" s="76"/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  <c r="AA698" s="76"/>
      <c r="AB698" s="76"/>
      <c r="AC698" s="76"/>
      <c r="AD698" s="76"/>
      <c r="AE698" s="76"/>
    </row>
    <row r="699">
      <c r="A699" s="76"/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  <c r="AA699" s="76"/>
      <c r="AB699" s="76"/>
      <c r="AC699" s="76"/>
      <c r="AD699" s="76"/>
      <c r="AE699" s="76"/>
    </row>
    <row r="700">
      <c r="A700" s="76"/>
      <c r="B700" s="76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  <c r="AA700" s="76"/>
      <c r="AB700" s="76"/>
      <c r="AC700" s="76"/>
      <c r="AD700" s="76"/>
      <c r="AE700" s="76"/>
    </row>
    <row r="701">
      <c r="A701" s="76"/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  <c r="AA701" s="76"/>
      <c r="AB701" s="76"/>
      <c r="AC701" s="76"/>
      <c r="AD701" s="76"/>
      <c r="AE701" s="76"/>
    </row>
    <row r="702">
      <c r="A702" s="76"/>
      <c r="B702" s="76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  <c r="AA702" s="76"/>
      <c r="AB702" s="76"/>
      <c r="AC702" s="76"/>
      <c r="AD702" s="76"/>
      <c r="AE702" s="76"/>
    </row>
    <row r="703">
      <c r="A703" s="76"/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  <c r="AA703" s="76"/>
      <c r="AB703" s="76"/>
      <c r="AC703" s="76"/>
      <c r="AD703" s="76"/>
      <c r="AE703" s="76"/>
    </row>
    <row r="704">
      <c r="A704" s="76"/>
      <c r="B704" s="76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  <c r="AA704" s="76"/>
      <c r="AB704" s="76"/>
      <c r="AC704" s="76"/>
      <c r="AD704" s="76"/>
      <c r="AE704" s="76"/>
    </row>
    <row r="705">
      <c r="A705" s="76"/>
      <c r="B705" s="76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  <c r="AA705" s="76"/>
      <c r="AB705" s="76"/>
      <c r="AC705" s="76"/>
      <c r="AD705" s="76"/>
      <c r="AE705" s="76"/>
    </row>
    <row r="706">
      <c r="A706" s="76"/>
      <c r="B706" s="76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  <c r="AA706" s="76"/>
      <c r="AB706" s="76"/>
      <c r="AC706" s="76"/>
      <c r="AD706" s="76"/>
      <c r="AE706" s="76"/>
    </row>
    <row r="707">
      <c r="A707" s="76"/>
      <c r="B707" s="76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  <c r="AA707" s="76"/>
      <c r="AB707" s="76"/>
      <c r="AC707" s="76"/>
      <c r="AD707" s="76"/>
      <c r="AE707" s="76"/>
    </row>
    <row r="708">
      <c r="A708" s="76"/>
      <c r="B708" s="76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  <c r="AA708" s="76"/>
      <c r="AB708" s="76"/>
      <c r="AC708" s="76"/>
      <c r="AD708" s="76"/>
      <c r="AE708" s="76"/>
    </row>
    <row r="709">
      <c r="A709" s="76"/>
      <c r="B709" s="76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  <c r="AA709" s="76"/>
      <c r="AB709" s="76"/>
      <c r="AC709" s="76"/>
      <c r="AD709" s="76"/>
      <c r="AE709" s="76"/>
    </row>
    <row r="710">
      <c r="A710" s="76"/>
      <c r="B710" s="76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  <c r="AA710" s="76"/>
      <c r="AB710" s="76"/>
      <c r="AC710" s="76"/>
      <c r="AD710" s="76"/>
      <c r="AE710" s="76"/>
    </row>
    <row r="711">
      <c r="A711" s="76"/>
      <c r="B711" s="76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  <c r="AA711" s="76"/>
      <c r="AB711" s="76"/>
      <c r="AC711" s="76"/>
      <c r="AD711" s="76"/>
      <c r="AE711" s="76"/>
    </row>
    <row r="712">
      <c r="A712" s="76"/>
      <c r="B712" s="76"/>
      <c r="C712" s="76"/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  <c r="AA712" s="76"/>
      <c r="AB712" s="76"/>
      <c r="AC712" s="76"/>
      <c r="AD712" s="76"/>
      <c r="AE712" s="76"/>
    </row>
    <row r="713">
      <c r="A713" s="76"/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  <c r="AA713" s="76"/>
      <c r="AB713" s="76"/>
      <c r="AC713" s="76"/>
      <c r="AD713" s="76"/>
      <c r="AE713" s="76"/>
    </row>
    <row r="714">
      <c r="A714" s="76"/>
      <c r="B714" s="76"/>
      <c r="C714" s="76"/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  <c r="AA714" s="76"/>
      <c r="AB714" s="76"/>
      <c r="AC714" s="76"/>
      <c r="AD714" s="76"/>
      <c r="AE714" s="76"/>
    </row>
    <row r="715">
      <c r="A715" s="76"/>
      <c r="B715" s="76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  <c r="AA715" s="76"/>
      <c r="AB715" s="76"/>
      <c r="AC715" s="76"/>
      <c r="AD715" s="76"/>
      <c r="AE715" s="76"/>
    </row>
    <row r="716">
      <c r="A716" s="76"/>
      <c r="B716" s="76"/>
      <c r="C716" s="76"/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  <c r="AA716" s="76"/>
      <c r="AB716" s="76"/>
      <c r="AC716" s="76"/>
      <c r="AD716" s="76"/>
      <c r="AE716" s="76"/>
    </row>
    <row r="717">
      <c r="A717" s="76"/>
      <c r="B717" s="76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  <c r="AA717" s="76"/>
      <c r="AB717" s="76"/>
      <c r="AC717" s="76"/>
      <c r="AD717" s="76"/>
      <c r="AE717" s="76"/>
    </row>
    <row r="718">
      <c r="A718" s="76"/>
      <c r="B718" s="76"/>
      <c r="C718" s="76"/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  <c r="AA718" s="76"/>
      <c r="AB718" s="76"/>
      <c r="AC718" s="76"/>
      <c r="AD718" s="76"/>
      <c r="AE718" s="76"/>
    </row>
    <row r="719">
      <c r="A719" s="76"/>
      <c r="B719" s="76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  <c r="AA719" s="76"/>
      <c r="AB719" s="76"/>
      <c r="AC719" s="76"/>
      <c r="AD719" s="76"/>
      <c r="AE719" s="76"/>
    </row>
    <row r="720">
      <c r="A720" s="76"/>
      <c r="B720" s="76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  <c r="AA720" s="76"/>
      <c r="AB720" s="76"/>
      <c r="AC720" s="76"/>
      <c r="AD720" s="76"/>
      <c r="AE720" s="76"/>
    </row>
    <row r="721">
      <c r="A721" s="76"/>
      <c r="B721" s="76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  <c r="AA721" s="76"/>
      <c r="AB721" s="76"/>
      <c r="AC721" s="76"/>
      <c r="AD721" s="76"/>
      <c r="AE721" s="76"/>
    </row>
    <row r="722">
      <c r="A722" s="76"/>
      <c r="B722" s="76"/>
      <c r="C722" s="76"/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  <c r="AA722" s="76"/>
      <c r="AB722" s="76"/>
      <c r="AC722" s="76"/>
      <c r="AD722" s="76"/>
      <c r="AE722" s="76"/>
    </row>
    <row r="723">
      <c r="A723" s="76"/>
      <c r="B723" s="76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  <c r="AA723" s="76"/>
      <c r="AB723" s="76"/>
      <c r="AC723" s="76"/>
      <c r="AD723" s="76"/>
      <c r="AE723" s="76"/>
    </row>
    <row r="724">
      <c r="A724" s="76"/>
      <c r="B724" s="76"/>
      <c r="C724" s="76"/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  <c r="AA724" s="76"/>
      <c r="AB724" s="76"/>
      <c r="AC724" s="76"/>
      <c r="AD724" s="76"/>
      <c r="AE724" s="76"/>
    </row>
    <row r="725">
      <c r="A725" s="76"/>
      <c r="B725" s="76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  <c r="AA725" s="76"/>
      <c r="AB725" s="76"/>
      <c r="AC725" s="76"/>
      <c r="AD725" s="76"/>
      <c r="AE725" s="76"/>
    </row>
    <row r="726">
      <c r="A726" s="76"/>
      <c r="B726" s="76"/>
      <c r="C726" s="76"/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  <c r="AA726" s="76"/>
      <c r="AB726" s="76"/>
      <c r="AC726" s="76"/>
      <c r="AD726" s="76"/>
      <c r="AE726" s="76"/>
    </row>
    <row r="727">
      <c r="A727" s="76"/>
      <c r="B727" s="76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  <c r="AA727" s="76"/>
      <c r="AB727" s="76"/>
      <c r="AC727" s="76"/>
      <c r="AD727" s="76"/>
      <c r="AE727" s="76"/>
    </row>
    <row r="728">
      <c r="A728" s="76"/>
      <c r="B728" s="76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  <c r="AA728" s="76"/>
      <c r="AB728" s="76"/>
      <c r="AC728" s="76"/>
      <c r="AD728" s="76"/>
      <c r="AE728" s="76"/>
    </row>
    <row r="729">
      <c r="A729" s="76"/>
      <c r="B729" s="76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  <c r="AA729" s="76"/>
      <c r="AB729" s="76"/>
      <c r="AC729" s="76"/>
      <c r="AD729" s="76"/>
      <c r="AE729" s="76"/>
    </row>
    <row r="730">
      <c r="A730" s="76"/>
      <c r="B730" s="76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  <c r="AA730" s="76"/>
      <c r="AB730" s="76"/>
      <c r="AC730" s="76"/>
      <c r="AD730" s="76"/>
      <c r="AE730" s="76"/>
    </row>
    <row r="731">
      <c r="A731" s="76"/>
      <c r="B731" s="76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  <c r="AA731" s="76"/>
      <c r="AB731" s="76"/>
      <c r="AC731" s="76"/>
      <c r="AD731" s="76"/>
      <c r="AE731" s="76"/>
    </row>
    <row r="732">
      <c r="A732" s="76"/>
      <c r="B732" s="76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  <c r="AA732" s="76"/>
      <c r="AB732" s="76"/>
      <c r="AC732" s="76"/>
      <c r="AD732" s="76"/>
      <c r="AE732" s="76"/>
    </row>
    <row r="733">
      <c r="A733" s="76"/>
      <c r="B733" s="76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  <c r="AA733" s="76"/>
      <c r="AB733" s="76"/>
      <c r="AC733" s="76"/>
      <c r="AD733" s="76"/>
      <c r="AE733" s="76"/>
    </row>
    <row r="734">
      <c r="A734" s="76"/>
      <c r="B734" s="76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  <c r="AA734" s="76"/>
      <c r="AB734" s="76"/>
      <c r="AC734" s="76"/>
      <c r="AD734" s="76"/>
      <c r="AE734" s="76"/>
    </row>
    <row r="735">
      <c r="A735" s="76"/>
      <c r="B735" s="76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  <c r="AA735" s="76"/>
      <c r="AB735" s="76"/>
      <c r="AC735" s="76"/>
      <c r="AD735" s="76"/>
      <c r="AE735" s="76"/>
    </row>
    <row r="736">
      <c r="A736" s="76"/>
      <c r="B736" s="76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  <c r="AA736" s="76"/>
      <c r="AB736" s="76"/>
      <c r="AC736" s="76"/>
      <c r="AD736" s="76"/>
      <c r="AE736" s="76"/>
    </row>
    <row r="737">
      <c r="A737" s="76"/>
      <c r="B737" s="76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  <c r="AA737" s="76"/>
      <c r="AB737" s="76"/>
      <c r="AC737" s="76"/>
      <c r="AD737" s="76"/>
      <c r="AE737" s="76"/>
    </row>
    <row r="738">
      <c r="A738" s="76"/>
      <c r="B738" s="76"/>
      <c r="C738" s="76"/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  <c r="AA738" s="76"/>
      <c r="AB738" s="76"/>
      <c r="AC738" s="76"/>
      <c r="AD738" s="76"/>
      <c r="AE738" s="76"/>
    </row>
    <row r="739">
      <c r="A739" s="76"/>
      <c r="B739" s="76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  <c r="AA739" s="76"/>
      <c r="AB739" s="76"/>
      <c r="AC739" s="76"/>
      <c r="AD739" s="76"/>
      <c r="AE739" s="76"/>
    </row>
    <row r="740">
      <c r="A740" s="76"/>
      <c r="B740" s="76"/>
      <c r="C740" s="76"/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  <c r="AA740" s="76"/>
      <c r="AB740" s="76"/>
      <c r="AC740" s="76"/>
      <c r="AD740" s="76"/>
      <c r="AE740" s="76"/>
    </row>
    <row r="741">
      <c r="A741" s="76"/>
      <c r="B741" s="76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  <c r="AA741" s="76"/>
      <c r="AB741" s="76"/>
      <c r="AC741" s="76"/>
      <c r="AD741" s="76"/>
      <c r="AE741" s="76"/>
    </row>
    <row r="742">
      <c r="A742" s="76"/>
      <c r="B742" s="76"/>
      <c r="C742" s="76"/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  <c r="AA742" s="76"/>
      <c r="AB742" s="76"/>
      <c r="AC742" s="76"/>
      <c r="AD742" s="76"/>
      <c r="AE742" s="76"/>
    </row>
    <row r="743">
      <c r="A743" s="76"/>
      <c r="B743" s="76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  <c r="AA743" s="76"/>
      <c r="AB743" s="76"/>
      <c r="AC743" s="76"/>
      <c r="AD743" s="76"/>
      <c r="AE743" s="76"/>
    </row>
    <row r="744">
      <c r="A744" s="76"/>
      <c r="B744" s="76"/>
      <c r="C744" s="76"/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  <c r="AA744" s="76"/>
      <c r="AB744" s="76"/>
      <c r="AC744" s="76"/>
      <c r="AD744" s="76"/>
      <c r="AE744" s="76"/>
    </row>
    <row r="745">
      <c r="A745" s="76"/>
      <c r="B745" s="76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  <c r="AA745" s="76"/>
      <c r="AB745" s="76"/>
      <c r="AC745" s="76"/>
      <c r="AD745" s="76"/>
      <c r="AE745" s="76"/>
    </row>
    <row r="746">
      <c r="A746" s="76"/>
      <c r="B746" s="76"/>
      <c r="C746" s="76"/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  <c r="AA746" s="76"/>
      <c r="AB746" s="76"/>
      <c r="AC746" s="76"/>
      <c r="AD746" s="76"/>
      <c r="AE746" s="76"/>
    </row>
    <row r="747">
      <c r="A747" s="76"/>
      <c r="B747" s="76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  <c r="AA747" s="76"/>
      <c r="AB747" s="76"/>
      <c r="AC747" s="76"/>
      <c r="AD747" s="76"/>
      <c r="AE747" s="76"/>
    </row>
    <row r="748">
      <c r="A748" s="76"/>
      <c r="B748" s="76"/>
      <c r="C748" s="76"/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  <c r="AA748" s="76"/>
      <c r="AB748" s="76"/>
      <c r="AC748" s="76"/>
      <c r="AD748" s="76"/>
      <c r="AE748" s="76"/>
    </row>
    <row r="749">
      <c r="A749" s="76"/>
      <c r="B749" s="76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  <c r="AA749" s="76"/>
      <c r="AB749" s="76"/>
      <c r="AC749" s="76"/>
      <c r="AD749" s="76"/>
      <c r="AE749" s="76"/>
    </row>
    <row r="750">
      <c r="A750" s="76"/>
      <c r="B750" s="76"/>
      <c r="C750" s="76"/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  <c r="AA750" s="76"/>
      <c r="AB750" s="76"/>
      <c r="AC750" s="76"/>
      <c r="AD750" s="76"/>
      <c r="AE750" s="76"/>
    </row>
    <row r="751">
      <c r="A751" s="76"/>
      <c r="B751" s="76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  <c r="AA751" s="76"/>
      <c r="AB751" s="76"/>
      <c r="AC751" s="76"/>
      <c r="AD751" s="76"/>
      <c r="AE751" s="76"/>
    </row>
    <row r="752">
      <c r="A752" s="76"/>
      <c r="B752" s="76"/>
      <c r="C752" s="76"/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  <c r="AA752" s="76"/>
      <c r="AB752" s="76"/>
      <c r="AC752" s="76"/>
      <c r="AD752" s="76"/>
      <c r="AE752" s="76"/>
    </row>
    <row r="753">
      <c r="A753" s="76"/>
      <c r="B753" s="76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  <c r="AA753" s="76"/>
      <c r="AB753" s="76"/>
      <c r="AC753" s="76"/>
      <c r="AD753" s="76"/>
      <c r="AE753" s="76"/>
    </row>
    <row r="754">
      <c r="A754" s="76"/>
      <c r="B754" s="76"/>
      <c r="C754" s="76"/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  <c r="AA754" s="76"/>
      <c r="AB754" s="76"/>
      <c r="AC754" s="76"/>
      <c r="AD754" s="76"/>
      <c r="AE754" s="76"/>
    </row>
    <row r="755">
      <c r="A755" s="76"/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  <c r="AA755" s="76"/>
      <c r="AB755" s="76"/>
      <c r="AC755" s="76"/>
      <c r="AD755" s="76"/>
      <c r="AE755" s="76"/>
    </row>
    <row r="756">
      <c r="A756" s="76"/>
      <c r="B756" s="76"/>
      <c r="C756" s="76"/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  <c r="AA756" s="76"/>
      <c r="AB756" s="76"/>
      <c r="AC756" s="76"/>
      <c r="AD756" s="76"/>
      <c r="AE756" s="76"/>
    </row>
    <row r="757">
      <c r="A757" s="76"/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  <c r="AA757" s="76"/>
      <c r="AB757" s="76"/>
      <c r="AC757" s="76"/>
      <c r="AD757" s="76"/>
      <c r="AE757" s="76"/>
    </row>
    <row r="758">
      <c r="A758" s="76"/>
      <c r="B758" s="76"/>
      <c r="C758" s="76"/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  <c r="AA758" s="76"/>
      <c r="AB758" s="76"/>
      <c r="AC758" s="76"/>
      <c r="AD758" s="76"/>
      <c r="AE758" s="76"/>
    </row>
    <row r="759">
      <c r="A759" s="76"/>
      <c r="B759" s="76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  <c r="AA759" s="76"/>
      <c r="AB759" s="76"/>
      <c r="AC759" s="76"/>
      <c r="AD759" s="76"/>
      <c r="AE759" s="76"/>
    </row>
    <row r="760">
      <c r="A760" s="76"/>
      <c r="B760" s="76"/>
      <c r="C760" s="76"/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  <c r="AA760" s="76"/>
      <c r="AB760" s="76"/>
      <c r="AC760" s="76"/>
      <c r="AD760" s="76"/>
      <c r="AE760" s="76"/>
    </row>
    <row r="761">
      <c r="A761" s="76"/>
      <c r="B761" s="76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  <c r="AA761" s="76"/>
      <c r="AB761" s="76"/>
      <c r="AC761" s="76"/>
      <c r="AD761" s="76"/>
      <c r="AE761" s="76"/>
    </row>
    <row r="762">
      <c r="A762" s="76"/>
      <c r="B762" s="76"/>
      <c r="C762" s="76"/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  <c r="AA762" s="76"/>
      <c r="AB762" s="76"/>
      <c r="AC762" s="76"/>
      <c r="AD762" s="76"/>
      <c r="AE762" s="76"/>
    </row>
    <row r="763">
      <c r="A763" s="76"/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  <c r="AA763" s="76"/>
      <c r="AB763" s="76"/>
      <c r="AC763" s="76"/>
      <c r="AD763" s="76"/>
      <c r="AE763" s="76"/>
    </row>
    <row r="764">
      <c r="A764" s="76"/>
      <c r="B764" s="76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  <c r="AA764" s="76"/>
      <c r="AB764" s="76"/>
      <c r="AC764" s="76"/>
      <c r="AD764" s="76"/>
      <c r="AE764" s="76"/>
    </row>
    <row r="765">
      <c r="A765" s="76"/>
      <c r="B765" s="76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  <c r="AA765" s="76"/>
      <c r="AB765" s="76"/>
      <c r="AC765" s="76"/>
      <c r="AD765" s="76"/>
      <c r="AE765" s="76"/>
    </row>
    <row r="766">
      <c r="A766" s="76"/>
      <c r="B766" s="76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  <c r="AA766" s="76"/>
      <c r="AB766" s="76"/>
      <c r="AC766" s="76"/>
      <c r="AD766" s="76"/>
      <c r="AE766" s="76"/>
    </row>
    <row r="767">
      <c r="A767" s="76"/>
      <c r="B767" s="76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  <c r="AA767" s="76"/>
      <c r="AB767" s="76"/>
      <c r="AC767" s="76"/>
      <c r="AD767" s="76"/>
      <c r="AE767" s="76"/>
    </row>
    <row r="768">
      <c r="A768" s="76"/>
      <c r="B768" s="76"/>
      <c r="C768" s="76"/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  <c r="AA768" s="76"/>
      <c r="AB768" s="76"/>
      <c r="AC768" s="76"/>
      <c r="AD768" s="76"/>
      <c r="AE768" s="76"/>
    </row>
    <row r="769">
      <c r="A769" s="76"/>
      <c r="B769" s="76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  <c r="AA769" s="76"/>
      <c r="AB769" s="76"/>
      <c r="AC769" s="76"/>
      <c r="AD769" s="76"/>
      <c r="AE769" s="76"/>
    </row>
    <row r="770">
      <c r="A770" s="76"/>
      <c r="B770" s="76"/>
      <c r="C770" s="76"/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  <c r="AA770" s="76"/>
      <c r="AB770" s="76"/>
      <c r="AC770" s="76"/>
      <c r="AD770" s="76"/>
      <c r="AE770" s="76"/>
    </row>
    <row r="771">
      <c r="A771" s="76"/>
      <c r="B771" s="76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  <c r="AA771" s="76"/>
      <c r="AB771" s="76"/>
      <c r="AC771" s="76"/>
      <c r="AD771" s="76"/>
      <c r="AE771" s="76"/>
    </row>
    <row r="772">
      <c r="A772" s="76"/>
      <c r="B772" s="76"/>
      <c r="C772" s="76"/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  <c r="AA772" s="76"/>
      <c r="AB772" s="76"/>
      <c r="AC772" s="76"/>
      <c r="AD772" s="76"/>
      <c r="AE772" s="76"/>
    </row>
    <row r="773">
      <c r="A773" s="76"/>
      <c r="B773" s="76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  <c r="AA773" s="76"/>
      <c r="AB773" s="76"/>
      <c r="AC773" s="76"/>
      <c r="AD773" s="76"/>
      <c r="AE773" s="76"/>
    </row>
    <row r="774">
      <c r="A774" s="76"/>
      <c r="B774" s="76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  <c r="AA774" s="76"/>
      <c r="AB774" s="76"/>
      <c r="AC774" s="76"/>
      <c r="AD774" s="76"/>
      <c r="AE774" s="76"/>
    </row>
    <row r="775">
      <c r="A775" s="76"/>
      <c r="B775" s="76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  <c r="AA775" s="76"/>
      <c r="AB775" s="76"/>
      <c r="AC775" s="76"/>
      <c r="AD775" s="76"/>
      <c r="AE775" s="76"/>
    </row>
    <row r="776">
      <c r="A776" s="76"/>
      <c r="B776" s="76"/>
      <c r="C776" s="76"/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  <c r="AA776" s="76"/>
      <c r="AB776" s="76"/>
      <c r="AC776" s="76"/>
      <c r="AD776" s="76"/>
      <c r="AE776" s="76"/>
    </row>
    <row r="777">
      <c r="A777" s="76"/>
      <c r="B777" s="76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  <c r="AA777" s="76"/>
      <c r="AB777" s="76"/>
      <c r="AC777" s="76"/>
      <c r="AD777" s="76"/>
      <c r="AE777" s="76"/>
    </row>
    <row r="778">
      <c r="A778" s="76"/>
      <c r="B778" s="76"/>
      <c r="C778" s="76"/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  <c r="AA778" s="76"/>
      <c r="AB778" s="76"/>
      <c r="AC778" s="76"/>
      <c r="AD778" s="76"/>
      <c r="AE778" s="76"/>
    </row>
    <row r="779">
      <c r="A779" s="76"/>
      <c r="B779" s="76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  <c r="AA779" s="76"/>
      <c r="AB779" s="76"/>
      <c r="AC779" s="76"/>
      <c r="AD779" s="76"/>
      <c r="AE779" s="76"/>
    </row>
    <row r="780">
      <c r="A780" s="76"/>
      <c r="B780" s="76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  <c r="AA780" s="76"/>
      <c r="AB780" s="76"/>
      <c r="AC780" s="76"/>
      <c r="AD780" s="76"/>
      <c r="AE780" s="76"/>
    </row>
    <row r="781">
      <c r="A781" s="76"/>
      <c r="B781" s="76"/>
      <c r="C781" s="76"/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  <c r="AA781" s="76"/>
      <c r="AB781" s="76"/>
      <c r="AC781" s="76"/>
      <c r="AD781" s="76"/>
      <c r="AE781" s="76"/>
    </row>
    <row r="782">
      <c r="A782" s="76"/>
      <c r="B782" s="76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  <c r="AA782" s="76"/>
      <c r="AB782" s="76"/>
      <c r="AC782" s="76"/>
      <c r="AD782" s="76"/>
      <c r="AE782" s="76"/>
    </row>
    <row r="783">
      <c r="A783" s="76"/>
      <c r="B783" s="76"/>
      <c r="C783" s="76"/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  <c r="AA783" s="76"/>
      <c r="AB783" s="76"/>
      <c r="AC783" s="76"/>
      <c r="AD783" s="76"/>
      <c r="AE783" s="76"/>
    </row>
    <row r="784">
      <c r="A784" s="76"/>
      <c r="B784" s="76"/>
      <c r="C784" s="76"/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  <c r="AA784" s="76"/>
      <c r="AB784" s="76"/>
      <c r="AC784" s="76"/>
      <c r="AD784" s="76"/>
      <c r="AE784" s="76"/>
    </row>
    <row r="785">
      <c r="A785" s="76"/>
      <c r="B785" s="76"/>
      <c r="C785" s="76"/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  <c r="AA785" s="76"/>
      <c r="AB785" s="76"/>
      <c r="AC785" s="76"/>
      <c r="AD785" s="76"/>
      <c r="AE785" s="76"/>
    </row>
    <row r="786">
      <c r="A786" s="76"/>
      <c r="B786" s="76"/>
      <c r="C786" s="76"/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  <c r="AA786" s="76"/>
      <c r="AB786" s="76"/>
      <c r="AC786" s="76"/>
      <c r="AD786" s="76"/>
      <c r="AE786" s="76"/>
    </row>
    <row r="787">
      <c r="A787" s="76"/>
      <c r="B787" s="76"/>
      <c r="C787" s="76"/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  <c r="AA787" s="76"/>
      <c r="AB787" s="76"/>
      <c r="AC787" s="76"/>
      <c r="AD787" s="76"/>
      <c r="AE787" s="76"/>
    </row>
    <row r="788">
      <c r="A788" s="76"/>
      <c r="B788" s="76"/>
      <c r="C788" s="76"/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  <c r="AA788" s="76"/>
      <c r="AB788" s="76"/>
      <c r="AC788" s="76"/>
      <c r="AD788" s="76"/>
      <c r="AE788" s="76"/>
    </row>
    <row r="789">
      <c r="A789" s="76"/>
      <c r="B789" s="76"/>
      <c r="C789" s="76"/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  <c r="AA789" s="76"/>
      <c r="AB789" s="76"/>
      <c r="AC789" s="76"/>
      <c r="AD789" s="76"/>
      <c r="AE789" s="76"/>
    </row>
    <row r="790">
      <c r="A790" s="76"/>
      <c r="B790" s="76"/>
      <c r="C790" s="76"/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  <c r="AA790" s="76"/>
      <c r="AB790" s="76"/>
      <c r="AC790" s="76"/>
      <c r="AD790" s="76"/>
      <c r="AE790" s="76"/>
    </row>
    <row r="791">
      <c r="A791" s="76"/>
      <c r="B791" s="76"/>
      <c r="C791" s="76"/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  <c r="AA791" s="76"/>
      <c r="AB791" s="76"/>
      <c r="AC791" s="76"/>
      <c r="AD791" s="76"/>
      <c r="AE791" s="76"/>
    </row>
    <row r="792">
      <c r="A792" s="76"/>
      <c r="B792" s="76"/>
      <c r="C792" s="76"/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  <c r="AA792" s="76"/>
      <c r="AB792" s="76"/>
      <c r="AC792" s="76"/>
      <c r="AD792" s="76"/>
      <c r="AE792" s="76"/>
    </row>
    <row r="793">
      <c r="A793" s="76"/>
      <c r="B793" s="76"/>
      <c r="C793" s="76"/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  <c r="AA793" s="76"/>
      <c r="AB793" s="76"/>
      <c r="AC793" s="76"/>
      <c r="AD793" s="76"/>
      <c r="AE793" s="76"/>
    </row>
    <row r="794">
      <c r="A794" s="76"/>
      <c r="B794" s="76"/>
      <c r="C794" s="76"/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  <c r="AA794" s="76"/>
      <c r="AB794" s="76"/>
      <c r="AC794" s="76"/>
      <c r="AD794" s="76"/>
      <c r="AE794" s="76"/>
    </row>
    <row r="795">
      <c r="A795" s="76"/>
      <c r="B795" s="76"/>
      <c r="C795" s="76"/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  <c r="AA795" s="76"/>
      <c r="AB795" s="76"/>
      <c r="AC795" s="76"/>
      <c r="AD795" s="76"/>
      <c r="AE795" s="76"/>
    </row>
    <row r="796">
      <c r="A796" s="76"/>
      <c r="B796" s="76"/>
      <c r="C796" s="76"/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  <c r="AA796" s="76"/>
      <c r="AB796" s="76"/>
      <c r="AC796" s="76"/>
      <c r="AD796" s="76"/>
      <c r="AE796" s="76"/>
    </row>
    <row r="797">
      <c r="A797" s="76"/>
      <c r="B797" s="76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  <c r="AA797" s="76"/>
      <c r="AB797" s="76"/>
      <c r="AC797" s="76"/>
      <c r="AD797" s="76"/>
      <c r="AE797" s="76"/>
    </row>
    <row r="798">
      <c r="A798" s="76"/>
      <c r="B798" s="76"/>
      <c r="C798" s="76"/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  <c r="AA798" s="76"/>
      <c r="AB798" s="76"/>
      <c r="AC798" s="76"/>
      <c r="AD798" s="76"/>
      <c r="AE798" s="76"/>
    </row>
    <row r="799">
      <c r="A799" s="76"/>
      <c r="B799" s="76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  <c r="AA799" s="76"/>
      <c r="AB799" s="76"/>
      <c r="AC799" s="76"/>
      <c r="AD799" s="76"/>
      <c r="AE799" s="76"/>
    </row>
    <row r="800">
      <c r="A800" s="76"/>
      <c r="B800" s="76"/>
      <c r="C800" s="76"/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  <c r="AA800" s="76"/>
      <c r="AB800" s="76"/>
      <c r="AC800" s="76"/>
      <c r="AD800" s="76"/>
      <c r="AE800" s="76"/>
    </row>
    <row r="801">
      <c r="A801" s="76"/>
      <c r="B801" s="76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  <c r="AA801" s="76"/>
      <c r="AB801" s="76"/>
      <c r="AC801" s="76"/>
      <c r="AD801" s="76"/>
      <c r="AE801" s="76"/>
    </row>
    <row r="802">
      <c r="A802" s="76"/>
      <c r="B802" s="76"/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  <c r="AA802" s="76"/>
      <c r="AB802" s="76"/>
      <c r="AC802" s="76"/>
      <c r="AD802" s="76"/>
      <c r="AE802" s="76"/>
    </row>
    <row r="803">
      <c r="A803" s="76"/>
      <c r="B803" s="76"/>
      <c r="C803" s="76"/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  <c r="AA803" s="76"/>
      <c r="AB803" s="76"/>
      <c r="AC803" s="76"/>
      <c r="AD803" s="76"/>
      <c r="AE803" s="76"/>
    </row>
    <row r="804">
      <c r="A804" s="76"/>
      <c r="B804" s="76"/>
      <c r="C804" s="76"/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  <c r="AA804" s="76"/>
      <c r="AB804" s="76"/>
      <c r="AC804" s="76"/>
      <c r="AD804" s="76"/>
      <c r="AE804" s="76"/>
    </row>
    <row r="805">
      <c r="A805" s="76"/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  <c r="AA805" s="76"/>
      <c r="AB805" s="76"/>
      <c r="AC805" s="76"/>
      <c r="AD805" s="76"/>
      <c r="AE805" s="76"/>
    </row>
    <row r="806">
      <c r="A806" s="76"/>
      <c r="B806" s="76"/>
      <c r="C806" s="76"/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  <c r="AA806" s="76"/>
      <c r="AB806" s="76"/>
      <c r="AC806" s="76"/>
      <c r="AD806" s="76"/>
      <c r="AE806" s="76"/>
    </row>
    <row r="807">
      <c r="A807" s="76"/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  <c r="AA807" s="76"/>
      <c r="AB807" s="76"/>
      <c r="AC807" s="76"/>
      <c r="AD807" s="76"/>
      <c r="AE807" s="76"/>
    </row>
    <row r="808">
      <c r="A808" s="76"/>
      <c r="B808" s="76"/>
      <c r="C808" s="76"/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  <c r="AA808" s="76"/>
      <c r="AB808" s="76"/>
      <c r="AC808" s="76"/>
      <c r="AD808" s="76"/>
      <c r="AE808" s="76"/>
    </row>
    <row r="809">
      <c r="A809" s="76"/>
      <c r="B809" s="76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  <c r="AA809" s="76"/>
      <c r="AB809" s="76"/>
      <c r="AC809" s="76"/>
      <c r="AD809" s="76"/>
      <c r="AE809" s="76"/>
    </row>
    <row r="810">
      <c r="A810" s="76"/>
      <c r="B810" s="76"/>
      <c r="C810" s="76"/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  <c r="AA810" s="76"/>
      <c r="AB810" s="76"/>
      <c r="AC810" s="76"/>
      <c r="AD810" s="76"/>
      <c r="AE810" s="76"/>
    </row>
    <row r="811">
      <c r="A811" s="76"/>
      <c r="B811" s="76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  <c r="AA811" s="76"/>
      <c r="AB811" s="76"/>
      <c r="AC811" s="76"/>
      <c r="AD811" s="76"/>
      <c r="AE811" s="76"/>
    </row>
    <row r="812">
      <c r="A812" s="76"/>
      <c r="B812" s="76"/>
      <c r="C812" s="76"/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  <c r="AA812" s="76"/>
      <c r="AB812" s="76"/>
      <c r="AC812" s="76"/>
      <c r="AD812" s="76"/>
      <c r="AE812" s="76"/>
    </row>
    <row r="813">
      <c r="A813" s="76"/>
      <c r="B813" s="76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  <c r="AA813" s="76"/>
      <c r="AB813" s="76"/>
      <c r="AC813" s="76"/>
      <c r="AD813" s="76"/>
      <c r="AE813" s="76"/>
    </row>
    <row r="814">
      <c r="A814" s="76"/>
      <c r="B814" s="76"/>
      <c r="C814" s="76"/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  <c r="AA814" s="76"/>
      <c r="AB814" s="76"/>
      <c r="AC814" s="76"/>
      <c r="AD814" s="76"/>
      <c r="AE814" s="76"/>
    </row>
    <row r="815">
      <c r="A815" s="76"/>
      <c r="B815" s="76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  <c r="AA815" s="76"/>
      <c r="AB815" s="76"/>
      <c r="AC815" s="76"/>
      <c r="AD815" s="76"/>
      <c r="AE815" s="76"/>
    </row>
    <row r="816">
      <c r="A816" s="76"/>
      <c r="B816" s="76"/>
      <c r="C816" s="76"/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  <c r="AA816" s="76"/>
      <c r="AB816" s="76"/>
      <c r="AC816" s="76"/>
      <c r="AD816" s="76"/>
      <c r="AE816" s="76"/>
    </row>
    <row r="817">
      <c r="A817" s="76"/>
      <c r="B817" s="76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  <c r="AA817" s="76"/>
      <c r="AB817" s="76"/>
      <c r="AC817" s="76"/>
      <c r="AD817" s="76"/>
      <c r="AE817" s="76"/>
    </row>
    <row r="818">
      <c r="A818" s="76"/>
      <c r="B818" s="76"/>
      <c r="C818" s="76"/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  <c r="AA818" s="76"/>
      <c r="AB818" s="76"/>
      <c r="AC818" s="76"/>
      <c r="AD818" s="76"/>
      <c r="AE818" s="76"/>
    </row>
    <row r="819">
      <c r="A819" s="76"/>
      <c r="B819" s="76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  <c r="AA819" s="76"/>
      <c r="AB819" s="76"/>
      <c r="AC819" s="76"/>
      <c r="AD819" s="76"/>
      <c r="AE819" s="76"/>
    </row>
    <row r="820">
      <c r="A820" s="76"/>
      <c r="B820" s="76"/>
      <c r="C820" s="76"/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  <c r="AA820" s="76"/>
      <c r="AB820" s="76"/>
      <c r="AC820" s="76"/>
      <c r="AD820" s="76"/>
      <c r="AE820" s="76"/>
    </row>
    <row r="821">
      <c r="A821" s="76"/>
      <c r="B821" s="76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  <c r="AA821" s="76"/>
      <c r="AB821" s="76"/>
      <c r="AC821" s="76"/>
      <c r="AD821" s="76"/>
      <c r="AE821" s="76"/>
    </row>
    <row r="822">
      <c r="A822" s="76"/>
      <c r="B822" s="76"/>
      <c r="C822" s="76"/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  <c r="AA822" s="76"/>
      <c r="AB822" s="76"/>
      <c r="AC822" s="76"/>
      <c r="AD822" s="76"/>
      <c r="AE822" s="76"/>
    </row>
    <row r="823">
      <c r="A823" s="76"/>
      <c r="B823" s="76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  <c r="AA823" s="76"/>
      <c r="AB823" s="76"/>
      <c r="AC823" s="76"/>
      <c r="AD823" s="76"/>
      <c r="AE823" s="76"/>
    </row>
    <row r="824">
      <c r="A824" s="76"/>
      <c r="B824" s="76"/>
      <c r="C824" s="76"/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  <c r="AA824" s="76"/>
      <c r="AB824" s="76"/>
      <c r="AC824" s="76"/>
      <c r="AD824" s="76"/>
      <c r="AE824" s="76"/>
    </row>
    <row r="825">
      <c r="A825" s="76"/>
      <c r="B825" s="76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  <c r="AA825" s="76"/>
      <c r="AB825" s="76"/>
      <c r="AC825" s="76"/>
      <c r="AD825" s="76"/>
      <c r="AE825" s="76"/>
    </row>
    <row r="826">
      <c r="A826" s="76"/>
      <c r="B826" s="76"/>
      <c r="C826" s="76"/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  <c r="AA826" s="76"/>
      <c r="AB826" s="76"/>
      <c r="AC826" s="76"/>
      <c r="AD826" s="76"/>
      <c r="AE826" s="76"/>
    </row>
    <row r="827">
      <c r="A827" s="76"/>
      <c r="B827" s="76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  <c r="AA827" s="76"/>
      <c r="AB827" s="76"/>
      <c r="AC827" s="76"/>
      <c r="AD827" s="76"/>
      <c r="AE827" s="76"/>
    </row>
    <row r="828">
      <c r="A828" s="76"/>
      <c r="B828" s="76"/>
      <c r="C828" s="76"/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  <c r="AA828" s="76"/>
      <c r="AB828" s="76"/>
      <c r="AC828" s="76"/>
      <c r="AD828" s="76"/>
      <c r="AE828" s="76"/>
    </row>
    <row r="829">
      <c r="A829" s="76"/>
      <c r="B829" s="76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  <c r="AA829" s="76"/>
      <c r="AB829" s="76"/>
      <c r="AC829" s="76"/>
      <c r="AD829" s="76"/>
      <c r="AE829" s="76"/>
    </row>
    <row r="830">
      <c r="A830" s="76"/>
      <c r="B830" s="76"/>
      <c r="C830" s="76"/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  <c r="AA830" s="76"/>
      <c r="AB830" s="76"/>
      <c r="AC830" s="76"/>
      <c r="AD830" s="76"/>
      <c r="AE830" s="76"/>
    </row>
    <row r="831">
      <c r="A831" s="76"/>
      <c r="B831" s="76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  <c r="AA831" s="76"/>
      <c r="AB831" s="76"/>
      <c r="AC831" s="76"/>
      <c r="AD831" s="76"/>
      <c r="AE831" s="76"/>
    </row>
    <row r="832">
      <c r="A832" s="76"/>
      <c r="B832" s="76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  <c r="AA832" s="76"/>
      <c r="AB832" s="76"/>
      <c r="AC832" s="76"/>
      <c r="AD832" s="76"/>
      <c r="AE832" s="76"/>
    </row>
    <row r="833">
      <c r="A833" s="76"/>
      <c r="B833" s="76"/>
      <c r="C833" s="76"/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  <c r="AA833" s="76"/>
      <c r="AB833" s="76"/>
      <c r="AC833" s="76"/>
      <c r="AD833" s="76"/>
      <c r="AE833" s="76"/>
    </row>
    <row r="834">
      <c r="A834" s="76"/>
      <c r="B834" s="76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  <c r="AA834" s="76"/>
      <c r="AB834" s="76"/>
      <c r="AC834" s="76"/>
      <c r="AD834" s="76"/>
      <c r="AE834" s="76"/>
    </row>
    <row r="835">
      <c r="A835" s="76"/>
      <c r="B835" s="76"/>
      <c r="C835" s="76"/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  <c r="AA835" s="76"/>
      <c r="AB835" s="76"/>
      <c r="AC835" s="76"/>
      <c r="AD835" s="76"/>
      <c r="AE835" s="76"/>
    </row>
    <row r="836">
      <c r="A836" s="76"/>
      <c r="B836" s="76"/>
      <c r="C836" s="76"/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  <c r="AA836" s="76"/>
      <c r="AB836" s="76"/>
      <c r="AC836" s="76"/>
      <c r="AD836" s="76"/>
      <c r="AE836" s="76"/>
    </row>
    <row r="837">
      <c r="A837" s="76"/>
      <c r="B837" s="76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  <c r="AA837" s="76"/>
      <c r="AB837" s="76"/>
      <c r="AC837" s="76"/>
      <c r="AD837" s="76"/>
      <c r="AE837" s="76"/>
    </row>
    <row r="838">
      <c r="A838" s="76"/>
      <c r="B838" s="76"/>
      <c r="C838" s="76"/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  <c r="AA838" s="76"/>
      <c r="AB838" s="76"/>
      <c r="AC838" s="76"/>
      <c r="AD838" s="76"/>
      <c r="AE838" s="76"/>
    </row>
    <row r="839">
      <c r="A839" s="76"/>
      <c r="B839" s="76"/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  <c r="AA839" s="76"/>
      <c r="AB839" s="76"/>
      <c r="AC839" s="76"/>
      <c r="AD839" s="76"/>
      <c r="AE839" s="76"/>
    </row>
    <row r="840">
      <c r="A840" s="76"/>
      <c r="B840" s="76"/>
      <c r="C840" s="76"/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  <c r="AA840" s="76"/>
      <c r="AB840" s="76"/>
      <c r="AC840" s="76"/>
      <c r="AD840" s="76"/>
      <c r="AE840" s="76"/>
    </row>
    <row r="841">
      <c r="A841" s="76"/>
      <c r="B841" s="76"/>
      <c r="C841" s="76"/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  <c r="AA841" s="76"/>
      <c r="AB841" s="76"/>
      <c r="AC841" s="76"/>
      <c r="AD841" s="76"/>
      <c r="AE841" s="76"/>
    </row>
    <row r="842">
      <c r="A842" s="76"/>
      <c r="B842" s="76"/>
      <c r="C842" s="76"/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  <c r="AA842" s="76"/>
      <c r="AB842" s="76"/>
      <c r="AC842" s="76"/>
      <c r="AD842" s="76"/>
      <c r="AE842" s="76"/>
    </row>
    <row r="843">
      <c r="A843" s="76"/>
      <c r="B843" s="76"/>
      <c r="C843" s="76"/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  <c r="AA843" s="76"/>
      <c r="AB843" s="76"/>
      <c r="AC843" s="76"/>
      <c r="AD843" s="76"/>
      <c r="AE843" s="76"/>
    </row>
    <row r="844">
      <c r="A844" s="76"/>
      <c r="B844" s="76"/>
      <c r="C844" s="76"/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  <c r="AA844" s="76"/>
      <c r="AB844" s="76"/>
      <c r="AC844" s="76"/>
      <c r="AD844" s="76"/>
      <c r="AE844" s="76"/>
    </row>
    <row r="845">
      <c r="A845" s="76"/>
      <c r="B845" s="76"/>
      <c r="C845" s="76"/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  <c r="AA845" s="76"/>
      <c r="AB845" s="76"/>
      <c r="AC845" s="76"/>
      <c r="AD845" s="76"/>
      <c r="AE845" s="76"/>
    </row>
    <row r="846">
      <c r="A846" s="76"/>
      <c r="B846" s="76"/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  <c r="AA846" s="76"/>
      <c r="AB846" s="76"/>
      <c r="AC846" s="76"/>
      <c r="AD846" s="76"/>
      <c r="AE846" s="76"/>
    </row>
    <row r="847">
      <c r="A847" s="76"/>
      <c r="B847" s="76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  <c r="AA847" s="76"/>
      <c r="AB847" s="76"/>
      <c r="AC847" s="76"/>
      <c r="AD847" s="76"/>
      <c r="AE847" s="76"/>
    </row>
    <row r="848">
      <c r="A848" s="76"/>
      <c r="B848" s="76"/>
      <c r="C848" s="76"/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  <c r="AA848" s="76"/>
      <c r="AB848" s="76"/>
      <c r="AC848" s="76"/>
      <c r="AD848" s="76"/>
      <c r="AE848" s="76"/>
    </row>
    <row r="849">
      <c r="A849" s="76"/>
      <c r="B849" s="76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  <c r="AA849" s="76"/>
      <c r="AB849" s="76"/>
      <c r="AC849" s="76"/>
      <c r="AD849" s="76"/>
      <c r="AE849" s="76"/>
    </row>
    <row r="850">
      <c r="A850" s="76"/>
      <c r="B850" s="76"/>
      <c r="C850" s="76"/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  <c r="AA850" s="76"/>
      <c r="AB850" s="76"/>
      <c r="AC850" s="76"/>
      <c r="AD850" s="76"/>
      <c r="AE850" s="76"/>
    </row>
    <row r="851">
      <c r="A851" s="76"/>
      <c r="B851" s="76"/>
      <c r="C851" s="76"/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  <c r="AA851" s="76"/>
      <c r="AB851" s="76"/>
      <c r="AC851" s="76"/>
      <c r="AD851" s="76"/>
      <c r="AE851" s="76"/>
    </row>
    <row r="852">
      <c r="A852" s="76"/>
      <c r="B852" s="76"/>
      <c r="C852" s="76"/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  <c r="AA852" s="76"/>
      <c r="AB852" s="76"/>
      <c r="AC852" s="76"/>
      <c r="AD852" s="76"/>
      <c r="AE852" s="76"/>
    </row>
    <row r="853">
      <c r="A853" s="76"/>
      <c r="B853" s="76"/>
      <c r="C853" s="76"/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  <c r="AA853" s="76"/>
      <c r="AB853" s="76"/>
      <c r="AC853" s="76"/>
      <c r="AD853" s="76"/>
      <c r="AE853" s="76"/>
    </row>
    <row r="854">
      <c r="A854" s="76"/>
      <c r="B854" s="76"/>
      <c r="C854" s="76"/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  <c r="AA854" s="76"/>
      <c r="AB854" s="76"/>
      <c r="AC854" s="76"/>
      <c r="AD854" s="76"/>
      <c r="AE854" s="76"/>
    </row>
    <row r="855">
      <c r="A855" s="76"/>
      <c r="B855" s="76"/>
      <c r="C855" s="76"/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  <c r="AA855" s="76"/>
      <c r="AB855" s="76"/>
      <c r="AC855" s="76"/>
      <c r="AD855" s="76"/>
      <c r="AE855" s="76"/>
    </row>
    <row r="856">
      <c r="A856" s="76"/>
      <c r="B856" s="76"/>
      <c r="C856" s="76"/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  <c r="AA856" s="76"/>
      <c r="AB856" s="76"/>
      <c r="AC856" s="76"/>
      <c r="AD856" s="76"/>
      <c r="AE856" s="76"/>
    </row>
    <row r="857">
      <c r="A857" s="76"/>
      <c r="B857" s="76"/>
      <c r="C857" s="76"/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  <c r="AA857" s="76"/>
      <c r="AB857" s="76"/>
      <c r="AC857" s="76"/>
      <c r="AD857" s="76"/>
      <c r="AE857" s="76"/>
    </row>
    <row r="858">
      <c r="A858" s="76"/>
      <c r="B858" s="76"/>
      <c r="C858" s="76"/>
      <c r="D858" s="76"/>
      <c r="E858" s="76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  <c r="AA858" s="76"/>
      <c r="AB858" s="76"/>
      <c r="AC858" s="76"/>
      <c r="AD858" s="76"/>
      <c r="AE858" s="76"/>
    </row>
    <row r="859">
      <c r="A859" s="76"/>
      <c r="B859" s="76"/>
      <c r="C859" s="76"/>
      <c r="D859" s="76"/>
      <c r="E859" s="76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  <c r="AA859" s="76"/>
      <c r="AB859" s="76"/>
      <c r="AC859" s="76"/>
      <c r="AD859" s="76"/>
      <c r="AE859" s="76"/>
    </row>
    <row r="860">
      <c r="A860" s="76"/>
      <c r="B860" s="76"/>
      <c r="C860" s="76"/>
      <c r="D860" s="76"/>
      <c r="E860" s="76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  <c r="AA860" s="76"/>
      <c r="AB860" s="76"/>
      <c r="AC860" s="76"/>
      <c r="AD860" s="76"/>
      <c r="AE860" s="76"/>
    </row>
    <row r="861">
      <c r="A861" s="76"/>
      <c r="B861" s="76"/>
      <c r="C861" s="76"/>
      <c r="D861" s="76"/>
      <c r="E861" s="76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  <c r="AA861" s="76"/>
      <c r="AB861" s="76"/>
      <c r="AC861" s="76"/>
      <c r="AD861" s="76"/>
      <c r="AE861" s="76"/>
    </row>
    <row r="862">
      <c r="A862" s="76"/>
      <c r="B862" s="76"/>
      <c r="C862" s="76"/>
      <c r="D862" s="76"/>
      <c r="E862" s="76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  <c r="AA862" s="76"/>
      <c r="AB862" s="76"/>
      <c r="AC862" s="76"/>
      <c r="AD862" s="76"/>
      <c r="AE862" s="76"/>
    </row>
    <row r="863">
      <c r="A863" s="76"/>
      <c r="B863" s="76"/>
      <c r="C863" s="76"/>
      <c r="D863" s="76"/>
      <c r="E863" s="76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  <c r="AA863" s="76"/>
      <c r="AB863" s="76"/>
      <c r="AC863" s="76"/>
      <c r="AD863" s="76"/>
      <c r="AE863" s="76"/>
    </row>
    <row r="864">
      <c r="A864" s="76"/>
      <c r="B864" s="76"/>
      <c r="C864" s="76"/>
      <c r="D864" s="76"/>
      <c r="E864" s="76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  <c r="AA864" s="76"/>
      <c r="AB864" s="76"/>
      <c r="AC864" s="76"/>
      <c r="AD864" s="76"/>
      <c r="AE864" s="76"/>
    </row>
    <row r="865">
      <c r="A865" s="76"/>
      <c r="B865" s="76"/>
      <c r="C865" s="76"/>
      <c r="D865" s="76"/>
      <c r="E865" s="76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  <c r="AA865" s="76"/>
      <c r="AB865" s="76"/>
      <c r="AC865" s="76"/>
      <c r="AD865" s="76"/>
      <c r="AE865" s="76"/>
    </row>
    <row r="866">
      <c r="A866" s="76"/>
      <c r="B866" s="76"/>
      <c r="C866" s="76"/>
      <c r="D866" s="76"/>
      <c r="E866" s="76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  <c r="AA866" s="76"/>
      <c r="AB866" s="76"/>
      <c r="AC866" s="76"/>
      <c r="AD866" s="76"/>
      <c r="AE866" s="76"/>
    </row>
    <row r="867">
      <c r="A867" s="76"/>
      <c r="B867" s="76"/>
      <c r="C867" s="76"/>
      <c r="D867" s="76"/>
      <c r="E867" s="76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  <c r="AA867" s="76"/>
      <c r="AB867" s="76"/>
      <c r="AC867" s="76"/>
      <c r="AD867" s="76"/>
      <c r="AE867" s="76"/>
    </row>
    <row r="868">
      <c r="A868" s="76"/>
      <c r="B868" s="76"/>
      <c r="C868" s="76"/>
      <c r="D868" s="76"/>
      <c r="E868" s="76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  <c r="AA868" s="76"/>
      <c r="AB868" s="76"/>
      <c r="AC868" s="76"/>
      <c r="AD868" s="76"/>
      <c r="AE868" s="76"/>
    </row>
    <row r="869">
      <c r="A869" s="76"/>
      <c r="B869" s="76"/>
      <c r="C869" s="76"/>
      <c r="D869" s="76"/>
      <c r="E869" s="76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  <c r="AA869" s="76"/>
      <c r="AB869" s="76"/>
      <c r="AC869" s="76"/>
      <c r="AD869" s="76"/>
      <c r="AE869" s="76"/>
    </row>
    <row r="870">
      <c r="A870" s="76"/>
      <c r="B870" s="76"/>
      <c r="C870" s="76"/>
      <c r="D870" s="76"/>
      <c r="E870" s="76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  <c r="AA870" s="76"/>
      <c r="AB870" s="76"/>
      <c r="AC870" s="76"/>
      <c r="AD870" s="76"/>
      <c r="AE870" s="76"/>
    </row>
    <row r="871">
      <c r="A871" s="76"/>
      <c r="B871" s="76"/>
      <c r="C871" s="76"/>
      <c r="D871" s="76"/>
      <c r="E871" s="76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  <c r="AA871" s="76"/>
      <c r="AB871" s="76"/>
      <c r="AC871" s="76"/>
      <c r="AD871" s="76"/>
      <c r="AE871" s="76"/>
    </row>
    <row r="872">
      <c r="A872" s="76"/>
      <c r="B872" s="76"/>
      <c r="C872" s="76"/>
      <c r="D872" s="76"/>
      <c r="E872" s="76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  <c r="AA872" s="76"/>
      <c r="AB872" s="76"/>
      <c r="AC872" s="76"/>
      <c r="AD872" s="76"/>
      <c r="AE872" s="76"/>
    </row>
    <row r="873">
      <c r="A873" s="76"/>
      <c r="B873" s="76"/>
      <c r="C873" s="76"/>
      <c r="D873" s="76"/>
      <c r="E873" s="76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  <c r="AA873" s="76"/>
      <c r="AB873" s="76"/>
      <c r="AC873" s="76"/>
      <c r="AD873" s="76"/>
      <c r="AE873" s="76"/>
    </row>
    <row r="874">
      <c r="A874" s="76"/>
      <c r="B874" s="76"/>
      <c r="C874" s="76"/>
      <c r="D874" s="76"/>
      <c r="E874" s="76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  <c r="AA874" s="76"/>
      <c r="AB874" s="76"/>
      <c r="AC874" s="76"/>
      <c r="AD874" s="76"/>
      <c r="AE874" s="76"/>
    </row>
    <row r="875">
      <c r="A875" s="76"/>
      <c r="B875" s="76"/>
      <c r="C875" s="76"/>
      <c r="D875" s="76"/>
      <c r="E875" s="76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  <c r="AA875" s="76"/>
      <c r="AB875" s="76"/>
      <c r="AC875" s="76"/>
      <c r="AD875" s="76"/>
      <c r="AE875" s="76"/>
    </row>
    <row r="876">
      <c r="A876" s="76"/>
      <c r="B876" s="76"/>
      <c r="C876" s="76"/>
      <c r="D876" s="76"/>
      <c r="E876" s="76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  <c r="AA876" s="76"/>
      <c r="AB876" s="76"/>
      <c r="AC876" s="76"/>
      <c r="AD876" s="76"/>
      <c r="AE876" s="76"/>
    </row>
    <row r="877">
      <c r="A877" s="76"/>
      <c r="B877" s="76"/>
      <c r="C877" s="76"/>
      <c r="D877" s="76"/>
      <c r="E877" s="76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  <c r="AA877" s="76"/>
      <c r="AB877" s="76"/>
      <c r="AC877" s="76"/>
      <c r="AD877" s="76"/>
      <c r="AE877" s="76"/>
    </row>
    <row r="878">
      <c r="A878" s="76"/>
      <c r="B878" s="76"/>
      <c r="C878" s="76"/>
      <c r="D878" s="76"/>
      <c r="E878" s="76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  <c r="AA878" s="76"/>
      <c r="AB878" s="76"/>
      <c r="AC878" s="76"/>
      <c r="AD878" s="76"/>
      <c r="AE878" s="76"/>
    </row>
    <row r="879">
      <c r="A879" s="76"/>
      <c r="B879" s="76"/>
      <c r="C879" s="76"/>
      <c r="D879" s="76"/>
      <c r="E879" s="76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  <c r="AA879" s="76"/>
      <c r="AB879" s="76"/>
      <c r="AC879" s="76"/>
      <c r="AD879" s="76"/>
      <c r="AE879" s="76"/>
    </row>
    <row r="880">
      <c r="A880" s="76"/>
      <c r="B880" s="76"/>
      <c r="C880" s="76"/>
      <c r="D880" s="76"/>
      <c r="E880" s="76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  <c r="AA880" s="76"/>
      <c r="AB880" s="76"/>
      <c r="AC880" s="76"/>
      <c r="AD880" s="76"/>
      <c r="AE880" s="76"/>
    </row>
    <row r="881">
      <c r="A881" s="76"/>
      <c r="B881" s="76"/>
      <c r="C881" s="76"/>
      <c r="D881" s="76"/>
      <c r="E881" s="76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  <c r="AA881" s="76"/>
      <c r="AB881" s="76"/>
      <c r="AC881" s="76"/>
      <c r="AD881" s="76"/>
      <c r="AE881" s="76"/>
    </row>
    <row r="882">
      <c r="A882" s="76"/>
      <c r="B882" s="76"/>
      <c r="C882" s="76"/>
      <c r="D882" s="76"/>
      <c r="E882" s="76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  <c r="AA882" s="76"/>
      <c r="AB882" s="76"/>
      <c r="AC882" s="76"/>
      <c r="AD882" s="76"/>
      <c r="AE882" s="76"/>
    </row>
    <row r="883">
      <c r="A883" s="76"/>
      <c r="B883" s="76"/>
      <c r="C883" s="76"/>
      <c r="D883" s="76"/>
      <c r="E883" s="76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  <c r="AA883" s="76"/>
      <c r="AB883" s="76"/>
      <c r="AC883" s="76"/>
      <c r="AD883" s="76"/>
      <c r="AE883" s="76"/>
    </row>
    <row r="884">
      <c r="A884" s="76"/>
      <c r="B884" s="76"/>
      <c r="C884" s="76"/>
      <c r="D884" s="76"/>
      <c r="E884" s="76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  <c r="AA884" s="76"/>
      <c r="AB884" s="76"/>
      <c r="AC884" s="76"/>
      <c r="AD884" s="76"/>
      <c r="AE884" s="76"/>
    </row>
    <row r="885">
      <c r="A885" s="76"/>
      <c r="B885" s="76"/>
      <c r="C885" s="76"/>
      <c r="D885" s="76"/>
      <c r="E885" s="76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  <c r="AA885" s="76"/>
      <c r="AB885" s="76"/>
      <c r="AC885" s="76"/>
      <c r="AD885" s="76"/>
      <c r="AE885" s="76"/>
    </row>
    <row r="886">
      <c r="A886" s="76"/>
      <c r="B886" s="76"/>
      <c r="C886" s="76"/>
      <c r="D886" s="76"/>
      <c r="E886" s="76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  <c r="AA886" s="76"/>
      <c r="AB886" s="76"/>
      <c r="AC886" s="76"/>
      <c r="AD886" s="76"/>
      <c r="AE886" s="76"/>
    </row>
    <row r="887">
      <c r="A887" s="76"/>
      <c r="B887" s="76"/>
      <c r="C887" s="76"/>
      <c r="D887" s="76"/>
      <c r="E887" s="76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  <c r="AA887" s="76"/>
      <c r="AB887" s="76"/>
      <c r="AC887" s="76"/>
      <c r="AD887" s="76"/>
      <c r="AE887" s="76"/>
    </row>
    <row r="888">
      <c r="A888" s="76"/>
      <c r="B888" s="76"/>
      <c r="C888" s="76"/>
      <c r="D888" s="76"/>
      <c r="E888" s="76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  <c r="AA888" s="76"/>
      <c r="AB888" s="76"/>
      <c r="AC888" s="76"/>
      <c r="AD888" s="76"/>
      <c r="AE888" s="76"/>
    </row>
    <row r="889">
      <c r="A889" s="76"/>
      <c r="B889" s="76"/>
      <c r="C889" s="76"/>
      <c r="D889" s="76"/>
      <c r="E889" s="76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  <c r="AA889" s="76"/>
      <c r="AB889" s="76"/>
      <c r="AC889" s="76"/>
      <c r="AD889" s="76"/>
      <c r="AE889" s="76"/>
    </row>
    <row r="890">
      <c r="A890" s="76"/>
      <c r="B890" s="76"/>
      <c r="C890" s="76"/>
      <c r="D890" s="76"/>
      <c r="E890" s="76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  <c r="AA890" s="76"/>
      <c r="AB890" s="76"/>
      <c r="AC890" s="76"/>
      <c r="AD890" s="76"/>
      <c r="AE890" s="76"/>
    </row>
    <row r="891">
      <c r="A891" s="76"/>
      <c r="B891" s="76"/>
      <c r="C891" s="76"/>
      <c r="D891" s="76"/>
      <c r="E891" s="76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  <c r="AA891" s="76"/>
      <c r="AB891" s="76"/>
      <c r="AC891" s="76"/>
      <c r="AD891" s="76"/>
      <c r="AE891" s="76"/>
    </row>
    <row r="892">
      <c r="A892" s="76"/>
      <c r="B892" s="76"/>
      <c r="C892" s="76"/>
      <c r="D892" s="76"/>
      <c r="E892" s="76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  <c r="AA892" s="76"/>
      <c r="AB892" s="76"/>
      <c r="AC892" s="76"/>
      <c r="AD892" s="76"/>
      <c r="AE892" s="76"/>
    </row>
    <row r="893">
      <c r="A893" s="76"/>
      <c r="B893" s="76"/>
      <c r="C893" s="76"/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  <c r="AA893" s="76"/>
      <c r="AB893" s="76"/>
      <c r="AC893" s="76"/>
      <c r="AD893" s="76"/>
      <c r="AE893" s="76"/>
    </row>
    <row r="894">
      <c r="A894" s="76"/>
      <c r="B894" s="76"/>
      <c r="C894" s="76"/>
      <c r="D894" s="76"/>
      <c r="E894" s="76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  <c r="AA894" s="76"/>
      <c r="AB894" s="76"/>
      <c r="AC894" s="76"/>
      <c r="AD894" s="76"/>
      <c r="AE894" s="76"/>
    </row>
    <row r="895">
      <c r="A895" s="76"/>
      <c r="B895" s="76"/>
      <c r="C895" s="76"/>
      <c r="D895" s="76"/>
      <c r="E895" s="76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  <c r="AA895" s="76"/>
      <c r="AB895" s="76"/>
      <c r="AC895" s="76"/>
      <c r="AD895" s="76"/>
      <c r="AE895" s="76"/>
    </row>
    <row r="896">
      <c r="A896" s="76"/>
      <c r="B896" s="76"/>
      <c r="C896" s="76"/>
      <c r="D896" s="76"/>
      <c r="E896" s="76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  <c r="AA896" s="76"/>
      <c r="AB896" s="76"/>
      <c r="AC896" s="76"/>
      <c r="AD896" s="76"/>
      <c r="AE896" s="76"/>
    </row>
    <row r="897">
      <c r="A897" s="76"/>
      <c r="B897" s="76"/>
      <c r="C897" s="76"/>
      <c r="D897" s="76"/>
      <c r="E897" s="76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  <c r="AA897" s="76"/>
      <c r="AB897" s="76"/>
      <c r="AC897" s="76"/>
      <c r="AD897" s="76"/>
      <c r="AE897" s="76"/>
    </row>
    <row r="898">
      <c r="A898" s="76"/>
      <c r="B898" s="76"/>
      <c r="C898" s="76"/>
      <c r="D898" s="76"/>
      <c r="E898" s="76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  <c r="AA898" s="76"/>
      <c r="AB898" s="76"/>
      <c r="AC898" s="76"/>
      <c r="AD898" s="76"/>
      <c r="AE898" s="76"/>
    </row>
    <row r="899">
      <c r="A899" s="76"/>
      <c r="B899" s="76"/>
      <c r="C899" s="76"/>
      <c r="D899" s="76"/>
      <c r="E899" s="76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  <c r="AA899" s="76"/>
      <c r="AB899" s="76"/>
      <c r="AC899" s="76"/>
      <c r="AD899" s="76"/>
      <c r="AE899" s="76"/>
    </row>
    <row r="900">
      <c r="A900" s="76"/>
      <c r="B900" s="76"/>
      <c r="C900" s="76"/>
      <c r="D900" s="76"/>
      <c r="E900" s="76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  <c r="AA900" s="76"/>
      <c r="AB900" s="76"/>
      <c r="AC900" s="76"/>
      <c r="AD900" s="76"/>
      <c r="AE900" s="76"/>
    </row>
    <row r="901">
      <c r="A901" s="76"/>
      <c r="B901" s="76"/>
      <c r="C901" s="76"/>
      <c r="D901" s="76"/>
      <c r="E901" s="76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  <c r="AA901" s="76"/>
      <c r="AB901" s="76"/>
      <c r="AC901" s="76"/>
      <c r="AD901" s="76"/>
      <c r="AE901" s="76"/>
    </row>
    <row r="902">
      <c r="A902" s="76"/>
      <c r="B902" s="76"/>
      <c r="C902" s="76"/>
      <c r="D902" s="76"/>
      <c r="E902" s="76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  <c r="AA902" s="76"/>
      <c r="AB902" s="76"/>
      <c r="AC902" s="76"/>
      <c r="AD902" s="76"/>
      <c r="AE902" s="76"/>
    </row>
    <row r="903">
      <c r="A903" s="76"/>
      <c r="B903" s="76"/>
      <c r="C903" s="76"/>
      <c r="D903" s="76"/>
      <c r="E903" s="76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  <c r="AA903" s="76"/>
      <c r="AB903" s="76"/>
      <c r="AC903" s="76"/>
      <c r="AD903" s="76"/>
      <c r="AE903" s="76"/>
    </row>
    <row r="904">
      <c r="A904" s="76"/>
      <c r="B904" s="76"/>
      <c r="C904" s="76"/>
      <c r="D904" s="76"/>
      <c r="E904" s="76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  <c r="AA904" s="76"/>
      <c r="AB904" s="76"/>
      <c r="AC904" s="76"/>
      <c r="AD904" s="76"/>
      <c r="AE904" s="76"/>
    </row>
    <row r="905">
      <c r="A905" s="76"/>
      <c r="B905" s="76"/>
      <c r="C905" s="76"/>
      <c r="D905" s="76"/>
      <c r="E905" s="76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  <c r="AA905" s="76"/>
      <c r="AB905" s="76"/>
      <c r="AC905" s="76"/>
      <c r="AD905" s="76"/>
      <c r="AE905" s="76"/>
    </row>
    <row r="906">
      <c r="A906" s="76"/>
      <c r="B906" s="76"/>
      <c r="C906" s="76"/>
      <c r="D906" s="76"/>
      <c r="E906" s="76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  <c r="AA906" s="76"/>
      <c r="AB906" s="76"/>
      <c r="AC906" s="76"/>
      <c r="AD906" s="76"/>
      <c r="AE906" s="76"/>
    </row>
    <row r="907">
      <c r="A907" s="76"/>
      <c r="B907" s="76"/>
      <c r="C907" s="76"/>
      <c r="D907" s="76"/>
      <c r="E907" s="76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  <c r="AA907" s="76"/>
      <c r="AB907" s="76"/>
      <c r="AC907" s="76"/>
      <c r="AD907" s="76"/>
      <c r="AE907" s="76"/>
    </row>
    <row r="908">
      <c r="A908" s="76"/>
      <c r="B908" s="76"/>
      <c r="C908" s="76"/>
      <c r="D908" s="76"/>
      <c r="E908" s="76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  <c r="AA908" s="76"/>
      <c r="AB908" s="76"/>
      <c r="AC908" s="76"/>
      <c r="AD908" s="76"/>
      <c r="AE908" s="76"/>
    </row>
    <row r="909">
      <c r="A909" s="76"/>
      <c r="B909" s="76"/>
      <c r="C909" s="76"/>
      <c r="D909" s="76"/>
      <c r="E909" s="76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  <c r="AA909" s="76"/>
      <c r="AB909" s="76"/>
      <c r="AC909" s="76"/>
      <c r="AD909" s="76"/>
      <c r="AE909" s="76"/>
    </row>
    <row r="910">
      <c r="A910" s="76"/>
      <c r="B910" s="76"/>
      <c r="C910" s="76"/>
      <c r="D910" s="76"/>
      <c r="E910" s="76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  <c r="AA910" s="76"/>
      <c r="AB910" s="76"/>
      <c r="AC910" s="76"/>
      <c r="AD910" s="76"/>
      <c r="AE910" s="76"/>
    </row>
    <row r="911">
      <c r="A911" s="76"/>
      <c r="B911" s="76"/>
      <c r="C911" s="76"/>
      <c r="D911" s="76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  <c r="AA911" s="76"/>
      <c r="AB911" s="76"/>
      <c r="AC911" s="76"/>
      <c r="AD911" s="76"/>
      <c r="AE911" s="76"/>
    </row>
    <row r="912">
      <c r="A912" s="76"/>
      <c r="B912" s="76"/>
      <c r="C912" s="76"/>
      <c r="D912" s="76"/>
      <c r="E912" s="76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  <c r="AA912" s="76"/>
      <c r="AB912" s="76"/>
      <c r="AC912" s="76"/>
      <c r="AD912" s="76"/>
      <c r="AE912" s="76"/>
    </row>
    <row r="913">
      <c r="A913" s="76"/>
      <c r="B913" s="76"/>
      <c r="C913" s="76"/>
      <c r="D913" s="76"/>
      <c r="E913" s="76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  <c r="AA913" s="76"/>
      <c r="AB913" s="76"/>
      <c r="AC913" s="76"/>
      <c r="AD913" s="76"/>
      <c r="AE913" s="76"/>
    </row>
    <row r="914">
      <c r="A914" s="76"/>
      <c r="B914" s="76"/>
      <c r="C914" s="76"/>
      <c r="D914" s="76"/>
      <c r="E914" s="76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  <c r="AA914" s="76"/>
      <c r="AB914" s="76"/>
      <c r="AC914" s="76"/>
      <c r="AD914" s="76"/>
      <c r="AE914" s="76"/>
    </row>
    <row r="915">
      <c r="A915" s="76"/>
      <c r="B915" s="76"/>
      <c r="C915" s="76"/>
      <c r="D915" s="76"/>
      <c r="E915" s="76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  <c r="AA915" s="76"/>
      <c r="AB915" s="76"/>
      <c r="AC915" s="76"/>
      <c r="AD915" s="76"/>
      <c r="AE915" s="76"/>
    </row>
    <row r="916">
      <c r="A916" s="76"/>
      <c r="B916" s="76"/>
      <c r="C916" s="76"/>
      <c r="D916" s="76"/>
      <c r="E916" s="76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  <c r="AA916" s="76"/>
      <c r="AB916" s="76"/>
      <c r="AC916" s="76"/>
      <c r="AD916" s="76"/>
      <c r="AE916" s="76"/>
    </row>
    <row r="917">
      <c r="A917" s="76"/>
      <c r="B917" s="76"/>
      <c r="C917" s="76"/>
      <c r="D917" s="76"/>
      <c r="E917" s="76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  <c r="AA917" s="76"/>
      <c r="AB917" s="76"/>
      <c r="AC917" s="76"/>
      <c r="AD917" s="76"/>
      <c r="AE917" s="76"/>
    </row>
    <row r="918">
      <c r="A918" s="76"/>
      <c r="B918" s="76"/>
      <c r="C918" s="76"/>
      <c r="D918" s="76"/>
      <c r="E918" s="76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  <c r="AA918" s="76"/>
      <c r="AB918" s="76"/>
      <c r="AC918" s="76"/>
      <c r="AD918" s="76"/>
      <c r="AE918" s="76"/>
    </row>
    <row r="919">
      <c r="A919" s="76"/>
      <c r="B919" s="76"/>
      <c r="C919" s="76"/>
      <c r="D919" s="76"/>
      <c r="E919" s="76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  <c r="AA919" s="76"/>
      <c r="AB919" s="76"/>
      <c r="AC919" s="76"/>
      <c r="AD919" s="76"/>
      <c r="AE919" s="76"/>
    </row>
    <row r="920">
      <c r="A920" s="76"/>
      <c r="B920" s="76"/>
      <c r="C920" s="76"/>
      <c r="D920" s="76"/>
      <c r="E920" s="76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  <c r="AA920" s="76"/>
      <c r="AB920" s="76"/>
      <c r="AC920" s="76"/>
      <c r="AD920" s="76"/>
      <c r="AE920" s="76"/>
    </row>
    <row r="921">
      <c r="A921" s="76"/>
      <c r="B921" s="76"/>
      <c r="C921" s="76"/>
      <c r="D921" s="76"/>
      <c r="E921" s="76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  <c r="AA921" s="76"/>
      <c r="AB921" s="76"/>
      <c r="AC921" s="76"/>
      <c r="AD921" s="76"/>
      <c r="AE921" s="76"/>
    </row>
    <row r="922">
      <c r="A922" s="76"/>
      <c r="B922" s="76"/>
      <c r="C922" s="76"/>
      <c r="D922" s="76"/>
      <c r="E922" s="76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  <c r="AA922" s="76"/>
      <c r="AB922" s="76"/>
      <c r="AC922" s="76"/>
      <c r="AD922" s="76"/>
      <c r="AE922" s="76"/>
    </row>
    <row r="923">
      <c r="A923" s="76"/>
      <c r="B923" s="76"/>
      <c r="C923" s="76"/>
      <c r="D923" s="76"/>
      <c r="E923" s="76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  <c r="AA923" s="76"/>
      <c r="AB923" s="76"/>
      <c r="AC923" s="76"/>
      <c r="AD923" s="76"/>
      <c r="AE923" s="76"/>
    </row>
    <row r="924">
      <c r="A924" s="76"/>
      <c r="B924" s="76"/>
      <c r="C924" s="76"/>
      <c r="D924" s="76"/>
      <c r="E924" s="76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  <c r="AA924" s="76"/>
      <c r="AB924" s="76"/>
      <c r="AC924" s="76"/>
      <c r="AD924" s="76"/>
      <c r="AE924" s="76"/>
    </row>
    <row r="925">
      <c r="A925" s="76"/>
      <c r="B925" s="76"/>
      <c r="C925" s="76"/>
      <c r="D925" s="76"/>
      <c r="E925" s="76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  <c r="AA925" s="76"/>
      <c r="AB925" s="76"/>
      <c r="AC925" s="76"/>
      <c r="AD925" s="76"/>
      <c r="AE925" s="76"/>
    </row>
    <row r="926">
      <c r="A926" s="76"/>
      <c r="B926" s="76"/>
      <c r="C926" s="76"/>
      <c r="D926" s="76"/>
      <c r="E926" s="76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  <c r="AA926" s="76"/>
      <c r="AB926" s="76"/>
      <c r="AC926" s="76"/>
      <c r="AD926" s="76"/>
      <c r="AE926" s="76"/>
    </row>
    <row r="927">
      <c r="A927" s="76"/>
      <c r="B927" s="76"/>
      <c r="C927" s="76"/>
      <c r="D927" s="76"/>
      <c r="E927" s="76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  <c r="AA927" s="76"/>
      <c r="AB927" s="76"/>
      <c r="AC927" s="76"/>
      <c r="AD927" s="76"/>
      <c r="AE927" s="76"/>
    </row>
    <row r="928">
      <c r="A928" s="76"/>
      <c r="B928" s="76"/>
      <c r="C928" s="76"/>
      <c r="D928" s="76"/>
      <c r="E928" s="76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  <c r="AA928" s="76"/>
      <c r="AB928" s="76"/>
      <c r="AC928" s="76"/>
      <c r="AD928" s="76"/>
      <c r="AE928" s="76"/>
    </row>
    <row r="929">
      <c r="A929" s="76"/>
      <c r="B929" s="76"/>
      <c r="C929" s="76"/>
      <c r="D929" s="76"/>
      <c r="E929" s="76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  <c r="AA929" s="76"/>
      <c r="AB929" s="76"/>
      <c r="AC929" s="76"/>
      <c r="AD929" s="76"/>
      <c r="AE929" s="76"/>
    </row>
    <row r="930">
      <c r="A930" s="76"/>
      <c r="B930" s="76"/>
      <c r="C930" s="76"/>
      <c r="D930" s="76"/>
      <c r="E930" s="76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  <c r="AA930" s="76"/>
      <c r="AB930" s="76"/>
      <c r="AC930" s="76"/>
      <c r="AD930" s="76"/>
      <c r="AE930" s="76"/>
    </row>
    <row r="931">
      <c r="A931" s="76"/>
      <c r="B931" s="76"/>
      <c r="C931" s="76"/>
      <c r="D931" s="76"/>
      <c r="E931" s="76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  <c r="AA931" s="76"/>
      <c r="AB931" s="76"/>
      <c r="AC931" s="76"/>
      <c r="AD931" s="76"/>
      <c r="AE931" s="76"/>
    </row>
    <row r="932">
      <c r="A932" s="76"/>
      <c r="B932" s="76"/>
      <c r="C932" s="76"/>
      <c r="D932" s="76"/>
      <c r="E932" s="76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  <c r="AA932" s="76"/>
      <c r="AB932" s="76"/>
      <c r="AC932" s="76"/>
      <c r="AD932" s="76"/>
      <c r="AE932" s="76"/>
    </row>
    <row r="933">
      <c r="A933" s="76"/>
      <c r="B933" s="76"/>
      <c r="C933" s="76"/>
      <c r="D933" s="76"/>
      <c r="E933" s="76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  <c r="AA933" s="76"/>
      <c r="AB933" s="76"/>
      <c r="AC933" s="76"/>
      <c r="AD933" s="76"/>
      <c r="AE933" s="76"/>
    </row>
    <row r="934">
      <c r="A934" s="76"/>
      <c r="B934" s="76"/>
      <c r="C934" s="76"/>
      <c r="D934" s="76"/>
      <c r="E934" s="76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  <c r="AA934" s="76"/>
      <c r="AB934" s="76"/>
      <c r="AC934" s="76"/>
      <c r="AD934" s="76"/>
      <c r="AE934" s="76"/>
    </row>
    <row r="935">
      <c r="A935" s="76"/>
      <c r="B935" s="76"/>
      <c r="C935" s="76"/>
      <c r="D935" s="76"/>
      <c r="E935" s="76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  <c r="AA935" s="76"/>
      <c r="AB935" s="76"/>
      <c r="AC935" s="76"/>
      <c r="AD935" s="76"/>
      <c r="AE935" s="76"/>
    </row>
    <row r="936">
      <c r="A936" s="76"/>
      <c r="B936" s="76"/>
      <c r="C936" s="76"/>
      <c r="D936" s="76"/>
      <c r="E936" s="76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  <c r="AA936" s="76"/>
      <c r="AB936" s="76"/>
      <c r="AC936" s="76"/>
      <c r="AD936" s="76"/>
      <c r="AE936" s="76"/>
    </row>
    <row r="937">
      <c r="A937" s="76"/>
      <c r="B937" s="76"/>
      <c r="C937" s="76"/>
      <c r="D937" s="76"/>
      <c r="E937" s="76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  <c r="AA937" s="76"/>
      <c r="AB937" s="76"/>
      <c r="AC937" s="76"/>
      <c r="AD937" s="76"/>
      <c r="AE937" s="76"/>
    </row>
    <row r="938">
      <c r="A938" s="76"/>
      <c r="B938" s="76"/>
      <c r="C938" s="76"/>
      <c r="D938" s="76"/>
      <c r="E938" s="76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  <c r="AA938" s="76"/>
      <c r="AB938" s="76"/>
      <c r="AC938" s="76"/>
      <c r="AD938" s="76"/>
      <c r="AE938" s="76"/>
    </row>
    <row r="939">
      <c r="A939" s="76"/>
      <c r="B939" s="76"/>
      <c r="C939" s="76"/>
      <c r="D939" s="76"/>
      <c r="E939" s="76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  <c r="AA939" s="76"/>
      <c r="AB939" s="76"/>
      <c r="AC939" s="76"/>
      <c r="AD939" s="76"/>
      <c r="AE939" s="76"/>
    </row>
    <row r="940">
      <c r="A940" s="76"/>
      <c r="B940" s="76"/>
      <c r="C940" s="76"/>
      <c r="D940" s="76"/>
      <c r="E940" s="76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  <c r="AA940" s="76"/>
      <c r="AB940" s="76"/>
      <c r="AC940" s="76"/>
      <c r="AD940" s="76"/>
      <c r="AE940" s="76"/>
    </row>
    <row r="941">
      <c r="A941" s="76"/>
      <c r="B941" s="76"/>
      <c r="C941" s="76"/>
      <c r="D941" s="76"/>
      <c r="E941" s="76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  <c r="AA941" s="76"/>
      <c r="AB941" s="76"/>
      <c r="AC941" s="76"/>
      <c r="AD941" s="76"/>
      <c r="AE941" s="76"/>
    </row>
    <row r="942">
      <c r="A942" s="76"/>
      <c r="B942" s="76"/>
      <c r="C942" s="76"/>
      <c r="D942" s="76"/>
      <c r="E942" s="76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  <c r="AA942" s="76"/>
      <c r="AB942" s="76"/>
      <c r="AC942" s="76"/>
      <c r="AD942" s="76"/>
      <c r="AE942" s="76"/>
    </row>
    <row r="943">
      <c r="A943" s="76"/>
      <c r="B943" s="76"/>
      <c r="C943" s="76"/>
      <c r="D943" s="76"/>
      <c r="E943" s="76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  <c r="AA943" s="76"/>
      <c r="AB943" s="76"/>
      <c r="AC943" s="76"/>
      <c r="AD943" s="76"/>
      <c r="AE943" s="76"/>
    </row>
    <row r="944">
      <c r="A944" s="76"/>
      <c r="B944" s="76"/>
      <c r="C944" s="76"/>
      <c r="D944" s="76"/>
      <c r="E944" s="76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  <c r="AA944" s="76"/>
      <c r="AB944" s="76"/>
      <c r="AC944" s="76"/>
      <c r="AD944" s="76"/>
      <c r="AE944" s="76"/>
    </row>
    <row r="945">
      <c r="A945" s="76"/>
      <c r="B945" s="76"/>
      <c r="C945" s="76"/>
      <c r="D945" s="76"/>
      <c r="E945" s="76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  <c r="AA945" s="76"/>
      <c r="AB945" s="76"/>
      <c r="AC945" s="76"/>
      <c r="AD945" s="76"/>
      <c r="AE945" s="76"/>
    </row>
    <row r="946">
      <c r="A946" s="76"/>
      <c r="B946" s="76"/>
      <c r="C946" s="76"/>
      <c r="D946" s="76"/>
      <c r="E946" s="76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  <c r="AA946" s="76"/>
      <c r="AB946" s="76"/>
      <c r="AC946" s="76"/>
      <c r="AD946" s="76"/>
      <c r="AE946" s="76"/>
    </row>
    <row r="947">
      <c r="A947" s="76"/>
      <c r="B947" s="76"/>
      <c r="C947" s="76"/>
      <c r="D947" s="76"/>
      <c r="E947" s="76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  <c r="AA947" s="76"/>
      <c r="AB947" s="76"/>
      <c r="AC947" s="76"/>
      <c r="AD947" s="76"/>
      <c r="AE947" s="76"/>
    </row>
    <row r="948">
      <c r="A948" s="76"/>
      <c r="B948" s="76"/>
      <c r="C948" s="76"/>
      <c r="D948" s="76"/>
      <c r="E948" s="76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  <c r="AA948" s="76"/>
      <c r="AB948" s="76"/>
      <c r="AC948" s="76"/>
      <c r="AD948" s="76"/>
      <c r="AE948" s="76"/>
    </row>
    <row r="949">
      <c r="A949" s="76"/>
      <c r="B949" s="76"/>
      <c r="C949" s="76"/>
      <c r="D949" s="76"/>
      <c r="E949" s="76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  <c r="AA949" s="76"/>
      <c r="AB949" s="76"/>
      <c r="AC949" s="76"/>
      <c r="AD949" s="76"/>
      <c r="AE949" s="76"/>
    </row>
    <row r="950">
      <c r="A950" s="76"/>
      <c r="B950" s="76"/>
      <c r="C950" s="76"/>
      <c r="D950" s="76"/>
      <c r="E950" s="76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  <c r="AA950" s="76"/>
      <c r="AB950" s="76"/>
      <c r="AC950" s="76"/>
      <c r="AD950" s="76"/>
      <c r="AE950" s="76"/>
    </row>
    <row r="951">
      <c r="A951" s="76"/>
      <c r="B951" s="76"/>
      <c r="C951" s="76"/>
      <c r="D951" s="76"/>
      <c r="E951" s="76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  <c r="AA951" s="76"/>
      <c r="AB951" s="76"/>
      <c r="AC951" s="76"/>
      <c r="AD951" s="76"/>
      <c r="AE951" s="76"/>
    </row>
    <row r="952">
      <c r="A952" s="76"/>
      <c r="B952" s="76"/>
      <c r="C952" s="76"/>
      <c r="D952" s="76"/>
      <c r="E952" s="76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  <c r="AA952" s="76"/>
      <c r="AB952" s="76"/>
      <c r="AC952" s="76"/>
      <c r="AD952" s="76"/>
      <c r="AE952" s="76"/>
    </row>
    <row r="953">
      <c r="A953" s="76"/>
      <c r="B953" s="76"/>
      <c r="C953" s="76"/>
      <c r="D953" s="76"/>
      <c r="E953" s="76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  <c r="AA953" s="76"/>
      <c r="AB953" s="76"/>
      <c r="AC953" s="76"/>
      <c r="AD953" s="76"/>
      <c r="AE953" s="76"/>
    </row>
    <row r="954">
      <c r="A954" s="76"/>
      <c r="B954" s="76"/>
      <c r="C954" s="76"/>
      <c r="D954" s="76"/>
      <c r="E954" s="76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  <c r="AA954" s="76"/>
      <c r="AB954" s="76"/>
      <c r="AC954" s="76"/>
      <c r="AD954" s="76"/>
      <c r="AE954" s="76"/>
    </row>
    <row r="955">
      <c r="A955" s="76"/>
      <c r="B955" s="76"/>
      <c r="C955" s="76"/>
      <c r="D955" s="76"/>
      <c r="E955" s="76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  <c r="AA955" s="76"/>
      <c r="AB955" s="76"/>
      <c r="AC955" s="76"/>
      <c r="AD955" s="76"/>
      <c r="AE955" s="76"/>
    </row>
    <row r="956">
      <c r="A956" s="76"/>
      <c r="B956" s="76"/>
      <c r="C956" s="76"/>
      <c r="D956" s="76"/>
      <c r="E956" s="76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  <c r="AA956" s="76"/>
      <c r="AB956" s="76"/>
      <c r="AC956" s="76"/>
      <c r="AD956" s="76"/>
      <c r="AE956" s="76"/>
    </row>
    <row r="957">
      <c r="A957" s="76"/>
      <c r="B957" s="76"/>
      <c r="C957" s="76"/>
      <c r="D957" s="76"/>
      <c r="E957" s="76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  <c r="AA957" s="76"/>
      <c r="AB957" s="76"/>
      <c r="AC957" s="76"/>
      <c r="AD957" s="76"/>
      <c r="AE957" s="76"/>
    </row>
    <row r="958">
      <c r="A958" s="76"/>
      <c r="B958" s="76"/>
      <c r="C958" s="76"/>
      <c r="D958" s="76"/>
      <c r="E958" s="76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  <c r="AA958" s="76"/>
      <c r="AB958" s="76"/>
      <c r="AC958" s="76"/>
      <c r="AD958" s="76"/>
      <c r="AE958" s="76"/>
    </row>
    <row r="959">
      <c r="A959" s="76"/>
      <c r="B959" s="76"/>
      <c r="C959" s="76"/>
      <c r="D959" s="76"/>
      <c r="E959" s="76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  <c r="AA959" s="76"/>
      <c r="AB959" s="76"/>
      <c r="AC959" s="76"/>
      <c r="AD959" s="76"/>
      <c r="AE959" s="76"/>
    </row>
    <row r="960">
      <c r="A960" s="76"/>
      <c r="B960" s="76"/>
      <c r="C960" s="76"/>
      <c r="D960" s="76"/>
      <c r="E960" s="76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  <c r="AA960" s="76"/>
      <c r="AB960" s="76"/>
      <c r="AC960" s="76"/>
      <c r="AD960" s="76"/>
      <c r="AE960" s="76"/>
    </row>
    <row r="961">
      <c r="A961" s="76"/>
      <c r="B961" s="76"/>
      <c r="C961" s="76"/>
      <c r="D961" s="76"/>
      <c r="E961" s="76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  <c r="AA961" s="76"/>
      <c r="AB961" s="76"/>
      <c r="AC961" s="76"/>
      <c r="AD961" s="76"/>
      <c r="AE961" s="76"/>
    </row>
    <row r="962">
      <c r="A962" s="76"/>
      <c r="B962" s="76"/>
      <c r="C962" s="76"/>
      <c r="D962" s="76"/>
      <c r="E962" s="76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  <c r="AA962" s="76"/>
      <c r="AB962" s="76"/>
      <c r="AC962" s="76"/>
      <c r="AD962" s="76"/>
      <c r="AE962" s="76"/>
    </row>
    <row r="963">
      <c r="A963" s="76"/>
      <c r="B963" s="76"/>
      <c r="C963" s="76"/>
      <c r="D963" s="76"/>
      <c r="E963" s="76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  <c r="AA963" s="76"/>
      <c r="AB963" s="76"/>
      <c r="AC963" s="76"/>
      <c r="AD963" s="76"/>
      <c r="AE963" s="76"/>
    </row>
    <row r="964">
      <c r="A964" s="76"/>
      <c r="B964" s="76"/>
      <c r="C964" s="76"/>
      <c r="D964" s="76"/>
      <c r="E964" s="76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  <c r="AA964" s="76"/>
      <c r="AB964" s="76"/>
      <c r="AC964" s="76"/>
      <c r="AD964" s="76"/>
      <c r="AE964" s="76"/>
    </row>
    <row r="965">
      <c r="A965" s="76"/>
      <c r="B965" s="76"/>
      <c r="C965" s="76"/>
      <c r="D965" s="76"/>
      <c r="E965" s="76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  <c r="AA965" s="76"/>
      <c r="AB965" s="76"/>
      <c r="AC965" s="76"/>
      <c r="AD965" s="76"/>
      <c r="AE965" s="76"/>
    </row>
    <row r="966">
      <c r="A966" s="76"/>
      <c r="B966" s="76"/>
      <c r="C966" s="76"/>
      <c r="D966" s="76"/>
      <c r="E966" s="76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Z966" s="76"/>
      <c r="AA966" s="76"/>
      <c r="AB966" s="76"/>
      <c r="AC966" s="76"/>
      <c r="AD966" s="76"/>
      <c r="AE966" s="76"/>
    </row>
    <row r="967">
      <c r="A967" s="76"/>
      <c r="B967" s="76"/>
      <c r="C967" s="76"/>
      <c r="D967" s="76"/>
      <c r="E967" s="76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  <c r="AA967" s="76"/>
      <c r="AB967" s="76"/>
      <c r="AC967" s="76"/>
      <c r="AD967" s="76"/>
      <c r="AE967" s="76"/>
    </row>
    <row r="968">
      <c r="A968" s="76"/>
      <c r="B968" s="76"/>
      <c r="C968" s="76"/>
      <c r="D968" s="76"/>
      <c r="E968" s="76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  <c r="AA968" s="76"/>
      <c r="AB968" s="76"/>
      <c r="AC968" s="76"/>
      <c r="AD968" s="76"/>
      <c r="AE968" s="76"/>
    </row>
    <row r="969">
      <c r="A969" s="76"/>
      <c r="B969" s="76"/>
      <c r="C969" s="76"/>
      <c r="D969" s="76"/>
      <c r="E969" s="76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  <c r="AA969" s="76"/>
      <c r="AB969" s="76"/>
      <c r="AC969" s="76"/>
      <c r="AD969" s="76"/>
      <c r="AE969" s="76"/>
    </row>
    <row r="970">
      <c r="A970" s="76"/>
      <c r="B970" s="76"/>
      <c r="C970" s="76"/>
      <c r="D970" s="76"/>
      <c r="E970" s="76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  <c r="AA970" s="76"/>
      <c r="AB970" s="76"/>
      <c r="AC970" s="76"/>
      <c r="AD970" s="76"/>
      <c r="AE970" s="76"/>
    </row>
    <row r="971">
      <c r="A971" s="76"/>
      <c r="B971" s="76"/>
      <c r="C971" s="76"/>
      <c r="D971" s="76"/>
      <c r="E971" s="76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  <c r="AA971" s="76"/>
      <c r="AB971" s="76"/>
      <c r="AC971" s="76"/>
      <c r="AD971" s="76"/>
      <c r="AE971" s="76"/>
    </row>
    <row r="972">
      <c r="A972" s="76"/>
      <c r="B972" s="76"/>
      <c r="C972" s="76"/>
      <c r="D972" s="76"/>
      <c r="E972" s="76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  <c r="AA972" s="76"/>
      <c r="AB972" s="76"/>
      <c r="AC972" s="76"/>
      <c r="AD972" s="76"/>
      <c r="AE972" s="76"/>
    </row>
    <row r="973">
      <c r="A973" s="76"/>
      <c r="B973" s="76"/>
      <c r="C973" s="76"/>
      <c r="D973" s="76"/>
      <c r="E973" s="76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  <c r="AA973" s="76"/>
      <c r="AB973" s="76"/>
      <c r="AC973" s="76"/>
      <c r="AD973" s="76"/>
      <c r="AE973" s="76"/>
    </row>
    <row r="974">
      <c r="A974" s="76"/>
      <c r="B974" s="76"/>
      <c r="C974" s="76"/>
      <c r="D974" s="76"/>
      <c r="E974" s="76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  <c r="AA974" s="76"/>
      <c r="AB974" s="76"/>
      <c r="AC974" s="76"/>
      <c r="AD974" s="76"/>
      <c r="AE974" s="76"/>
    </row>
    <row r="975">
      <c r="A975" s="76"/>
      <c r="B975" s="76"/>
      <c r="C975" s="76"/>
      <c r="D975" s="76"/>
      <c r="E975" s="76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  <c r="AA975" s="76"/>
      <c r="AB975" s="76"/>
      <c r="AC975" s="76"/>
      <c r="AD975" s="76"/>
      <c r="AE975" s="76"/>
    </row>
    <row r="976">
      <c r="A976" s="76"/>
      <c r="B976" s="76"/>
      <c r="C976" s="76"/>
      <c r="D976" s="76"/>
      <c r="E976" s="76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  <c r="AA976" s="76"/>
      <c r="AB976" s="76"/>
      <c r="AC976" s="76"/>
      <c r="AD976" s="76"/>
      <c r="AE976" s="76"/>
    </row>
    <row r="977">
      <c r="A977" s="76"/>
      <c r="B977" s="76"/>
      <c r="C977" s="76"/>
      <c r="D977" s="76"/>
      <c r="E977" s="76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  <c r="AA977" s="76"/>
      <c r="AB977" s="76"/>
      <c r="AC977" s="76"/>
      <c r="AD977" s="76"/>
      <c r="AE977" s="76"/>
    </row>
    <row r="978">
      <c r="A978" s="76"/>
      <c r="B978" s="76"/>
      <c r="C978" s="76"/>
      <c r="D978" s="76"/>
      <c r="E978" s="76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  <c r="AA978" s="76"/>
      <c r="AB978" s="76"/>
      <c r="AC978" s="76"/>
      <c r="AD978" s="76"/>
      <c r="AE978" s="76"/>
    </row>
    <row r="979">
      <c r="A979" s="76"/>
      <c r="B979" s="76"/>
      <c r="C979" s="76"/>
      <c r="D979" s="76"/>
      <c r="E979" s="76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  <c r="AA979" s="76"/>
      <c r="AB979" s="76"/>
      <c r="AC979" s="76"/>
      <c r="AD979" s="76"/>
      <c r="AE979" s="76"/>
    </row>
    <row r="980">
      <c r="A980" s="76"/>
      <c r="B980" s="76"/>
      <c r="C980" s="76"/>
      <c r="D980" s="76"/>
      <c r="E980" s="76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Z980" s="76"/>
      <c r="AA980" s="76"/>
      <c r="AB980" s="76"/>
      <c r="AC980" s="76"/>
      <c r="AD980" s="76"/>
      <c r="AE980" s="76"/>
    </row>
    <row r="981">
      <c r="A981" s="76"/>
      <c r="B981" s="76"/>
      <c r="C981" s="76"/>
      <c r="D981" s="76"/>
      <c r="E981" s="76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  <c r="AA981" s="76"/>
      <c r="AB981" s="76"/>
      <c r="AC981" s="76"/>
      <c r="AD981" s="76"/>
      <c r="AE981" s="76"/>
    </row>
    <row r="982">
      <c r="A982" s="76"/>
      <c r="B982" s="76"/>
      <c r="C982" s="76"/>
      <c r="D982" s="76"/>
      <c r="E982" s="76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  <c r="AA982" s="76"/>
      <c r="AB982" s="76"/>
      <c r="AC982" s="76"/>
      <c r="AD982" s="76"/>
      <c r="AE982" s="76"/>
    </row>
    <row r="983">
      <c r="A983" s="76"/>
      <c r="B983" s="76"/>
      <c r="C983" s="76"/>
      <c r="D983" s="76"/>
      <c r="E983" s="76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  <c r="AA983" s="76"/>
      <c r="AB983" s="76"/>
      <c r="AC983" s="76"/>
      <c r="AD983" s="76"/>
      <c r="AE983" s="76"/>
    </row>
    <row r="984">
      <c r="A984" s="76"/>
      <c r="B984" s="76"/>
      <c r="C984" s="76"/>
      <c r="D984" s="76"/>
      <c r="E984" s="76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Z984" s="76"/>
      <c r="AA984" s="76"/>
      <c r="AB984" s="76"/>
      <c r="AC984" s="76"/>
      <c r="AD984" s="76"/>
      <c r="AE984" s="76"/>
    </row>
    <row r="985">
      <c r="A985" s="76"/>
      <c r="B985" s="76"/>
      <c r="C985" s="76"/>
      <c r="D985" s="76"/>
      <c r="E985" s="76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  <c r="AA985" s="76"/>
      <c r="AB985" s="76"/>
      <c r="AC985" s="76"/>
      <c r="AD985" s="76"/>
      <c r="AE985" s="76"/>
    </row>
    <row r="986">
      <c r="A986" s="76"/>
      <c r="B986" s="76"/>
      <c r="C986" s="76"/>
      <c r="D986" s="76"/>
      <c r="E986" s="76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Z986" s="76"/>
      <c r="AA986" s="76"/>
      <c r="AB986" s="76"/>
      <c r="AC986" s="76"/>
      <c r="AD986" s="76"/>
      <c r="AE986" s="76"/>
    </row>
    <row r="987">
      <c r="A987" s="76"/>
      <c r="B987" s="76"/>
      <c r="C987" s="76"/>
      <c r="D987" s="76"/>
      <c r="E987" s="76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  <c r="AA987" s="76"/>
      <c r="AB987" s="76"/>
      <c r="AC987" s="76"/>
      <c r="AD987" s="76"/>
      <c r="AE987" s="76"/>
    </row>
    <row r="988">
      <c r="A988" s="76"/>
      <c r="B988" s="76"/>
      <c r="C988" s="76"/>
      <c r="D988" s="76"/>
      <c r="E988" s="76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6"/>
      <c r="R988" s="76"/>
      <c r="S988" s="76"/>
      <c r="T988" s="76"/>
      <c r="U988" s="76"/>
      <c r="V988" s="76"/>
      <c r="W988" s="76"/>
      <c r="X988" s="76"/>
      <c r="Y988" s="76"/>
      <c r="Z988" s="76"/>
      <c r="AA988" s="76"/>
      <c r="AB988" s="76"/>
      <c r="AC988" s="76"/>
      <c r="AD988" s="76"/>
      <c r="AE988" s="76"/>
    </row>
    <row r="989">
      <c r="A989" s="76"/>
      <c r="B989" s="76"/>
      <c r="C989" s="76"/>
      <c r="D989" s="76"/>
      <c r="E989" s="76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  <c r="X989" s="76"/>
      <c r="Y989" s="76"/>
      <c r="Z989" s="76"/>
      <c r="AA989" s="76"/>
      <c r="AB989" s="76"/>
      <c r="AC989" s="76"/>
      <c r="AD989" s="76"/>
      <c r="AE989" s="76"/>
    </row>
    <row r="990">
      <c r="A990" s="76"/>
      <c r="B990" s="76"/>
      <c r="C990" s="76"/>
      <c r="D990" s="76"/>
      <c r="E990" s="76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6"/>
      <c r="R990" s="76"/>
      <c r="S990" s="76"/>
      <c r="T990" s="76"/>
      <c r="U990" s="76"/>
      <c r="V990" s="76"/>
      <c r="W990" s="76"/>
      <c r="X990" s="76"/>
      <c r="Y990" s="76"/>
      <c r="Z990" s="76"/>
      <c r="AA990" s="76"/>
      <c r="AB990" s="76"/>
      <c r="AC990" s="76"/>
      <c r="AD990" s="76"/>
      <c r="AE990" s="76"/>
    </row>
    <row r="991">
      <c r="A991" s="76"/>
      <c r="B991" s="76"/>
      <c r="C991" s="76"/>
      <c r="D991" s="76"/>
      <c r="E991" s="76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  <c r="AA991" s="76"/>
      <c r="AB991" s="76"/>
      <c r="AC991" s="76"/>
      <c r="AD991" s="76"/>
      <c r="AE991" s="76"/>
    </row>
    <row r="992">
      <c r="A992" s="76"/>
      <c r="B992" s="76"/>
      <c r="C992" s="76"/>
      <c r="D992" s="76"/>
      <c r="E992" s="76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6"/>
      <c r="R992" s="76"/>
      <c r="S992" s="76"/>
      <c r="T992" s="76"/>
      <c r="U992" s="76"/>
      <c r="V992" s="76"/>
      <c r="W992" s="76"/>
      <c r="X992" s="76"/>
      <c r="Y992" s="76"/>
      <c r="Z992" s="76"/>
      <c r="AA992" s="76"/>
      <c r="AB992" s="76"/>
      <c r="AC992" s="76"/>
      <c r="AD992" s="76"/>
      <c r="AE992" s="76"/>
    </row>
    <row r="993">
      <c r="A993" s="76"/>
      <c r="B993" s="76"/>
      <c r="C993" s="76"/>
      <c r="D993" s="76"/>
      <c r="E993" s="76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6"/>
      <c r="R993" s="76"/>
      <c r="S993" s="76"/>
      <c r="T993" s="76"/>
      <c r="U993" s="76"/>
      <c r="V993" s="76"/>
      <c r="W993" s="76"/>
      <c r="X993" s="76"/>
      <c r="Y993" s="76"/>
      <c r="Z993" s="76"/>
      <c r="AA993" s="76"/>
      <c r="AB993" s="76"/>
      <c r="AC993" s="76"/>
      <c r="AD993" s="76"/>
      <c r="AE993" s="76"/>
    </row>
    <row r="994">
      <c r="A994" s="76"/>
      <c r="B994" s="76"/>
      <c r="C994" s="76"/>
      <c r="D994" s="76"/>
      <c r="E994" s="76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6"/>
      <c r="R994" s="76"/>
      <c r="S994" s="76"/>
      <c r="T994" s="76"/>
      <c r="U994" s="76"/>
      <c r="V994" s="76"/>
      <c r="W994" s="76"/>
      <c r="X994" s="76"/>
      <c r="Y994" s="76"/>
      <c r="Z994" s="76"/>
      <c r="AA994" s="76"/>
      <c r="AB994" s="76"/>
      <c r="AC994" s="76"/>
      <c r="AD994" s="76"/>
      <c r="AE994" s="76"/>
    </row>
    <row r="995">
      <c r="A995" s="76"/>
      <c r="B995" s="76"/>
      <c r="C995" s="76"/>
      <c r="D995" s="76"/>
      <c r="E995" s="76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6"/>
      <c r="Q995" s="76"/>
      <c r="R995" s="76"/>
      <c r="S995" s="76"/>
      <c r="T995" s="76"/>
      <c r="U995" s="76"/>
      <c r="V995" s="76"/>
      <c r="W995" s="76"/>
      <c r="X995" s="76"/>
      <c r="Y995" s="76"/>
      <c r="Z995" s="76"/>
      <c r="AA995" s="76"/>
      <c r="AB995" s="76"/>
      <c r="AC995" s="76"/>
      <c r="AD995" s="76"/>
      <c r="AE995" s="76"/>
    </row>
    <row r="996">
      <c r="A996" s="76"/>
      <c r="B996" s="76"/>
      <c r="C996" s="76"/>
      <c r="D996" s="76"/>
      <c r="E996" s="76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6"/>
      <c r="Q996" s="76"/>
      <c r="R996" s="76"/>
      <c r="S996" s="76"/>
      <c r="T996" s="76"/>
      <c r="U996" s="76"/>
      <c r="V996" s="76"/>
      <c r="W996" s="76"/>
      <c r="X996" s="76"/>
      <c r="Y996" s="76"/>
      <c r="Z996" s="76"/>
      <c r="AA996" s="76"/>
      <c r="AB996" s="76"/>
      <c r="AC996" s="76"/>
      <c r="AD996" s="76"/>
      <c r="AE996" s="76"/>
    </row>
    <row r="997">
      <c r="A997" s="76"/>
      <c r="B997" s="76"/>
      <c r="C997" s="76"/>
      <c r="D997" s="76"/>
      <c r="E997" s="76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6"/>
      <c r="Q997" s="76"/>
      <c r="R997" s="76"/>
      <c r="S997" s="76"/>
      <c r="T997" s="76"/>
      <c r="U997" s="76"/>
      <c r="V997" s="76"/>
      <c r="W997" s="76"/>
      <c r="X997" s="76"/>
      <c r="Y997" s="76"/>
      <c r="Z997" s="76"/>
      <c r="AA997" s="76"/>
      <c r="AB997" s="76"/>
      <c r="AC997" s="76"/>
      <c r="AD997" s="76"/>
      <c r="AE997" s="76"/>
    </row>
    <row r="998">
      <c r="A998" s="76"/>
      <c r="B998" s="76"/>
      <c r="C998" s="76"/>
      <c r="D998" s="76"/>
      <c r="E998" s="76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6"/>
      <c r="Q998" s="76"/>
      <c r="R998" s="76"/>
      <c r="S998" s="76"/>
      <c r="T998" s="76"/>
      <c r="U998" s="76"/>
      <c r="V998" s="76"/>
      <c r="W998" s="76"/>
      <c r="X998" s="76"/>
      <c r="Y998" s="76"/>
      <c r="Z998" s="76"/>
      <c r="AA998" s="76"/>
      <c r="AB998" s="76"/>
      <c r="AC998" s="76"/>
      <c r="AD998" s="76"/>
      <c r="AE998" s="76"/>
    </row>
    <row r="999">
      <c r="A999" s="76"/>
      <c r="B999" s="76"/>
      <c r="C999" s="76"/>
      <c r="D999" s="76"/>
      <c r="E999" s="76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6"/>
      <c r="Q999" s="76"/>
      <c r="R999" s="76"/>
      <c r="S999" s="76"/>
      <c r="T999" s="76"/>
      <c r="U999" s="76"/>
      <c r="V999" s="76"/>
      <c r="W999" s="76"/>
      <c r="X999" s="76"/>
      <c r="Y999" s="76"/>
      <c r="Z999" s="76"/>
      <c r="AA999" s="76"/>
      <c r="AB999" s="76"/>
      <c r="AC999" s="76"/>
      <c r="AD999" s="76"/>
      <c r="AE999" s="76"/>
    </row>
    <row r="1000">
      <c r="A1000" s="76"/>
      <c r="B1000" s="76"/>
      <c r="C1000" s="76"/>
      <c r="D1000" s="76"/>
      <c r="E1000" s="76"/>
      <c r="F1000" s="76"/>
      <c r="G1000" s="76"/>
      <c r="H1000" s="76"/>
      <c r="I1000" s="76"/>
      <c r="J1000" s="76"/>
      <c r="K1000" s="76"/>
      <c r="L1000" s="76"/>
      <c r="M1000" s="76"/>
      <c r="N1000" s="76"/>
      <c r="O1000" s="76"/>
      <c r="P1000" s="76"/>
      <c r="Q1000" s="76"/>
      <c r="R1000" s="76"/>
      <c r="S1000" s="76"/>
      <c r="T1000" s="76"/>
      <c r="U1000" s="76"/>
      <c r="V1000" s="76"/>
      <c r="W1000" s="76"/>
      <c r="X1000" s="76"/>
      <c r="Y1000" s="76"/>
      <c r="Z1000" s="76"/>
      <c r="AA1000" s="76"/>
      <c r="AB1000" s="76"/>
      <c r="AC1000" s="76"/>
      <c r="AD1000" s="76"/>
      <c r="AE1000" s="76"/>
    </row>
  </sheetData>
  <mergeCells count="7">
    <mergeCell ref="A1:B1"/>
    <mergeCell ref="C1:D1"/>
    <mergeCell ref="E1:F1"/>
    <mergeCell ref="G1:H1"/>
    <mergeCell ref="I1:J1"/>
    <mergeCell ref="K1:L1"/>
    <mergeCell ref="N5:Q5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8.38"/>
    <col customWidth="1" min="2" max="2" width="10.5"/>
    <col customWidth="1" min="3" max="3" width="10.75"/>
    <col customWidth="1" min="4" max="4" width="12.5"/>
    <col customWidth="1" min="5" max="5" width="12.25"/>
    <col customWidth="1" min="6" max="6" width="11.38"/>
    <col customWidth="1" min="7" max="7" width="11.88"/>
    <col customWidth="1" min="8" max="8" width="6.63"/>
    <col customWidth="1" min="9" max="9" width="31.13"/>
    <col customWidth="1" min="13" max="13" width="12.5"/>
    <col customWidth="1" min="14" max="14" width="4.13"/>
    <col customWidth="1" min="15" max="15" width="6.63"/>
    <col customWidth="1" min="17" max="17" width="35.88"/>
    <col customWidth="1" min="18" max="18" width="31.13"/>
  </cols>
  <sheetData>
    <row r="1">
      <c r="A1" s="96" t="s">
        <v>1036</v>
      </c>
      <c r="B1" s="97" t="s">
        <v>1354</v>
      </c>
      <c r="D1" s="97" t="s">
        <v>1355</v>
      </c>
      <c r="F1" s="97" t="s">
        <v>1356</v>
      </c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</row>
    <row r="2">
      <c r="B2" s="97" t="s">
        <v>1357</v>
      </c>
      <c r="C2" s="97" t="s">
        <v>1358</v>
      </c>
      <c r="D2" s="97" t="s">
        <v>1357</v>
      </c>
      <c r="E2" s="97" t="s">
        <v>1358</v>
      </c>
      <c r="F2" s="97" t="s">
        <v>1357</v>
      </c>
      <c r="G2" s="97" t="s">
        <v>1358</v>
      </c>
      <c r="H2" s="57"/>
      <c r="I2" s="58"/>
      <c r="J2" s="62"/>
      <c r="K2" s="58"/>
      <c r="L2" s="58"/>
      <c r="M2" s="58"/>
      <c r="N2" s="58"/>
      <c r="O2" s="57"/>
      <c r="P2" s="58"/>
      <c r="Q2" s="58"/>
      <c r="R2" s="58"/>
      <c r="S2" s="62"/>
      <c r="T2" s="62"/>
      <c r="U2" s="62"/>
      <c r="V2" s="62"/>
      <c r="W2" s="62"/>
      <c r="X2" s="62"/>
      <c r="Y2" s="62"/>
      <c r="Z2" s="62"/>
      <c r="AA2" s="62"/>
    </row>
    <row r="3">
      <c r="A3" s="96">
        <v>0.0</v>
      </c>
      <c r="B3" s="98" t="s">
        <v>1359</v>
      </c>
      <c r="C3" s="99" t="str">
        <f t="shared" ref="C3:C258" si="1">DEC2HEX(HEX2DEC(B3)+1)</f>
        <v>AE01C9</v>
      </c>
      <c r="D3" s="100" t="s">
        <v>1360</v>
      </c>
      <c r="E3" s="99" t="str">
        <f t="shared" ref="E3:E258" si="2">DEC2HEX(HEX2DEC(D3)+1)</f>
        <v>AD7AC7</v>
      </c>
      <c r="F3" s="97" t="s">
        <v>1361</v>
      </c>
      <c r="G3" s="99" t="str">
        <f t="shared" ref="G3:G258" si="3">DEC2HEX(HEX2DEC(F3)+1)</f>
        <v>AE032D</v>
      </c>
      <c r="H3" s="101"/>
      <c r="I3" s="58"/>
      <c r="J3" s="62"/>
      <c r="K3" s="58"/>
      <c r="L3" s="102"/>
      <c r="M3" s="103"/>
      <c r="N3" s="62"/>
      <c r="O3" s="101"/>
      <c r="P3" s="58"/>
      <c r="Q3" s="58"/>
      <c r="R3" s="58"/>
      <c r="S3" s="62"/>
      <c r="T3" s="62"/>
      <c r="U3" s="62"/>
      <c r="V3" s="62"/>
      <c r="W3" s="62"/>
      <c r="X3" s="62"/>
      <c r="Y3" s="62"/>
      <c r="Z3" s="62"/>
      <c r="AA3" s="62"/>
    </row>
    <row r="4">
      <c r="A4" s="96">
        <v>1.0</v>
      </c>
      <c r="B4" s="98" t="str">
        <f t="shared" ref="B4:B257" si="4">DEC2HEX(HEX2DEC(B5)-2)</f>
        <v>AE01D0</v>
      </c>
      <c r="C4" s="99" t="str">
        <f t="shared" si="1"/>
        <v>AE01D1</v>
      </c>
      <c r="D4" s="99" t="str">
        <f t="shared" ref="D4:D257" si="5">DEC2HEX(HEX2DEC(D5)-2)</f>
        <v>AD7ACE</v>
      </c>
      <c r="E4" s="99" t="str">
        <f t="shared" si="2"/>
        <v>AD7ACF</v>
      </c>
      <c r="F4" s="98" t="str">
        <f t="shared" ref="F4:F257" si="6">DEC2HEX(HEX2DEC(F5)-2)</f>
        <v>AE032E</v>
      </c>
      <c r="G4" s="99" t="str">
        <f t="shared" si="3"/>
        <v>AE032F</v>
      </c>
      <c r="H4" s="101"/>
      <c r="I4" s="104" t="s">
        <v>1358</v>
      </c>
      <c r="J4" s="62"/>
      <c r="K4" s="58"/>
      <c r="L4" s="102"/>
      <c r="M4" s="103"/>
      <c r="N4" s="62"/>
      <c r="O4" s="101"/>
      <c r="P4" s="58"/>
      <c r="Q4" s="58"/>
      <c r="R4" s="58"/>
      <c r="S4" s="62"/>
      <c r="T4" s="62"/>
      <c r="U4" s="62"/>
      <c r="V4" s="62"/>
      <c r="W4" s="62"/>
      <c r="X4" s="62"/>
      <c r="Y4" s="62"/>
      <c r="Z4" s="62"/>
      <c r="AA4" s="62"/>
    </row>
    <row r="5">
      <c r="A5" s="96">
        <v>2.0</v>
      </c>
      <c r="B5" s="98" t="str">
        <f t="shared" si="4"/>
        <v>AE01D2</v>
      </c>
      <c r="C5" s="99" t="str">
        <f t="shared" si="1"/>
        <v>AE01D3</v>
      </c>
      <c r="D5" s="99" t="str">
        <f t="shared" si="5"/>
        <v>AD7AD0</v>
      </c>
      <c r="E5" s="99" t="str">
        <f t="shared" si="2"/>
        <v>AD7AD1</v>
      </c>
      <c r="F5" s="98" t="str">
        <f t="shared" si="6"/>
        <v>AE0330</v>
      </c>
      <c r="G5" s="99" t="str">
        <f t="shared" si="3"/>
        <v>AE0331</v>
      </c>
      <c r="H5" s="101"/>
      <c r="I5" s="105" t="s">
        <v>1362</v>
      </c>
      <c r="J5" s="62"/>
      <c r="K5" s="58"/>
      <c r="L5" s="102"/>
      <c r="M5" s="103"/>
      <c r="N5" s="62"/>
      <c r="O5" s="101"/>
      <c r="P5" s="58"/>
      <c r="Q5" s="58"/>
      <c r="R5" s="62"/>
      <c r="S5" s="62"/>
      <c r="T5" s="62"/>
      <c r="U5" s="62"/>
      <c r="V5" s="62"/>
      <c r="W5" s="62"/>
      <c r="X5" s="62"/>
      <c r="Y5" s="62"/>
      <c r="Z5" s="62"/>
      <c r="AA5" s="62"/>
    </row>
    <row r="6">
      <c r="A6" s="96">
        <v>3.0</v>
      </c>
      <c r="B6" s="98" t="str">
        <f t="shared" si="4"/>
        <v>AE01D4</v>
      </c>
      <c r="C6" s="99" t="str">
        <f t="shared" si="1"/>
        <v>AE01D5</v>
      </c>
      <c r="D6" s="99" t="str">
        <f t="shared" si="5"/>
        <v>AD7AD2</v>
      </c>
      <c r="E6" s="99" t="str">
        <f t="shared" si="2"/>
        <v>AD7AD3</v>
      </c>
      <c r="F6" s="98" t="str">
        <f t="shared" si="6"/>
        <v>AE0332</v>
      </c>
      <c r="G6" s="99" t="str">
        <f t="shared" si="3"/>
        <v>AE0333</v>
      </c>
      <c r="H6" s="101"/>
      <c r="I6" s="106" t="s">
        <v>1363</v>
      </c>
      <c r="J6" s="62"/>
      <c r="K6" s="58"/>
      <c r="L6" s="102"/>
      <c r="M6" s="103"/>
      <c r="N6" s="62"/>
      <c r="O6" s="101"/>
      <c r="P6" s="58"/>
      <c r="Q6" s="58"/>
      <c r="R6" s="58"/>
      <c r="S6" s="62"/>
      <c r="T6" s="62"/>
      <c r="U6" s="62"/>
      <c r="V6" s="62"/>
      <c r="W6" s="62"/>
      <c r="X6" s="62"/>
      <c r="Y6" s="62"/>
      <c r="Z6" s="62"/>
      <c r="AA6" s="62"/>
    </row>
    <row r="7">
      <c r="A7" s="96">
        <v>4.0</v>
      </c>
      <c r="B7" s="98" t="str">
        <f t="shared" si="4"/>
        <v>AE01D6</v>
      </c>
      <c r="C7" s="99" t="str">
        <f t="shared" si="1"/>
        <v>AE01D7</v>
      </c>
      <c r="D7" s="99" t="str">
        <f t="shared" si="5"/>
        <v>AD7AD4</v>
      </c>
      <c r="E7" s="99" t="str">
        <f t="shared" si="2"/>
        <v>AD7AD5</v>
      </c>
      <c r="F7" s="98" t="str">
        <f t="shared" si="6"/>
        <v>AE0334</v>
      </c>
      <c r="G7" s="99" t="str">
        <f t="shared" si="3"/>
        <v>AE0335</v>
      </c>
      <c r="H7" s="101"/>
      <c r="I7" s="107"/>
      <c r="J7" s="62"/>
      <c r="K7" s="58"/>
      <c r="L7" s="102"/>
      <c r="M7" s="103"/>
      <c r="N7" s="62"/>
      <c r="O7" s="101"/>
      <c r="P7" s="58"/>
      <c r="Q7" s="62"/>
      <c r="R7" s="58"/>
      <c r="S7" s="62"/>
      <c r="T7" s="62"/>
      <c r="U7" s="62"/>
      <c r="V7" s="62"/>
      <c r="W7" s="62"/>
      <c r="X7" s="62"/>
      <c r="Y7" s="62"/>
      <c r="Z7" s="62"/>
      <c r="AA7" s="62"/>
    </row>
    <row r="8">
      <c r="A8" s="96">
        <v>5.0</v>
      </c>
      <c r="B8" s="98" t="str">
        <f t="shared" si="4"/>
        <v>AE01D8</v>
      </c>
      <c r="C8" s="99" t="str">
        <f t="shared" si="1"/>
        <v>AE01D9</v>
      </c>
      <c r="D8" s="99" t="str">
        <f t="shared" si="5"/>
        <v>AD7AD6</v>
      </c>
      <c r="E8" s="99" t="str">
        <f t="shared" si="2"/>
        <v>AD7AD7</v>
      </c>
      <c r="F8" s="98" t="str">
        <f t="shared" si="6"/>
        <v>AE0336</v>
      </c>
      <c r="G8" s="99" t="str">
        <f t="shared" si="3"/>
        <v>AE0337</v>
      </c>
      <c r="H8" s="101"/>
      <c r="I8" s="107"/>
      <c r="J8" s="62"/>
      <c r="K8" s="58"/>
      <c r="L8" s="102"/>
      <c r="M8" s="103"/>
      <c r="N8" s="62"/>
      <c r="O8" s="101"/>
      <c r="P8" s="58"/>
      <c r="Q8" s="58"/>
      <c r="R8" s="58"/>
      <c r="S8" s="62"/>
      <c r="T8" s="62"/>
      <c r="U8" s="62"/>
      <c r="V8" s="62"/>
      <c r="W8" s="62"/>
      <c r="X8" s="62"/>
      <c r="Y8" s="62"/>
      <c r="Z8" s="62"/>
      <c r="AA8" s="62"/>
    </row>
    <row r="9">
      <c r="A9" s="96">
        <v>6.0</v>
      </c>
      <c r="B9" s="98" t="str">
        <f t="shared" si="4"/>
        <v>AE01DA</v>
      </c>
      <c r="C9" s="99" t="str">
        <f t="shared" si="1"/>
        <v>AE01DB</v>
      </c>
      <c r="D9" s="99" t="str">
        <f t="shared" si="5"/>
        <v>AD7AD8</v>
      </c>
      <c r="E9" s="99" t="str">
        <f t="shared" si="2"/>
        <v>AD7AD9</v>
      </c>
      <c r="F9" s="98" t="str">
        <f t="shared" si="6"/>
        <v>AE0338</v>
      </c>
      <c r="G9" s="99" t="str">
        <f t="shared" si="3"/>
        <v>AE0339</v>
      </c>
      <c r="H9" s="101"/>
      <c r="I9" s="107"/>
      <c r="J9" s="62"/>
      <c r="K9" s="58"/>
      <c r="L9" s="102"/>
      <c r="M9" s="103"/>
      <c r="N9" s="62"/>
      <c r="O9" s="101"/>
      <c r="P9" s="58"/>
      <c r="Q9" s="58"/>
      <c r="R9" s="58"/>
      <c r="S9" s="62"/>
      <c r="T9" s="62"/>
      <c r="U9" s="62"/>
      <c r="V9" s="62"/>
      <c r="W9" s="62"/>
      <c r="X9" s="62"/>
      <c r="Y9" s="62"/>
      <c r="Z9" s="62"/>
      <c r="AA9" s="62"/>
    </row>
    <row r="10">
      <c r="A10" s="96">
        <v>7.0</v>
      </c>
      <c r="B10" s="98" t="str">
        <f t="shared" si="4"/>
        <v>AE01DC</v>
      </c>
      <c r="C10" s="99" t="str">
        <f t="shared" si="1"/>
        <v>AE01DD</v>
      </c>
      <c r="D10" s="99" t="str">
        <f t="shared" si="5"/>
        <v>AD7ADA</v>
      </c>
      <c r="E10" s="99" t="str">
        <f t="shared" si="2"/>
        <v>AD7ADB</v>
      </c>
      <c r="F10" s="98" t="str">
        <f t="shared" si="6"/>
        <v>AE033A</v>
      </c>
      <c r="G10" s="99" t="str">
        <f t="shared" si="3"/>
        <v>AE033B</v>
      </c>
      <c r="H10" s="101"/>
      <c r="I10" s="107"/>
      <c r="J10" s="62"/>
      <c r="K10" s="58"/>
      <c r="L10" s="102"/>
      <c r="M10" s="103"/>
      <c r="N10" s="62"/>
      <c r="O10" s="101"/>
      <c r="P10" s="58"/>
      <c r="Q10" s="58"/>
      <c r="R10" s="58"/>
      <c r="S10" s="62"/>
      <c r="T10" s="62"/>
      <c r="U10" s="62"/>
      <c r="V10" s="62"/>
      <c r="W10" s="62"/>
      <c r="X10" s="62"/>
      <c r="Y10" s="62"/>
      <c r="Z10" s="62"/>
      <c r="AA10" s="62"/>
    </row>
    <row r="11">
      <c r="A11" s="96">
        <v>8.0</v>
      </c>
      <c r="B11" s="98" t="str">
        <f t="shared" si="4"/>
        <v>AE01DE</v>
      </c>
      <c r="C11" s="99" t="str">
        <f t="shared" si="1"/>
        <v>AE01DF</v>
      </c>
      <c r="D11" s="99" t="str">
        <f t="shared" si="5"/>
        <v>AD7ADC</v>
      </c>
      <c r="E11" s="99" t="str">
        <f t="shared" si="2"/>
        <v>AD7ADD</v>
      </c>
      <c r="F11" s="98" t="str">
        <f t="shared" si="6"/>
        <v>AE033C</v>
      </c>
      <c r="G11" s="99" t="str">
        <f t="shared" si="3"/>
        <v>AE033D</v>
      </c>
      <c r="H11" s="101"/>
      <c r="I11" s="107"/>
      <c r="J11" s="62"/>
      <c r="K11" s="58"/>
      <c r="L11" s="102"/>
      <c r="M11" s="103"/>
      <c r="N11" s="62"/>
      <c r="O11" s="101"/>
      <c r="P11" s="58"/>
      <c r="Q11" s="58"/>
      <c r="R11" s="58"/>
      <c r="S11" s="62"/>
      <c r="T11" s="62"/>
      <c r="U11" s="62"/>
      <c r="V11" s="62"/>
      <c r="W11" s="62"/>
      <c r="X11" s="62"/>
      <c r="Y11" s="62"/>
      <c r="Z11" s="62"/>
      <c r="AA11" s="62"/>
    </row>
    <row r="12">
      <c r="A12" s="96">
        <v>9.0</v>
      </c>
      <c r="B12" s="98" t="str">
        <f t="shared" si="4"/>
        <v>AE01E0</v>
      </c>
      <c r="C12" s="99" t="str">
        <f t="shared" si="1"/>
        <v>AE01E1</v>
      </c>
      <c r="D12" s="99" t="str">
        <f t="shared" si="5"/>
        <v>AD7ADE</v>
      </c>
      <c r="E12" s="99" t="str">
        <f t="shared" si="2"/>
        <v>AD7ADF</v>
      </c>
      <c r="F12" s="98" t="str">
        <f t="shared" si="6"/>
        <v>AE033E</v>
      </c>
      <c r="G12" s="99" t="str">
        <f t="shared" si="3"/>
        <v>AE033F</v>
      </c>
      <c r="H12" s="101"/>
      <c r="I12" s="107"/>
      <c r="J12" s="62"/>
      <c r="K12" s="58"/>
      <c r="L12" s="102"/>
      <c r="M12" s="103"/>
      <c r="N12" s="62"/>
      <c r="O12" s="101"/>
      <c r="P12" s="58"/>
      <c r="Q12" s="58"/>
      <c r="R12" s="58"/>
      <c r="S12" s="62"/>
      <c r="T12" s="62"/>
      <c r="U12" s="62"/>
      <c r="V12" s="62"/>
      <c r="W12" s="62"/>
      <c r="X12" s="62"/>
      <c r="Y12" s="62"/>
      <c r="Z12" s="62"/>
      <c r="AA12" s="62"/>
    </row>
    <row r="13">
      <c r="A13" s="96">
        <v>10.0</v>
      </c>
      <c r="B13" s="98" t="str">
        <f t="shared" si="4"/>
        <v>AE01E2</v>
      </c>
      <c r="C13" s="99" t="str">
        <f t="shared" si="1"/>
        <v>AE01E3</v>
      </c>
      <c r="D13" s="99" t="str">
        <f t="shared" si="5"/>
        <v>AD7AE0</v>
      </c>
      <c r="E13" s="99" t="str">
        <f t="shared" si="2"/>
        <v>AD7AE1</v>
      </c>
      <c r="F13" s="98" t="str">
        <f t="shared" si="6"/>
        <v>AE0340</v>
      </c>
      <c r="G13" s="99" t="str">
        <f t="shared" si="3"/>
        <v>AE0341</v>
      </c>
      <c r="H13" s="101"/>
      <c r="I13" s="107"/>
      <c r="J13" s="62"/>
      <c r="K13" s="58"/>
      <c r="L13" s="102"/>
      <c r="M13" s="103"/>
      <c r="N13" s="62"/>
      <c r="O13" s="101"/>
      <c r="P13" s="58"/>
      <c r="Q13" s="58"/>
      <c r="R13" s="58"/>
      <c r="S13" s="62"/>
      <c r="T13" s="62"/>
      <c r="U13" s="62"/>
      <c r="V13" s="62"/>
      <c r="W13" s="62"/>
      <c r="X13" s="62"/>
      <c r="Y13" s="62"/>
      <c r="Z13" s="62"/>
      <c r="AA13" s="62"/>
    </row>
    <row r="14">
      <c r="A14" s="96">
        <v>11.0</v>
      </c>
      <c r="B14" s="98" t="str">
        <f t="shared" si="4"/>
        <v>AE01E4</v>
      </c>
      <c r="C14" s="99" t="str">
        <f t="shared" si="1"/>
        <v>AE01E5</v>
      </c>
      <c r="D14" s="99" t="str">
        <f t="shared" si="5"/>
        <v>AD7AE2</v>
      </c>
      <c r="E14" s="99" t="str">
        <f t="shared" si="2"/>
        <v>AD7AE3</v>
      </c>
      <c r="F14" s="98" t="str">
        <f t="shared" si="6"/>
        <v>AE0342</v>
      </c>
      <c r="G14" s="99" t="str">
        <f t="shared" si="3"/>
        <v>AE0343</v>
      </c>
      <c r="H14" s="101"/>
      <c r="I14" s="107"/>
      <c r="J14" s="62"/>
      <c r="K14" s="58"/>
      <c r="L14" s="102"/>
      <c r="M14" s="103"/>
      <c r="N14" s="62"/>
      <c r="O14" s="101"/>
      <c r="P14" s="58"/>
      <c r="Q14" s="58"/>
      <c r="R14" s="58"/>
      <c r="S14" s="62"/>
      <c r="T14" s="62"/>
      <c r="U14" s="62"/>
      <c r="V14" s="62"/>
      <c r="W14" s="62"/>
      <c r="X14" s="62"/>
      <c r="Y14" s="62"/>
      <c r="Z14" s="62"/>
      <c r="AA14" s="62"/>
    </row>
    <row r="15">
      <c r="A15" s="96">
        <v>12.0</v>
      </c>
      <c r="B15" s="98" t="str">
        <f t="shared" si="4"/>
        <v>AE01E6</v>
      </c>
      <c r="C15" s="99" t="str">
        <f t="shared" si="1"/>
        <v>AE01E7</v>
      </c>
      <c r="D15" s="99" t="str">
        <f t="shared" si="5"/>
        <v>AD7AE4</v>
      </c>
      <c r="E15" s="99" t="str">
        <f t="shared" si="2"/>
        <v>AD7AE5</v>
      </c>
      <c r="F15" s="98" t="str">
        <f t="shared" si="6"/>
        <v>AE0344</v>
      </c>
      <c r="G15" s="99" t="str">
        <f t="shared" si="3"/>
        <v>AE0345</v>
      </c>
      <c r="H15" s="101"/>
      <c r="I15" s="107"/>
      <c r="J15" s="62"/>
      <c r="K15" s="58"/>
      <c r="L15" s="102"/>
      <c r="M15" s="103"/>
      <c r="N15" s="62"/>
      <c r="O15" s="101"/>
      <c r="P15" s="58"/>
      <c r="Q15" s="58"/>
      <c r="R15" s="58"/>
      <c r="S15" s="62"/>
      <c r="T15" s="62"/>
      <c r="U15" s="62"/>
      <c r="V15" s="62"/>
      <c r="W15" s="62"/>
      <c r="X15" s="62"/>
      <c r="Y15" s="62"/>
      <c r="Z15" s="62"/>
      <c r="AA15" s="62"/>
    </row>
    <row r="16">
      <c r="A16" s="96">
        <v>13.0</v>
      </c>
      <c r="B16" s="98" t="str">
        <f t="shared" si="4"/>
        <v>AE01E8</v>
      </c>
      <c r="C16" s="99" t="str">
        <f t="shared" si="1"/>
        <v>AE01E9</v>
      </c>
      <c r="D16" s="99" t="str">
        <f t="shared" si="5"/>
        <v>AD7AE6</v>
      </c>
      <c r="E16" s="99" t="str">
        <f t="shared" si="2"/>
        <v>AD7AE7</v>
      </c>
      <c r="F16" s="98" t="str">
        <f t="shared" si="6"/>
        <v>AE0346</v>
      </c>
      <c r="G16" s="99" t="str">
        <f t="shared" si="3"/>
        <v>AE0347</v>
      </c>
      <c r="H16" s="101"/>
      <c r="I16" s="107"/>
      <c r="J16" s="62"/>
      <c r="K16" s="58"/>
      <c r="L16" s="102"/>
      <c r="M16" s="103"/>
      <c r="N16" s="62"/>
      <c r="O16" s="101"/>
      <c r="P16" s="58"/>
      <c r="Q16" s="58"/>
      <c r="R16" s="58"/>
      <c r="S16" s="62"/>
      <c r="T16" s="62"/>
      <c r="U16" s="62"/>
      <c r="V16" s="62"/>
      <c r="W16" s="62"/>
      <c r="X16" s="62"/>
      <c r="Y16" s="62"/>
      <c r="Z16" s="62"/>
      <c r="AA16" s="62"/>
    </row>
    <row r="17">
      <c r="A17" s="96">
        <v>14.0</v>
      </c>
      <c r="B17" s="98" t="str">
        <f t="shared" si="4"/>
        <v>AE01EA</v>
      </c>
      <c r="C17" s="99" t="str">
        <f t="shared" si="1"/>
        <v>AE01EB</v>
      </c>
      <c r="D17" s="99" t="str">
        <f t="shared" si="5"/>
        <v>AD7AE8</v>
      </c>
      <c r="E17" s="99" t="str">
        <f t="shared" si="2"/>
        <v>AD7AE9</v>
      </c>
      <c r="F17" s="98" t="str">
        <f t="shared" si="6"/>
        <v>AE0348</v>
      </c>
      <c r="G17" s="99" t="str">
        <f t="shared" si="3"/>
        <v>AE0349</v>
      </c>
      <c r="H17" s="101"/>
      <c r="I17" s="107"/>
      <c r="J17" s="62"/>
      <c r="K17" s="58"/>
      <c r="L17" s="102"/>
      <c r="M17" s="103"/>
      <c r="N17" s="62"/>
      <c r="O17" s="101"/>
      <c r="P17" s="58"/>
      <c r="Q17" s="62"/>
      <c r="R17" s="58"/>
      <c r="S17" s="62"/>
      <c r="T17" s="62"/>
      <c r="U17" s="62"/>
      <c r="V17" s="62"/>
      <c r="W17" s="62"/>
      <c r="X17" s="62"/>
      <c r="Y17" s="62"/>
      <c r="Z17" s="62"/>
      <c r="AA17" s="62"/>
    </row>
    <row r="18">
      <c r="A18" s="96">
        <v>15.0</v>
      </c>
      <c r="B18" s="98" t="str">
        <f t="shared" si="4"/>
        <v>AE01EC</v>
      </c>
      <c r="C18" s="99" t="str">
        <f t="shared" si="1"/>
        <v>AE01ED</v>
      </c>
      <c r="D18" s="99" t="str">
        <f t="shared" si="5"/>
        <v>AD7AEA</v>
      </c>
      <c r="E18" s="99" t="str">
        <f t="shared" si="2"/>
        <v>AD7AEB</v>
      </c>
      <c r="F18" s="98" t="str">
        <f t="shared" si="6"/>
        <v>AE034A</v>
      </c>
      <c r="G18" s="99" t="str">
        <f t="shared" si="3"/>
        <v>AE034B</v>
      </c>
      <c r="H18" s="101"/>
      <c r="I18" s="107"/>
      <c r="J18" s="62"/>
      <c r="K18" s="58"/>
      <c r="L18" s="102"/>
      <c r="M18" s="103"/>
      <c r="N18" s="62"/>
      <c r="O18" s="101"/>
      <c r="P18" s="58"/>
      <c r="Q18" s="58"/>
      <c r="R18" s="62"/>
      <c r="S18" s="62"/>
      <c r="T18" s="62"/>
      <c r="U18" s="62"/>
      <c r="V18" s="62"/>
      <c r="W18" s="62"/>
      <c r="X18" s="62"/>
      <c r="Y18" s="62"/>
      <c r="Z18" s="62"/>
      <c r="AA18" s="62"/>
    </row>
    <row r="19">
      <c r="A19" s="96">
        <v>16.0</v>
      </c>
      <c r="B19" s="98" t="str">
        <f t="shared" si="4"/>
        <v>AE01EE</v>
      </c>
      <c r="C19" s="99" t="str">
        <f t="shared" si="1"/>
        <v>AE01EF</v>
      </c>
      <c r="D19" s="99" t="str">
        <f t="shared" si="5"/>
        <v>AD7AEC</v>
      </c>
      <c r="E19" s="99" t="str">
        <f t="shared" si="2"/>
        <v>AD7AED</v>
      </c>
      <c r="F19" s="98" t="str">
        <f t="shared" si="6"/>
        <v>AE034C</v>
      </c>
      <c r="G19" s="99" t="str">
        <f t="shared" si="3"/>
        <v>AE034D</v>
      </c>
      <c r="H19" s="101"/>
      <c r="I19" s="107"/>
      <c r="J19" s="62"/>
      <c r="K19" s="58"/>
      <c r="L19" s="102"/>
      <c r="M19" s="103"/>
      <c r="N19" s="62"/>
      <c r="O19" s="101"/>
      <c r="P19" s="58"/>
      <c r="Q19" s="58"/>
      <c r="R19" s="62"/>
      <c r="S19" s="62"/>
      <c r="T19" s="62"/>
      <c r="U19" s="62"/>
      <c r="V19" s="62"/>
      <c r="W19" s="62"/>
      <c r="X19" s="62"/>
      <c r="Y19" s="62"/>
      <c r="Z19" s="62"/>
      <c r="AA19" s="62"/>
    </row>
    <row r="20">
      <c r="A20" s="96">
        <v>17.0</v>
      </c>
      <c r="B20" s="98" t="str">
        <f t="shared" si="4"/>
        <v>AE01F0</v>
      </c>
      <c r="C20" s="99" t="str">
        <f t="shared" si="1"/>
        <v>AE01F1</v>
      </c>
      <c r="D20" s="99" t="str">
        <f t="shared" si="5"/>
        <v>AD7AEE</v>
      </c>
      <c r="E20" s="99" t="str">
        <f t="shared" si="2"/>
        <v>AD7AEF</v>
      </c>
      <c r="F20" s="98" t="str">
        <f t="shared" si="6"/>
        <v>AE034E</v>
      </c>
      <c r="G20" s="99" t="str">
        <f t="shared" si="3"/>
        <v>AE034F</v>
      </c>
      <c r="H20" s="101"/>
      <c r="I20" s="107"/>
      <c r="J20" s="62"/>
      <c r="K20" s="58"/>
      <c r="L20" s="102"/>
      <c r="M20" s="103"/>
      <c r="N20" s="62"/>
      <c r="O20" s="101"/>
      <c r="P20" s="58"/>
      <c r="Q20" s="58"/>
      <c r="R20" s="62"/>
      <c r="S20" s="62"/>
      <c r="T20" s="62"/>
      <c r="U20" s="62"/>
      <c r="V20" s="62"/>
      <c r="W20" s="62"/>
      <c r="X20" s="62"/>
      <c r="Y20" s="62"/>
      <c r="Z20" s="62"/>
      <c r="AA20" s="62"/>
    </row>
    <row r="21">
      <c r="A21" s="96">
        <v>18.0</v>
      </c>
      <c r="B21" s="98" t="str">
        <f t="shared" si="4"/>
        <v>AE01F2</v>
      </c>
      <c r="C21" s="99" t="str">
        <f t="shared" si="1"/>
        <v>AE01F3</v>
      </c>
      <c r="D21" s="99" t="str">
        <f t="shared" si="5"/>
        <v>AD7AF0</v>
      </c>
      <c r="E21" s="99" t="str">
        <f t="shared" si="2"/>
        <v>AD7AF1</v>
      </c>
      <c r="F21" s="98" t="str">
        <f t="shared" si="6"/>
        <v>AE0350</v>
      </c>
      <c r="G21" s="99" t="str">
        <f t="shared" si="3"/>
        <v>AE0351</v>
      </c>
      <c r="H21" s="101"/>
      <c r="I21" s="107"/>
      <c r="J21" s="62"/>
      <c r="K21" s="58"/>
      <c r="L21" s="102"/>
      <c r="M21" s="103"/>
      <c r="N21" s="62"/>
      <c r="O21" s="101"/>
      <c r="P21" s="58"/>
      <c r="Q21" s="58"/>
      <c r="R21" s="62"/>
      <c r="S21" s="62"/>
      <c r="T21" s="62"/>
      <c r="U21" s="62"/>
      <c r="V21" s="62"/>
      <c r="W21" s="62"/>
      <c r="X21" s="62"/>
      <c r="Y21" s="62"/>
      <c r="Z21" s="62"/>
      <c r="AA21" s="62"/>
    </row>
    <row r="22">
      <c r="A22" s="96">
        <v>19.0</v>
      </c>
      <c r="B22" s="98" t="str">
        <f t="shared" si="4"/>
        <v>AE01F4</v>
      </c>
      <c r="C22" s="99" t="str">
        <f t="shared" si="1"/>
        <v>AE01F5</v>
      </c>
      <c r="D22" s="99" t="str">
        <f t="shared" si="5"/>
        <v>AD7AF2</v>
      </c>
      <c r="E22" s="99" t="str">
        <f t="shared" si="2"/>
        <v>AD7AF3</v>
      </c>
      <c r="F22" s="98" t="str">
        <f t="shared" si="6"/>
        <v>AE0352</v>
      </c>
      <c r="G22" s="99" t="str">
        <f t="shared" si="3"/>
        <v>AE0353</v>
      </c>
      <c r="H22" s="101"/>
      <c r="I22" s="107"/>
      <c r="J22" s="62"/>
      <c r="K22" s="58"/>
      <c r="L22" s="102"/>
      <c r="M22" s="103"/>
      <c r="N22" s="62"/>
      <c r="O22" s="101"/>
      <c r="P22" s="58"/>
      <c r="Q22" s="58"/>
      <c r="R22" s="62"/>
      <c r="S22" s="62"/>
      <c r="T22" s="62"/>
      <c r="U22" s="62"/>
      <c r="V22" s="62"/>
      <c r="W22" s="62"/>
      <c r="X22" s="62"/>
      <c r="Y22" s="62"/>
      <c r="Z22" s="62"/>
      <c r="AA22" s="62"/>
    </row>
    <row r="23">
      <c r="A23" s="96">
        <v>20.0</v>
      </c>
      <c r="B23" s="98" t="str">
        <f t="shared" si="4"/>
        <v>AE01F6</v>
      </c>
      <c r="C23" s="99" t="str">
        <f t="shared" si="1"/>
        <v>AE01F7</v>
      </c>
      <c r="D23" s="99" t="str">
        <f t="shared" si="5"/>
        <v>AD7AF4</v>
      </c>
      <c r="E23" s="99" t="str">
        <f t="shared" si="2"/>
        <v>AD7AF5</v>
      </c>
      <c r="F23" s="98" t="str">
        <f t="shared" si="6"/>
        <v>AE0354</v>
      </c>
      <c r="G23" s="99" t="str">
        <f t="shared" si="3"/>
        <v>AE0355</v>
      </c>
      <c r="H23" s="101"/>
      <c r="I23" s="107"/>
      <c r="J23" s="62"/>
      <c r="K23" s="58"/>
      <c r="L23" s="102"/>
      <c r="M23" s="103"/>
      <c r="N23" s="62"/>
      <c r="O23" s="101"/>
      <c r="P23" s="58"/>
      <c r="Q23" s="62"/>
      <c r="R23" s="58"/>
      <c r="S23" s="62"/>
      <c r="T23" s="62"/>
      <c r="U23" s="62"/>
      <c r="V23" s="62"/>
      <c r="W23" s="62"/>
      <c r="X23" s="62"/>
      <c r="Y23" s="62"/>
      <c r="Z23" s="62"/>
      <c r="AA23" s="62"/>
    </row>
    <row r="24">
      <c r="A24" s="96">
        <v>21.0</v>
      </c>
      <c r="B24" s="98" t="str">
        <f t="shared" si="4"/>
        <v>AE01F8</v>
      </c>
      <c r="C24" s="99" t="str">
        <f t="shared" si="1"/>
        <v>AE01F9</v>
      </c>
      <c r="D24" s="99" t="str">
        <f t="shared" si="5"/>
        <v>AD7AF6</v>
      </c>
      <c r="E24" s="99" t="str">
        <f t="shared" si="2"/>
        <v>AD7AF7</v>
      </c>
      <c r="F24" s="98" t="str">
        <f t="shared" si="6"/>
        <v>AE0356</v>
      </c>
      <c r="G24" s="99" t="str">
        <f t="shared" si="3"/>
        <v>AE0357</v>
      </c>
      <c r="H24" s="101"/>
      <c r="I24" s="107"/>
      <c r="J24" s="62"/>
      <c r="K24" s="58"/>
      <c r="L24" s="102"/>
      <c r="M24" s="103"/>
      <c r="N24" s="62"/>
      <c r="O24" s="101"/>
      <c r="P24" s="58"/>
      <c r="Q24" s="58"/>
      <c r="R24" s="62"/>
      <c r="S24" s="62"/>
      <c r="T24" s="62"/>
      <c r="U24" s="62"/>
      <c r="V24" s="62"/>
      <c r="W24" s="62"/>
      <c r="X24" s="62"/>
      <c r="Y24" s="62"/>
      <c r="Z24" s="62"/>
      <c r="AA24" s="62"/>
    </row>
    <row r="25">
      <c r="A25" s="96">
        <v>22.0</v>
      </c>
      <c r="B25" s="98" t="str">
        <f t="shared" si="4"/>
        <v>AE01FA</v>
      </c>
      <c r="C25" s="99" t="str">
        <f t="shared" si="1"/>
        <v>AE01FB</v>
      </c>
      <c r="D25" s="99" t="str">
        <f t="shared" si="5"/>
        <v>AD7AF8</v>
      </c>
      <c r="E25" s="99" t="str">
        <f t="shared" si="2"/>
        <v>AD7AF9</v>
      </c>
      <c r="F25" s="98" t="str">
        <f t="shared" si="6"/>
        <v>AE0358</v>
      </c>
      <c r="G25" s="99" t="str">
        <f t="shared" si="3"/>
        <v>AE0359</v>
      </c>
      <c r="H25" s="101"/>
      <c r="I25" s="107"/>
      <c r="J25" s="62"/>
      <c r="K25" s="58"/>
      <c r="L25" s="102"/>
      <c r="M25" s="103"/>
      <c r="N25" s="62"/>
      <c r="O25" s="101"/>
      <c r="P25" s="58"/>
      <c r="Q25" s="58"/>
      <c r="R25" s="62"/>
      <c r="S25" s="62"/>
      <c r="T25" s="62"/>
      <c r="U25" s="62"/>
      <c r="V25" s="62"/>
      <c r="W25" s="62"/>
      <c r="X25" s="62"/>
      <c r="Y25" s="62"/>
      <c r="Z25" s="62"/>
      <c r="AA25" s="62"/>
    </row>
    <row r="26">
      <c r="A26" s="96">
        <v>23.0</v>
      </c>
      <c r="B26" s="98" t="str">
        <f t="shared" si="4"/>
        <v>AE01FC</v>
      </c>
      <c r="C26" s="99" t="str">
        <f t="shared" si="1"/>
        <v>AE01FD</v>
      </c>
      <c r="D26" s="99" t="str">
        <f t="shared" si="5"/>
        <v>AD7AFA</v>
      </c>
      <c r="E26" s="99" t="str">
        <f t="shared" si="2"/>
        <v>AD7AFB</v>
      </c>
      <c r="F26" s="98" t="str">
        <f t="shared" si="6"/>
        <v>AE035A</v>
      </c>
      <c r="G26" s="99" t="str">
        <f t="shared" si="3"/>
        <v>AE035B</v>
      </c>
      <c r="H26" s="101"/>
      <c r="I26" s="107"/>
      <c r="J26" s="62"/>
      <c r="K26" s="58"/>
      <c r="L26" s="102"/>
      <c r="M26" s="103"/>
      <c r="N26" s="62"/>
      <c r="O26" s="101"/>
      <c r="P26" s="58"/>
      <c r="Q26" s="58"/>
      <c r="R26" s="62"/>
      <c r="S26" s="62"/>
      <c r="T26" s="62"/>
      <c r="U26" s="62"/>
      <c r="V26" s="62"/>
      <c r="W26" s="62"/>
      <c r="X26" s="62"/>
      <c r="Y26" s="62"/>
      <c r="Z26" s="62"/>
      <c r="AA26" s="62"/>
    </row>
    <row r="27">
      <c r="A27" s="96">
        <v>24.0</v>
      </c>
      <c r="B27" s="98" t="str">
        <f t="shared" si="4"/>
        <v>AE01FE</v>
      </c>
      <c r="C27" s="99" t="str">
        <f t="shared" si="1"/>
        <v>AE01FF</v>
      </c>
      <c r="D27" s="99" t="str">
        <f t="shared" si="5"/>
        <v>AD7AFC</v>
      </c>
      <c r="E27" s="99" t="str">
        <f t="shared" si="2"/>
        <v>AD7AFD</v>
      </c>
      <c r="F27" s="98" t="str">
        <f t="shared" si="6"/>
        <v>AE035C</v>
      </c>
      <c r="G27" s="99" t="str">
        <f t="shared" si="3"/>
        <v>AE035D</v>
      </c>
      <c r="H27" s="101"/>
      <c r="I27" s="107"/>
      <c r="J27" s="62"/>
      <c r="K27" s="58"/>
      <c r="L27" s="102"/>
      <c r="M27" s="103"/>
      <c r="N27" s="62"/>
      <c r="O27" s="101"/>
      <c r="P27" s="58"/>
      <c r="Q27" s="58"/>
      <c r="R27" s="62"/>
      <c r="S27" s="62"/>
      <c r="T27" s="62"/>
      <c r="U27" s="62"/>
      <c r="V27" s="62"/>
      <c r="W27" s="62"/>
      <c r="X27" s="62"/>
      <c r="Y27" s="62"/>
      <c r="Z27" s="62"/>
      <c r="AA27" s="62"/>
    </row>
    <row r="28">
      <c r="A28" s="96">
        <v>25.0</v>
      </c>
      <c r="B28" s="98" t="str">
        <f t="shared" si="4"/>
        <v>AE0200</v>
      </c>
      <c r="C28" s="99" t="str">
        <f t="shared" si="1"/>
        <v>AE0201</v>
      </c>
      <c r="D28" s="99" t="str">
        <f t="shared" si="5"/>
        <v>AD7AFE</v>
      </c>
      <c r="E28" s="99" t="str">
        <f t="shared" si="2"/>
        <v>AD7AFF</v>
      </c>
      <c r="F28" s="98" t="str">
        <f t="shared" si="6"/>
        <v>AE035E</v>
      </c>
      <c r="G28" s="99" t="str">
        <f t="shared" si="3"/>
        <v>AE035F</v>
      </c>
      <c r="H28" s="101"/>
      <c r="I28" s="107"/>
      <c r="J28" s="62"/>
      <c r="K28" s="58"/>
      <c r="L28" s="102"/>
      <c r="M28" s="103"/>
      <c r="N28" s="62"/>
      <c r="O28" s="101"/>
      <c r="P28" s="58"/>
      <c r="Q28" s="58"/>
      <c r="R28" s="62"/>
      <c r="S28" s="62"/>
      <c r="T28" s="62"/>
      <c r="U28" s="62"/>
      <c r="V28" s="62"/>
      <c r="W28" s="62"/>
      <c r="X28" s="62"/>
      <c r="Y28" s="62"/>
      <c r="Z28" s="62"/>
      <c r="AA28" s="62"/>
    </row>
    <row r="29">
      <c r="A29" s="96">
        <v>26.0</v>
      </c>
      <c r="B29" s="98" t="str">
        <f t="shared" si="4"/>
        <v>AE0202</v>
      </c>
      <c r="C29" s="99" t="str">
        <f t="shared" si="1"/>
        <v>AE0203</v>
      </c>
      <c r="D29" s="99" t="str">
        <f t="shared" si="5"/>
        <v>AD7B00</v>
      </c>
      <c r="E29" s="99" t="str">
        <f t="shared" si="2"/>
        <v>AD7B01</v>
      </c>
      <c r="F29" s="98" t="str">
        <f t="shared" si="6"/>
        <v>AE0360</v>
      </c>
      <c r="G29" s="99" t="str">
        <f t="shared" si="3"/>
        <v>AE0361</v>
      </c>
      <c r="H29" s="101"/>
      <c r="I29" s="107"/>
      <c r="J29" s="62"/>
      <c r="K29" s="58"/>
      <c r="L29" s="102"/>
      <c r="M29" s="103"/>
      <c r="N29" s="62"/>
      <c r="O29" s="101"/>
      <c r="P29" s="58"/>
      <c r="Q29" s="58"/>
      <c r="R29" s="62"/>
      <c r="S29" s="62"/>
      <c r="T29" s="62"/>
      <c r="U29" s="62"/>
      <c r="V29" s="62"/>
      <c r="W29" s="62"/>
      <c r="X29" s="62"/>
      <c r="Y29" s="62"/>
      <c r="Z29" s="62"/>
      <c r="AA29" s="62"/>
    </row>
    <row r="30">
      <c r="A30" s="96">
        <v>27.0</v>
      </c>
      <c r="B30" s="98" t="str">
        <f t="shared" si="4"/>
        <v>AE0204</v>
      </c>
      <c r="C30" s="99" t="str">
        <f t="shared" si="1"/>
        <v>AE0205</v>
      </c>
      <c r="D30" s="99" t="str">
        <f t="shared" si="5"/>
        <v>AD7B02</v>
      </c>
      <c r="E30" s="99" t="str">
        <f t="shared" si="2"/>
        <v>AD7B03</v>
      </c>
      <c r="F30" s="98" t="str">
        <f t="shared" si="6"/>
        <v>AE0362</v>
      </c>
      <c r="G30" s="99" t="str">
        <f t="shared" si="3"/>
        <v>AE0363</v>
      </c>
      <c r="H30" s="101"/>
      <c r="I30" s="107"/>
      <c r="J30" s="62"/>
      <c r="K30" s="58"/>
      <c r="L30" s="102"/>
      <c r="M30" s="103"/>
      <c r="N30" s="62"/>
      <c r="O30" s="101"/>
      <c r="P30" s="58"/>
      <c r="Q30" s="58"/>
      <c r="R30" s="62"/>
      <c r="S30" s="62"/>
      <c r="T30" s="62"/>
      <c r="U30" s="62"/>
      <c r="V30" s="62"/>
      <c r="W30" s="62"/>
      <c r="X30" s="62"/>
      <c r="Y30" s="62"/>
      <c r="Z30" s="62"/>
      <c r="AA30" s="62"/>
    </row>
    <row r="31">
      <c r="A31" s="96">
        <v>28.0</v>
      </c>
      <c r="B31" s="98" t="str">
        <f t="shared" si="4"/>
        <v>AE0206</v>
      </c>
      <c r="C31" s="99" t="str">
        <f t="shared" si="1"/>
        <v>AE0207</v>
      </c>
      <c r="D31" s="99" t="str">
        <f t="shared" si="5"/>
        <v>AD7B04</v>
      </c>
      <c r="E31" s="99" t="str">
        <f t="shared" si="2"/>
        <v>AD7B05</v>
      </c>
      <c r="F31" s="98" t="str">
        <f t="shared" si="6"/>
        <v>AE0364</v>
      </c>
      <c r="G31" s="99" t="str">
        <f t="shared" si="3"/>
        <v>AE0365</v>
      </c>
      <c r="H31" s="101"/>
      <c r="I31" s="107"/>
      <c r="J31" s="62"/>
      <c r="K31" s="58"/>
      <c r="L31" s="102"/>
      <c r="M31" s="103"/>
      <c r="N31" s="62"/>
      <c r="O31" s="101"/>
      <c r="P31" s="58"/>
      <c r="Q31" s="58"/>
      <c r="R31" s="62"/>
      <c r="S31" s="62"/>
      <c r="T31" s="62"/>
      <c r="U31" s="62"/>
      <c r="V31" s="62"/>
      <c r="W31" s="62"/>
      <c r="X31" s="62"/>
      <c r="Y31" s="62"/>
      <c r="Z31" s="62"/>
      <c r="AA31" s="62"/>
    </row>
    <row r="32">
      <c r="A32" s="96">
        <v>29.0</v>
      </c>
      <c r="B32" s="98" t="str">
        <f t="shared" si="4"/>
        <v>AE0208</v>
      </c>
      <c r="C32" s="99" t="str">
        <f t="shared" si="1"/>
        <v>AE0209</v>
      </c>
      <c r="D32" s="99" t="str">
        <f t="shared" si="5"/>
        <v>AD7B06</v>
      </c>
      <c r="E32" s="99" t="str">
        <f t="shared" si="2"/>
        <v>AD7B07</v>
      </c>
      <c r="F32" s="98" t="str">
        <f t="shared" si="6"/>
        <v>AE0366</v>
      </c>
      <c r="G32" s="99" t="str">
        <f t="shared" si="3"/>
        <v>AE0367</v>
      </c>
      <c r="H32" s="101"/>
      <c r="I32" s="107"/>
      <c r="J32" s="62"/>
      <c r="K32" s="58"/>
      <c r="L32" s="102"/>
      <c r="M32" s="103"/>
      <c r="N32" s="62"/>
      <c r="O32" s="101"/>
      <c r="P32" s="58"/>
      <c r="Q32" s="58"/>
      <c r="R32" s="62"/>
      <c r="S32" s="62"/>
      <c r="T32" s="62"/>
      <c r="U32" s="62"/>
      <c r="V32" s="62"/>
      <c r="W32" s="62"/>
      <c r="X32" s="62"/>
      <c r="Y32" s="62"/>
      <c r="Z32" s="62"/>
      <c r="AA32" s="62"/>
    </row>
    <row r="33">
      <c r="A33" s="96">
        <v>30.0</v>
      </c>
      <c r="B33" s="98" t="str">
        <f t="shared" si="4"/>
        <v>AE020A</v>
      </c>
      <c r="C33" s="99" t="str">
        <f t="shared" si="1"/>
        <v>AE020B</v>
      </c>
      <c r="D33" s="99" t="str">
        <f t="shared" si="5"/>
        <v>AD7B08</v>
      </c>
      <c r="E33" s="99" t="str">
        <f t="shared" si="2"/>
        <v>AD7B09</v>
      </c>
      <c r="F33" s="98" t="str">
        <f t="shared" si="6"/>
        <v>AE0368</v>
      </c>
      <c r="G33" s="99" t="str">
        <f t="shared" si="3"/>
        <v>AE0369</v>
      </c>
      <c r="H33" s="101"/>
      <c r="I33" s="107"/>
      <c r="J33" s="62"/>
      <c r="K33" s="58"/>
      <c r="L33" s="102"/>
      <c r="M33" s="103"/>
      <c r="N33" s="62"/>
      <c r="O33" s="101"/>
      <c r="P33" s="58"/>
      <c r="Q33" s="58"/>
      <c r="R33" s="62"/>
      <c r="S33" s="62"/>
      <c r="T33" s="62"/>
      <c r="U33" s="62"/>
      <c r="V33" s="62"/>
      <c r="W33" s="62"/>
      <c r="X33" s="62"/>
      <c r="Y33" s="62"/>
      <c r="Z33" s="62"/>
      <c r="AA33" s="62"/>
    </row>
    <row r="34">
      <c r="A34" s="96">
        <v>31.0</v>
      </c>
      <c r="B34" s="98" t="str">
        <f t="shared" si="4"/>
        <v>AE020C</v>
      </c>
      <c r="C34" s="99" t="str">
        <f t="shared" si="1"/>
        <v>AE020D</v>
      </c>
      <c r="D34" s="99" t="str">
        <f t="shared" si="5"/>
        <v>AD7B0A</v>
      </c>
      <c r="E34" s="99" t="str">
        <f t="shared" si="2"/>
        <v>AD7B0B</v>
      </c>
      <c r="F34" s="98" t="str">
        <f t="shared" si="6"/>
        <v>AE036A</v>
      </c>
      <c r="G34" s="99" t="str">
        <f t="shared" si="3"/>
        <v>AE036B</v>
      </c>
      <c r="H34" s="101"/>
      <c r="I34" s="107"/>
      <c r="J34" s="62"/>
      <c r="K34" s="58"/>
      <c r="L34" s="102"/>
      <c r="M34" s="103"/>
      <c r="N34" s="62"/>
      <c r="O34" s="101"/>
      <c r="P34" s="58"/>
      <c r="Q34" s="58"/>
      <c r="R34" s="62"/>
      <c r="S34" s="62"/>
      <c r="T34" s="62"/>
      <c r="U34" s="62"/>
      <c r="V34" s="62"/>
      <c r="W34" s="62"/>
      <c r="X34" s="62"/>
      <c r="Y34" s="62"/>
      <c r="Z34" s="62"/>
      <c r="AA34" s="62"/>
    </row>
    <row r="35">
      <c r="A35" s="96">
        <v>32.0</v>
      </c>
      <c r="B35" s="98" t="str">
        <f t="shared" si="4"/>
        <v>AE020E</v>
      </c>
      <c r="C35" s="99" t="str">
        <f t="shared" si="1"/>
        <v>AE020F</v>
      </c>
      <c r="D35" s="99" t="str">
        <f t="shared" si="5"/>
        <v>AD7B0C</v>
      </c>
      <c r="E35" s="99" t="str">
        <f t="shared" si="2"/>
        <v>AD7B0D</v>
      </c>
      <c r="F35" s="98" t="str">
        <f t="shared" si="6"/>
        <v>AE036C</v>
      </c>
      <c r="G35" s="99" t="str">
        <f t="shared" si="3"/>
        <v>AE036D</v>
      </c>
      <c r="H35" s="101"/>
      <c r="I35" s="107"/>
      <c r="J35" s="62"/>
      <c r="K35" s="58"/>
      <c r="L35" s="102"/>
      <c r="M35" s="103"/>
      <c r="N35" s="62"/>
      <c r="O35" s="101"/>
      <c r="P35" s="58"/>
      <c r="Q35" s="58"/>
      <c r="R35" s="62"/>
      <c r="S35" s="62"/>
      <c r="T35" s="62"/>
      <c r="U35" s="62"/>
      <c r="V35" s="62"/>
      <c r="W35" s="62"/>
      <c r="X35" s="62"/>
      <c r="Y35" s="62"/>
      <c r="Z35" s="62"/>
      <c r="AA35" s="62"/>
    </row>
    <row r="36">
      <c r="A36" s="96">
        <v>33.0</v>
      </c>
      <c r="B36" s="98" t="str">
        <f t="shared" si="4"/>
        <v>AE0210</v>
      </c>
      <c r="C36" s="99" t="str">
        <f t="shared" si="1"/>
        <v>AE0211</v>
      </c>
      <c r="D36" s="99" t="str">
        <f t="shared" si="5"/>
        <v>AD7B0E</v>
      </c>
      <c r="E36" s="99" t="str">
        <f t="shared" si="2"/>
        <v>AD7B0F</v>
      </c>
      <c r="F36" s="98" t="str">
        <f t="shared" si="6"/>
        <v>AE036E</v>
      </c>
      <c r="G36" s="99" t="str">
        <f t="shared" si="3"/>
        <v>AE036F</v>
      </c>
      <c r="H36" s="101"/>
      <c r="I36" s="107"/>
      <c r="J36" s="62"/>
      <c r="K36" s="58"/>
      <c r="L36" s="102"/>
      <c r="M36" s="103"/>
      <c r="N36" s="62"/>
      <c r="O36" s="101"/>
      <c r="P36" s="58"/>
      <c r="Q36" s="58"/>
      <c r="R36" s="62"/>
      <c r="S36" s="62"/>
      <c r="T36" s="62"/>
      <c r="U36" s="62"/>
      <c r="V36" s="62"/>
      <c r="W36" s="62"/>
      <c r="X36" s="62"/>
      <c r="Y36" s="62"/>
      <c r="Z36" s="62"/>
      <c r="AA36" s="62"/>
    </row>
    <row r="37">
      <c r="A37" s="96">
        <v>34.0</v>
      </c>
      <c r="B37" s="98" t="str">
        <f t="shared" si="4"/>
        <v>AE0212</v>
      </c>
      <c r="C37" s="99" t="str">
        <f t="shared" si="1"/>
        <v>AE0213</v>
      </c>
      <c r="D37" s="99" t="str">
        <f t="shared" si="5"/>
        <v>AD7B10</v>
      </c>
      <c r="E37" s="99" t="str">
        <f t="shared" si="2"/>
        <v>AD7B11</v>
      </c>
      <c r="F37" s="98" t="str">
        <f t="shared" si="6"/>
        <v>AE0370</v>
      </c>
      <c r="G37" s="99" t="str">
        <f t="shared" si="3"/>
        <v>AE0371</v>
      </c>
      <c r="H37" s="101"/>
      <c r="I37" s="107"/>
      <c r="J37" s="62"/>
      <c r="K37" s="58"/>
      <c r="L37" s="102"/>
      <c r="M37" s="103"/>
      <c r="N37" s="62"/>
      <c r="O37" s="101"/>
      <c r="P37" s="58"/>
      <c r="Q37" s="58"/>
      <c r="R37" s="62"/>
      <c r="S37" s="62"/>
      <c r="T37" s="62"/>
      <c r="U37" s="62"/>
      <c r="V37" s="62"/>
      <c r="W37" s="62"/>
      <c r="X37" s="62"/>
      <c r="Y37" s="62"/>
      <c r="Z37" s="62"/>
      <c r="AA37" s="62"/>
    </row>
    <row r="38">
      <c r="A38" s="96">
        <v>35.0</v>
      </c>
      <c r="B38" s="98" t="str">
        <f t="shared" si="4"/>
        <v>AE0214</v>
      </c>
      <c r="C38" s="99" t="str">
        <f t="shared" si="1"/>
        <v>AE0215</v>
      </c>
      <c r="D38" s="99" t="str">
        <f t="shared" si="5"/>
        <v>AD7B12</v>
      </c>
      <c r="E38" s="99" t="str">
        <f t="shared" si="2"/>
        <v>AD7B13</v>
      </c>
      <c r="F38" s="98" t="str">
        <f t="shared" si="6"/>
        <v>AE0372</v>
      </c>
      <c r="G38" s="99" t="str">
        <f t="shared" si="3"/>
        <v>AE0373</v>
      </c>
      <c r="H38" s="101"/>
      <c r="I38" s="107"/>
      <c r="J38" s="62"/>
      <c r="K38" s="58"/>
      <c r="L38" s="102"/>
      <c r="M38" s="103"/>
      <c r="N38" s="62"/>
      <c r="O38" s="101"/>
      <c r="P38" s="58"/>
      <c r="Q38" s="58"/>
      <c r="R38" s="62"/>
      <c r="S38" s="62"/>
      <c r="T38" s="62"/>
      <c r="U38" s="62"/>
      <c r="V38" s="62"/>
      <c r="W38" s="62"/>
      <c r="X38" s="62"/>
      <c r="Y38" s="62"/>
      <c r="Z38" s="62"/>
      <c r="AA38" s="62"/>
    </row>
    <row r="39">
      <c r="A39" s="96">
        <v>36.0</v>
      </c>
      <c r="B39" s="98" t="str">
        <f t="shared" si="4"/>
        <v>AE0216</v>
      </c>
      <c r="C39" s="99" t="str">
        <f t="shared" si="1"/>
        <v>AE0217</v>
      </c>
      <c r="D39" s="99" t="str">
        <f t="shared" si="5"/>
        <v>AD7B14</v>
      </c>
      <c r="E39" s="99" t="str">
        <f t="shared" si="2"/>
        <v>AD7B15</v>
      </c>
      <c r="F39" s="98" t="str">
        <f t="shared" si="6"/>
        <v>AE0374</v>
      </c>
      <c r="G39" s="99" t="str">
        <f t="shared" si="3"/>
        <v>AE0375</v>
      </c>
      <c r="H39" s="101"/>
      <c r="I39" s="107"/>
      <c r="J39" s="62"/>
      <c r="K39" s="58"/>
      <c r="L39" s="102"/>
      <c r="M39" s="103"/>
      <c r="N39" s="62"/>
      <c r="O39" s="101"/>
      <c r="P39" s="58"/>
      <c r="Q39" s="58"/>
      <c r="R39" s="62"/>
      <c r="S39" s="62"/>
      <c r="T39" s="62"/>
      <c r="U39" s="62"/>
      <c r="V39" s="62"/>
      <c r="W39" s="62"/>
      <c r="X39" s="62"/>
      <c r="Y39" s="62"/>
      <c r="Z39" s="62"/>
      <c r="AA39" s="62"/>
    </row>
    <row r="40">
      <c r="A40" s="96">
        <v>37.0</v>
      </c>
      <c r="B40" s="98" t="str">
        <f t="shared" si="4"/>
        <v>AE0218</v>
      </c>
      <c r="C40" s="99" t="str">
        <f t="shared" si="1"/>
        <v>AE0219</v>
      </c>
      <c r="D40" s="99" t="str">
        <f t="shared" si="5"/>
        <v>AD7B16</v>
      </c>
      <c r="E40" s="99" t="str">
        <f t="shared" si="2"/>
        <v>AD7B17</v>
      </c>
      <c r="F40" s="98" t="str">
        <f t="shared" si="6"/>
        <v>AE0376</v>
      </c>
      <c r="G40" s="99" t="str">
        <f t="shared" si="3"/>
        <v>AE0377</v>
      </c>
      <c r="H40" s="101"/>
      <c r="I40" s="107"/>
      <c r="J40" s="62"/>
      <c r="K40" s="58"/>
      <c r="L40" s="102"/>
      <c r="M40" s="103"/>
      <c r="N40" s="62"/>
      <c r="O40" s="101"/>
      <c r="P40" s="58"/>
      <c r="Q40" s="58"/>
      <c r="R40" s="62"/>
      <c r="S40" s="62"/>
      <c r="T40" s="62"/>
      <c r="U40" s="62"/>
      <c r="V40" s="62"/>
      <c r="W40" s="62"/>
      <c r="X40" s="62"/>
      <c r="Y40" s="62"/>
      <c r="Z40" s="62"/>
      <c r="AA40" s="62"/>
    </row>
    <row r="41">
      <c r="A41" s="96">
        <v>38.0</v>
      </c>
      <c r="B41" s="98" t="str">
        <f t="shared" si="4"/>
        <v>AE021A</v>
      </c>
      <c r="C41" s="99" t="str">
        <f t="shared" si="1"/>
        <v>AE021B</v>
      </c>
      <c r="D41" s="99" t="str">
        <f t="shared" si="5"/>
        <v>AD7B18</v>
      </c>
      <c r="E41" s="99" t="str">
        <f t="shared" si="2"/>
        <v>AD7B19</v>
      </c>
      <c r="F41" s="98" t="str">
        <f t="shared" si="6"/>
        <v>AE0378</v>
      </c>
      <c r="G41" s="99" t="str">
        <f t="shared" si="3"/>
        <v>AE0379</v>
      </c>
      <c r="H41" s="101"/>
      <c r="I41" s="107"/>
      <c r="J41" s="62"/>
      <c r="K41" s="58"/>
      <c r="L41" s="102"/>
      <c r="M41" s="103"/>
      <c r="N41" s="62"/>
      <c r="O41" s="101"/>
      <c r="P41" s="58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</row>
    <row r="42">
      <c r="A42" s="96">
        <v>39.0</v>
      </c>
      <c r="B42" s="98" t="str">
        <f t="shared" si="4"/>
        <v>AE021C</v>
      </c>
      <c r="C42" s="99" t="str">
        <f t="shared" si="1"/>
        <v>AE021D</v>
      </c>
      <c r="D42" s="99" t="str">
        <f t="shared" si="5"/>
        <v>AD7B1A</v>
      </c>
      <c r="E42" s="99" t="str">
        <f t="shared" si="2"/>
        <v>AD7B1B</v>
      </c>
      <c r="F42" s="98" t="str">
        <f t="shared" si="6"/>
        <v>AE037A</v>
      </c>
      <c r="G42" s="99" t="str">
        <f t="shared" si="3"/>
        <v>AE037B</v>
      </c>
      <c r="H42" s="101"/>
      <c r="I42" s="107"/>
      <c r="J42" s="62"/>
      <c r="K42" s="58"/>
      <c r="L42" s="102"/>
      <c r="M42" s="103"/>
      <c r="N42" s="62"/>
      <c r="O42" s="101"/>
      <c r="P42" s="58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</row>
    <row r="43">
      <c r="A43" s="96">
        <v>40.0</v>
      </c>
      <c r="B43" s="98" t="str">
        <f t="shared" si="4"/>
        <v>AE021E</v>
      </c>
      <c r="C43" s="99" t="str">
        <f t="shared" si="1"/>
        <v>AE021F</v>
      </c>
      <c r="D43" s="99" t="str">
        <f t="shared" si="5"/>
        <v>AD7B1C</v>
      </c>
      <c r="E43" s="99" t="str">
        <f t="shared" si="2"/>
        <v>AD7B1D</v>
      </c>
      <c r="F43" s="98" t="str">
        <f t="shared" si="6"/>
        <v>AE037C</v>
      </c>
      <c r="G43" s="99" t="str">
        <f t="shared" si="3"/>
        <v>AE037D</v>
      </c>
      <c r="H43" s="101"/>
      <c r="I43" s="107"/>
      <c r="J43" s="62"/>
      <c r="K43" s="58"/>
      <c r="L43" s="102"/>
      <c r="M43" s="103"/>
      <c r="N43" s="62"/>
      <c r="O43" s="101"/>
      <c r="P43" s="58"/>
      <c r="Q43" s="58"/>
      <c r="R43" s="58"/>
      <c r="S43" s="62"/>
      <c r="T43" s="62"/>
      <c r="U43" s="62"/>
      <c r="V43" s="62"/>
      <c r="W43" s="62"/>
      <c r="X43" s="62"/>
      <c r="Y43" s="62"/>
      <c r="Z43" s="62"/>
      <c r="AA43" s="62"/>
    </row>
    <row r="44">
      <c r="A44" s="96">
        <v>41.0</v>
      </c>
      <c r="B44" s="98" t="str">
        <f t="shared" si="4"/>
        <v>AE0220</v>
      </c>
      <c r="C44" s="99" t="str">
        <f t="shared" si="1"/>
        <v>AE0221</v>
      </c>
      <c r="D44" s="99" t="str">
        <f t="shared" si="5"/>
        <v>AD7B1E</v>
      </c>
      <c r="E44" s="99" t="str">
        <f t="shared" si="2"/>
        <v>AD7B1F</v>
      </c>
      <c r="F44" s="98" t="str">
        <f t="shared" si="6"/>
        <v>AE037E</v>
      </c>
      <c r="G44" s="99" t="str">
        <f t="shared" si="3"/>
        <v>AE037F</v>
      </c>
      <c r="H44" s="101"/>
      <c r="I44" s="107"/>
      <c r="J44" s="62"/>
      <c r="K44" s="58"/>
      <c r="L44" s="102"/>
      <c r="M44" s="103"/>
      <c r="N44" s="62"/>
      <c r="O44" s="101"/>
      <c r="P44" s="58"/>
      <c r="Q44" s="58"/>
      <c r="R44" s="58"/>
      <c r="S44" s="62"/>
      <c r="T44" s="62"/>
      <c r="U44" s="62"/>
      <c r="V44" s="62"/>
      <c r="W44" s="62"/>
      <c r="X44" s="62"/>
      <c r="Y44" s="62"/>
      <c r="Z44" s="62"/>
      <c r="AA44" s="62"/>
    </row>
    <row r="45">
      <c r="A45" s="96">
        <v>42.0</v>
      </c>
      <c r="B45" s="98" t="str">
        <f t="shared" si="4"/>
        <v>AE0222</v>
      </c>
      <c r="C45" s="99" t="str">
        <f t="shared" si="1"/>
        <v>AE0223</v>
      </c>
      <c r="D45" s="99" t="str">
        <f t="shared" si="5"/>
        <v>AD7B20</v>
      </c>
      <c r="E45" s="99" t="str">
        <f t="shared" si="2"/>
        <v>AD7B21</v>
      </c>
      <c r="F45" s="98" t="str">
        <f t="shared" si="6"/>
        <v>AE0380</v>
      </c>
      <c r="G45" s="99" t="str">
        <f t="shared" si="3"/>
        <v>AE0381</v>
      </c>
      <c r="H45" s="101"/>
      <c r="I45" s="107"/>
      <c r="J45" s="62"/>
      <c r="K45" s="58"/>
      <c r="L45" s="102"/>
      <c r="M45" s="103"/>
      <c r="N45" s="62"/>
      <c r="O45" s="101"/>
      <c r="P45" s="58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</row>
    <row r="46">
      <c r="A46" s="96">
        <v>43.0</v>
      </c>
      <c r="B46" s="98" t="str">
        <f t="shared" si="4"/>
        <v>AE0224</v>
      </c>
      <c r="C46" s="99" t="str">
        <f t="shared" si="1"/>
        <v>AE0225</v>
      </c>
      <c r="D46" s="99" t="str">
        <f t="shared" si="5"/>
        <v>AD7B22</v>
      </c>
      <c r="E46" s="99" t="str">
        <f t="shared" si="2"/>
        <v>AD7B23</v>
      </c>
      <c r="F46" s="98" t="str">
        <f t="shared" si="6"/>
        <v>AE0382</v>
      </c>
      <c r="G46" s="99" t="str">
        <f t="shared" si="3"/>
        <v>AE0383</v>
      </c>
      <c r="H46" s="101"/>
      <c r="I46" s="107"/>
      <c r="J46" s="62"/>
      <c r="K46" s="58"/>
      <c r="L46" s="102"/>
      <c r="M46" s="103"/>
      <c r="N46" s="62"/>
      <c r="O46" s="101"/>
      <c r="P46" s="58"/>
      <c r="Q46" s="58"/>
      <c r="R46" s="58"/>
      <c r="S46" s="62"/>
      <c r="T46" s="62"/>
      <c r="U46" s="62"/>
      <c r="V46" s="62"/>
      <c r="W46" s="62"/>
      <c r="X46" s="62"/>
      <c r="Y46" s="62"/>
      <c r="Z46" s="62"/>
      <c r="AA46" s="62"/>
    </row>
    <row r="47">
      <c r="A47" s="96">
        <v>44.0</v>
      </c>
      <c r="B47" s="98" t="str">
        <f t="shared" si="4"/>
        <v>AE0226</v>
      </c>
      <c r="C47" s="99" t="str">
        <f t="shared" si="1"/>
        <v>AE0227</v>
      </c>
      <c r="D47" s="99" t="str">
        <f t="shared" si="5"/>
        <v>AD7B24</v>
      </c>
      <c r="E47" s="99" t="str">
        <f t="shared" si="2"/>
        <v>AD7B25</v>
      </c>
      <c r="F47" s="98" t="str">
        <f t="shared" si="6"/>
        <v>AE0384</v>
      </c>
      <c r="G47" s="99" t="str">
        <f t="shared" si="3"/>
        <v>AE0385</v>
      </c>
      <c r="H47" s="101"/>
      <c r="I47" s="107"/>
      <c r="J47" s="62"/>
      <c r="K47" s="58"/>
      <c r="L47" s="102"/>
      <c r="M47" s="103"/>
      <c r="N47" s="62"/>
      <c r="O47" s="101"/>
      <c r="P47" s="58"/>
      <c r="Q47" s="58"/>
      <c r="R47" s="62"/>
      <c r="S47" s="62"/>
      <c r="T47" s="62"/>
      <c r="U47" s="62"/>
      <c r="V47" s="62"/>
      <c r="W47" s="62"/>
      <c r="X47" s="62"/>
      <c r="Y47" s="62"/>
      <c r="Z47" s="62"/>
      <c r="AA47" s="62"/>
    </row>
    <row r="48">
      <c r="A48" s="96">
        <v>45.0</v>
      </c>
      <c r="B48" s="98" t="str">
        <f t="shared" si="4"/>
        <v>AE0228</v>
      </c>
      <c r="C48" s="99" t="str">
        <f t="shared" si="1"/>
        <v>AE0229</v>
      </c>
      <c r="D48" s="99" t="str">
        <f t="shared" si="5"/>
        <v>AD7B26</v>
      </c>
      <c r="E48" s="99" t="str">
        <f t="shared" si="2"/>
        <v>AD7B27</v>
      </c>
      <c r="F48" s="98" t="str">
        <f t="shared" si="6"/>
        <v>AE0386</v>
      </c>
      <c r="G48" s="99" t="str">
        <f t="shared" si="3"/>
        <v>AE0387</v>
      </c>
      <c r="H48" s="101"/>
      <c r="I48" s="107"/>
      <c r="J48" s="62"/>
      <c r="K48" s="58"/>
      <c r="L48" s="102"/>
      <c r="M48" s="103"/>
      <c r="N48" s="62"/>
      <c r="O48" s="101"/>
      <c r="P48" s="58"/>
      <c r="Q48" s="58"/>
      <c r="R48" s="62"/>
      <c r="S48" s="62"/>
      <c r="T48" s="62"/>
      <c r="U48" s="62"/>
      <c r="V48" s="62"/>
      <c r="W48" s="62"/>
      <c r="X48" s="62"/>
      <c r="Y48" s="62"/>
      <c r="Z48" s="62"/>
      <c r="AA48" s="62"/>
    </row>
    <row r="49">
      <c r="A49" s="96">
        <v>46.0</v>
      </c>
      <c r="B49" s="98" t="str">
        <f t="shared" si="4"/>
        <v>AE022A</v>
      </c>
      <c r="C49" s="99" t="str">
        <f t="shared" si="1"/>
        <v>AE022B</v>
      </c>
      <c r="D49" s="99" t="str">
        <f t="shared" si="5"/>
        <v>AD7B28</v>
      </c>
      <c r="E49" s="99" t="str">
        <f t="shared" si="2"/>
        <v>AD7B29</v>
      </c>
      <c r="F49" s="98" t="str">
        <f t="shared" si="6"/>
        <v>AE0388</v>
      </c>
      <c r="G49" s="99" t="str">
        <f t="shared" si="3"/>
        <v>AE0389</v>
      </c>
      <c r="H49" s="101"/>
      <c r="I49" s="107"/>
      <c r="J49" s="62"/>
      <c r="K49" s="58"/>
      <c r="L49" s="102"/>
      <c r="M49" s="103"/>
      <c r="N49" s="62"/>
      <c r="O49" s="101"/>
      <c r="P49" s="58"/>
      <c r="Q49" s="58"/>
      <c r="R49" s="62"/>
      <c r="S49" s="62"/>
      <c r="T49" s="62"/>
      <c r="U49" s="62"/>
      <c r="V49" s="62"/>
      <c r="W49" s="62"/>
      <c r="X49" s="62"/>
      <c r="Y49" s="62"/>
      <c r="Z49" s="62"/>
      <c r="AA49" s="62"/>
    </row>
    <row r="50">
      <c r="A50" s="96">
        <v>47.0</v>
      </c>
      <c r="B50" s="98" t="str">
        <f t="shared" si="4"/>
        <v>AE022C</v>
      </c>
      <c r="C50" s="99" t="str">
        <f t="shared" si="1"/>
        <v>AE022D</v>
      </c>
      <c r="D50" s="99" t="str">
        <f t="shared" si="5"/>
        <v>AD7B2A</v>
      </c>
      <c r="E50" s="99" t="str">
        <f t="shared" si="2"/>
        <v>AD7B2B</v>
      </c>
      <c r="F50" s="98" t="str">
        <f t="shared" si="6"/>
        <v>AE038A</v>
      </c>
      <c r="G50" s="99" t="str">
        <f t="shared" si="3"/>
        <v>AE038B</v>
      </c>
      <c r="H50" s="101"/>
      <c r="I50" s="107"/>
      <c r="J50" s="62"/>
      <c r="K50" s="58"/>
      <c r="L50" s="102"/>
      <c r="M50" s="103"/>
      <c r="N50" s="62"/>
      <c r="O50" s="101"/>
      <c r="P50" s="58"/>
      <c r="Q50" s="58"/>
      <c r="R50" s="58"/>
      <c r="S50" s="62"/>
      <c r="T50" s="62"/>
      <c r="U50" s="62"/>
      <c r="V50" s="62"/>
      <c r="W50" s="62"/>
      <c r="X50" s="62"/>
      <c r="Y50" s="62"/>
      <c r="Z50" s="62"/>
      <c r="AA50" s="62"/>
    </row>
    <row r="51">
      <c r="A51" s="96">
        <v>48.0</v>
      </c>
      <c r="B51" s="98" t="str">
        <f t="shared" si="4"/>
        <v>AE022E</v>
      </c>
      <c r="C51" s="99" t="str">
        <f t="shared" si="1"/>
        <v>AE022F</v>
      </c>
      <c r="D51" s="99" t="str">
        <f t="shared" si="5"/>
        <v>AD7B2C</v>
      </c>
      <c r="E51" s="99" t="str">
        <f t="shared" si="2"/>
        <v>AD7B2D</v>
      </c>
      <c r="F51" s="98" t="str">
        <f t="shared" si="6"/>
        <v>AE038C</v>
      </c>
      <c r="G51" s="99" t="str">
        <f t="shared" si="3"/>
        <v>AE038D</v>
      </c>
      <c r="H51" s="101"/>
      <c r="I51" s="107"/>
      <c r="J51" s="62"/>
      <c r="K51" s="58"/>
      <c r="L51" s="102"/>
      <c r="M51" s="103"/>
      <c r="N51" s="62"/>
      <c r="O51" s="101"/>
      <c r="P51" s="58"/>
      <c r="Q51" s="58"/>
      <c r="R51" s="58"/>
      <c r="S51" s="62"/>
      <c r="T51" s="62"/>
      <c r="U51" s="62"/>
      <c r="V51" s="62"/>
      <c r="W51" s="62"/>
      <c r="X51" s="62"/>
      <c r="Y51" s="62"/>
      <c r="Z51" s="62"/>
      <c r="AA51" s="62"/>
    </row>
    <row r="52">
      <c r="A52" s="96">
        <v>49.0</v>
      </c>
      <c r="B52" s="98" t="str">
        <f t="shared" si="4"/>
        <v>AE0230</v>
      </c>
      <c r="C52" s="99" t="str">
        <f t="shared" si="1"/>
        <v>AE0231</v>
      </c>
      <c r="D52" s="99" t="str">
        <f t="shared" si="5"/>
        <v>AD7B2E</v>
      </c>
      <c r="E52" s="99" t="str">
        <f t="shared" si="2"/>
        <v>AD7B2F</v>
      </c>
      <c r="F52" s="98" t="str">
        <f t="shared" si="6"/>
        <v>AE038E</v>
      </c>
      <c r="G52" s="99" t="str">
        <f t="shared" si="3"/>
        <v>AE038F</v>
      </c>
      <c r="H52" s="101"/>
      <c r="I52" s="107"/>
      <c r="J52" s="62"/>
      <c r="K52" s="58"/>
      <c r="L52" s="102"/>
      <c r="M52" s="103"/>
      <c r="N52" s="62"/>
      <c r="O52" s="101"/>
      <c r="P52" s="58"/>
      <c r="Q52" s="58"/>
      <c r="R52" s="58"/>
      <c r="S52" s="62"/>
      <c r="T52" s="62"/>
      <c r="U52" s="62"/>
      <c r="V52" s="62"/>
      <c r="W52" s="62"/>
      <c r="X52" s="62"/>
      <c r="Y52" s="62"/>
      <c r="Z52" s="62"/>
      <c r="AA52" s="62"/>
    </row>
    <row r="53">
      <c r="A53" s="96">
        <v>50.0</v>
      </c>
      <c r="B53" s="98" t="str">
        <f t="shared" si="4"/>
        <v>AE0232</v>
      </c>
      <c r="C53" s="99" t="str">
        <f t="shared" si="1"/>
        <v>AE0233</v>
      </c>
      <c r="D53" s="99" t="str">
        <f t="shared" si="5"/>
        <v>AD7B30</v>
      </c>
      <c r="E53" s="99" t="str">
        <f t="shared" si="2"/>
        <v>AD7B31</v>
      </c>
      <c r="F53" s="98" t="str">
        <f t="shared" si="6"/>
        <v>AE0390</v>
      </c>
      <c r="G53" s="99" t="str">
        <f t="shared" si="3"/>
        <v>AE0391</v>
      </c>
      <c r="H53" s="101"/>
      <c r="I53" s="107"/>
      <c r="J53" s="62"/>
      <c r="K53" s="58"/>
      <c r="L53" s="102"/>
      <c r="M53" s="103"/>
      <c r="N53" s="62"/>
      <c r="O53" s="101"/>
      <c r="P53" s="58"/>
      <c r="Q53" s="58"/>
      <c r="R53" s="58"/>
      <c r="S53" s="62"/>
      <c r="T53" s="62"/>
      <c r="U53" s="62"/>
      <c r="V53" s="62"/>
      <c r="W53" s="62"/>
      <c r="X53" s="62"/>
      <c r="Y53" s="62"/>
      <c r="Z53" s="62"/>
      <c r="AA53" s="62"/>
    </row>
    <row r="54">
      <c r="A54" s="96">
        <v>51.0</v>
      </c>
      <c r="B54" s="98" t="str">
        <f t="shared" si="4"/>
        <v>AE0234</v>
      </c>
      <c r="C54" s="99" t="str">
        <f t="shared" si="1"/>
        <v>AE0235</v>
      </c>
      <c r="D54" s="99" t="str">
        <f t="shared" si="5"/>
        <v>AD7B32</v>
      </c>
      <c r="E54" s="99" t="str">
        <f t="shared" si="2"/>
        <v>AD7B33</v>
      </c>
      <c r="F54" s="98" t="str">
        <f t="shared" si="6"/>
        <v>AE0392</v>
      </c>
      <c r="G54" s="99" t="str">
        <f t="shared" si="3"/>
        <v>AE0393</v>
      </c>
      <c r="H54" s="101"/>
      <c r="I54" s="107"/>
      <c r="J54" s="62"/>
      <c r="K54" s="58"/>
      <c r="L54" s="102"/>
      <c r="M54" s="103"/>
      <c r="N54" s="62"/>
      <c r="O54" s="101"/>
      <c r="P54" s="58"/>
      <c r="Q54" s="58"/>
      <c r="R54" s="62"/>
      <c r="S54" s="62"/>
      <c r="T54" s="62"/>
      <c r="U54" s="62"/>
      <c r="V54" s="62"/>
      <c r="W54" s="62"/>
      <c r="X54" s="62"/>
      <c r="Y54" s="62"/>
      <c r="Z54" s="62"/>
      <c r="AA54" s="62"/>
    </row>
    <row r="55">
      <c r="A55" s="96">
        <v>52.0</v>
      </c>
      <c r="B55" s="98" t="str">
        <f t="shared" si="4"/>
        <v>AE0236</v>
      </c>
      <c r="C55" s="99" t="str">
        <f t="shared" si="1"/>
        <v>AE0237</v>
      </c>
      <c r="D55" s="99" t="str">
        <f t="shared" si="5"/>
        <v>AD7B34</v>
      </c>
      <c r="E55" s="99" t="str">
        <f t="shared" si="2"/>
        <v>AD7B35</v>
      </c>
      <c r="F55" s="98" t="str">
        <f t="shared" si="6"/>
        <v>AE0394</v>
      </c>
      <c r="G55" s="99" t="str">
        <f t="shared" si="3"/>
        <v>AE0395</v>
      </c>
      <c r="H55" s="101"/>
      <c r="I55" s="107"/>
      <c r="J55" s="62"/>
      <c r="K55" s="58"/>
      <c r="L55" s="102"/>
      <c r="M55" s="103"/>
      <c r="N55" s="62"/>
      <c r="O55" s="101"/>
      <c r="P55" s="58"/>
      <c r="Q55" s="58"/>
      <c r="R55" s="62"/>
      <c r="S55" s="62"/>
      <c r="T55" s="62"/>
      <c r="U55" s="62"/>
      <c r="V55" s="62"/>
      <c r="W55" s="62"/>
      <c r="X55" s="62"/>
      <c r="Y55" s="62"/>
      <c r="Z55" s="62"/>
      <c r="AA55" s="62"/>
    </row>
    <row r="56">
      <c r="A56" s="96">
        <v>53.0</v>
      </c>
      <c r="B56" s="98" t="str">
        <f t="shared" si="4"/>
        <v>AE0238</v>
      </c>
      <c r="C56" s="99" t="str">
        <f t="shared" si="1"/>
        <v>AE0239</v>
      </c>
      <c r="D56" s="99" t="str">
        <f t="shared" si="5"/>
        <v>AD7B36</v>
      </c>
      <c r="E56" s="99" t="str">
        <f t="shared" si="2"/>
        <v>AD7B37</v>
      </c>
      <c r="F56" s="98" t="str">
        <f t="shared" si="6"/>
        <v>AE0396</v>
      </c>
      <c r="G56" s="99" t="str">
        <f t="shared" si="3"/>
        <v>AE0397</v>
      </c>
      <c r="H56" s="101"/>
      <c r="I56" s="107"/>
      <c r="J56" s="62"/>
      <c r="K56" s="58"/>
      <c r="L56" s="102"/>
      <c r="M56" s="103"/>
      <c r="N56" s="62"/>
      <c r="O56" s="101"/>
      <c r="P56" s="58"/>
      <c r="Q56" s="58"/>
      <c r="R56" s="62"/>
      <c r="S56" s="62"/>
      <c r="T56" s="62"/>
      <c r="U56" s="62"/>
      <c r="V56" s="62"/>
      <c r="W56" s="62"/>
      <c r="X56" s="62"/>
      <c r="Y56" s="62"/>
      <c r="Z56" s="62"/>
      <c r="AA56" s="62"/>
    </row>
    <row r="57">
      <c r="A57" s="96">
        <v>54.0</v>
      </c>
      <c r="B57" s="98" t="str">
        <f t="shared" si="4"/>
        <v>AE023A</v>
      </c>
      <c r="C57" s="99" t="str">
        <f t="shared" si="1"/>
        <v>AE023B</v>
      </c>
      <c r="D57" s="99" t="str">
        <f t="shared" si="5"/>
        <v>AD7B38</v>
      </c>
      <c r="E57" s="99" t="str">
        <f t="shared" si="2"/>
        <v>AD7B39</v>
      </c>
      <c r="F57" s="98" t="str">
        <f t="shared" si="6"/>
        <v>AE0398</v>
      </c>
      <c r="G57" s="99" t="str">
        <f t="shared" si="3"/>
        <v>AE0399</v>
      </c>
      <c r="H57" s="101"/>
      <c r="I57" s="107"/>
      <c r="J57" s="62"/>
      <c r="K57" s="58"/>
      <c r="L57" s="102"/>
      <c r="M57" s="103"/>
      <c r="N57" s="62"/>
      <c r="O57" s="101"/>
      <c r="P57" s="58"/>
      <c r="Q57" s="58"/>
      <c r="R57" s="58"/>
      <c r="S57" s="62"/>
      <c r="T57" s="62"/>
      <c r="U57" s="62"/>
      <c r="V57" s="62"/>
      <c r="W57" s="62"/>
      <c r="X57" s="62"/>
      <c r="Y57" s="62"/>
      <c r="Z57" s="62"/>
      <c r="AA57" s="62"/>
    </row>
    <row r="58">
      <c r="A58" s="96">
        <v>55.0</v>
      </c>
      <c r="B58" s="98" t="str">
        <f t="shared" si="4"/>
        <v>AE023C</v>
      </c>
      <c r="C58" s="99" t="str">
        <f t="shared" si="1"/>
        <v>AE023D</v>
      </c>
      <c r="D58" s="99" t="str">
        <f t="shared" si="5"/>
        <v>AD7B3A</v>
      </c>
      <c r="E58" s="99" t="str">
        <f t="shared" si="2"/>
        <v>AD7B3B</v>
      </c>
      <c r="F58" s="98" t="str">
        <f t="shared" si="6"/>
        <v>AE039A</v>
      </c>
      <c r="G58" s="99" t="str">
        <f t="shared" si="3"/>
        <v>AE039B</v>
      </c>
      <c r="H58" s="101"/>
      <c r="I58" s="107"/>
      <c r="J58" s="62"/>
      <c r="K58" s="58"/>
      <c r="L58" s="102"/>
      <c r="M58" s="103"/>
      <c r="N58" s="62"/>
      <c r="O58" s="101"/>
      <c r="P58" s="58"/>
      <c r="Q58" s="58"/>
      <c r="R58" s="58"/>
      <c r="S58" s="62"/>
      <c r="T58" s="62"/>
      <c r="U58" s="62"/>
      <c r="V58" s="62"/>
      <c r="W58" s="62"/>
      <c r="X58" s="62"/>
      <c r="Y58" s="62"/>
      <c r="Z58" s="62"/>
      <c r="AA58" s="62"/>
    </row>
    <row r="59">
      <c r="A59" s="96">
        <v>56.0</v>
      </c>
      <c r="B59" s="98" t="str">
        <f t="shared" si="4"/>
        <v>AE023E</v>
      </c>
      <c r="C59" s="99" t="str">
        <f t="shared" si="1"/>
        <v>AE023F</v>
      </c>
      <c r="D59" s="99" t="str">
        <f t="shared" si="5"/>
        <v>AD7B3C</v>
      </c>
      <c r="E59" s="99" t="str">
        <f t="shared" si="2"/>
        <v>AD7B3D</v>
      </c>
      <c r="F59" s="98" t="str">
        <f t="shared" si="6"/>
        <v>AE039C</v>
      </c>
      <c r="G59" s="99" t="str">
        <f t="shared" si="3"/>
        <v>AE039D</v>
      </c>
      <c r="H59" s="101"/>
      <c r="I59" s="107"/>
      <c r="J59" s="62"/>
      <c r="K59" s="58"/>
      <c r="L59" s="102"/>
      <c r="M59" s="103"/>
      <c r="N59" s="62"/>
      <c r="O59" s="101"/>
      <c r="P59" s="58"/>
      <c r="Q59" s="58"/>
      <c r="R59" s="62"/>
      <c r="S59" s="62"/>
      <c r="T59" s="62"/>
      <c r="U59" s="62"/>
      <c r="V59" s="62"/>
      <c r="W59" s="62"/>
      <c r="X59" s="62"/>
      <c r="Y59" s="62"/>
      <c r="Z59" s="62"/>
      <c r="AA59" s="62"/>
    </row>
    <row r="60">
      <c r="A60" s="96">
        <v>57.0</v>
      </c>
      <c r="B60" s="98" t="str">
        <f t="shared" si="4"/>
        <v>AE0240</v>
      </c>
      <c r="C60" s="99" t="str">
        <f t="shared" si="1"/>
        <v>AE0241</v>
      </c>
      <c r="D60" s="99" t="str">
        <f t="shared" si="5"/>
        <v>AD7B3E</v>
      </c>
      <c r="E60" s="99" t="str">
        <f t="shared" si="2"/>
        <v>AD7B3F</v>
      </c>
      <c r="F60" s="98" t="str">
        <f t="shared" si="6"/>
        <v>AE039E</v>
      </c>
      <c r="G60" s="99" t="str">
        <f t="shared" si="3"/>
        <v>AE039F</v>
      </c>
      <c r="H60" s="101"/>
      <c r="I60" s="107"/>
      <c r="J60" s="62"/>
      <c r="K60" s="58"/>
      <c r="L60" s="102"/>
      <c r="M60" s="103"/>
      <c r="N60" s="62"/>
      <c r="O60" s="101"/>
      <c r="P60" s="58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</row>
    <row r="61">
      <c r="A61" s="96">
        <v>58.0</v>
      </c>
      <c r="B61" s="98" t="str">
        <f t="shared" si="4"/>
        <v>AE0242</v>
      </c>
      <c r="C61" s="99" t="str">
        <f t="shared" si="1"/>
        <v>AE0243</v>
      </c>
      <c r="D61" s="99" t="str">
        <f t="shared" si="5"/>
        <v>AD7B40</v>
      </c>
      <c r="E61" s="99" t="str">
        <f t="shared" si="2"/>
        <v>AD7B41</v>
      </c>
      <c r="F61" s="98" t="str">
        <f t="shared" si="6"/>
        <v>AE03A0</v>
      </c>
      <c r="G61" s="99" t="str">
        <f t="shared" si="3"/>
        <v>AE03A1</v>
      </c>
      <c r="H61" s="101"/>
      <c r="I61" s="107"/>
      <c r="J61" s="62"/>
      <c r="K61" s="58"/>
      <c r="L61" s="102"/>
      <c r="M61" s="103"/>
      <c r="N61" s="62"/>
      <c r="O61" s="101"/>
      <c r="P61" s="58"/>
      <c r="Q61" s="58"/>
      <c r="R61" s="62"/>
      <c r="S61" s="62"/>
      <c r="T61" s="62"/>
      <c r="U61" s="62"/>
      <c r="V61" s="62"/>
      <c r="W61" s="62"/>
      <c r="X61" s="62"/>
      <c r="Y61" s="62"/>
      <c r="Z61" s="62"/>
      <c r="AA61" s="62"/>
    </row>
    <row r="62">
      <c r="A62" s="96">
        <v>59.0</v>
      </c>
      <c r="B62" s="98" t="str">
        <f t="shared" si="4"/>
        <v>AE0244</v>
      </c>
      <c r="C62" s="99" t="str">
        <f t="shared" si="1"/>
        <v>AE0245</v>
      </c>
      <c r="D62" s="99" t="str">
        <f t="shared" si="5"/>
        <v>AD7B42</v>
      </c>
      <c r="E62" s="99" t="str">
        <f t="shared" si="2"/>
        <v>AD7B43</v>
      </c>
      <c r="F62" s="98" t="str">
        <f t="shared" si="6"/>
        <v>AE03A2</v>
      </c>
      <c r="G62" s="99" t="str">
        <f t="shared" si="3"/>
        <v>AE03A3</v>
      </c>
      <c r="H62" s="101"/>
      <c r="I62" s="107"/>
      <c r="J62" s="62"/>
      <c r="K62" s="58"/>
      <c r="L62" s="102"/>
      <c r="M62" s="103"/>
      <c r="N62" s="62"/>
      <c r="O62" s="101"/>
      <c r="P62" s="58"/>
      <c r="Q62" s="58"/>
      <c r="R62" s="62"/>
      <c r="S62" s="62"/>
      <c r="T62" s="62"/>
      <c r="U62" s="62"/>
      <c r="V62" s="62"/>
      <c r="W62" s="62"/>
      <c r="X62" s="62"/>
      <c r="Y62" s="62"/>
      <c r="Z62" s="62"/>
      <c r="AA62" s="62"/>
    </row>
    <row r="63">
      <c r="A63" s="96">
        <v>60.0</v>
      </c>
      <c r="B63" s="98" t="str">
        <f t="shared" si="4"/>
        <v>AE0246</v>
      </c>
      <c r="C63" s="99" t="str">
        <f t="shared" si="1"/>
        <v>AE0247</v>
      </c>
      <c r="D63" s="99" t="str">
        <f t="shared" si="5"/>
        <v>AD7B44</v>
      </c>
      <c r="E63" s="99" t="str">
        <f t="shared" si="2"/>
        <v>AD7B45</v>
      </c>
      <c r="F63" s="98" t="str">
        <f t="shared" si="6"/>
        <v>AE03A4</v>
      </c>
      <c r="G63" s="99" t="str">
        <f t="shared" si="3"/>
        <v>AE03A5</v>
      </c>
      <c r="H63" s="101"/>
      <c r="I63" s="107"/>
      <c r="J63" s="62"/>
      <c r="K63" s="58"/>
      <c r="L63" s="102"/>
      <c r="M63" s="103"/>
      <c r="N63" s="62"/>
      <c r="O63" s="101"/>
      <c r="P63" s="58"/>
      <c r="Q63" s="62"/>
      <c r="R63" s="58"/>
      <c r="S63" s="62"/>
      <c r="T63" s="62"/>
      <c r="U63" s="62"/>
      <c r="V63" s="62"/>
      <c r="W63" s="62"/>
      <c r="X63" s="62"/>
      <c r="Y63" s="62"/>
      <c r="Z63" s="62"/>
      <c r="AA63" s="62"/>
    </row>
    <row r="64">
      <c r="A64" s="96">
        <v>61.0</v>
      </c>
      <c r="B64" s="98" t="str">
        <f t="shared" si="4"/>
        <v>AE0248</v>
      </c>
      <c r="C64" s="99" t="str">
        <f t="shared" si="1"/>
        <v>AE0249</v>
      </c>
      <c r="D64" s="99" t="str">
        <f t="shared" si="5"/>
        <v>AD7B46</v>
      </c>
      <c r="E64" s="99" t="str">
        <f t="shared" si="2"/>
        <v>AD7B47</v>
      </c>
      <c r="F64" s="98" t="str">
        <f t="shared" si="6"/>
        <v>AE03A6</v>
      </c>
      <c r="G64" s="99" t="str">
        <f t="shared" si="3"/>
        <v>AE03A7</v>
      </c>
      <c r="H64" s="101"/>
      <c r="I64" s="107"/>
      <c r="J64" s="62"/>
      <c r="K64" s="58"/>
      <c r="L64" s="102"/>
      <c r="M64" s="103"/>
      <c r="N64" s="62"/>
      <c r="O64" s="101"/>
      <c r="P64" s="58"/>
      <c r="Q64" s="62"/>
      <c r="R64" s="58"/>
      <c r="S64" s="62"/>
      <c r="T64" s="62"/>
      <c r="U64" s="62"/>
      <c r="V64" s="62"/>
      <c r="W64" s="62"/>
      <c r="X64" s="62"/>
      <c r="Y64" s="62"/>
      <c r="Z64" s="62"/>
      <c r="AA64" s="62"/>
    </row>
    <row r="65">
      <c r="A65" s="96">
        <v>62.0</v>
      </c>
      <c r="B65" s="98" t="str">
        <f t="shared" si="4"/>
        <v>AE024A</v>
      </c>
      <c r="C65" s="99" t="str">
        <f t="shared" si="1"/>
        <v>AE024B</v>
      </c>
      <c r="D65" s="99" t="str">
        <f t="shared" si="5"/>
        <v>AD7B48</v>
      </c>
      <c r="E65" s="99" t="str">
        <f t="shared" si="2"/>
        <v>AD7B49</v>
      </c>
      <c r="F65" s="98" t="str">
        <f t="shared" si="6"/>
        <v>AE03A8</v>
      </c>
      <c r="G65" s="99" t="str">
        <f t="shared" si="3"/>
        <v>AE03A9</v>
      </c>
      <c r="H65" s="101"/>
      <c r="I65" s="107"/>
      <c r="J65" s="62"/>
      <c r="K65" s="58"/>
      <c r="L65" s="102"/>
      <c r="M65" s="103"/>
      <c r="N65" s="62"/>
      <c r="O65" s="101"/>
      <c r="P65" s="58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</row>
    <row r="66">
      <c r="A66" s="96">
        <v>63.0</v>
      </c>
      <c r="B66" s="98" t="str">
        <f t="shared" si="4"/>
        <v>AE024C</v>
      </c>
      <c r="C66" s="99" t="str">
        <f t="shared" si="1"/>
        <v>AE024D</v>
      </c>
      <c r="D66" s="99" t="str">
        <f t="shared" si="5"/>
        <v>AD7B4A</v>
      </c>
      <c r="E66" s="99" t="str">
        <f t="shared" si="2"/>
        <v>AD7B4B</v>
      </c>
      <c r="F66" s="98" t="str">
        <f t="shared" si="6"/>
        <v>AE03AA</v>
      </c>
      <c r="G66" s="99" t="str">
        <f t="shared" si="3"/>
        <v>AE03AB</v>
      </c>
      <c r="H66" s="101"/>
      <c r="I66" s="107"/>
      <c r="J66" s="62"/>
      <c r="K66" s="58"/>
      <c r="L66" s="102"/>
      <c r="M66" s="103"/>
      <c r="N66" s="62"/>
      <c r="O66" s="101"/>
      <c r="P66" s="58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</row>
    <row r="67">
      <c r="A67" s="96">
        <v>64.0</v>
      </c>
      <c r="B67" s="98" t="str">
        <f t="shared" si="4"/>
        <v>AE024E</v>
      </c>
      <c r="C67" s="99" t="str">
        <f t="shared" si="1"/>
        <v>AE024F</v>
      </c>
      <c r="D67" s="99" t="str">
        <f t="shared" si="5"/>
        <v>AD7B4C</v>
      </c>
      <c r="E67" s="99" t="str">
        <f t="shared" si="2"/>
        <v>AD7B4D</v>
      </c>
      <c r="F67" s="98" t="str">
        <f t="shared" si="6"/>
        <v>AE03AC</v>
      </c>
      <c r="G67" s="99" t="str">
        <f t="shared" si="3"/>
        <v>AE03AD</v>
      </c>
      <c r="H67" s="101"/>
      <c r="I67" s="107"/>
      <c r="J67" s="62"/>
      <c r="K67" s="58"/>
      <c r="L67" s="102"/>
      <c r="M67" s="103"/>
      <c r="N67" s="62"/>
      <c r="O67" s="101"/>
      <c r="P67" s="58"/>
      <c r="Q67" s="58"/>
      <c r="R67" s="62"/>
      <c r="S67" s="62"/>
      <c r="T67" s="62"/>
      <c r="U67" s="62"/>
      <c r="V67" s="62"/>
      <c r="W67" s="62"/>
      <c r="X67" s="62"/>
      <c r="Y67" s="62"/>
      <c r="Z67" s="62"/>
      <c r="AA67" s="62"/>
    </row>
    <row r="68">
      <c r="A68" s="96">
        <v>65.0</v>
      </c>
      <c r="B68" s="98" t="str">
        <f t="shared" si="4"/>
        <v>AE0250</v>
      </c>
      <c r="C68" s="99" t="str">
        <f t="shared" si="1"/>
        <v>AE0251</v>
      </c>
      <c r="D68" s="99" t="str">
        <f t="shared" si="5"/>
        <v>AD7B4E</v>
      </c>
      <c r="E68" s="99" t="str">
        <f t="shared" si="2"/>
        <v>AD7B4F</v>
      </c>
      <c r="F68" s="98" t="str">
        <f t="shared" si="6"/>
        <v>AE03AE</v>
      </c>
      <c r="G68" s="99" t="str">
        <f t="shared" si="3"/>
        <v>AE03AF</v>
      </c>
      <c r="H68" s="101"/>
      <c r="I68" s="107"/>
      <c r="J68" s="62"/>
      <c r="K68" s="58"/>
      <c r="L68" s="102"/>
      <c r="M68" s="103"/>
      <c r="N68" s="62"/>
      <c r="O68" s="101"/>
      <c r="P68" s="58"/>
      <c r="Q68" s="58"/>
      <c r="R68" s="62"/>
      <c r="S68" s="62"/>
      <c r="T68" s="62"/>
      <c r="U68" s="62"/>
      <c r="V68" s="62"/>
      <c r="W68" s="62"/>
      <c r="X68" s="62"/>
      <c r="Y68" s="62"/>
      <c r="Z68" s="62"/>
      <c r="AA68" s="62"/>
    </row>
    <row r="69">
      <c r="A69" s="96">
        <v>66.0</v>
      </c>
      <c r="B69" s="98" t="str">
        <f t="shared" si="4"/>
        <v>AE0252</v>
      </c>
      <c r="C69" s="99" t="str">
        <f t="shared" si="1"/>
        <v>AE0253</v>
      </c>
      <c r="D69" s="99" t="str">
        <f t="shared" si="5"/>
        <v>AD7B50</v>
      </c>
      <c r="E69" s="99" t="str">
        <f t="shared" si="2"/>
        <v>AD7B51</v>
      </c>
      <c r="F69" s="98" t="str">
        <f t="shared" si="6"/>
        <v>AE03B0</v>
      </c>
      <c r="G69" s="99" t="str">
        <f t="shared" si="3"/>
        <v>AE03B1</v>
      </c>
      <c r="H69" s="101"/>
      <c r="I69" s="107"/>
      <c r="J69" s="62"/>
      <c r="K69" s="58"/>
      <c r="L69" s="102"/>
      <c r="M69" s="103"/>
      <c r="N69" s="62"/>
      <c r="O69" s="101"/>
      <c r="P69" s="58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</row>
    <row r="70">
      <c r="A70" s="96">
        <v>67.0</v>
      </c>
      <c r="B70" s="98" t="str">
        <f t="shared" si="4"/>
        <v>AE0254</v>
      </c>
      <c r="C70" s="99" t="str">
        <f t="shared" si="1"/>
        <v>AE0255</v>
      </c>
      <c r="D70" s="99" t="str">
        <f t="shared" si="5"/>
        <v>AD7B52</v>
      </c>
      <c r="E70" s="99" t="str">
        <f t="shared" si="2"/>
        <v>AD7B53</v>
      </c>
      <c r="F70" s="98" t="str">
        <f t="shared" si="6"/>
        <v>AE03B2</v>
      </c>
      <c r="G70" s="99" t="str">
        <f t="shared" si="3"/>
        <v>AE03B3</v>
      </c>
      <c r="H70" s="101"/>
      <c r="I70" s="107"/>
      <c r="J70" s="62"/>
      <c r="K70" s="58"/>
      <c r="L70" s="102"/>
      <c r="M70" s="103"/>
      <c r="N70" s="62"/>
      <c r="O70" s="101"/>
      <c r="P70" s="58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</row>
    <row r="71">
      <c r="A71" s="96">
        <v>68.0</v>
      </c>
      <c r="B71" s="98" t="str">
        <f t="shared" si="4"/>
        <v>AE0256</v>
      </c>
      <c r="C71" s="99" t="str">
        <f t="shared" si="1"/>
        <v>AE0257</v>
      </c>
      <c r="D71" s="99" t="str">
        <f t="shared" si="5"/>
        <v>AD7B54</v>
      </c>
      <c r="E71" s="99" t="str">
        <f t="shared" si="2"/>
        <v>AD7B55</v>
      </c>
      <c r="F71" s="98" t="str">
        <f t="shared" si="6"/>
        <v>AE03B4</v>
      </c>
      <c r="G71" s="99" t="str">
        <f t="shared" si="3"/>
        <v>AE03B5</v>
      </c>
      <c r="H71" s="101"/>
      <c r="I71" s="107"/>
      <c r="J71" s="62"/>
      <c r="K71" s="58"/>
      <c r="L71" s="102"/>
      <c r="M71" s="103"/>
      <c r="N71" s="62"/>
      <c r="O71" s="101"/>
      <c r="P71" s="58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</row>
    <row r="72">
      <c r="A72" s="96">
        <v>69.0</v>
      </c>
      <c r="B72" s="98" t="str">
        <f t="shared" si="4"/>
        <v>AE0258</v>
      </c>
      <c r="C72" s="99" t="str">
        <f t="shared" si="1"/>
        <v>AE0259</v>
      </c>
      <c r="D72" s="99" t="str">
        <f t="shared" si="5"/>
        <v>AD7B56</v>
      </c>
      <c r="E72" s="99" t="str">
        <f t="shared" si="2"/>
        <v>AD7B57</v>
      </c>
      <c r="F72" s="98" t="str">
        <f t="shared" si="6"/>
        <v>AE03B6</v>
      </c>
      <c r="G72" s="99" t="str">
        <f t="shared" si="3"/>
        <v>AE03B7</v>
      </c>
      <c r="H72" s="101"/>
      <c r="I72" s="107"/>
      <c r="J72" s="62"/>
      <c r="K72" s="58"/>
      <c r="L72" s="102"/>
      <c r="M72" s="103"/>
      <c r="N72" s="62"/>
      <c r="O72" s="101"/>
      <c r="P72" s="58"/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62"/>
    </row>
    <row r="73">
      <c r="A73" s="96">
        <v>70.0</v>
      </c>
      <c r="B73" s="98" t="str">
        <f t="shared" si="4"/>
        <v>AE025A</v>
      </c>
      <c r="C73" s="99" t="str">
        <f t="shared" si="1"/>
        <v>AE025B</v>
      </c>
      <c r="D73" s="99" t="str">
        <f t="shared" si="5"/>
        <v>AD7B58</v>
      </c>
      <c r="E73" s="99" t="str">
        <f t="shared" si="2"/>
        <v>AD7B59</v>
      </c>
      <c r="F73" s="98" t="str">
        <f t="shared" si="6"/>
        <v>AE03B8</v>
      </c>
      <c r="G73" s="99" t="str">
        <f t="shared" si="3"/>
        <v>AE03B9</v>
      </c>
      <c r="H73" s="101"/>
      <c r="I73" s="107"/>
      <c r="J73" s="62"/>
      <c r="K73" s="58"/>
      <c r="L73" s="102"/>
      <c r="M73" s="103"/>
      <c r="N73" s="62"/>
      <c r="O73" s="101"/>
      <c r="P73" s="58"/>
      <c r="Q73" s="62"/>
      <c r="R73" s="62"/>
      <c r="S73" s="62"/>
      <c r="T73" s="62"/>
      <c r="U73" s="62"/>
      <c r="V73" s="62"/>
      <c r="W73" s="62"/>
      <c r="X73" s="62"/>
      <c r="Y73" s="62"/>
      <c r="Z73" s="62"/>
      <c r="AA73" s="62"/>
    </row>
    <row r="74">
      <c r="A74" s="96">
        <v>71.0</v>
      </c>
      <c r="B74" s="98" t="str">
        <f t="shared" si="4"/>
        <v>AE025C</v>
      </c>
      <c r="C74" s="99" t="str">
        <f t="shared" si="1"/>
        <v>AE025D</v>
      </c>
      <c r="D74" s="99" t="str">
        <f t="shared" si="5"/>
        <v>AD7B5A</v>
      </c>
      <c r="E74" s="99" t="str">
        <f t="shared" si="2"/>
        <v>AD7B5B</v>
      </c>
      <c r="F74" s="98" t="str">
        <f t="shared" si="6"/>
        <v>AE03BA</v>
      </c>
      <c r="G74" s="99" t="str">
        <f t="shared" si="3"/>
        <v>AE03BB</v>
      </c>
      <c r="H74" s="101"/>
      <c r="I74" s="107"/>
      <c r="J74" s="62"/>
      <c r="K74" s="58"/>
      <c r="L74" s="102"/>
      <c r="M74" s="103"/>
      <c r="N74" s="62"/>
      <c r="O74" s="101"/>
      <c r="P74" s="58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</row>
    <row r="75">
      <c r="A75" s="96">
        <v>72.0</v>
      </c>
      <c r="B75" s="98" t="str">
        <f t="shared" si="4"/>
        <v>AE025E</v>
      </c>
      <c r="C75" s="99" t="str">
        <f t="shared" si="1"/>
        <v>AE025F</v>
      </c>
      <c r="D75" s="99" t="str">
        <f t="shared" si="5"/>
        <v>AD7B5C</v>
      </c>
      <c r="E75" s="99" t="str">
        <f t="shared" si="2"/>
        <v>AD7B5D</v>
      </c>
      <c r="F75" s="98" t="str">
        <f t="shared" si="6"/>
        <v>AE03BC</v>
      </c>
      <c r="G75" s="99" t="str">
        <f t="shared" si="3"/>
        <v>AE03BD</v>
      </c>
      <c r="H75" s="101"/>
      <c r="I75" s="107"/>
      <c r="J75" s="62"/>
      <c r="K75" s="58"/>
      <c r="L75" s="102"/>
      <c r="M75" s="103"/>
      <c r="N75" s="62"/>
      <c r="O75" s="101"/>
      <c r="P75" s="58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</row>
    <row r="76">
      <c r="A76" s="96">
        <v>73.0</v>
      </c>
      <c r="B76" s="98" t="str">
        <f t="shared" si="4"/>
        <v>AE0260</v>
      </c>
      <c r="C76" s="99" t="str">
        <f t="shared" si="1"/>
        <v>AE0261</v>
      </c>
      <c r="D76" s="99" t="str">
        <f t="shared" si="5"/>
        <v>AD7B5E</v>
      </c>
      <c r="E76" s="99" t="str">
        <f t="shared" si="2"/>
        <v>AD7B5F</v>
      </c>
      <c r="F76" s="98" t="str">
        <f t="shared" si="6"/>
        <v>AE03BE</v>
      </c>
      <c r="G76" s="99" t="str">
        <f t="shared" si="3"/>
        <v>AE03BF</v>
      </c>
      <c r="H76" s="101"/>
      <c r="I76" s="107"/>
      <c r="J76" s="62"/>
      <c r="K76" s="58"/>
      <c r="L76" s="102"/>
      <c r="M76" s="103"/>
      <c r="N76" s="62"/>
      <c r="O76" s="101"/>
      <c r="P76" s="58"/>
      <c r="Q76" s="58"/>
      <c r="R76" s="62"/>
      <c r="S76" s="62"/>
      <c r="T76" s="62"/>
      <c r="U76" s="62"/>
      <c r="V76" s="62"/>
      <c r="W76" s="62"/>
      <c r="X76" s="62"/>
      <c r="Y76" s="62"/>
      <c r="Z76" s="62"/>
      <c r="AA76" s="62"/>
    </row>
    <row r="77">
      <c r="A77" s="96">
        <v>74.0</v>
      </c>
      <c r="B77" s="98" t="str">
        <f t="shared" si="4"/>
        <v>AE0262</v>
      </c>
      <c r="C77" s="99" t="str">
        <f t="shared" si="1"/>
        <v>AE0263</v>
      </c>
      <c r="D77" s="99" t="str">
        <f t="shared" si="5"/>
        <v>AD7B60</v>
      </c>
      <c r="E77" s="99" t="str">
        <f t="shared" si="2"/>
        <v>AD7B61</v>
      </c>
      <c r="F77" s="98" t="str">
        <f t="shared" si="6"/>
        <v>AE03C0</v>
      </c>
      <c r="G77" s="99" t="str">
        <f t="shared" si="3"/>
        <v>AE03C1</v>
      </c>
      <c r="H77" s="101"/>
      <c r="I77" s="107"/>
      <c r="J77" s="62"/>
      <c r="K77" s="58"/>
      <c r="L77" s="102"/>
      <c r="M77" s="103"/>
      <c r="N77" s="62"/>
      <c r="O77" s="101"/>
      <c r="P77" s="58"/>
      <c r="Q77" s="58"/>
      <c r="R77" s="62"/>
      <c r="S77" s="62"/>
      <c r="T77" s="62"/>
      <c r="U77" s="62"/>
      <c r="V77" s="62"/>
      <c r="W77" s="62"/>
      <c r="X77" s="62"/>
      <c r="Y77" s="62"/>
      <c r="Z77" s="62"/>
      <c r="AA77" s="62"/>
    </row>
    <row r="78">
      <c r="A78" s="96">
        <v>75.0</v>
      </c>
      <c r="B78" s="98" t="str">
        <f t="shared" si="4"/>
        <v>AE0264</v>
      </c>
      <c r="C78" s="99" t="str">
        <f t="shared" si="1"/>
        <v>AE0265</v>
      </c>
      <c r="D78" s="99" t="str">
        <f t="shared" si="5"/>
        <v>AD7B62</v>
      </c>
      <c r="E78" s="99" t="str">
        <f t="shared" si="2"/>
        <v>AD7B63</v>
      </c>
      <c r="F78" s="98" t="str">
        <f t="shared" si="6"/>
        <v>AE03C2</v>
      </c>
      <c r="G78" s="99" t="str">
        <f t="shared" si="3"/>
        <v>AE03C3</v>
      </c>
      <c r="H78" s="101"/>
      <c r="I78" s="107"/>
      <c r="J78" s="62"/>
      <c r="K78" s="58"/>
      <c r="L78" s="102"/>
      <c r="M78" s="103"/>
      <c r="N78" s="62"/>
      <c r="O78" s="101"/>
      <c r="P78" s="58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</row>
    <row r="79">
      <c r="A79" s="96">
        <v>76.0</v>
      </c>
      <c r="B79" s="98" t="str">
        <f t="shared" si="4"/>
        <v>AE0266</v>
      </c>
      <c r="C79" s="99" t="str">
        <f t="shared" si="1"/>
        <v>AE0267</v>
      </c>
      <c r="D79" s="99" t="str">
        <f t="shared" si="5"/>
        <v>AD7B64</v>
      </c>
      <c r="E79" s="99" t="str">
        <f t="shared" si="2"/>
        <v>AD7B65</v>
      </c>
      <c r="F79" s="98" t="str">
        <f t="shared" si="6"/>
        <v>AE03C4</v>
      </c>
      <c r="G79" s="99" t="str">
        <f t="shared" si="3"/>
        <v>AE03C5</v>
      </c>
      <c r="H79" s="101"/>
      <c r="I79" s="107"/>
      <c r="J79" s="62"/>
      <c r="K79" s="58"/>
      <c r="L79" s="102"/>
      <c r="M79" s="103"/>
      <c r="N79" s="62"/>
      <c r="O79" s="101"/>
      <c r="P79" s="58"/>
      <c r="Q79" s="62"/>
      <c r="R79" s="62"/>
      <c r="S79" s="62"/>
      <c r="T79" s="62"/>
      <c r="U79" s="62"/>
      <c r="V79" s="62"/>
      <c r="W79" s="62"/>
      <c r="X79" s="62"/>
      <c r="Y79" s="62"/>
      <c r="Z79" s="62"/>
      <c r="AA79" s="62"/>
    </row>
    <row r="80">
      <c r="A80" s="96">
        <v>77.0</v>
      </c>
      <c r="B80" s="98" t="str">
        <f t="shared" si="4"/>
        <v>AE0268</v>
      </c>
      <c r="C80" s="99" t="str">
        <f t="shared" si="1"/>
        <v>AE0269</v>
      </c>
      <c r="D80" s="99" t="str">
        <f t="shared" si="5"/>
        <v>AD7B66</v>
      </c>
      <c r="E80" s="99" t="str">
        <f t="shared" si="2"/>
        <v>AD7B67</v>
      </c>
      <c r="F80" s="98" t="str">
        <f t="shared" si="6"/>
        <v>AE03C6</v>
      </c>
      <c r="G80" s="99" t="str">
        <f t="shared" si="3"/>
        <v>AE03C7</v>
      </c>
      <c r="H80" s="101"/>
      <c r="I80" s="107"/>
      <c r="J80" s="62"/>
      <c r="K80" s="58"/>
      <c r="L80" s="102"/>
      <c r="M80" s="103"/>
      <c r="N80" s="62"/>
      <c r="O80" s="101"/>
      <c r="P80" s="58"/>
      <c r="Q80" s="58"/>
      <c r="R80" s="62"/>
      <c r="S80" s="62"/>
      <c r="T80" s="62"/>
      <c r="U80" s="62"/>
      <c r="V80" s="62"/>
      <c r="W80" s="62"/>
      <c r="X80" s="62"/>
      <c r="Y80" s="62"/>
      <c r="Z80" s="62"/>
      <c r="AA80" s="62"/>
    </row>
    <row r="81">
      <c r="A81" s="96">
        <v>78.0</v>
      </c>
      <c r="B81" s="98" t="str">
        <f t="shared" si="4"/>
        <v>AE026A</v>
      </c>
      <c r="C81" s="99" t="str">
        <f t="shared" si="1"/>
        <v>AE026B</v>
      </c>
      <c r="D81" s="99" t="str">
        <f t="shared" si="5"/>
        <v>AD7B68</v>
      </c>
      <c r="E81" s="99" t="str">
        <f t="shared" si="2"/>
        <v>AD7B69</v>
      </c>
      <c r="F81" s="98" t="str">
        <f t="shared" si="6"/>
        <v>AE03C8</v>
      </c>
      <c r="G81" s="99" t="str">
        <f t="shared" si="3"/>
        <v>AE03C9</v>
      </c>
      <c r="H81" s="101"/>
      <c r="I81" s="107"/>
      <c r="J81" s="62"/>
      <c r="K81" s="58"/>
      <c r="L81" s="102"/>
      <c r="M81" s="103"/>
      <c r="N81" s="62"/>
      <c r="O81" s="101"/>
      <c r="P81" s="58"/>
      <c r="Q81" s="58"/>
      <c r="R81" s="62"/>
      <c r="S81" s="62"/>
      <c r="T81" s="62"/>
      <c r="U81" s="62"/>
      <c r="V81" s="62"/>
      <c r="W81" s="62"/>
      <c r="X81" s="62"/>
      <c r="Y81" s="62"/>
      <c r="Z81" s="62"/>
      <c r="AA81" s="62"/>
    </row>
    <row r="82">
      <c r="A82" s="96">
        <v>79.0</v>
      </c>
      <c r="B82" s="98" t="str">
        <f t="shared" si="4"/>
        <v>AE026C</v>
      </c>
      <c r="C82" s="99" t="str">
        <f t="shared" si="1"/>
        <v>AE026D</v>
      </c>
      <c r="D82" s="99" t="str">
        <f t="shared" si="5"/>
        <v>AD7B6A</v>
      </c>
      <c r="E82" s="99" t="str">
        <f t="shared" si="2"/>
        <v>AD7B6B</v>
      </c>
      <c r="F82" s="98" t="str">
        <f t="shared" si="6"/>
        <v>AE03CA</v>
      </c>
      <c r="G82" s="99" t="str">
        <f t="shared" si="3"/>
        <v>AE03CB</v>
      </c>
      <c r="H82" s="101"/>
      <c r="I82" s="107"/>
      <c r="J82" s="62"/>
      <c r="K82" s="58"/>
      <c r="L82" s="102"/>
      <c r="M82" s="103"/>
      <c r="N82" s="62"/>
      <c r="O82" s="101"/>
      <c r="P82" s="58"/>
      <c r="Q82" s="58"/>
      <c r="R82" s="62"/>
      <c r="S82" s="62"/>
      <c r="T82" s="62"/>
      <c r="U82" s="62"/>
      <c r="V82" s="62"/>
      <c r="W82" s="62"/>
      <c r="X82" s="62"/>
      <c r="Y82" s="62"/>
      <c r="Z82" s="62"/>
      <c r="AA82" s="62"/>
    </row>
    <row r="83">
      <c r="A83" s="96">
        <v>80.0</v>
      </c>
      <c r="B83" s="98" t="str">
        <f t="shared" si="4"/>
        <v>AE026E</v>
      </c>
      <c r="C83" s="99" t="str">
        <f t="shared" si="1"/>
        <v>AE026F</v>
      </c>
      <c r="D83" s="99" t="str">
        <f t="shared" si="5"/>
        <v>AD7B6C</v>
      </c>
      <c r="E83" s="99" t="str">
        <f t="shared" si="2"/>
        <v>AD7B6D</v>
      </c>
      <c r="F83" s="98" t="str">
        <f t="shared" si="6"/>
        <v>AE03CC</v>
      </c>
      <c r="G83" s="99" t="str">
        <f t="shared" si="3"/>
        <v>AE03CD</v>
      </c>
      <c r="H83" s="101"/>
      <c r="I83" s="107"/>
      <c r="J83" s="62"/>
      <c r="K83" s="58"/>
      <c r="L83" s="102"/>
      <c r="M83" s="103"/>
      <c r="N83" s="62"/>
      <c r="O83" s="101"/>
      <c r="P83" s="58"/>
      <c r="Q83" s="58"/>
      <c r="R83" s="62"/>
      <c r="S83" s="62"/>
      <c r="T83" s="62"/>
      <c r="U83" s="62"/>
      <c r="V83" s="62"/>
      <c r="W83" s="62"/>
      <c r="X83" s="62"/>
      <c r="Y83" s="62"/>
      <c r="Z83" s="62"/>
      <c r="AA83" s="62"/>
    </row>
    <row r="84">
      <c r="A84" s="96">
        <v>81.0</v>
      </c>
      <c r="B84" s="98" t="str">
        <f t="shared" si="4"/>
        <v>AE0270</v>
      </c>
      <c r="C84" s="99" t="str">
        <f t="shared" si="1"/>
        <v>AE0271</v>
      </c>
      <c r="D84" s="99" t="str">
        <f t="shared" si="5"/>
        <v>AD7B6E</v>
      </c>
      <c r="E84" s="99" t="str">
        <f t="shared" si="2"/>
        <v>AD7B6F</v>
      </c>
      <c r="F84" s="98" t="str">
        <f t="shared" si="6"/>
        <v>AE03CE</v>
      </c>
      <c r="G84" s="99" t="str">
        <f t="shared" si="3"/>
        <v>AE03CF</v>
      </c>
      <c r="H84" s="101"/>
      <c r="I84" s="107"/>
      <c r="J84" s="62"/>
      <c r="K84" s="58"/>
      <c r="L84" s="102"/>
      <c r="M84" s="103"/>
      <c r="N84" s="62"/>
      <c r="O84" s="101"/>
      <c r="P84" s="58"/>
      <c r="Q84" s="58"/>
      <c r="R84" s="62"/>
      <c r="S84" s="62"/>
      <c r="T84" s="62"/>
      <c r="U84" s="62"/>
      <c r="V84" s="62"/>
      <c r="W84" s="62"/>
      <c r="X84" s="62"/>
      <c r="Y84" s="62"/>
      <c r="Z84" s="62"/>
      <c r="AA84" s="62"/>
    </row>
    <row r="85">
      <c r="A85" s="96">
        <v>82.0</v>
      </c>
      <c r="B85" s="98" t="str">
        <f t="shared" si="4"/>
        <v>AE0272</v>
      </c>
      <c r="C85" s="99" t="str">
        <f t="shared" si="1"/>
        <v>AE0273</v>
      </c>
      <c r="D85" s="99" t="str">
        <f t="shared" si="5"/>
        <v>AD7B70</v>
      </c>
      <c r="E85" s="99" t="str">
        <f t="shared" si="2"/>
        <v>AD7B71</v>
      </c>
      <c r="F85" s="98" t="str">
        <f t="shared" si="6"/>
        <v>AE03D0</v>
      </c>
      <c r="G85" s="99" t="str">
        <f t="shared" si="3"/>
        <v>AE03D1</v>
      </c>
      <c r="H85" s="101"/>
      <c r="I85" s="107"/>
      <c r="J85" s="62"/>
      <c r="K85" s="58"/>
      <c r="L85" s="102"/>
      <c r="M85" s="103"/>
      <c r="N85" s="62"/>
      <c r="O85" s="101"/>
      <c r="P85" s="58"/>
      <c r="Q85" s="58"/>
      <c r="R85" s="62"/>
      <c r="S85" s="62"/>
      <c r="T85" s="62"/>
      <c r="U85" s="62"/>
      <c r="V85" s="62"/>
      <c r="W85" s="62"/>
      <c r="X85" s="62"/>
      <c r="Y85" s="62"/>
      <c r="Z85" s="62"/>
      <c r="AA85" s="62"/>
    </row>
    <row r="86">
      <c r="A86" s="96">
        <v>83.0</v>
      </c>
      <c r="B86" s="98" t="str">
        <f t="shared" si="4"/>
        <v>AE0274</v>
      </c>
      <c r="C86" s="99" t="str">
        <f t="shared" si="1"/>
        <v>AE0275</v>
      </c>
      <c r="D86" s="99" t="str">
        <f t="shared" si="5"/>
        <v>AD7B72</v>
      </c>
      <c r="E86" s="99" t="str">
        <f t="shared" si="2"/>
        <v>AD7B73</v>
      </c>
      <c r="F86" s="98" t="str">
        <f t="shared" si="6"/>
        <v>AE03D2</v>
      </c>
      <c r="G86" s="99" t="str">
        <f t="shared" si="3"/>
        <v>AE03D3</v>
      </c>
      <c r="H86" s="101"/>
      <c r="I86" s="107"/>
      <c r="J86" s="62"/>
      <c r="K86" s="58"/>
      <c r="L86" s="102"/>
      <c r="M86" s="103"/>
      <c r="N86" s="62"/>
      <c r="O86" s="101"/>
      <c r="P86" s="58"/>
      <c r="Q86" s="58"/>
      <c r="R86" s="62"/>
      <c r="S86" s="62"/>
      <c r="T86" s="62"/>
      <c r="U86" s="62"/>
      <c r="V86" s="62"/>
      <c r="W86" s="62"/>
      <c r="X86" s="62"/>
      <c r="Y86" s="62"/>
      <c r="Z86" s="62"/>
      <c r="AA86" s="62"/>
    </row>
    <row r="87">
      <c r="A87" s="96">
        <v>84.0</v>
      </c>
      <c r="B87" s="98" t="str">
        <f t="shared" si="4"/>
        <v>AE0276</v>
      </c>
      <c r="C87" s="99" t="str">
        <f t="shared" si="1"/>
        <v>AE0277</v>
      </c>
      <c r="D87" s="99" t="str">
        <f t="shared" si="5"/>
        <v>AD7B74</v>
      </c>
      <c r="E87" s="99" t="str">
        <f t="shared" si="2"/>
        <v>AD7B75</v>
      </c>
      <c r="F87" s="98" t="str">
        <f t="shared" si="6"/>
        <v>AE03D4</v>
      </c>
      <c r="G87" s="99" t="str">
        <f t="shared" si="3"/>
        <v>AE03D5</v>
      </c>
      <c r="H87" s="101"/>
      <c r="I87" s="107"/>
      <c r="J87" s="62"/>
      <c r="K87" s="58"/>
      <c r="L87" s="102"/>
      <c r="M87" s="103"/>
      <c r="N87" s="62"/>
      <c r="O87" s="101"/>
      <c r="P87" s="58"/>
      <c r="Q87" s="58"/>
      <c r="R87" s="62"/>
      <c r="S87" s="62"/>
      <c r="T87" s="62"/>
      <c r="U87" s="62"/>
      <c r="V87" s="62"/>
      <c r="W87" s="62"/>
      <c r="X87" s="62"/>
      <c r="Y87" s="62"/>
      <c r="Z87" s="62"/>
      <c r="AA87" s="62"/>
    </row>
    <row r="88">
      <c r="A88" s="96">
        <v>85.0</v>
      </c>
      <c r="B88" s="98" t="str">
        <f t="shared" si="4"/>
        <v>AE0278</v>
      </c>
      <c r="C88" s="99" t="str">
        <f t="shared" si="1"/>
        <v>AE0279</v>
      </c>
      <c r="D88" s="99" t="str">
        <f t="shared" si="5"/>
        <v>AD7B76</v>
      </c>
      <c r="E88" s="99" t="str">
        <f t="shared" si="2"/>
        <v>AD7B77</v>
      </c>
      <c r="F88" s="98" t="str">
        <f t="shared" si="6"/>
        <v>AE03D6</v>
      </c>
      <c r="G88" s="99" t="str">
        <f t="shared" si="3"/>
        <v>AE03D7</v>
      </c>
      <c r="H88" s="101"/>
      <c r="I88" s="107"/>
      <c r="J88" s="62"/>
      <c r="K88" s="58"/>
      <c r="L88" s="102"/>
      <c r="M88" s="103"/>
      <c r="N88" s="62"/>
      <c r="O88" s="101"/>
      <c r="P88" s="58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</row>
    <row r="89">
      <c r="A89" s="96">
        <v>86.0</v>
      </c>
      <c r="B89" s="98" t="str">
        <f t="shared" si="4"/>
        <v>AE027A</v>
      </c>
      <c r="C89" s="99" t="str">
        <f t="shared" si="1"/>
        <v>AE027B</v>
      </c>
      <c r="D89" s="99" t="str">
        <f t="shared" si="5"/>
        <v>AD7B78</v>
      </c>
      <c r="E89" s="99" t="str">
        <f t="shared" si="2"/>
        <v>AD7B79</v>
      </c>
      <c r="F89" s="98" t="str">
        <f t="shared" si="6"/>
        <v>AE03D8</v>
      </c>
      <c r="G89" s="99" t="str">
        <f t="shared" si="3"/>
        <v>AE03D9</v>
      </c>
      <c r="H89" s="101"/>
      <c r="I89" s="107"/>
      <c r="J89" s="62"/>
      <c r="K89" s="58"/>
      <c r="L89" s="102"/>
      <c r="M89" s="103"/>
      <c r="N89" s="62"/>
      <c r="O89" s="101"/>
      <c r="P89" s="58"/>
      <c r="Q89" s="58"/>
      <c r="R89" s="58"/>
      <c r="S89" s="62"/>
      <c r="T89" s="62"/>
      <c r="U89" s="62"/>
      <c r="V89" s="62"/>
      <c r="W89" s="62"/>
      <c r="X89" s="62"/>
      <c r="Y89" s="62"/>
      <c r="Z89" s="62"/>
      <c r="AA89" s="62"/>
    </row>
    <row r="90">
      <c r="A90" s="96">
        <v>87.0</v>
      </c>
      <c r="B90" s="98" t="str">
        <f t="shared" si="4"/>
        <v>AE027C</v>
      </c>
      <c r="C90" s="99" t="str">
        <f t="shared" si="1"/>
        <v>AE027D</v>
      </c>
      <c r="D90" s="99" t="str">
        <f t="shared" si="5"/>
        <v>AD7B7A</v>
      </c>
      <c r="E90" s="99" t="str">
        <f t="shared" si="2"/>
        <v>AD7B7B</v>
      </c>
      <c r="F90" s="98" t="str">
        <f t="shared" si="6"/>
        <v>AE03DA</v>
      </c>
      <c r="G90" s="99" t="str">
        <f t="shared" si="3"/>
        <v>AE03DB</v>
      </c>
      <c r="H90" s="101"/>
      <c r="I90" s="107"/>
      <c r="J90" s="62"/>
      <c r="K90" s="58"/>
      <c r="L90" s="102"/>
      <c r="M90" s="103"/>
      <c r="N90" s="62"/>
      <c r="O90" s="101"/>
      <c r="P90" s="58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</row>
    <row r="91">
      <c r="A91" s="96">
        <v>88.0</v>
      </c>
      <c r="B91" s="98" t="str">
        <f t="shared" si="4"/>
        <v>AE027E</v>
      </c>
      <c r="C91" s="99" t="str">
        <f t="shared" si="1"/>
        <v>AE027F</v>
      </c>
      <c r="D91" s="99" t="str">
        <f t="shared" si="5"/>
        <v>AD7B7C</v>
      </c>
      <c r="E91" s="99" t="str">
        <f t="shared" si="2"/>
        <v>AD7B7D</v>
      </c>
      <c r="F91" s="98" t="str">
        <f t="shared" si="6"/>
        <v>AE03DC</v>
      </c>
      <c r="G91" s="99" t="str">
        <f t="shared" si="3"/>
        <v>AE03DD</v>
      </c>
      <c r="H91" s="101"/>
      <c r="I91" s="107"/>
      <c r="J91" s="62"/>
      <c r="K91" s="58"/>
      <c r="L91" s="102"/>
      <c r="M91" s="103"/>
      <c r="N91" s="62"/>
      <c r="O91" s="101"/>
      <c r="P91" s="58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</row>
    <row r="92">
      <c r="A92" s="96">
        <v>89.0</v>
      </c>
      <c r="B92" s="98" t="str">
        <f t="shared" si="4"/>
        <v>AE0280</v>
      </c>
      <c r="C92" s="99" t="str">
        <f t="shared" si="1"/>
        <v>AE0281</v>
      </c>
      <c r="D92" s="99" t="str">
        <f t="shared" si="5"/>
        <v>AD7B7E</v>
      </c>
      <c r="E92" s="99" t="str">
        <f t="shared" si="2"/>
        <v>AD7B7F</v>
      </c>
      <c r="F92" s="98" t="str">
        <f t="shared" si="6"/>
        <v>AE03DE</v>
      </c>
      <c r="G92" s="99" t="str">
        <f t="shared" si="3"/>
        <v>AE03DF</v>
      </c>
      <c r="H92" s="101"/>
      <c r="I92" s="107"/>
      <c r="J92" s="62"/>
      <c r="K92" s="58"/>
      <c r="L92" s="102"/>
      <c r="M92" s="103"/>
      <c r="N92" s="62"/>
      <c r="O92" s="101"/>
      <c r="P92" s="58"/>
      <c r="Q92" s="58"/>
      <c r="R92" s="62"/>
      <c r="S92" s="62"/>
      <c r="T92" s="62"/>
      <c r="U92" s="62"/>
      <c r="V92" s="62"/>
      <c r="W92" s="62"/>
      <c r="X92" s="62"/>
      <c r="Y92" s="62"/>
      <c r="Z92" s="62"/>
      <c r="AA92" s="62"/>
    </row>
    <row r="93">
      <c r="A93" s="96">
        <v>90.0</v>
      </c>
      <c r="B93" s="98" t="str">
        <f t="shared" si="4"/>
        <v>AE0282</v>
      </c>
      <c r="C93" s="99" t="str">
        <f t="shared" si="1"/>
        <v>AE0283</v>
      </c>
      <c r="D93" s="99" t="str">
        <f t="shared" si="5"/>
        <v>AD7B80</v>
      </c>
      <c r="E93" s="99" t="str">
        <f t="shared" si="2"/>
        <v>AD7B81</v>
      </c>
      <c r="F93" s="98" t="str">
        <f t="shared" si="6"/>
        <v>AE03E0</v>
      </c>
      <c r="G93" s="99" t="str">
        <f t="shared" si="3"/>
        <v>AE03E1</v>
      </c>
      <c r="H93" s="101"/>
      <c r="I93" s="107"/>
      <c r="J93" s="62"/>
      <c r="K93" s="58"/>
      <c r="L93" s="102"/>
      <c r="M93" s="103"/>
      <c r="N93" s="62"/>
      <c r="O93" s="101"/>
      <c r="P93" s="58"/>
      <c r="Q93" s="58"/>
      <c r="R93" s="62"/>
      <c r="S93" s="62"/>
      <c r="T93" s="62"/>
      <c r="U93" s="62"/>
      <c r="V93" s="62"/>
      <c r="W93" s="62"/>
      <c r="X93" s="62"/>
      <c r="Y93" s="62"/>
      <c r="Z93" s="62"/>
      <c r="AA93" s="62"/>
    </row>
    <row r="94">
      <c r="A94" s="96">
        <v>91.0</v>
      </c>
      <c r="B94" s="98" t="str">
        <f t="shared" si="4"/>
        <v>AE0284</v>
      </c>
      <c r="C94" s="99" t="str">
        <f t="shared" si="1"/>
        <v>AE0285</v>
      </c>
      <c r="D94" s="99" t="str">
        <f t="shared" si="5"/>
        <v>AD7B82</v>
      </c>
      <c r="E94" s="99" t="str">
        <f t="shared" si="2"/>
        <v>AD7B83</v>
      </c>
      <c r="F94" s="98" t="str">
        <f t="shared" si="6"/>
        <v>AE03E2</v>
      </c>
      <c r="G94" s="99" t="str">
        <f t="shared" si="3"/>
        <v>AE03E3</v>
      </c>
      <c r="H94" s="101"/>
      <c r="I94" s="107"/>
      <c r="J94" s="62"/>
      <c r="K94" s="58"/>
      <c r="L94" s="102"/>
      <c r="M94" s="103"/>
      <c r="N94" s="62"/>
      <c r="O94" s="101"/>
      <c r="P94" s="58"/>
      <c r="Q94" s="58"/>
      <c r="R94" s="58"/>
      <c r="S94" s="62"/>
      <c r="T94" s="62"/>
      <c r="U94" s="62"/>
      <c r="V94" s="62"/>
      <c r="W94" s="62"/>
      <c r="X94" s="62"/>
      <c r="Y94" s="62"/>
      <c r="Z94" s="62"/>
      <c r="AA94" s="62"/>
    </row>
    <row r="95">
      <c r="A95" s="96">
        <v>92.0</v>
      </c>
      <c r="B95" s="98" t="str">
        <f t="shared" si="4"/>
        <v>AE0286</v>
      </c>
      <c r="C95" s="99" t="str">
        <f t="shared" si="1"/>
        <v>AE0287</v>
      </c>
      <c r="D95" s="99" t="str">
        <f t="shared" si="5"/>
        <v>AD7B84</v>
      </c>
      <c r="E95" s="99" t="str">
        <f t="shared" si="2"/>
        <v>AD7B85</v>
      </c>
      <c r="F95" s="98" t="str">
        <f t="shared" si="6"/>
        <v>AE03E4</v>
      </c>
      <c r="G95" s="99" t="str">
        <f t="shared" si="3"/>
        <v>AE03E5</v>
      </c>
      <c r="H95" s="101"/>
      <c r="I95" s="107"/>
      <c r="J95" s="62"/>
      <c r="K95" s="58"/>
      <c r="L95" s="102"/>
      <c r="M95" s="103"/>
      <c r="N95" s="62"/>
      <c r="O95" s="101"/>
      <c r="P95" s="58"/>
      <c r="Q95" s="58"/>
      <c r="R95" s="62"/>
      <c r="S95" s="62"/>
      <c r="T95" s="62"/>
      <c r="U95" s="62"/>
      <c r="V95" s="62"/>
      <c r="W95" s="62"/>
      <c r="X95" s="62"/>
      <c r="Y95" s="62"/>
      <c r="Z95" s="62"/>
      <c r="AA95" s="62"/>
    </row>
    <row r="96">
      <c r="A96" s="96">
        <v>93.0</v>
      </c>
      <c r="B96" s="98" t="str">
        <f t="shared" si="4"/>
        <v>AE0288</v>
      </c>
      <c r="C96" s="99" t="str">
        <f t="shared" si="1"/>
        <v>AE0289</v>
      </c>
      <c r="D96" s="99" t="str">
        <f t="shared" si="5"/>
        <v>AD7B86</v>
      </c>
      <c r="E96" s="99" t="str">
        <f t="shared" si="2"/>
        <v>AD7B87</v>
      </c>
      <c r="F96" s="98" t="str">
        <f t="shared" si="6"/>
        <v>AE03E6</v>
      </c>
      <c r="G96" s="99" t="str">
        <f t="shared" si="3"/>
        <v>AE03E7</v>
      </c>
      <c r="H96" s="101"/>
      <c r="I96" s="107"/>
      <c r="J96" s="62"/>
      <c r="K96" s="58"/>
      <c r="L96" s="102"/>
      <c r="M96" s="103"/>
      <c r="N96" s="62"/>
      <c r="O96" s="101"/>
      <c r="P96" s="58"/>
      <c r="Q96" s="58"/>
      <c r="R96" s="62"/>
      <c r="S96" s="62"/>
      <c r="T96" s="62"/>
      <c r="U96" s="62"/>
      <c r="V96" s="62"/>
      <c r="W96" s="62"/>
      <c r="X96" s="62"/>
      <c r="Y96" s="62"/>
      <c r="Z96" s="62"/>
      <c r="AA96" s="62"/>
    </row>
    <row r="97">
      <c r="A97" s="96">
        <v>94.0</v>
      </c>
      <c r="B97" s="98" t="str">
        <f t="shared" si="4"/>
        <v>AE028A</v>
      </c>
      <c r="C97" s="99" t="str">
        <f t="shared" si="1"/>
        <v>AE028B</v>
      </c>
      <c r="D97" s="99" t="str">
        <f t="shared" si="5"/>
        <v>AD7B88</v>
      </c>
      <c r="E97" s="99" t="str">
        <f t="shared" si="2"/>
        <v>AD7B89</v>
      </c>
      <c r="F97" s="98" t="str">
        <f t="shared" si="6"/>
        <v>AE03E8</v>
      </c>
      <c r="G97" s="99" t="str">
        <f t="shared" si="3"/>
        <v>AE03E9</v>
      </c>
      <c r="H97" s="101"/>
      <c r="I97" s="107"/>
      <c r="J97" s="62"/>
      <c r="K97" s="58"/>
      <c r="L97" s="102"/>
      <c r="M97" s="103"/>
      <c r="N97" s="62"/>
      <c r="O97" s="101"/>
      <c r="P97" s="58"/>
      <c r="Q97" s="58"/>
      <c r="R97" s="62"/>
      <c r="S97" s="62"/>
      <c r="T97" s="62"/>
      <c r="U97" s="62"/>
      <c r="V97" s="62"/>
      <c r="W97" s="62"/>
      <c r="X97" s="62"/>
      <c r="Y97" s="62"/>
      <c r="Z97" s="62"/>
      <c r="AA97" s="62"/>
    </row>
    <row r="98">
      <c r="A98" s="96">
        <v>95.0</v>
      </c>
      <c r="B98" s="98" t="str">
        <f t="shared" si="4"/>
        <v>AE028C</v>
      </c>
      <c r="C98" s="99" t="str">
        <f t="shared" si="1"/>
        <v>AE028D</v>
      </c>
      <c r="D98" s="99" t="str">
        <f t="shared" si="5"/>
        <v>AD7B8A</v>
      </c>
      <c r="E98" s="99" t="str">
        <f t="shared" si="2"/>
        <v>AD7B8B</v>
      </c>
      <c r="F98" s="98" t="str">
        <f t="shared" si="6"/>
        <v>AE03EA</v>
      </c>
      <c r="G98" s="99" t="str">
        <f t="shared" si="3"/>
        <v>AE03EB</v>
      </c>
      <c r="H98" s="101"/>
      <c r="I98" s="107"/>
      <c r="J98" s="62"/>
      <c r="K98" s="58"/>
      <c r="L98" s="102"/>
      <c r="M98" s="103"/>
      <c r="N98" s="62"/>
      <c r="O98" s="101"/>
      <c r="P98" s="58"/>
      <c r="Q98" s="58"/>
      <c r="R98" s="62"/>
      <c r="S98" s="62"/>
      <c r="T98" s="62"/>
      <c r="U98" s="62"/>
      <c r="V98" s="62"/>
      <c r="W98" s="62"/>
      <c r="X98" s="62"/>
      <c r="Y98" s="62"/>
      <c r="Z98" s="62"/>
      <c r="AA98" s="62"/>
    </row>
    <row r="99">
      <c r="A99" s="96">
        <v>96.0</v>
      </c>
      <c r="B99" s="98" t="str">
        <f t="shared" si="4"/>
        <v>AE028E</v>
      </c>
      <c r="C99" s="99" t="str">
        <f t="shared" si="1"/>
        <v>AE028F</v>
      </c>
      <c r="D99" s="99" t="str">
        <f t="shared" si="5"/>
        <v>AD7B8C</v>
      </c>
      <c r="E99" s="99" t="str">
        <f t="shared" si="2"/>
        <v>AD7B8D</v>
      </c>
      <c r="F99" s="98" t="str">
        <f t="shared" si="6"/>
        <v>AE03EC</v>
      </c>
      <c r="G99" s="99" t="str">
        <f t="shared" si="3"/>
        <v>AE03ED</v>
      </c>
      <c r="H99" s="101"/>
      <c r="I99" s="107"/>
      <c r="J99" s="62"/>
      <c r="K99" s="58"/>
      <c r="L99" s="102"/>
      <c r="M99" s="103"/>
      <c r="N99" s="62"/>
      <c r="O99" s="101"/>
      <c r="P99" s="58"/>
      <c r="Q99" s="62"/>
      <c r="R99" s="62"/>
      <c r="S99" s="62"/>
      <c r="T99" s="62"/>
      <c r="U99" s="62"/>
      <c r="V99" s="62"/>
      <c r="W99" s="62"/>
      <c r="X99" s="62"/>
      <c r="Y99" s="62"/>
      <c r="Z99" s="62"/>
      <c r="AA99" s="62"/>
    </row>
    <row r="100">
      <c r="A100" s="96">
        <v>97.0</v>
      </c>
      <c r="B100" s="98" t="str">
        <f t="shared" si="4"/>
        <v>AE0290</v>
      </c>
      <c r="C100" s="99" t="str">
        <f t="shared" si="1"/>
        <v>AE0291</v>
      </c>
      <c r="D100" s="99" t="str">
        <f t="shared" si="5"/>
        <v>AD7B8E</v>
      </c>
      <c r="E100" s="99" t="str">
        <f t="shared" si="2"/>
        <v>AD7B8F</v>
      </c>
      <c r="F100" s="98" t="str">
        <f t="shared" si="6"/>
        <v>AE03EE</v>
      </c>
      <c r="G100" s="99" t="str">
        <f t="shared" si="3"/>
        <v>AE03EF</v>
      </c>
      <c r="H100" s="101"/>
      <c r="I100" s="107"/>
      <c r="J100" s="62"/>
      <c r="K100" s="58"/>
      <c r="L100" s="102"/>
      <c r="M100" s="103"/>
      <c r="N100" s="62"/>
      <c r="O100" s="101"/>
      <c r="P100" s="58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</row>
    <row r="101">
      <c r="A101" s="96">
        <v>98.0</v>
      </c>
      <c r="B101" s="98" t="str">
        <f t="shared" si="4"/>
        <v>AE0292</v>
      </c>
      <c r="C101" s="99" t="str">
        <f t="shared" si="1"/>
        <v>AE0293</v>
      </c>
      <c r="D101" s="99" t="str">
        <f t="shared" si="5"/>
        <v>AD7B90</v>
      </c>
      <c r="E101" s="99" t="str">
        <f t="shared" si="2"/>
        <v>AD7B91</v>
      </c>
      <c r="F101" s="98" t="str">
        <f t="shared" si="6"/>
        <v>AE03F0</v>
      </c>
      <c r="G101" s="99" t="str">
        <f t="shared" si="3"/>
        <v>AE03F1</v>
      </c>
      <c r="H101" s="101"/>
      <c r="I101" s="107"/>
      <c r="J101" s="62"/>
      <c r="K101" s="58"/>
      <c r="L101" s="102"/>
      <c r="M101" s="103"/>
      <c r="N101" s="62"/>
      <c r="O101" s="101"/>
      <c r="P101" s="58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</row>
    <row r="102">
      <c r="A102" s="96">
        <v>99.0</v>
      </c>
      <c r="B102" s="98" t="str">
        <f t="shared" si="4"/>
        <v>AE0294</v>
      </c>
      <c r="C102" s="99" t="str">
        <f t="shared" si="1"/>
        <v>AE0295</v>
      </c>
      <c r="D102" s="99" t="str">
        <f t="shared" si="5"/>
        <v>AD7B92</v>
      </c>
      <c r="E102" s="99" t="str">
        <f t="shared" si="2"/>
        <v>AD7B93</v>
      </c>
      <c r="F102" s="98" t="str">
        <f t="shared" si="6"/>
        <v>AE03F2</v>
      </c>
      <c r="G102" s="99" t="str">
        <f t="shared" si="3"/>
        <v>AE03F3</v>
      </c>
      <c r="H102" s="101"/>
      <c r="I102" s="107"/>
      <c r="J102" s="62"/>
      <c r="K102" s="58"/>
      <c r="L102" s="102"/>
      <c r="M102" s="103"/>
      <c r="N102" s="62"/>
      <c r="O102" s="101"/>
      <c r="P102" s="58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</row>
    <row r="103">
      <c r="A103" s="96">
        <v>100.0</v>
      </c>
      <c r="B103" s="98" t="str">
        <f t="shared" si="4"/>
        <v>AE0296</v>
      </c>
      <c r="C103" s="99" t="str">
        <f t="shared" si="1"/>
        <v>AE0297</v>
      </c>
      <c r="D103" s="99" t="str">
        <f t="shared" si="5"/>
        <v>AD7B94</v>
      </c>
      <c r="E103" s="99" t="str">
        <f t="shared" si="2"/>
        <v>AD7B95</v>
      </c>
      <c r="F103" s="98" t="str">
        <f t="shared" si="6"/>
        <v>AE03F4</v>
      </c>
      <c r="G103" s="99" t="str">
        <f t="shared" si="3"/>
        <v>AE03F5</v>
      </c>
      <c r="H103" s="101"/>
      <c r="I103" s="107"/>
      <c r="J103" s="62"/>
      <c r="K103" s="58"/>
      <c r="L103" s="102"/>
      <c r="M103" s="103"/>
      <c r="N103" s="62"/>
      <c r="O103" s="101"/>
      <c r="P103" s="58"/>
      <c r="Q103" s="62"/>
      <c r="R103" s="62"/>
      <c r="S103" s="62"/>
      <c r="T103" s="62"/>
      <c r="U103" s="62"/>
      <c r="V103" s="62"/>
      <c r="W103" s="62"/>
      <c r="X103" s="62"/>
      <c r="Y103" s="62"/>
      <c r="Z103" s="62"/>
      <c r="AA103" s="62"/>
    </row>
    <row r="104">
      <c r="A104" s="96">
        <v>101.0</v>
      </c>
      <c r="B104" s="98" t="str">
        <f t="shared" si="4"/>
        <v>AE0298</v>
      </c>
      <c r="C104" s="99" t="str">
        <f t="shared" si="1"/>
        <v>AE0299</v>
      </c>
      <c r="D104" s="99" t="str">
        <f t="shared" si="5"/>
        <v>AD7B96</v>
      </c>
      <c r="E104" s="99" t="str">
        <f t="shared" si="2"/>
        <v>AD7B97</v>
      </c>
      <c r="F104" s="98" t="str">
        <f t="shared" si="6"/>
        <v>AE03F6</v>
      </c>
      <c r="G104" s="99" t="str">
        <f t="shared" si="3"/>
        <v>AE03F7</v>
      </c>
      <c r="H104" s="101"/>
      <c r="I104" s="107"/>
      <c r="J104" s="62"/>
      <c r="K104" s="58"/>
      <c r="L104" s="102"/>
      <c r="M104" s="103"/>
      <c r="N104" s="62"/>
      <c r="O104" s="101"/>
      <c r="P104" s="58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</row>
    <row r="105">
      <c r="A105" s="96">
        <v>102.0</v>
      </c>
      <c r="B105" s="98" t="str">
        <f t="shared" si="4"/>
        <v>AE029A</v>
      </c>
      <c r="C105" s="99" t="str">
        <f t="shared" si="1"/>
        <v>AE029B</v>
      </c>
      <c r="D105" s="99" t="str">
        <f t="shared" si="5"/>
        <v>AD7B98</v>
      </c>
      <c r="E105" s="99" t="str">
        <f t="shared" si="2"/>
        <v>AD7B99</v>
      </c>
      <c r="F105" s="98" t="str">
        <f t="shared" si="6"/>
        <v>AE03F8</v>
      </c>
      <c r="G105" s="99" t="str">
        <f t="shared" si="3"/>
        <v>AE03F9</v>
      </c>
      <c r="H105" s="101"/>
      <c r="I105" s="107"/>
      <c r="J105" s="62"/>
      <c r="K105" s="58"/>
      <c r="L105" s="102"/>
      <c r="M105" s="103"/>
      <c r="N105" s="62"/>
      <c r="O105" s="101"/>
      <c r="P105" s="58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</row>
    <row r="106">
      <c r="A106" s="96">
        <v>103.0</v>
      </c>
      <c r="B106" s="98" t="str">
        <f t="shared" si="4"/>
        <v>AE029C</v>
      </c>
      <c r="C106" s="99" t="str">
        <f t="shared" si="1"/>
        <v>AE029D</v>
      </c>
      <c r="D106" s="99" t="str">
        <f t="shared" si="5"/>
        <v>AD7B9A</v>
      </c>
      <c r="E106" s="99" t="str">
        <f t="shared" si="2"/>
        <v>AD7B9B</v>
      </c>
      <c r="F106" s="98" t="str">
        <f t="shared" si="6"/>
        <v>AE03FA</v>
      </c>
      <c r="G106" s="99" t="str">
        <f t="shared" si="3"/>
        <v>AE03FB</v>
      </c>
      <c r="H106" s="101"/>
      <c r="I106" s="107"/>
      <c r="J106" s="62"/>
      <c r="K106" s="58"/>
      <c r="L106" s="102"/>
      <c r="M106" s="103"/>
      <c r="N106" s="62"/>
      <c r="O106" s="101"/>
      <c r="P106" s="58"/>
      <c r="Q106" s="58"/>
      <c r="R106" s="58"/>
      <c r="S106" s="62"/>
      <c r="T106" s="62"/>
      <c r="U106" s="62"/>
      <c r="V106" s="62"/>
      <c r="W106" s="62"/>
      <c r="X106" s="62"/>
      <c r="Y106" s="62"/>
      <c r="Z106" s="62"/>
      <c r="AA106" s="62"/>
    </row>
    <row r="107">
      <c r="A107" s="96">
        <v>104.0</v>
      </c>
      <c r="B107" s="98" t="str">
        <f t="shared" si="4"/>
        <v>AE029E</v>
      </c>
      <c r="C107" s="99" t="str">
        <f t="shared" si="1"/>
        <v>AE029F</v>
      </c>
      <c r="D107" s="99" t="str">
        <f t="shared" si="5"/>
        <v>AD7B9C</v>
      </c>
      <c r="E107" s="99" t="str">
        <f t="shared" si="2"/>
        <v>AD7B9D</v>
      </c>
      <c r="F107" s="98" t="str">
        <f t="shared" si="6"/>
        <v>AE03FC</v>
      </c>
      <c r="G107" s="99" t="str">
        <f t="shared" si="3"/>
        <v>AE03FD</v>
      </c>
      <c r="H107" s="101"/>
      <c r="I107" s="107"/>
      <c r="J107" s="62"/>
      <c r="K107" s="58"/>
      <c r="L107" s="102"/>
      <c r="M107" s="103"/>
      <c r="N107" s="62"/>
      <c r="O107" s="101"/>
      <c r="P107" s="58"/>
      <c r="Q107" s="62"/>
      <c r="R107" s="62"/>
      <c r="S107" s="62"/>
      <c r="T107" s="62"/>
      <c r="U107" s="62"/>
      <c r="V107" s="62"/>
      <c r="W107" s="62"/>
      <c r="X107" s="62"/>
      <c r="Y107" s="62"/>
      <c r="Z107" s="62"/>
      <c r="AA107" s="62"/>
    </row>
    <row r="108">
      <c r="A108" s="96">
        <v>105.0</v>
      </c>
      <c r="B108" s="98" t="str">
        <f t="shared" si="4"/>
        <v>AE02A0</v>
      </c>
      <c r="C108" s="99" t="str">
        <f t="shared" si="1"/>
        <v>AE02A1</v>
      </c>
      <c r="D108" s="99" t="str">
        <f t="shared" si="5"/>
        <v>AD7B9E</v>
      </c>
      <c r="E108" s="99" t="str">
        <f t="shared" si="2"/>
        <v>AD7B9F</v>
      </c>
      <c r="F108" s="98" t="str">
        <f t="shared" si="6"/>
        <v>AE03FE</v>
      </c>
      <c r="G108" s="99" t="str">
        <f t="shared" si="3"/>
        <v>AE03FF</v>
      </c>
      <c r="H108" s="101"/>
      <c r="I108" s="107"/>
      <c r="J108" s="62"/>
      <c r="K108" s="58"/>
      <c r="L108" s="102"/>
      <c r="M108" s="103"/>
      <c r="N108" s="62"/>
      <c r="O108" s="101"/>
      <c r="P108" s="58"/>
      <c r="Q108" s="58"/>
      <c r="R108" s="62"/>
      <c r="S108" s="62"/>
      <c r="T108" s="62"/>
      <c r="U108" s="62"/>
      <c r="V108" s="62"/>
      <c r="W108" s="62"/>
      <c r="X108" s="62"/>
      <c r="Y108" s="62"/>
      <c r="Z108" s="62"/>
      <c r="AA108" s="62"/>
    </row>
    <row r="109">
      <c r="A109" s="96">
        <v>106.0</v>
      </c>
      <c r="B109" s="98" t="str">
        <f t="shared" si="4"/>
        <v>AE02A2</v>
      </c>
      <c r="C109" s="99" t="str">
        <f t="shared" si="1"/>
        <v>AE02A3</v>
      </c>
      <c r="D109" s="99" t="str">
        <f t="shared" si="5"/>
        <v>AD7BA0</v>
      </c>
      <c r="E109" s="99" t="str">
        <f t="shared" si="2"/>
        <v>AD7BA1</v>
      </c>
      <c r="F109" s="98" t="str">
        <f t="shared" si="6"/>
        <v>AE0400</v>
      </c>
      <c r="G109" s="99" t="str">
        <f t="shared" si="3"/>
        <v>AE0401</v>
      </c>
      <c r="H109" s="101"/>
      <c r="I109" s="107"/>
      <c r="J109" s="62"/>
      <c r="K109" s="58"/>
      <c r="L109" s="102"/>
      <c r="M109" s="103"/>
      <c r="N109" s="62"/>
      <c r="O109" s="101"/>
      <c r="P109" s="58"/>
      <c r="Q109" s="62"/>
      <c r="R109" s="62"/>
      <c r="S109" s="62"/>
      <c r="T109" s="62"/>
      <c r="U109" s="62"/>
      <c r="V109" s="62"/>
      <c r="W109" s="62"/>
      <c r="X109" s="62"/>
      <c r="Y109" s="62"/>
      <c r="Z109" s="62"/>
      <c r="AA109" s="62"/>
    </row>
    <row r="110">
      <c r="A110" s="96">
        <v>107.0</v>
      </c>
      <c r="B110" s="98" t="str">
        <f t="shared" si="4"/>
        <v>AE02A4</v>
      </c>
      <c r="C110" s="99" t="str">
        <f t="shared" si="1"/>
        <v>AE02A5</v>
      </c>
      <c r="D110" s="99" t="str">
        <f t="shared" si="5"/>
        <v>AD7BA2</v>
      </c>
      <c r="E110" s="99" t="str">
        <f t="shared" si="2"/>
        <v>AD7BA3</v>
      </c>
      <c r="F110" s="98" t="str">
        <f t="shared" si="6"/>
        <v>AE0402</v>
      </c>
      <c r="G110" s="99" t="str">
        <f t="shared" si="3"/>
        <v>AE0403</v>
      </c>
      <c r="H110" s="101"/>
      <c r="I110" s="107"/>
      <c r="J110" s="62"/>
      <c r="K110" s="58"/>
      <c r="L110" s="102"/>
      <c r="M110" s="103"/>
      <c r="N110" s="62"/>
      <c r="O110" s="101"/>
      <c r="P110" s="58"/>
      <c r="Q110" s="58"/>
      <c r="R110" s="58"/>
      <c r="S110" s="62"/>
      <c r="T110" s="62"/>
      <c r="U110" s="62"/>
      <c r="V110" s="62"/>
      <c r="W110" s="62"/>
      <c r="X110" s="62"/>
      <c r="Y110" s="62"/>
      <c r="Z110" s="62"/>
      <c r="AA110" s="62"/>
    </row>
    <row r="111">
      <c r="A111" s="96">
        <v>108.0</v>
      </c>
      <c r="B111" s="98" t="str">
        <f t="shared" si="4"/>
        <v>AE02A6</v>
      </c>
      <c r="C111" s="99" t="str">
        <f t="shared" si="1"/>
        <v>AE02A7</v>
      </c>
      <c r="D111" s="99" t="str">
        <f t="shared" si="5"/>
        <v>AD7BA4</v>
      </c>
      <c r="E111" s="99" t="str">
        <f t="shared" si="2"/>
        <v>AD7BA5</v>
      </c>
      <c r="F111" s="98" t="str">
        <f t="shared" si="6"/>
        <v>AE0404</v>
      </c>
      <c r="G111" s="99" t="str">
        <f t="shared" si="3"/>
        <v>AE0405</v>
      </c>
      <c r="H111" s="101"/>
      <c r="I111" s="107"/>
      <c r="J111" s="62"/>
      <c r="K111" s="58"/>
      <c r="L111" s="102"/>
      <c r="M111" s="103"/>
      <c r="N111" s="62"/>
      <c r="O111" s="101"/>
      <c r="P111" s="58"/>
      <c r="Q111" s="58"/>
      <c r="R111" s="58"/>
      <c r="S111" s="62"/>
      <c r="T111" s="62"/>
      <c r="U111" s="62"/>
      <c r="V111" s="62"/>
      <c r="W111" s="62"/>
      <c r="X111" s="62"/>
      <c r="Y111" s="62"/>
      <c r="Z111" s="62"/>
      <c r="AA111" s="62"/>
    </row>
    <row r="112">
      <c r="A112" s="96">
        <v>109.0</v>
      </c>
      <c r="B112" s="98" t="str">
        <f t="shared" si="4"/>
        <v>AE02A8</v>
      </c>
      <c r="C112" s="99" t="str">
        <f t="shared" si="1"/>
        <v>AE02A9</v>
      </c>
      <c r="D112" s="99" t="str">
        <f t="shared" si="5"/>
        <v>AD7BA6</v>
      </c>
      <c r="E112" s="99" t="str">
        <f t="shared" si="2"/>
        <v>AD7BA7</v>
      </c>
      <c r="F112" s="98" t="str">
        <f t="shared" si="6"/>
        <v>AE0406</v>
      </c>
      <c r="G112" s="99" t="str">
        <f t="shared" si="3"/>
        <v>AE0407</v>
      </c>
      <c r="H112" s="101"/>
      <c r="I112" s="107"/>
      <c r="J112" s="62"/>
      <c r="K112" s="58"/>
      <c r="L112" s="102"/>
      <c r="M112" s="103"/>
      <c r="N112" s="62"/>
      <c r="O112" s="101"/>
      <c r="P112" s="58"/>
      <c r="Q112" s="58"/>
      <c r="R112" s="58"/>
      <c r="S112" s="62"/>
      <c r="T112" s="62"/>
      <c r="U112" s="62"/>
      <c r="V112" s="62"/>
      <c r="W112" s="62"/>
      <c r="X112" s="62"/>
      <c r="Y112" s="62"/>
      <c r="Z112" s="62"/>
      <c r="AA112" s="62"/>
    </row>
    <row r="113">
      <c r="A113" s="96">
        <v>110.0</v>
      </c>
      <c r="B113" s="98" t="str">
        <f t="shared" si="4"/>
        <v>AE02AA</v>
      </c>
      <c r="C113" s="99" t="str">
        <f t="shared" si="1"/>
        <v>AE02AB</v>
      </c>
      <c r="D113" s="99" t="str">
        <f t="shared" si="5"/>
        <v>AD7BA8</v>
      </c>
      <c r="E113" s="99" t="str">
        <f t="shared" si="2"/>
        <v>AD7BA9</v>
      </c>
      <c r="F113" s="98" t="str">
        <f t="shared" si="6"/>
        <v>AE0408</v>
      </c>
      <c r="G113" s="99" t="str">
        <f t="shared" si="3"/>
        <v>AE0409</v>
      </c>
      <c r="H113" s="101"/>
      <c r="I113" s="107"/>
      <c r="J113" s="62"/>
      <c r="K113" s="58"/>
      <c r="L113" s="102"/>
      <c r="M113" s="103"/>
      <c r="N113" s="62"/>
      <c r="O113" s="101"/>
      <c r="P113" s="58"/>
      <c r="Q113" s="58"/>
      <c r="R113" s="62"/>
      <c r="S113" s="62"/>
      <c r="T113" s="62"/>
      <c r="U113" s="62"/>
      <c r="V113" s="62"/>
      <c r="W113" s="62"/>
      <c r="X113" s="62"/>
      <c r="Y113" s="62"/>
      <c r="Z113" s="62"/>
      <c r="AA113" s="62"/>
    </row>
    <row r="114">
      <c r="A114" s="96">
        <v>111.0</v>
      </c>
      <c r="B114" s="98" t="str">
        <f t="shared" si="4"/>
        <v>AE02AC</v>
      </c>
      <c r="C114" s="99" t="str">
        <f t="shared" si="1"/>
        <v>AE02AD</v>
      </c>
      <c r="D114" s="99" t="str">
        <f t="shared" si="5"/>
        <v>AD7BAA</v>
      </c>
      <c r="E114" s="99" t="str">
        <f t="shared" si="2"/>
        <v>AD7BAB</v>
      </c>
      <c r="F114" s="98" t="str">
        <f t="shared" si="6"/>
        <v>AE040A</v>
      </c>
      <c r="G114" s="99" t="str">
        <f t="shared" si="3"/>
        <v>AE040B</v>
      </c>
      <c r="H114" s="101"/>
      <c r="I114" s="107"/>
      <c r="J114" s="62"/>
      <c r="K114" s="58"/>
      <c r="L114" s="102"/>
      <c r="M114" s="103"/>
      <c r="N114" s="62"/>
      <c r="O114" s="101"/>
      <c r="P114" s="58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</row>
    <row r="115">
      <c r="A115" s="96">
        <v>112.0</v>
      </c>
      <c r="B115" s="98" t="str">
        <f t="shared" si="4"/>
        <v>AE02AE</v>
      </c>
      <c r="C115" s="99" t="str">
        <f t="shared" si="1"/>
        <v>AE02AF</v>
      </c>
      <c r="D115" s="99" t="str">
        <f t="shared" si="5"/>
        <v>AD7BAC</v>
      </c>
      <c r="E115" s="99" t="str">
        <f t="shared" si="2"/>
        <v>AD7BAD</v>
      </c>
      <c r="F115" s="98" t="str">
        <f t="shared" si="6"/>
        <v>AE040C</v>
      </c>
      <c r="G115" s="99" t="str">
        <f t="shared" si="3"/>
        <v>AE040D</v>
      </c>
      <c r="H115" s="101"/>
      <c r="I115" s="107"/>
      <c r="J115" s="62"/>
      <c r="K115" s="58"/>
      <c r="L115" s="102"/>
      <c r="M115" s="103"/>
      <c r="N115" s="62"/>
      <c r="O115" s="101"/>
      <c r="P115" s="58"/>
      <c r="Q115" s="62"/>
      <c r="R115" s="62"/>
      <c r="S115" s="62"/>
      <c r="T115" s="62"/>
      <c r="U115" s="62"/>
      <c r="V115" s="62"/>
      <c r="W115" s="62"/>
      <c r="X115" s="62"/>
      <c r="Y115" s="62"/>
      <c r="Z115" s="62"/>
      <c r="AA115" s="62"/>
    </row>
    <row r="116">
      <c r="A116" s="96">
        <v>113.0</v>
      </c>
      <c r="B116" s="98" t="str">
        <f t="shared" si="4"/>
        <v>AE02B0</v>
      </c>
      <c r="C116" s="99" t="str">
        <f t="shared" si="1"/>
        <v>AE02B1</v>
      </c>
      <c r="D116" s="99" t="str">
        <f t="shared" si="5"/>
        <v>AD7BAE</v>
      </c>
      <c r="E116" s="99" t="str">
        <f t="shared" si="2"/>
        <v>AD7BAF</v>
      </c>
      <c r="F116" s="98" t="str">
        <f t="shared" si="6"/>
        <v>AE040E</v>
      </c>
      <c r="G116" s="99" t="str">
        <f t="shared" si="3"/>
        <v>AE040F</v>
      </c>
      <c r="H116" s="101"/>
      <c r="I116" s="107"/>
      <c r="J116" s="62"/>
      <c r="K116" s="58"/>
      <c r="L116" s="102"/>
      <c r="M116" s="103"/>
      <c r="N116" s="62"/>
      <c r="O116" s="101"/>
      <c r="P116" s="58"/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62"/>
    </row>
    <row r="117">
      <c r="A117" s="96">
        <v>114.0</v>
      </c>
      <c r="B117" s="98" t="str">
        <f t="shared" si="4"/>
        <v>AE02B2</v>
      </c>
      <c r="C117" s="99" t="str">
        <f t="shared" si="1"/>
        <v>AE02B3</v>
      </c>
      <c r="D117" s="99" t="str">
        <f t="shared" si="5"/>
        <v>AD7BB0</v>
      </c>
      <c r="E117" s="99" t="str">
        <f t="shared" si="2"/>
        <v>AD7BB1</v>
      </c>
      <c r="F117" s="98" t="str">
        <f t="shared" si="6"/>
        <v>AE0410</v>
      </c>
      <c r="G117" s="99" t="str">
        <f t="shared" si="3"/>
        <v>AE0411</v>
      </c>
      <c r="H117" s="101"/>
      <c r="I117" s="107"/>
      <c r="J117" s="62"/>
      <c r="K117" s="58"/>
      <c r="L117" s="102"/>
      <c r="M117" s="103"/>
      <c r="N117" s="62"/>
      <c r="O117" s="101"/>
      <c r="P117" s="58"/>
      <c r="Q117" s="62"/>
      <c r="R117" s="62"/>
      <c r="S117" s="62"/>
      <c r="T117" s="62"/>
      <c r="U117" s="62"/>
      <c r="V117" s="62"/>
      <c r="W117" s="62"/>
      <c r="X117" s="62"/>
      <c r="Y117" s="62"/>
      <c r="Z117" s="62"/>
      <c r="AA117" s="62"/>
    </row>
    <row r="118">
      <c r="A118" s="96">
        <v>115.0</v>
      </c>
      <c r="B118" s="98" t="str">
        <f t="shared" si="4"/>
        <v>AE02B4</v>
      </c>
      <c r="C118" s="99" t="str">
        <f t="shared" si="1"/>
        <v>AE02B5</v>
      </c>
      <c r="D118" s="99" t="str">
        <f t="shared" si="5"/>
        <v>AD7BB2</v>
      </c>
      <c r="E118" s="99" t="str">
        <f t="shared" si="2"/>
        <v>AD7BB3</v>
      </c>
      <c r="F118" s="98" t="str">
        <f t="shared" si="6"/>
        <v>AE0412</v>
      </c>
      <c r="G118" s="99" t="str">
        <f t="shared" si="3"/>
        <v>AE0413</v>
      </c>
      <c r="H118" s="101"/>
      <c r="I118" s="107"/>
      <c r="J118" s="62"/>
      <c r="K118" s="58"/>
      <c r="L118" s="102"/>
      <c r="M118" s="103"/>
      <c r="N118" s="62"/>
      <c r="O118" s="101"/>
      <c r="P118" s="58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</row>
    <row r="119">
      <c r="A119" s="96">
        <v>116.0</v>
      </c>
      <c r="B119" s="98" t="str">
        <f t="shared" si="4"/>
        <v>AE02B6</v>
      </c>
      <c r="C119" s="99" t="str">
        <f t="shared" si="1"/>
        <v>AE02B7</v>
      </c>
      <c r="D119" s="99" t="str">
        <f t="shared" si="5"/>
        <v>AD7BB4</v>
      </c>
      <c r="E119" s="99" t="str">
        <f t="shared" si="2"/>
        <v>AD7BB5</v>
      </c>
      <c r="F119" s="98" t="str">
        <f t="shared" si="6"/>
        <v>AE0414</v>
      </c>
      <c r="G119" s="99" t="str">
        <f t="shared" si="3"/>
        <v>AE0415</v>
      </c>
      <c r="H119" s="101"/>
      <c r="I119" s="107"/>
      <c r="J119" s="62"/>
      <c r="K119" s="58"/>
      <c r="L119" s="102"/>
      <c r="M119" s="103"/>
      <c r="N119" s="62"/>
      <c r="O119" s="101"/>
      <c r="P119" s="58"/>
      <c r="Q119" s="62"/>
      <c r="R119" s="62"/>
      <c r="S119" s="62"/>
      <c r="T119" s="62"/>
      <c r="U119" s="62"/>
      <c r="V119" s="62"/>
      <c r="W119" s="62"/>
      <c r="X119" s="62"/>
      <c r="Y119" s="62"/>
      <c r="Z119" s="62"/>
      <c r="AA119" s="62"/>
    </row>
    <row r="120">
      <c r="A120" s="96">
        <v>117.0</v>
      </c>
      <c r="B120" s="98" t="str">
        <f t="shared" si="4"/>
        <v>AE02B8</v>
      </c>
      <c r="C120" s="99" t="str">
        <f t="shared" si="1"/>
        <v>AE02B9</v>
      </c>
      <c r="D120" s="99" t="str">
        <f t="shared" si="5"/>
        <v>AD7BB6</v>
      </c>
      <c r="E120" s="99" t="str">
        <f t="shared" si="2"/>
        <v>AD7BB7</v>
      </c>
      <c r="F120" s="98" t="str">
        <f t="shared" si="6"/>
        <v>AE0416</v>
      </c>
      <c r="G120" s="99" t="str">
        <f t="shared" si="3"/>
        <v>AE0417</v>
      </c>
      <c r="H120" s="101"/>
      <c r="I120" s="107"/>
      <c r="J120" s="62"/>
      <c r="K120" s="58"/>
      <c r="L120" s="102"/>
      <c r="M120" s="103"/>
      <c r="N120" s="62"/>
      <c r="O120" s="101"/>
      <c r="P120" s="58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</row>
    <row r="121">
      <c r="A121" s="96">
        <v>118.0</v>
      </c>
      <c r="B121" s="98" t="str">
        <f t="shared" si="4"/>
        <v>AE02BA</v>
      </c>
      <c r="C121" s="99" t="str">
        <f t="shared" si="1"/>
        <v>AE02BB</v>
      </c>
      <c r="D121" s="99" t="str">
        <f t="shared" si="5"/>
        <v>AD7BB8</v>
      </c>
      <c r="E121" s="99" t="str">
        <f t="shared" si="2"/>
        <v>AD7BB9</v>
      </c>
      <c r="F121" s="98" t="str">
        <f t="shared" si="6"/>
        <v>AE0418</v>
      </c>
      <c r="G121" s="99" t="str">
        <f t="shared" si="3"/>
        <v>AE0419</v>
      </c>
      <c r="H121" s="101"/>
      <c r="I121" s="107"/>
      <c r="J121" s="62"/>
      <c r="K121" s="58"/>
      <c r="L121" s="102"/>
      <c r="M121" s="103"/>
      <c r="N121" s="62"/>
      <c r="O121" s="101"/>
      <c r="P121" s="58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</row>
    <row r="122">
      <c r="A122" s="96">
        <v>119.0</v>
      </c>
      <c r="B122" s="98" t="str">
        <f t="shared" si="4"/>
        <v>AE02BC</v>
      </c>
      <c r="C122" s="99" t="str">
        <f t="shared" si="1"/>
        <v>AE02BD</v>
      </c>
      <c r="D122" s="99" t="str">
        <f t="shared" si="5"/>
        <v>AD7BBA</v>
      </c>
      <c r="E122" s="99" t="str">
        <f t="shared" si="2"/>
        <v>AD7BBB</v>
      </c>
      <c r="F122" s="98" t="str">
        <f t="shared" si="6"/>
        <v>AE041A</v>
      </c>
      <c r="G122" s="99" t="str">
        <f t="shared" si="3"/>
        <v>AE041B</v>
      </c>
      <c r="H122" s="101"/>
      <c r="I122" s="107"/>
      <c r="J122" s="62"/>
      <c r="K122" s="58"/>
      <c r="L122" s="102"/>
      <c r="M122" s="103"/>
      <c r="N122" s="62"/>
      <c r="O122" s="101"/>
      <c r="P122" s="58"/>
      <c r="Q122" s="62"/>
      <c r="R122" s="62"/>
      <c r="S122" s="62"/>
      <c r="T122" s="62"/>
      <c r="U122" s="62"/>
      <c r="V122" s="62"/>
      <c r="W122" s="62"/>
      <c r="X122" s="62"/>
      <c r="Y122" s="62"/>
      <c r="Z122" s="62"/>
      <c r="AA122" s="62"/>
    </row>
    <row r="123">
      <c r="A123" s="96">
        <v>120.0</v>
      </c>
      <c r="B123" s="98" t="str">
        <f t="shared" si="4"/>
        <v>AE02BE</v>
      </c>
      <c r="C123" s="99" t="str">
        <f t="shared" si="1"/>
        <v>AE02BF</v>
      </c>
      <c r="D123" s="99" t="str">
        <f t="shared" si="5"/>
        <v>AD7BBC</v>
      </c>
      <c r="E123" s="99" t="str">
        <f t="shared" si="2"/>
        <v>AD7BBD</v>
      </c>
      <c r="F123" s="98" t="str">
        <f t="shared" si="6"/>
        <v>AE041C</v>
      </c>
      <c r="G123" s="99" t="str">
        <f t="shared" si="3"/>
        <v>AE041D</v>
      </c>
      <c r="H123" s="101"/>
      <c r="I123" s="107"/>
      <c r="J123" s="62"/>
      <c r="K123" s="58"/>
      <c r="L123" s="102"/>
      <c r="M123" s="103"/>
      <c r="N123" s="62"/>
      <c r="O123" s="101"/>
      <c r="P123" s="58"/>
      <c r="Q123" s="58"/>
      <c r="R123" s="62"/>
      <c r="S123" s="62"/>
      <c r="T123" s="62"/>
      <c r="U123" s="62"/>
      <c r="V123" s="62"/>
      <c r="W123" s="62"/>
      <c r="X123" s="62"/>
      <c r="Y123" s="62"/>
      <c r="Z123" s="62"/>
      <c r="AA123" s="62"/>
    </row>
    <row r="124">
      <c r="A124" s="96">
        <v>121.0</v>
      </c>
      <c r="B124" s="98" t="str">
        <f t="shared" si="4"/>
        <v>AE02C0</v>
      </c>
      <c r="C124" s="99" t="str">
        <f t="shared" si="1"/>
        <v>AE02C1</v>
      </c>
      <c r="D124" s="99" t="str">
        <f t="shared" si="5"/>
        <v>AD7BBE</v>
      </c>
      <c r="E124" s="99" t="str">
        <f t="shared" si="2"/>
        <v>AD7BBF</v>
      </c>
      <c r="F124" s="98" t="str">
        <f t="shared" si="6"/>
        <v>AE041E</v>
      </c>
      <c r="G124" s="99" t="str">
        <f t="shared" si="3"/>
        <v>AE041F</v>
      </c>
      <c r="H124" s="101"/>
      <c r="I124" s="107"/>
      <c r="J124" s="62"/>
      <c r="K124" s="58"/>
      <c r="L124" s="102"/>
      <c r="M124" s="103"/>
      <c r="N124" s="62"/>
      <c r="O124" s="101"/>
      <c r="P124" s="58"/>
      <c r="Q124" s="58"/>
      <c r="R124" s="58"/>
      <c r="S124" s="62"/>
      <c r="T124" s="62"/>
      <c r="U124" s="62"/>
      <c r="V124" s="62"/>
      <c r="W124" s="62"/>
      <c r="X124" s="62"/>
      <c r="Y124" s="62"/>
      <c r="Z124" s="62"/>
      <c r="AA124" s="62"/>
    </row>
    <row r="125">
      <c r="A125" s="96">
        <v>122.0</v>
      </c>
      <c r="B125" s="98" t="str">
        <f t="shared" si="4"/>
        <v>AE02C2</v>
      </c>
      <c r="C125" s="99" t="str">
        <f t="shared" si="1"/>
        <v>AE02C3</v>
      </c>
      <c r="D125" s="99" t="str">
        <f t="shared" si="5"/>
        <v>AD7BC0</v>
      </c>
      <c r="E125" s="99" t="str">
        <f t="shared" si="2"/>
        <v>AD7BC1</v>
      </c>
      <c r="F125" s="98" t="str">
        <f t="shared" si="6"/>
        <v>AE0420</v>
      </c>
      <c r="G125" s="99" t="str">
        <f t="shared" si="3"/>
        <v>AE0421</v>
      </c>
      <c r="H125" s="101"/>
      <c r="I125" s="107"/>
      <c r="J125" s="62"/>
      <c r="K125" s="58"/>
      <c r="L125" s="102"/>
      <c r="M125" s="103"/>
      <c r="N125" s="62"/>
      <c r="O125" s="101"/>
      <c r="P125" s="58"/>
      <c r="Q125" s="58"/>
      <c r="R125" s="58"/>
      <c r="S125" s="62"/>
      <c r="T125" s="62"/>
      <c r="U125" s="62"/>
      <c r="V125" s="62"/>
      <c r="W125" s="62"/>
      <c r="X125" s="62"/>
      <c r="Y125" s="62"/>
      <c r="Z125" s="62"/>
      <c r="AA125" s="62"/>
    </row>
    <row r="126">
      <c r="A126" s="96">
        <v>123.0</v>
      </c>
      <c r="B126" s="98" t="str">
        <f t="shared" si="4"/>
        <v>AE02C4</v>
      </c>
      <c r="C126" s="99" t="str">
        <f t="shared" si="1"/>
        <v>AE02C5</v>
      </c>
      <c r="D126" s="99" t="str">
        <f t="shared" si="5"/>
        <v>AD7BC2</v>
      </c>
      <c r="E126" s="99" t="str">
        <f t="shared" si="2"/>
        <v>AD7BC3</v>
      </c>
      <c r="F126" s="98" t="str">
        <f t="shared" si="6"/>
        <v>AE0422</v>
      </c>
      <c r="G126" s="99" t="str">
        <f t="shared" si="3"/>
        <v>AE0423</v>
      </c>
      <c r="H126" s="101"/>
      <c r="I126" s="107"/>
      <c r="J126" s="62"/>
      <c r="K126" s="58"/>
      <c r="L126" s="102"/>
      <c r="M126" s="103"/>
      <c r="N126" s="62"/>
      <c r="O126" s="101"/>
      <c r="P126" s="58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</row>
    <row r="127">
      <c r="A127" s="96">
        <v>124.0</v>
      </c>
      <c r="B127" s="98" t="str">
        <f t="shared" si="4"/>
        <v>AE02C6</v>
      </c>
      <c r="C127" s="99" t="str">
        <f t="shared" si="1"/>
        <v>AE02C7</v>
      </c>
      <c r="D127" s="99" t="str">
        <f t="shared" si="5"/>
        <v>AD7BC4</v>
      </c>
      <c r="E127" s="99" t="str">
        <f t="shared" si="2"/>
        <v>AD7BC5</v>
      </c>
      <c r="F127" s="98" t="str">
        <f t="shared" si="6"/>
        <v>AE0424</v>
      </c>
      <c r="G127" s="99" t="str">
        <f t="shared" si="3"/>
        <v>AE0425</v>
      </c>
      <c r="H127" s="101"/>
      <c r="I127" s="107"/>
      <c r="J127" s="62"/>
      <c r="K127" s="58"/>
      <c r="L127" s="102"/>
      <c r="M127" s="103"/>
      <c r="N127" s="62"/>
      <c r="O127" s="101"/>
      <c r="P127" s="58"/>
      <c r="Q127" s="58"/>
      <c r="R127" s="62"/>
      <c r="S127" s="62"/>
      <c r="T127" s="62"/>
      <c r="U127" s="62"/>
      <c r="V127" s="62"/>
      <c r="W127" s="62"/>
      <c r="X127" s="62"/>
      <c r="Y127" s="62"/>
      <c r="Z127" s="62"/>
      <c r="AA127" s="62"/>
    </row>
    <row r="128">
      <c r="A128" s="96">
        <v>125.0</v>
      </c>
      <c r="B128" s="98" t="str">
        <f t="shared" si="4"/>
        <v>AE02C8</v>
      </c>
      <c r="C128" s="99" t="str">
        <f t="shared" si="1"/>
        <v>AE02C9</v>
      </c>
      <c r="D128" s="99" t="str">
        <f t="shared" si="5"/>
        <v>AD7BC6</v>
      </c>
      <c r="E128" s="99" t="str">
        <f t="shared" si="2"/>
        <v>AD7BC7</v>
      </c>
      <c r="F128" s="98" t="str">
        <f t="shared" si="6"/>
        <v>AE0426</v>
      </c>
      <c r="G128" s="99" t="str">
        <f t="shared" si="3"/>
        <v>AE0427</v>
      </c>
      <c r="H128" s="101"/>
      <c r="I128" s="107"/>
      <c r="J128" s="62"/>
      <c r="K128" s="58"/>
      <c r="L128" s="102"/>
      <c r="M128" s="103"/>
      <c r="N128" s="62"/>
      <c r="O128" s="101"/>
      <c r="P128" s="58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</row>
    <row r="129">
      <c r="A129" s="96">
        <v>126.0</v>
      </c>
      <c r="B129" s="98" t="str">
        <f t="shared" si="4"/>
        <v>AE02CA</v>
      </c>
      <c r="C129" s="99" t="str">
        <f t="shared" si="1"/>
        <v>AE02CB</v>
      </c>
      <c r="D129" s="99" t="str">
        <f t="shared" si="5"/>
        <v>AD7BC8</v>
      </c>
      <c r="E129" s="99" t="str">
        <f t="shared" si="2"/>
        <v>AD7BC9</v>
      </c>
      <c r="F129" s="98" t="str">
        <f t="shared" si="6"/>
        <v>AE0428</v>
      </c>
      <c r="G129" s="99" t="str">
        <f t="shared" si="3"/>
        <v>AE0429</v>
      </c>
      <c r="H129" s="101"/>
      <c r="I129" s="107"/>
      <c r="J129" s="62"/>
      <c r="K129" s="58"/>
      <c r="L129" s="102"/>
      <c r="M129" s="103"/>
      <c r="N129" s="62"/>
      <c r="O129" s="101"/>
      <c r="P129" s="58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</row>
    <row r="130">
      <c r="A130" s="96">
        <v>127.0</v>
      </c>
      <c r="B130" s="98" t="str">
        <f t="shared" si="4"/>
        <v>AE02CC</v>
      </c>
      <c r="C130" s="99" t="str">
        <f t="shared" si="1"/>
        <v>AE02CD</v>
      </c>
      <c r="D130" s="99" t="str">
        <f t="shared" si="5"/>
        <v>AD7BCA</v>
      </c>
      <c r="E130" s="99" t="str">
        <f t="shared" si="2"/>
        <v>AD7BCB</v>
      </c>
      <c r="F130" s="98" t="str">
        <f t="shared" si="6"/>
        <v>AE042A</v>
      </c>
      <c r="G130" s="99" t="str">
        <f t="shared" si="3"/>
        <v>AE042B</v>
      </c>
      <c r="H130" s="101"/>
      <c r="I130" s="107"/>
      <c r="J130" s="62"/>
      <c r="K130" s="58"/>
      <c r="L130" s="102"/>
      <c r="M130" s="103"/>
      <c r="N130" s="62"/>
      <c r="O130" s="101"/>
      <c r="P130" s="58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</row>
    <row r="131">
      <c r="A131" s="96">
        <v>128.0</v>
      </c>
      <c r="B131" s="98" t="str">
        <f t="shared" si="4"/>
        <v>AE02CE</v>
      </c>
      <c r="C131" s="99" t="str">
        <f t="shared" si="1"/>
        <v>AE02CF</v>
      </c>
      <c r="D131" s="99" t="str">
        <f t="shared" si="5"/>
        <v>AD7BCC</v>
      </c>
      <c r="E131" s="99" t="str">
        <f t="shared" si="2"/>
        <v>AD7BCD</v>
      </c>
      <c r="F131" s="98" t="str">
        <f t="shared" si="6"/>
        <v>AE042C</v>
      </c>
      <c r="G131" s="99" t="str">
        <f t="shared" si="3"/>
        <v>AE042D</v>
      </c>
      <c r="H131" s="101"/>
      <c r="I131" s="107"/>
      <c r="J131" s="62"/>
      <c r="K131" s="58"/>
      <c r="L131" s="102"/>
      <c r="M131" s="103"/>
      <c r="N131" s="62"/>
      <c r="O131" s="101"/>
      <c r="P131" s="58"/>
      <c r="Q131" s="58"/>
      <c r="R131" s="62"/>
      <c r="S131" s="62"/>
      <c r="T131" s="62"/>
      <c r="U131" s="62"/>
      <c r="V131" s="62"/>
      <c r="W131" s="62"/>
      <c r="X131" s="62"/>
      <c r="Y131" s="62"/>
      <c r="Z131" s="62"/>
      <c r="AA131" s="62"/>
    </row>
    <row r="132">
      <c r="A132" s="96">
        <v>129.0</v>
      </c>
      <c r="B132" s="98" t="str">
        <f t="shared" si="4"/>
        <v>AE02D0</v>
      </c>
      <c r="C132" s="99" t="str">
        <f t="shared" si="1"/>
        <v>AE02D1</v>
      </c>
      <c r="D132" s="99" t="str">
        <f t="shared" si="5"/>
        <v>AD7BCE</v>
      </c>
      <c r="E132" s="99" t="str">
        <f t="shared" si="2"/>
        <v>AD7BCF</v>
      </c>
      <c r="F132" s="98" t="str">
        <f t="shared" si="6"/>
        <v>AE042E</v>
      </c>
      <c r="G132" s="99" t="str">
        <f t="shared" si="3"/>
        <v>AE042F</v>
      </c>
      <c r="H132" s="101"/>
      <c r="I132" s="107"/>
      <c r="J132" s="62"/>
      <c r="K132" s="58"/>
      <c r="L132" s="102"/>
      <c r="M132" s="103"/>
      <c r="N132" s="62"/>
      <c r="O132" s="101"/>
      <c r="P132" s="58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</row>
    <row r="133">
      <c r="A133" s="96">
        <v>130.0</v>
      </c>
      <c r="B133" s="98" t="str">
        <f t="shared" si="4"/>
        <v>AE02D2</v>
      </c>
      <c r="C133" s="99" t="str">
        <f t="shared" si="1"/>
        <v>AE02D3</v>
      </c>
      <c r="D133" s="99" t="str">
        <f t="shared" si="5"/>
        <v>AD7BD0</v>
      </c>
      <c r="E133" s="99" t="str">
        <f t="shared" si="2"/>
        <v>AD7BD1</v>
      </c>
      <c r="F133" s="98" t="str">
        <f t="shared" si="6"/>
        <v>AE0430</v>
      </c>
      <c r="G133" s="99" t="str">
        <f t="shared" si="3"/>
        <v>AE0431</v>
      </c>
      <c r="H133" s="101"/>
      <c r="I133" s="107"/>
      <c r="J133" s="62"/>
      <c r="K133" s="58"/>
      <c r="L133" s="102"/>
      <c r="M133" s="103"/>
      <c r="N133" s="62"/>
      <c r="O133" s="101"/>
      <c r="P133" s="58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</row>
    <row r="134">
      <c r="A134" s="96">
        <v>131.0</v>
      </c>
      <c r="B134" s="98" t="str">
        <f t="shared" si="4"/>
        <v>AE02D4</v>
      </c>
      <c r="C134" s="99" t="str">
        <f t="shared" si="1"/>
        <v>AE02D5</v>
      </c>
      <c r="D134" s="99" t="str">
        <f t="shared" si="5"/>
        <v>AD7BD2</v>
      </c>
      <c r="E134" s="99" t="str">
        <f t="shared" si="2"/>
        <v>AD7BD3</v>
      </c>
      <c r="F134" s="98" t="str">
        <f t="shared" si="6"/>
        <v>AE0432</v>
      </c>
      <c r="G134" s="99" t="str">
        <f t="shared" si="3"/>
        <v>AE0433</v>
      </c>
      <c r="H134" s="101"/>
      <c r="I134" s="107"/>
      <c r="J134" s="62"/>
      <c r="K134" s="58"/>
      <c r="L134" s="102"/>
      <c r="M134" s="103"/>
      <c r="N134" s="62"/>
      <c r="O134" s="101"/>
      <c r="P134" s="58"/>
      <c r="Q134" s="58"/>
      <c r="R134" s="62"/>
      <c r="S134" s="62"/>
      <c r="T134" s="62"/>
      <c r="U134" s="62"/>
      <c r="V134" s="62"/>
      <c r="W134" s="62"/>
      <c r="X134" s="62"/>
      <c r="Y134" s="62"/>
      <c r="Z134" s="62"/>
      <c r="AA134" s="62"/>
    </row>
    <row r="135">
      <c r="A135" s="96">
        <v>132.0</v>
      </c>
      <c r="B135" s="98" t="str">
        <f t="shared" si="4"/>
        <v>AE02D6</v>
      </c>
      <c r="C135" s="99" t="str">
        <f t="shared" si="1"/>
        <v>AE02D7</v>
      </c>
      <c r="D135" s="99" t="str">
        <f t="shared" si="5"/>
        <v>AD7BD4</v>
      </c>
      <c r="E135" s="99" t="str">
        <f t="shared" si="2"/>
        <v>AD7BD5</v>
      </c>
      <c r="F135" s="98" t="str">
        <f t="shared" si="6"/>
        <v>AE0434</v>
      </c>
      <c r="G135" s="99" t="str">
        <f t="shared" si="3"/>
        <v>AE0435</v>
      </c>
      <c r="H135" s="101"/>
      <c r="I135" s="107"/>
      <c r="J135" s="62"/>
      <c r="K135" s="58"/>
      <c r="L135" s="102"/>
      <c r="M135" s="103"/>
      <c r="N135" s="62"/>
      <c r="O135" s="101"/>
      <c r="P135" s="58"/>
      <c r="Q135" s="62"/>
      <c r="R135" s="62"/>
      <c r="S135" s="62"/>
      <c r="T135" s="62"/>
      <c r="U135" s="62"/>
      <c r="V135" s="62"/>
      <c r="W135" s="62"/>
      <c r="X135" s="62"/>
      <c r="Y135" s="62"/>
      <c r="Z135" s="62"/>
      <c r="AA135" s="62"/>
    </row>
    <row r="136">
      <c r="A136" s="96">
        <v>133.0</v>
      </c>
      <c r="B136" s="98" t="str">
        <f t="shared" si="4"/>
        <v>AE02D8</v>
      </c>
      <c r="C136" s="99" t="str">
        <f t="shared" si="1"/>
        <v>AE02D9</v>
      </c>
      <c r="D136" s="99" t="str">
        <f t="shared" si="5"/>
        <v>AD7BD6</v>
      </c>
      <c r="E136" s="99" t="str">
        <f t="shared" si="2"/>
        <v>AD7BD7</v>
      </c>
      <c r="F136" s="98" t="str">
        <f t="shared" si="6"/>
        <v>AE0436</v>
      </c>
      <c r="G136" s="99" t="str">
        <f t="shared" si="3"/>
        <v>AE0437</v>
      </c>
      <c r="H136" s="101"/>
      <c r="I136" s="107"/>
      <c r="J136" s="62"/>
      <c r="K136" s="58"/>
      <c r="L136" s="102"/>
      <c r="M136" s="103"/>
      <c r="N136" s="62"/>
      <c r="O136" s="101"/>
      <c r="P136" s="58"/>
      <c r="Q136" s="58"/>
      <c r="R136" s="62"/>
      <c r="S136" s="62"/>
      <c r="T136" s="62"/>
      <c r="U136" s="62"/>
      <c r="V136" s="62"/>
      <c r="W136" s="62"/>
      <c r="X136" s="62"/>
      <c r="Y136" s="62"/>
      <c r="Z136" s="62"/>
      <c r="AA136" s="62"/>
    </row>
    <row r="137">
      <c r="A137" s="96">
        <v>134.0</v>
      </c>
      <c r="B137" s="98" t="str">
        <f t="shared" si="4"/>
        <v>AE02DA</v>
      </c>
      <c r="C137" s="99" t="str">
        <f t="shared" si="1"/>
        <v>AE02DB</v>
      </c>
      <c r="D137" s="99" t="str">
        <f t="shared" si="5"/>
        <v>AD7BD8</v>
      </c>
      <c r="E137" s="99" t="str">
        <f t="shared" si="2"/>
        <v>AD7BD9</v>
      </c>
      <c r="F137" s="98" t="str">
        <f t="shared" si="6"/>
        <v>AE0438</v>
      </c>
      <c r="G137" s="99" t="str">
        <f t="shared" si="3"/>
        <v>AE0439</v>
      </c>
      <c r="H137" s="101"/>
      <c r="I137" s="107"/>
      <c r="J137" s="62"/>
      <c r="K137" s="58"/>
      <c r="L137" s="102"/>
      <c r="M137" s="103"/>
      <c r="N137" s="62"/>
      <c r="O137" s="101"/>
      <c r="P137" s="58"/>
      <c r="Q137" s="62"/>
      <c r="R137" s="62"/>
      <c r="S137" s="62"/>
      <c r="T137" s="62"/>
      <c r="U137" s="62"/>
      <c r="V137" s="62"/>
      <c r="W137" s="62"/>
      <c r="X137" s="62"/>
      <c r="Y137" s="62"/>
      <c r="Z137" s="62"/>
      <c r="AA137" s="62"/>
    </row>
    <row r="138">
      <c r="A138" s="96">
        <v>135.0</v>
      </c>
      <c r="B138" s="98" t="str">
        <f t="shared" si="4"/>
        <v>AE02DC</v>
      </c>
      <c r="C138" s="99" t="str">
        <f t="shared" si="1"/>
        <v>AE02DD</v>
      </c>
      <c r="D138" s="99" t="str">
        <f t="shared" si="5"/>
        <v>AD7BDA</v>
      </c>
      <c r="E138" s="99" t="str">
        <f t="shared" si="2"/>
        <v>AD7BDB</v>
      </c>
      <c r="F138" s="98" t="str">
        <f t="shared" si="6"/>
        <v>AE043A</v>
      </c>
      <c r="G138" s="99" t="str">
        <f t="shared" si="3"/>
        <v>AE043B</v>
      </c>
      <c r="H138" s="101"/>
      <c r="I138" s="107"/>
      <c r="J138" s="62"/>
      <c r="K138" s="58"/>
      <c r="L138" s="102"/>
      <c r="M138" s="103"/>
      <c r="N138" s="62"/>
      <c r="O138" s="101"/>
      <c r="P138" s="58"/>
      <c r="Q138" s="62"/>
      <c r="R138" s="62"/>
      <c r="S138" s="62"/>
      <c r="T138" s="62"/>
      <c r="U138" s="62"/>
      <c r="V138" s="62"/>
      <c r="W138" s="62"/>
      <c r="X138" s="62"/>
      <c r="Y138" s="62"/>
      <c r="Z138" s="62"/>
      <c r="AA138" s="62"/>
    </row>
    <row r="139">
      <c r="A139" s="96">
        <v>136.0</v>
      </c>
      <c r="B139" s="98" t="str">
        <f t="shared" si="4"/>
        <v>AE02DE</v>
      </c>
      <c r="C139" s="99" t="str">
        <f t="shared" si="1"/>
        <v>AE02DF</v>
      </c>
      <c r="D139" s="99" t="str">
        <f t="shared" si="5"/>
        <v>AD7BDC</v>
      </c>
      <c r="E139" s="99" t="str">
        <f t="shared" si="2"/>
        <v>AD7BDD</v>
      </c>
      <c r="F139" s="98" t="str">
        <f t="shared" si="6"/>
        <v>AE043C</v>
      </c>
      <c r="G139" s="99" t="str">
        <f t="shared" si="3"/>
        <v>AE043D</v>
      </c>
      <c r="H139" s="101"/>
      <c r="I139" s="107"/>
      <c r="J139" s="62"/>
      <c r="K139" s="58"/>
      <c r="L139" s="102"/>
      <c r="M139" s="103"/>
      <c r="N139" s="62"/>
      <c r="O139" s="101"/>
      <c r="P139" s="58"/>
      <c r="Q139" s="62"/>
      <c r="R139" s="62"/>
      <c r="S139" s="62"/>
      <c r="T139" s="62"/>
      <c r="U139" s="62"/>
      <c r="V139" s="62"/>
      <c r="W139" s="62"/>
      <c r="X139" s="62"/>
      <c r="Y139" s="62"/>
      <c r="Z139" s="62"/>
      <c r="AA139" s="62"/>
    </row>
    <row r="140">
      <c r="A140" s="96">
        <v>137.0</v>
      </c>
      <c r="B140" s="98" t="str">
        <f t="shared" si="4"/>
        <v>AE02E0</v>
      </c>
      <c r="C140" s="99" t="str">
        <f t="shared" si="1"/>
        <v>AE02E1</v>
      </c>
      <c r="D140" s="99" t="str">
        <f t="shared" si="5"/>
        <v>AD7BDE</v>
      </c>
      <c r="E140" s="99" t="str">
        <f t="shared" si="2"/>
        <v>AD7BDF</v>
      </c>
      <c r="F140" s="98" t="str">
        <f t="shared" si="6"/>
        <v>AE043E</v>
      </c>
      <c r="G140" s="99" t="str">
        <f t="shared" si="3"/>
        <v>AE043F</v>
      </c>
      <c r="H140" s="101"/>
      <c r="I140" s="107"/>
      <c r="J140" s="62"/>
      <c r="K140" s="58"/>
      <c r="L140" s="102"/>
      <c r="M140" s="103"/>
      <c r="N140" s="62"/>
      <c r="O140" s="101"/>
      <c r="P140" s="58"/>
      <c r="Q140" s="62"/>
      <c r="R140" s="62"/>
      <c r="S140" s="62"/>
      <c r="T140" s="62"/>
      <c r="U140" s="62"/>
      <c r="V140" s="62"/>
      <c r="W140" s="62"/>
      <c r="X140" s="62"/>
      <c r="Y140" s="62"/>
      <c r="Z140" s="62"/>
      <c r="AA140" s="62"/>
    </row>
    <row r="141">
      <c r="A141" s="96">
        <v>138.0</v>
      </c>
      <c r="B141" s="98" t="str">
        <f t="shared" si="4"/>
        <v>AE02E2</v>
      </c>
      <c r="C141" s="99" t="str">
        <f t="shared" si="1"/>
        <v>AE02E3</v>
      </c>
      <c r="D141" s="99" t="str">
        <f t="shared" si="5"/>
        <v>AD7BE0</v>
      </c>
      <c r="E141" s="99" t="str">
        <f t="shared" si="2"/>
        <v>AD7BE1</v>
      </c>
      <c r="F141" s="98" t="str">
        <f t="shared" si="6"/>
        <v>AE0440</v>
      </c>
      <c r="G141" s="99" t="str">
        <f t="shared" si="3"/>
        <v>AE0441</v>
      </c>
      <c r="H141" s="101"/>
      <c r="I141" s="107"/>
      <c r="J141" s="62"/>
      <c r="K141" s="58"/>
      <c r="L141" s="102"/>
      <c r="M141" s="103"/>
      <c r="N141" s="62"/>
      <c r="O141" s="101"/>
      <c r="P141" s="58"/>
      <c r="Q141" s="62"/>
      <c r="R141" s="62"/>
      <c r="S141" s="62"/>
      <c r="T141" s="62"/>
      <c r="U141" s="62"/>
      <c r="V141" s="62"/>
      <c r="W141" s="62"/>
      <c r="X141" s="62"/>
      <c r="Y141" s="62"/>
      <c r="Z141" s="62"/>
      <c r="AA141" s="62"/>
    </row>
    <row r="142">
      <c r="A142" s="96">
        <v>139.0</v>
      </c>
      <c r="B142" s="98" t="str">
        <f t="shared" si="4"/>
        <v>AE02E4</v>
      </c>
      <c r="C142" s="99" t="str">
        <f t="shared" si="1"/>
        <v>AE02E5</v>
      </c>
      <c r="D142" s="99" t="str">
        <f t="shared" si="5"/>
        <v>AD7BE2</v>
      </c>
      <c r="E142" s="99" t="str">
        <f t="shared" si="2"/>
        <v>AD7BE3</v>
      </c>
      <c r="F142" s="98" t="str">
        <f t="shared" si="6"/>
        <v>AE0442</v>
      </c>
      <c r="G142" s="99" t="str">
        <f t="shared" si="3"/>
        <v>AE0443</v>
      </c>
      <c r="H142" s="101"/>
      <c r="I142" s="107"/>
      <c r="J142" s="62"/>
      <c r="K142" s="58"/>
      <c r="L142" s="102"/>
      <c r="M142" s="103"/>
      <c r="N142" s="62"/>
      <c r="O142" s="101"/>
      <c r="P142" s="58"/>
      <c r="Q142" s="62"/>
      <c r="R142" s="62"/>
      <c r="S142" s="62"/>
      <c r="T142" s="62"/>
      <c r="U142" s="62"/>
      <c r="V142" s="62"/>
      <c r="W142" s="62"/>
      <c r="X142" s="62"/>
      <c r="Y142" s="62"/>
      <c r="Z142" s="62"/>
      <c r="AA142" s="62"/>
    </row>
    <row r="143">
      <c r="A143" s="96">
        <v>140.0</v>
      </c>
      <c r="B143" s="98" t="str">
        <f t="shared" si="4"/>
        <v>AE02E6</v>
      </c>
      <c r="C143" s="99" t="str">
        <f t="shared" si="1"/>
        <v>AE02E7</v>
      </c>
      <c r="D143" s="99" t="str">
        <f t="shared" si="5"/>
        <v>AD7BE4</v>
      </c>
      <c r="E143" s="99" t="str">
        <f t="shared" si="2"/>
        <v>AD7BE5</v>
      </c>
      <c r="F143" s="98" t="str">
        <f t="shared" si="6"/>
        <v>AE0444</v>
      </c>
      <c r="G143" s="99" t="str">
        <f t="shared" si="3"/>
        <v>AE0445</v>
      </c>
      <c r="H143" s="101"/>
      <c r="I143" s="107"/>
      <c r="J143" s="62"/>
      <c r="K143" s="58"/>
      <c r="L143" s="102"/>
      <c r="M143" s="103"/>
      <c r="N143" s="62"/>
      <c r="O143" s="101"/>
      <c r="P143" s="58"/>
      <c r="Q143" s="62"/>
      <c r="R143" s="62"/>
      <c r="S143" s="62"/>
      <c r="T143" s="62"/>
      <c r="U143" s="62"/>
      <c r="V143" s="62"/>
      <c r="W143" s="62"/>
      <c r="X143" s="62"/>
      <c r="Y143" s="62"/>
      <c r="Z143" s="62"/>
      <c r="AA143" s="62"/>
    </row>
    <row r="144">
      <c r="A144" s="96">
        <v>141.0</v>
      </c>
      <c r="B144" s="98" t="str">
        <f t="shared" si="4"/>
        <v>AE02E8</v>
      </c>
      <c r="C144" s="99" t="str">
        <f t="shared" si="1"/>
        <v>AE02E9</v>
      </c>
      <c r="D144" s="99" t="str">
        <f t="shared" si="5"/>
        <v>AD7BE6</v>
      </c>
      <c r="E144" s="99" t="str">
        <f t="shared" si="2"/>
        <v>AD7BE7</v>
      </c>
      <c r="F144" s="98" t="str">
        <f t="shared" si="6"/>
        <v>AE0446</v>
      </c>
      <c r="G144" s="99" t="str">
        <f t="shared" si="3"/>
        <v>AE0447</v>
      </c>
      <c r="H144" s="101"/>
      <c r="I144" s="107"/>
      <c r="J144" s="62"/>
      <c r="K144" s="58"/>
      <c r="L144" s="102"/>
      <c r="M144" s="103"/>
      <c r="N144" s="62"/>
      <c r="O144" s="101"/>
      <c r="P144" s="58"/>
      <c r="Q144" s="62"/>
      <c r="R144" s="62"/>
      <c r="S144" s="62"/>
      <c r="T144" s="62"/>
      <c r="U144" s="62"/>
      <c r="V144" s="62"/>
      <c r="W144" s="62"/>
      <c r="X144" s="62"/>
      <c r="Y144" s="62"/>
      <c r="Z144" s="62"/>
      <c r="AA144" s="62"/>
    </row>
    <row r="145">
      <c r="A145" s="96">
        <v>142.0</v>
      </c>
      <c r="B145" s="98" t="str">
        <f t="shared" si="4"/>
        <v>AE02EA</v>
      </c>
      <c r="C145" s="99" t="str">
        <f t="shared" si="1"/>
        <v>AE02EB</v>
      </c>
      <c r="D145" s="99" t="str">
        <f t="shared" si="5"/>
        <v>AD7BE8</v>
      </c>
      <c r="E145" s="99" t="str">
        <f t="shared" si="2"/>
        <v>AD7BE9</v>
      </c>
      <c r="F145" s="98" t="str">
        <f t="shared" si="6"/>
        <v>AE0448</v>
      </c>
      <c r="G145" s="99" t="str">
        <f t="shared" si="3"/>
        <v>AE0449</v>
      </c>
      <c r="H145" s="101"/>
      <c r="I145" s="107"/>
      <c r="J145" s="62"/>
      <c r="K145" s="58"/>
      <c r="L145" s="102"/>
      <c r="M145" s="103"/>
      <c r="N145" s="62"/>
      <c r="O145" s="101"/>
      <c r="P145" s="58"/>
      <c r="Q145" s="62"/>
      <c r="R145" s="62"/>
      <c r="S145" s="62"/>
      <c r="T145" s="62"/>
      <c r="U145" s="62"/>
      <c r="V145" s="62"/>
      <c r="W145" s="62"/>
      <c r="X145" s="62"/>
      <c r="Y145" s="62"/>
      <c r="Z145" s="62"/>
      <c r="AA145" s="62"/>
    </row>
    <row r="146">
      <c r="A146" s="96">
        <v>143.0</v>
      </c>
      <c r="B146" s="98" t="str">
        <f t="shared" si="4"/>
        <v>AE02EC</v>
      </c>
      <c r="C146" s="99" t="str">
        <f t="shared" si="1"/>
        <v>AE02ED</v>
      </c>
      <c r="D146" s="99" t="str">
        <f t="shared" si="5"/>
        <v>AD7BEA</v>
      </c>
      <c r="E146" s="99" t="str">
        <f t="shared" si="2"/>
        <v>AD7BEB</v>
      </c>
      <c r="F146" s="98" t="str">
        <f t="shared" si="6"/>
        <v>AE044A</v>
      </c>
      <c r="G146" s="99" t="str">
        <f t="shared" si="3"/>
        <v>AE044B</v>
      </c>
      <c r="H146" s="101"/>
      <c r="I146" s="107"/>
      <c r="J146" s="62"/>
      <c r="K146" s="58"/>
      <c r="L146" s="102"/>
      <c r="M146" s="103"/>
      <c r="N146" s="62"/>
      <c r="O146" s="101"/>
      <c r="P146" s="58"/>
      <c r="Q146" s="62"/>
      <c r="R146" s="62"/>
      <c r="S146" s="62"/>
      <c r="T146" s="62"/>
      <c r="U146" s="62"/>
      <c r="V146" s="62"/>
      <c r="W146" s="62"/>
      <c r="X146" s="62"/>
      <c r="Y146" s="62"/>
      <c r="Z146" s="62"/>
      <c r="AA146" s="62"/>
    </row>
    <row r="147">
      <c r="A147" s="96">
        <v>144.0</v>
      </c>
      <c r="B147" s="98" t="str">
        <f t="shared" si="4"/>
        <v>AE02EE</v>
      </c>
      <c r="C147" s="99" t="str">
        <f t="shared" si="1"/>
        <v>AE02EF</v>
      </c>
      <c r="D147" s="99" t="str">
        <f t="shared" si="5"/>
        <v>AD7BEC</v>
      </c>
      <c r="E147" s="99" t="str">
        <f t="shared" si="2"/>
        <v>AD7BED</v>
      </c>
      <c r="F147" s="98" t="str">
        <f t="shared" si="6"/>
        <v>AE044C</v>
      </c>
      <c r="G147" s="99" t="str">
        <f t="shared" si="3"/>
        <v>AE044D</v>
      </c>
      <c r="H147" s="101"/>
      <c r="I147" s="107"/>
      <c r="J147" s="62"/>
      <c r="K147" s="58"/>
      <c r="L147" s="102"/>
      <c r="M147" s="103"/>
      <c r="N147" s="62"/>
      <c r="O147" s="101"/>
      <c r="P147" s="58"/>
      <c r="Q147" s="62"/>
      <c r="R147" s="62"/>
      <c r="S147" s="62"/>
      <c r="T147" s="62"/>
      <c r="U147" s="62"/>
      <c r="V147" s="62"/>
      <c r="W147" s="62"/>
      <c r="X147" s="62"/>
      <c r="Y147" s="62"/>
      <c r="Z147" s="62"/>
      <c r="AA147" s="62"/>
    </row>
    <row r="148">
      <c r="A148" s="96">
        <v>145.0</v>
      </c>
      <c r="B148" s="98" t="str">
        <f t="shared" si="4"/>
        <v>AE02F0</v>
      </c>
      <c r="C148" s="99" t="str">
        <f t="shared" si="1"/>
        <v>AE02F1</v>
      </c>
      <c r="D148" s="99" t="str">
        <f t="shared" si="5"/>
        <v>AD7BEE</v>
      </c>
      <c r="E148" s="99" t="str">
        <f t="shared" si="2"/>
        <v>AD7BEF</v>
      </c>
      <c r="F148" s="98" t="str">
        <f t="shared" si="6"/>
        <v>AE044E</v>
      </c>
      <c r="G148" s="99" t="str">
        <f t="shared" si="3"/>
        <v>AE044F</v>
      </c>
      <c r="H148" s="101"/>
      <c r="I148" s="107"/>
      <c r="J148" s="62"/>
      <c r="K148" s="58"/>
      <c r="L148" s="102"/>
      <c r="M148" s="103"/>
      <c r="N148" s="62"/>
      <c r="O148" s="101"/>
      <c r="P148" s="58"/>
      <c r="Q148" s="62"/>
      <c r="R148" s="62"/>
      <c r="S148" s="62"/>
      <c r="T148" s="62"/>
      <c r="U148" s="62"/>
      <c r="V148" s="62"/>
      <c r="W148" s="62"/>
      <c r="X148" s="62"/>
      <c r="Y148" s="62"/>
      <c r="Z148" s="62"/>
      <c r="AA148" s="62"/>
    </row>
    <row r="149">
      <c r="A149" s="96">
        <v>146.0</v>
      </c>
      <c r="B149" s="98" t="str">
        <f t="shared" si="4"/>
        <v>AE02F2</v>
      </c>
      <c r="C149" s="99" t="str">
        <f t="shared" si="1"/>
        <v>AE02F3</v>
      </c>
      <c r="D149" s="99" t="str">
        <f t="shared" si="5"/>
        <v>AD7BF0</v>
      </c>
      <c r="E149" s="99" t="str">
        <f t="shared" si="2"/>
        <v>AD7BF1</v>
      </c>
      <c r="F149" s="98" t="str">
        <f t="shared" si="6"/>
        <v>AE0450</v>
      </c>
      <c r="G149" s="99" t="str">
        <f t="shared" si="3"/>
        <v>AE0451</v>
      </c>
      <c r="H149" s="101"/>
      <c r="I149" s="107"/>
      <c r="J149" s="62"/>
      <c r="K149" s="58"/>
      <c r="L149" s="102"/>
      <c r="M149" s="103"/>
      <c r="N149" s="62"/>
      <c r="O149" s="101"/>
      <c r="P149" s="58"/>
      <c r="Q149" s="62"/>
      <c r="R149" s="62"/>
      <c r="S149" s="62"/>
      <c r="T149" s="62"/>
      <c r="U149" s="62"/>
      <c r="V149" s="62"/>
      <c r="W149" s="62"/>
      <c r="X149" s="62"/>
      <c r="Y149" s="62"/>
      <c r="Z149" s="62"/>
      <c r="AA149" s="62"/>
    </row>
    <row r="150">
      <c r="A150" s="96">
        <v>147.0</v>
      </c>
      <c r="B150" s="98" t="str">
        <f t="shared" si="4"/>
        <v>AE02F4</v>
      </c>
      <c r="C150" s="99" t="str">
        <f t="shared" si="1"/>
        <v>AE02F5</v>
      </c>
      <c r="D150" s="99" t="str">
        <f t="shared" si="5"/>
        <v>AD7BF2</v>
      </c>
      <c r="E150" s="99" t="str">
        <f t="shared" si="2"/>
        <v>AD7BF3</v>
      </c>
      <c r="F150" s="98" t="str">
        <f t="shared" si="6"/>
        <v>AE0452</v>
      </c>
      <c r="G150" s="99" t="str">
        <f t="shared" si="3"/>
        <v>AE0453</v>
      </c>
      <c r="H150" s="101"/>
      <c r="I150" s="107"/>
      <c r="J150" s="62"/>
      <c r="K150" s="58"/>
      <c r="L150" s="102"/>
      <c r="M150" s="103"/>
      <c r="N150" s="62"/>
      <c r="O150" s="101"/>
      <c r="P150" s="58"/>
      <c r="Q150" s="58"/>
      <c r="R150" s="58"/>
      <c r="S150" s="62"/>
      <c r="T150" s="62"/>
      <c r="U150" s="62"/>
      <c r="V150" s="62"/>
      <c r="W150" s="62"/>
      <c r="X150" s="62"/>
      <c r="Y150" s="62"/>
      <c r="Z150" s="62"/>
      <c r="AA150" s="62"/>
    </row>
    <row r="151">
      <c r="A151" s="96">
        <v>148.0</v>
      </c>
      <c r="B151" s="98" t="str">
        <f t="shared" si="4"/>
        <v>AE02F6</v>
      </c>
      <c r="C151" s="99" t="str">
        <f t="shared" si="1"/>
        <v>AE02F7</v>
      </c>
      <c r="D151" s="99" t="str">
        <f t="shared" si="5"/>
        <v>AD7BF4</v>
      </c>
      <c r="E151" s="99" t="str">
        <f t="shared" si="2"/>
        <v>AD7BF5</v>
      </c>
      <c r="F151" s="98" t="str">
        <f t="shared" si="6"/>
        <v>AE0454</v>
      </c>
      <c r="G151" s="99" t="str">
        <f t="shared" si="3"/>
        <v>AE0455</v>
      </c>
      <c r="H151" s="101"/>
      <c r="I151" s="107"/>
      <c r="J151" s="62"/>
      <c r="K151" s="58"/>
      <c r="L151" s="102"/>
      <c r="M151" s="103"/>
      <c r="N151" s="62"/>
      <c r="O151" s="101"/>
      <c r="P151" s="58"/>
      <c r="Q151" s="62"/>
      <c r="R151" s="62"/>
      <c r="S151" s="62"/>
      <c r="T151" s="62"/>
      <c r="U151" s="62"/>
      <c r="V151" s="62"/>
      <c r="W151" s="62"/>
      <c r="X151" s="62"/>
      <c r="Y151" s="62"/>
      <c r="Z151" s="62"/>
      <c r="AA151" s="62"/>
    </row>
    <row r="152">
      <c r="A152" s="96">
        <v>149.0</v>
      </c>
      <c r="B152" s="98" t="str">
        <f t="shared" si="4"/>
        <v>AE02F8</v>
      </c>
      <c r="C152" s="99" t="str">
        <f t="shared" si="1"/>
        <v>AE02F9</v>
      </c>
      <c r="D152" s="99" t="str">
        <f t="shared" si="5"/>
        <v>AD7BF6</v>
      </c>
      <c r="E152" s="99" t="str">
        <f t="shared" si="2"/>
        <v>AD7BF7</v>
      </c>
      <c r="F152" s="98" t="str">
        <f t="shared" si="6"/>
        <v>AE0456</v>
      </c>
      <c r="G152" s="99" t="str">
        <f t="shared" si="3"/>
        <v>AE0457</v>
      </c>
      <c r="H152" s="101"/>
      <c r="I152" s="107"/>
      <c r="J152" s="62"/>
      <c r="K152" s="58"/>
      <c r="L152" s="102"/>
      <c r="M152" s="103"/>
      <c r="N152" s="62"/>
      <c r="O152" s="101"/>
      <c r="P152" s="58"/>
      <c r="Q152" s="62"/>
      <c r="R152" s="62"/>
      <c r="S152" s="62"/>
      <c r="T152" s="62"/>
      <c r="U152" s="62"/>
      <c r="V152" s="62"/>
      <c r="W152" s="62"/>
      <c r="X152" s="62"/>
      <c r="Y152" s="62"/>
      <c r="Z152" s="62"/>
      <c r="AA152" s="62"/>
    </row>
    <row r="153">
      <c r="A153" s="96">
        <v>150.0</v>
      </c>
      <c r="B153" s="98" t="str">
        <f t="shared" si="4"/>
        <v>AE02FA</v>
      </c>
      <c r="C153" s="99" t="str">
        <f t="shared" si="1"/>
        <v>AE02FB</v>
      </c>
      <c r="D153" s="99" t="str">
        <f t="shared" si="5"/>
        <v>AD7BF8</v>
      </c>
      <c r="E153" s="99" t="str">
        <f t="shared" si="2"/>
        <v>AD7BF9</v>
      </c>
      <c r="F153" s="98" t="str">
        <f t="shared" si="6"/>
        <v>AE0458</v>
      </c>
      <c r="G153" s="99" t="str">
        <f t="shared" si="3"/>
        <v>AE0459</v>
      </c>
      <c r="H153" s="101"/>
      <c r="I153" s="107"/>
      <c r="J153" s="62"/>
      <c r="K153" s="58"/>
      <c r="L153" s="102"/>
      <c r="M153" s="103"/>
      <c r="N153" s="62"/>
      <c r="O153" s="101"/>
      <c r="P153" s="58"/>
      <c r="Q153" s="62"/>
      <c r="R153" s="62"/>
      <c r="S153" s="62"/>
      <c r="T153" s="62"/>
      <c r="U153" s="62"/>
      <c r="V153" s="62"/>
      <c r="W153" s="62"/>
      <c r="X153" s="62"/>
      <c r="Y153" s="62"/>
      <c r="Z153" s="62"/>
      <c r="AA153" s="62"/>
    </row>
    <row r="154">
      <c r="A154" s="96">
        <v>151.0</v>
      </c>
      <c r="B154" s="98" t="str">
        <f t="shared" si="4"/>
        <v>AE02FC</v>
      </c>
      <c r="C154" s="99" t="str">
        <f t="shared" si="1"/>
        <v>AE02FD</v>
      </c>
      <c r="D154" s="99" t="str">
        <f t="shared" si="5"/>
        <v>AD7BFA</v>
      </c>
      <c r="E154" s="99" t="str">
        <f t="shared" si="2"/>
        <v>AD7BFB</v>
      </c>
      <c r="F154" s="98" t="str">
        <f t="shared" si="6"/>
        <v>AE045A</v>
      </c>
      <c r="G154" s="99" t="str">
        <f t="shared" si="3"/>
        <v>AE045B</v>
      </c>
      <c r="H154" s="101"/>
      <c r="I154" s="107"/>
      <c r="J154" s="62"/>
      <c r="K154" s="58"/>
      <c r="L154" s="102"/>
      <c r="M154" s="103"/>
      <c r="N154" s="62"/>
      <c r="O154" s="101"/>
      <c r="P154" s="58"/>
      <c r="Q154" s="62"/>
      <c r="R154" s="62"/>
      <c r="S154" s="62"/>
      <c r="T154" s="62"/>
      <c r="U154" s="62"/>
      <c r="V154" s="62"/>
      <c r="W154" s="62"/>
      <c r="X154" s="62"/>
      <c r="Y154" s="62"/>
      <c r="Z154" s="62"/>
      <c r="AA154" s="62"/>
    </row>
    <row r="155">
      <c r="A155" s="96">
        <v>152.0</v>
      </c>
      <c r="B155" s="98" t="str">
        <f t="shared" si="4"/>
        <v>AE02FE</v>
      </c>
      <c r="C155" s="99" t="str">
        <f t="shared" si="1"/>
        <v>AE02FF</v>
      </c>
      <c r="D155" s="99" t="str">
        <f t="shared" si="5"/>
        <v>AD7BFC</v>
      </c>
      <c r="E155" s="99" t="str">
        <f t="shared" si="2"/>
        <v>AD7BFD</v>
      </c>
      <c r="F155" s="98" t="str">
        <f t="shared" si="6"/>
        <v>AE045C</v>
      </c>
      <c r="G155" s="99" t="str">
        <f t="shared" si="3"/>
        <v>AE045D</v>
      </c>
      <c r="H155" s="101"/>
      <c r="I155" s="107"/>
      <c r="J155" s="62"/>
      <c r="K155" s="58"/>
      <c r="L155" s="102"/>
      <c r="M155" s="103"/>
      <c r="N155" s="62"/>
      <c r="O155" s="101"/>
      <c r="P155" s="58"/>
      <c r="Q155" s="58"/>
      <c r="R155" s="62"/>
      <c r="S155" s="62"/>
      <c r="T155" s="62"/>
      <c r="U155" s="62"/>
      <c r="V155" s="62"/>
      <c r="W155" s="62"/>
      <c r="X155" s="62"/>
      <c r="Y155" s="62"/>
      <c r="Z155" s="62"/>
      <c r="AA155" s="62"/>
    </row>
    <row r="156">
      <c r="A156" s="96">
        <v>153.0</v>
      </c>
      <c r="B156" s="98" t="str">
        <f t="shared" si="4"/>
        <v>AE0300</v>
      </c>
      <c r="C156" s="99" t="str">
        <f t="shared" si="1"/>
        <v>AE0301</v>
      </c>
      <c r="D156" s="99" t="str">
        <f t="shared" si="5"/>
        <v>AD7BFE</v>
      </c>
      <c r="E156" s="99" t="str">
        <f t="shared" si="2"/>
        <v>AD7BFF</v>
      </c>
      <c r="F156" s="98" t="str">
        <f t="shared" si="6"/>
        <v>AE045E</v>
      </c>
      <c r="G156" s="99" t="str">
        <f t="shared" si="3"/>
        <v>AE045F</v>
      </c>
      <c r="H156" s="101"/>
      <c r="I156" s="107"/>
      <c r="J156" s="62"/>
      <c r="K156" s="58"/>
      <c r="L156" s="102"/>
      <c r="M156" s="103"/>
      <c r="N156" s="62"/>
      <c r="O156" s="101"/>
      <c r="P156" s="58"/>
      <c r="Q156" s="58"/>
      <c r="R156" s="62"/>
      <c r="S156" s="62"/>
      <c r="T156" s="62"/>
      <c r="U156" s="62"/>
      <c r="V156" s="62"/>
      <c r="W156" s="62"/>
      <c r="X156" s="62"/>
      <c r="Y156" s="62"/>
      <c r="Z156" s="62"/>
      <c r="AA156" s="62"/>
    </row>
    <row r="157">
      <c r="A157" s="96">
        <v>154.0</v>
      </c>
      <c r="B157" s="98" t="str">
        <f t="shared" si="4"/>
        <v>AE0302</v>
      </c>
      <c r="C157" s="99" t="str">
        <f t="shared" si="1"/>
        <v>AE0303</v>
      </c>
      <c r="D157" s="99" t="str">
        <f t="shared" si="5"/>
        <v>AD7C00</v>
      </c>
      <c r="E157" s="99" t="str">
        <f t="shared" si="2"/>
        <v>AD7C01</v>
      </c>
      <c r="F157" s="98" t="str">
        <f t="shared" si="6"/>
        <v>AE0460</v>
      </c>
      <c r="G157" s="99" t="str">
        <f t="shared" si="3"/>
        <v>AE0461</v>
      </c>
      <c r="H157" s="101"/>
      <c r="I157" s="107"/>
      <c r="J157" s="62"/>
      <c r="K157" s="58"/>
      <c r="L157" s="102"/>
      <c r="M157" s="103"/>
      <c r="N157" s="62"/>
      <c r="O157" s="101"/>
      <c r="P157" s="58"/>
      <c r="Q157" s="58"/>
      <c r="R157" s="62"/>
      <c r="S157" s="62"/>
      <c r="T157" s="62"/>
      <c r="U157" s="62"/>
      <c r="V157" s="62"/>
      <c r="W157" s="62"/>
      <c r="X157" s="62"/>
      <c r="Y157" s="62"/>
      <c r="Z157" s="62"/>
      <c r="AA157" s="62"/>
    </row>
    <row r="158">
      <c r="A158" s="96">
        <v>155.0</v>
      </c>
      <c r="B158" s="98" t="str">
        <f t="shared" si="4"/>
        <v>AE0304</v>
      </c>
      <c r="C158" s="99" t="str">
        <f t="shared" si="1"/>
        <v>AE0305</v>
      </c>
      <c r="D158" s="99" t="str">
        <f t="shared" si="5"/>
        <v>AD7C02</v>
      </c>
      <c r="E158" s="99" t="str">
        <f t="shared" si="2"/>
        <v>AD7C03</v>
      </c>
      <c r="F158" s="98" t="str">
        <f t="shared" si="6"/>
        <v>AE0462</v>
      </c>
      <c r="G158" s="99" t="str">
        <f t="shared" si="3"/>
        <v>AE0463</v>
      </c>
      <c r="H158" s="101"/>
      <c r="I158" s="107"/>
      <c r="J158" s="62"/>
      <c r="K158" s="58"/>
      <c r="L158" s="102"/>
      <c r="M158" s="103"/>
      <c r="N158" s="62"/>
      <c r="O158" s="101"/>
      <c r="P158" s="58"/>
      <c r="Q158" s="58"/>
      <c r="R158" s="58"/>
      <c r="S158" s="62"/>
      <c r="T158" s="62"/>
      <c r="U158" s="62"/>
      <c r="V158" s="62"/>
      <c r="W158" s="62"/>
      <c r="X158" s="62"/>
      <c r="Y158" s="62"/>
      <c r="Z158" s="62"/>
      <c r="AA158" s="62"/>
    </row>
    <row r="159">
      <c r="A159" s="96">
        <v>156.0</v>
      </c>
      <c r="B159" s="98" t="str">
        <f t="shared" si="4"/>
        <v>AE0306</v>
      </c>
      <c r="C159" s="99" t="str">
        <f t="shared" si="1"/>
        <v>AE0307</v>
      </c>
      <c r="D159" s="99" t="str">
        <f t="shared" si="5"/>
        <v>AD7C04</v>
      </c>
      <c r="E159" s="99" t="str">
        <f t="shared" si="2"/>
        <v>AD7C05</v>
      </c>
      <c r="F159" s="98" t="str">
        <f t="shared" si="6"/>
        <v>AE0464</v>
      </c>
      <c r="G159" s="99" t="str">
        <f t="shared" si="3"/>
        <v>AE0465</v>
      </c>
      <c r="H159" s="101"/>
      <c r="I159" s="107"/>
      <c r="J159" s="62"/>
      <c r="K159" s="58"/>
      <c r="L159" s="102"/>
      <c r="M159" s="103"/>
      <c r="N159" s="62"/>
      <c r="O159" s="101"/>
      <c r="P159" s="58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</row>
    <row r="160">
      <c r="A160" s="96">
        <v>157.0</v>
      </c>
      <c r="B160" s="98" t="str">
        <f t="shared" si="4"/>
        <v>AE0308</v>
      </c>
      <c r="C160" s="99" t="str">
        <f t="shared" si="1"/>
        <v>AE0309</v>
      </c>
      <c r="D160" s="99" t="str">
        <f t="shared" si="5"/>
        <v>AD7C06</v>
      </c>
      <c r="E160" s="99" t="str">
        <f t="shared" si="2"/>
        <v>AD7C07</v>
      </c>
      <c r="F160" s="98" t="str">
        <f t="shared" si="6"/>
        <v>AE0466</v>
      </c>
      <c r="G160" s="99" t="str">
        <f t="shared" si="3"/>
        <v>AE0467</v>
      </c>
      <c r="H160" s="101"/>
      <c r="I160" s="107"/>
      <c r="J160" s="62"/>
      <c r="K160" s="58"/>
      <c r="L160" s="102"/>
      <c r="M160" s="103"/>
      <c r="N160" s="62"/>
      <c r="O160" s="101"/>
      <c r="P160" s="58"/>
      <c r="Q160" s="62"/>
      <c r="R160" s="62"/>
      <c r="S160" s="62"/>
      <c r="T160" s="62"/>
      <c r="U160" s="62"/>
      <c r="V160" s="62"/>
      <c r="W160" s="62"/>
      <c r="X160" s="62"/>
      <c r="Y160" s="62"/>
      <c r="Z160" s="62"/>
      <c r="AA160" s="62"/>
    </row>
    <row r="161">
      <c r="A161" s="96">
        <v>158.0</v>
      </c>
      <c r="B161" s="98" t="str">
        <f t="shared" si="4"/>
        <v>AE030A</v>
      </c>
      <c r="C161" s="99" t="str">
        <f t="shared" si="1"/>
        <v>AE030B</v>
      </c>
      <c r="D161" s="99" t="str">
        <f t="shared" si="5"/>
        <v>AD7C08</v>
      </c>
      <c r="E161" s="99" t="str">
        <f t="shared" si="2"/>
        <v>AD7C09</v>
      </c>
      <c r="F161" s="98" t="str">
        <f t="shared" si="6"/>
        <v>AE0468</v>
      </c>
      <c r="G161" s="99" t="str">
        <f t="shared" si="3"/>
        <v>AE0469</v>
      </c>
      <c r="H161" s="101"/>
      <c r="I161" s="107"/>
      <c r="J161" s="62"/>
      <c r="K161" s="58"/>
      <c r="L161" s="102"/>
      <c r="M161" s="103"/>
      <c r="N161" s="62"/>
      <c r="O161" s="101"/>
      <c r="P161" s="58"/>
      <c r="Q161" s="58"/>
      <c r="R161" s="58"/>
      <c r="S161" s="62"/>
      <c r="T161" s="62"/>
      <c r="U161" s="62"/>
      <c r="V161" s="62"/>
      <c r="W161" s="62"/>
      <c r="X161" s="62"/>
      <c r="Y161" s="62"/>
      <c r="Z161" s="62"/>
      <c r="AA161" s="62"/>
    </row>
    <row r="162">
      <c r="A162" s="96">
        <v>159.0</v>
      </c>
      <c r="B162" s="98" t="str">
        <f t="shared" si="4"/>
        <v>AE030C</v>
      </c>
      <c r="C162" s="99" t="str">
        <f t="shared" si="1"/>
        <v>AE030D</v>
      </c>
      <c r="D162" s="99" t="str">
        <f t="shared" si="5"/>
        <v>AD7C0A</v>
      </c>
      <c r="E162" s="99" t="str">
        <f t="shared" si="2"/>
        <v>AD7C0B</v>
      </c>
      <c r="F162" s="98" t="str">
        <f t="shared" si="6"/>
        <v>AE046A</v>
      </c>
      <c r="G162" s="99" t="str">
        <f t="shared" si="3"/>
        <v>AE046B</v>
      </c>
      <c r="H162" s="101"/>
      <c r="I162" s="107"/>
      <c r="J162" s="62"/>
      <c r="K162" s="58"/>
      <c r="L162" s="102"/>
      <c r="M162" s="103"/>
      <c r="N162" s="62"/>
      <c r="O162" s="101"/>
      <c r="P162" s="58"/>
      <c r="Q162" s="58"/>
      <c r="R162" s="58"/>
      <c r="S162" s="62"/>
      <c r="T162" s="62"/>
      <c r="U162" s="62"/>
      <c r="V162" s="62"/>
      <c r="W162" s="62"/>
      <c r="X162" s="62"/>
      <c r="Y162" s="62"/>
      <c r="Z162" s="62"/>
      <c r="AA162" s="62"/>
    </row>
    <row r="163">
      <c r="A163" s="96">
        <v>160.0</v>
      </c>
      <c r="B163" s="98" t="str">
        <f t="shared" si="4"/>
        <v>AE030E</v>
      </c>
      <c r="C163" s="99" t="str">
        <f t="shared" si="1"/>
        <v>AE030F</v>
      </c>
      <c r="D163" s="99" t="str">
        <f t="shared" si="5"/>
        <v>AD7C0C</v>
      </c>
      <c r="E163" s="99" t="str">
        <f t="shared" si="2"/>
        <v>AD7C0D</v>
      </c>
      <c r="F163" s="98" t="str">
        <f t="shared" si="6"/>
        <v>AE046C</v>
      </c>
      <c r="G163" s="99" t="str">
        <f t="shared" si="3"/>
        <v>AE046D</v>
      </c>
      <c r="H163" s="101"/>
      <c r="I163" s="107"/>
      <c r="J163" s="62"/>
      <c r="K163" s="58"/>
      <c r="L163" s="102"/>
      <c r="M163" s="103"/>
      <c r="N163" s="62"/>
      <c r="O163" s="101"/>
      <c r="P163" s="58"/>
      <c r="Q163" s="58"/>
      <c r="R163" s="58"/>
      <c r="S163" s="62"/>
      <c r="T163" s="62"/>
      <c r="U163" s="62"/>
      <c r="V163" s="62"/>
      <c r="W163" s="62"/>
      <c r="X163" s="62"/>
      <c r="Y163" s="62"/>
      <c r="Z163" s="62"/>
      <c r="AA163" s="62"/>
    </row>
    <row r="164">
      <c r="A164" s="96">
        <v>161.0</v>
      </c>
      <c r="B164" s="98" t="str">
        <f t="shared" si="4"/>
        <v>AE0310</v>
      </c>
      <c r="C164" s="99" t="str">
        <f t="shared" si="1"/>
        <v>AE0311</v>
      </c>
      <c r="D164" s="99" t="str">
        <f t="shared" si="5"/>
        <v>AD7C0E</v>
      </c>
      <c r="E164" s="99" t="str">
        <f t="shared" si="2"/>
        <v>AD7C0F</v>
      </c>
      <c r="F164" s="98" t="str">
        <f t="shared" si="6"/>
        <v>AE046E</v>
      </c>
      <c r="G164" s="99" t="str">
        <f t="shared" si="3"/>
        <v>AE046F</v>
      </c>
      <c r="H164" s="101"/>
      <c r="I164" s="107"/>
      <c r="J164" s="62"/>
      <c r="K164" s="58"/>
      <c r="L164" s="102"/>
      <c r="M164" s="103"/>
      <c r="N164" s="62"/>
      <c r="O164" s="101"/>
      <c r="P164" s="58"/>
      <c r="Q164" s="58"/>
      <c r="R164" s="58"/>
      <c r="S164" s="62"/>
      <c r="T164" s="62"/>
      <c r="U164" s="62"/>
      <c r="V164" s="62"/>
      <c r="W164" s="62"/>
      <c r="X164" s="62"/>
      <c r="Y164" s="62"/>
      <c r="Z164" s="62"/>
      <c r="AA164" s="62"/>
    </row>
    <row r="165">
      <c r="A165" s="96">
        <v>162.0</v>
      </c>
      <c r="B165" s="98" t="str">
        <f t="shared" si="4"/>
        <v>AE0312</v>
      </c>
      <c r="C165" s="99" t="str">
        <f t="shared" si="1"/>
        <v>AE0313</v>
      </c>
      <c r="D165" s="99" t="str">
        <f t="shared" si="5"/>
        <v>AD7C10</v>
      </c>
      <c r="E165" s="99" t="str">
        <f t="shared" si="2"/>
        <v>AD7C11</v>
      </c>
      <c r="F165" s="98" t="str">
        <f t="shared" si="6"/>
        <v>AE0470</v>
      </c>
      <c r="G165" s="99" t="str">
        <f t="shared" si="3"/>
        <v>AE0471</v>
      </c>
      <c r="H165" s="101"/>
      <c r="I165" s="107"/>
      <c r="J165" s="62"/>
      <c r="K165" s="58"/>
      <c r="L165" s="102"/>
      <c r="M165" s="103"/>
      <c r="N165" s="62"/>
      <c r="O165" s="101"/>
      <c r="P165" s="58"/>
      <c r="Q165" s="58"/>
      <c r="R165" s="58"/>
      <c r="S165" s="62"/>
      <c r="T165" s="62"/>
      <c r="U165" s="62"/>
      <c r="V165" s="62"/>
      <c r="W165" s="62"/>
      <c r="X165" s="62"/>
      <c r="Y165" s="62"/>
      <c r="Z165" s="62"/>
      <c r="AA165" s="62"/>
    </row>
    <row r="166">
      <c r="A166" s="96">
        <v>163.0</v>
      </c>
      <c r="B166" s="98" t="str">
        <f t="shared" si="4"/>
        <v>AE0314</v>
      </c>
      <c r="C166" s="99" t="str">
        <f t="shared" si="1"/>
        <v>AE0315</v>
      </c>
      <c r="D166" s="99" t="str">
        <f t="shared" si="5"/>
        <v>AD7C12</v>
      </c>
      <c r="E166" s="99" t="str">
        <f t="shared" si="2"/>
        <v>AD7C13</v>
      </c>
      <c r="F166" s="98" t="str">
        <f t="shared" si="6"/>
        <v>AE0472</v>
      </c>
      <c r="G166" s="99" t="str">
        <f t="shared" si="3"/>
        <v>AE0473</v>
      </c>
      <c r="H166" s="101"/>
      <c r="I166" s="107"/>
      <c r="J166" s="62"/>
      <c r="K166" s="58"/>
      <c r="L166" s="102"/>
      <c r="M166" s="103"/>
      <c r="N166" s="62"/>
      <c r="O166" s="101"/>
      <c r="P166" s="58"/>
      <c r="Q166" s="58"/>
      <c r="R166" s="58"/>
      <c r="S166" s="62"/>
      <c r="T166" s="62"/>
      <c r="U166" s="62"/>
      <c r="V166" s="62"/>
      <c r="W166" s="62"/>
      <c r="X166" s="62"/>
      <c r="Y166" s="62"/>
      <c r="Z166" s="62"/>
      <c r="AA166" s="62"/>
    </row>
    <row r="167">
      <c r="A167" s="96">
        <v>164.0</v>
      </c>
      <c r="B167" s="98" t="str">
        <f t="shared" si="4"/>
        <v>AE0316</v>
      </c>
      <c r="C167" s="99" t="str">
        <f t="shared" si="1"/>
        <v>AE0317</v>
      </c>
      <c r="D167" s="99" t="str">
        <f t="shared" si="5"/>
        <v>AD7C14</v>
      </c>
      <c r="E167" s="99" t="str">
        <f t="shared" si="2"/>
        <v>AD7C15</v>
      </c>
      <c r="F167" s="98" t="str">
        <f t="shared" si="6"/>
        <v>AE0474</v>
      </c>
      <c r="G167" s="99" t="str">
        <f t="shared" si="3"/>
        <v>AE0475</v>
      </c>
      <c r="H167" s="101"/>
      <c r="I167" s="107"/>
      <c r="J167" s="62"/>
      <c r="K167" s="58"/>
      <c r="L167" s="102"/>
      <c r="M167" s="103"/>
      <c r="N167" s="62"/>
      <c r="O167" s="101"/>
      <c r="P167" s="58"/>
      <c r="Q167" s="58"/>
      <c r="R167" s="58"/>
      <c r="S167" s="62"/>
      <c r="T167" s="62"/>
      <c r="U167" s="62"/>
      <c r="V167" s="62"/>
      <c r="W167" s="62"/>
      <c r="X167" s="62"/>
      <c r="Y167" s="62"/>
      <c r="Z167" s="62"/>
      <c r="AA167" s="62"/>
    </row>
    <row r="168">
      <c r="A168" s="96">
        <v>165.0</v>
      </c>
      <c r="B168" s="98" t="str">
        <f t="shared" si="4"/>
        <v>AE0318</v>
      </c>
      <c r="C168" s="99" t="str">
        <f t="shared" si="1"/>
        <v>AE0319</v>
      </c>
      <c r="D168" s="99" t="str">
        <f t="shared" si="5"/>
        <v>AD7C16</v>
      </c>
      <c r="E168" s="99" t="str">
        <f t="shared" si="2"/>
        <v>AD7C17</v>
      </c>
      <c r="F168" s="98" t="str">
        <f t="shared" si="6"/>
        <v>AE0476</v>
      </c>
      <c r="G168" s="99" t="str">
        <f t="shared" si="3"/>
        <v>AE0477</v>
      </c>
      <c r="H168" s="101"/>
      <c r="I168" s="107"/>
      <c r="J168" s="62"/>
      <c r="K168" s="58"/>
      <c r="L168" s="102"/>
      <c r="M168" s="103"/>
      <c r="N168" s="62"/>
      <c r="O168" s="101"/>
      <c r="P168" s="58"/>
      <c r="Q168" s="58"/>
      <c r="R168" s="58"/>
      <c r="S168" s="62"/>
      <c r="T168" s="62"/>
      <c r="U168" s="62"/>
      <c r="V168" s="62"/>
      <c r="W168" s="62"/>
      <c r="X168" s="62"/>
      <c r="Y168" s="62"/>
      <c r="Z168" s="62"/>
      <c r="AA168" s="62"/>
    </row>
    <row r="169">
      <c r="A169" s="96">
        <v>166.0</v>
      </c>
      <c r="B169" s="98" t="str">
        <f t="shared" si="4"/>
        <v>AE031A</v>
      </c>
      <c r="C169" s="99" t="str">
        <f t="shared" si="1"/>
        <v>AE031B</v>
      </c>
      <c r="D169" s="99" t="str">
        <f t="shared" si="5"/>
        <v>AD7C18</v>
      </c>
      <c r="E169" s="99" t="str">
        <f t="shared" si="2"/>
        <v>AD7C19</v>
      </c>
      <c r="F169" s="98" t="str">
        <f t="shared" si="6"/>
        <v>AE0478</v>
      </c>
      <c r="G169" s="99" t="str">
        <f t="shared" si="3"/>
        <v>AE0479</v>
      </c>
      <c r="H169" s="101"/>
      <c r="I169" s="107"/>
      <c r="J169" s="62"/>
      <c r="K169" s="58"/>
      <c r="L169" s="102"/>
      <c r="M169" s="103"/>
      <c r="N169" s="62"/>
      <c r="O169" s="101"/>
      <c r="P169" s="58"/>
      <c r="Q169" s="58"/>
      <c r="R169" s="58"/>
      <c r="S169" s="62"/>
      <c r="T169" s="62"/>
      <c r="U169" s="62"/>
      <c r="V169" s="62"/>
      <c r="W169" s="62"/>
      <c r="X169" s="62"/>
      <c r="Y169" s="62"/>
      <c r="Z169" s="62"/>
      <c r="AA169" s="62"/>
    </row>
    <row r="170">
      <c r="A170" s="96">
        <v>167.0</v>
      </c>
      <c r="B170" s="98" t="str">
        <f t="shared" si="4"/>
        <v>AE031C</v>
      </c>
      <c r="C170" s="99" t="str">
        <f t="shared" si="1"/>
        <v>AE031D</v>
      </c>
      <c r="D170" s="99" t="str">
        <f t="shared" si="5"/>
        <v>AD7C1A</v>
      </c>
      <c r="E170" s="99" t="str">
        <f t="shared" si="2"/>
        <v>AD7C1B</v>
      </c>
      <c r="F170" s="98" t="str">
        <f t="shared" si="6"/>
        <v>AE047A</v>
      </c>
      <c r="G170" s="99" t="str">
        <f t="shared" si="3"/>
        <v>AE047B</v>
      </c>
      <c r="H170" s="101"/>
      <c r="I170" s="107"/>
      <c r="J170" s="62"/>
      <c r="K170" s="58"/>
      <c r="L170" s="102"/>
      <c r="M170" s="103"/>
      <c r="N170" s="62"/>
      <c r="O170" s="101"/>
      <c r="P170" s="58"/>
      <c r="Q170" s="58"/>
      <c r="R170" s="58"/>
      <c r="S170" s="62"/>
      <c r="T170" s="62"/>
      <c r="U170" s="62"/>
      <c r="V170" s="62"/>
      <c r="W170" s="62"/>
      <c r="X170" s="62"/>
      <c r="Y170" s="62"/>
      <c r="Z170" s="62"/>
      <c r="AA170" s="62"/>
    </row>
    <row r="171">
      <c r="A171" s="96">
        <v>168.0</v>
      </c>
      <c r="B171" s="98" t="str">
        <f t="shared" si="4"/>
        <v>AE031E</v>
      </c>
      <c r="C171" s="99" t="str">
        <f t="shared" si="1"/>
        <v>AE031F</v>
      </c>
      <c r="D171" s="99" t="str">
        <f t="shared" si="5"/>
        <v>AD7C1C</v>
      </c>
      <c r="E171" s="99" t="str">
        <f t="shared" si="2"/>
        <v>AD7C1D</v>
      </c>
      <c r="F171" s="98" t="str">
        <f t="shared" si="6"/>
        <v>AE047C</v>
      </c>
      <c r="G171" s="99" t="str">
        <f t="shared" si="3"/>
        <v>AE047D</v>
      </c>
      <c r="H171" s="101"/>
      <c r="I171" s="107"/>
      <c r="J171" s="62"/>
      <c r="K171" s="58"/>
      <c r="L171" s="102"/>
      <c r="M171" s="103"/>
      <c r="N171" s="62"/>
      <c r="O171" s="101"/>
      <c r="P171" s="58"/>
      <c r="Q171" s="58"/>
      <c r="R171" s="58"/>
      <c r="S171" s="62"/>
      <c r="T171" s="62"/>
      <c r="U171" s="62"/>
      <c r="V171" s="62"/>
      <c r="W171" s="62"/>
      <c r="X171" s="62"/>
      <c r="Y171" s="62"/>
      <c r="Z171" s="62"/>
      <c r="AA171" s="62"/>
    </row>
    <row r="172">
      <c r="A172" s="96">
        <v>169.0</v>
      </c>
      <c r="B172" s="98" t="str">
        <f t="shared" si="4"/>
        <v>AE0320</v>
      </c>
      <c r="C172" s="99" t="str">
        <f t="shared" si="1"/>
        <v>AE0321</v>
      </c>
      <c r="D172" s="99" t="str">
        <f t="shared" si="5"/>
        <v>AD7C1E</v>
      </c>
      <c r="E172" s="99" t="str">
        <f t="shared" si="2"/>
        <v>AD7C1F</v>
      </c>
      <c r="F172" s="98" t="str">
        <f t="shared" si="6"/>
        <v>AE047E</v>
      </c>
      <c r="G172" s="99" t="str">
        <f t="shared" si="3"/>
        <v>AE047F</v>
      </c>
      <c r="H172" s="101"/>
      <c r="I172" s="107"/>
      <c r="J172" s="62"/>
      <c r="K172" s="58"/>
      <c r="L172" s="102"/>
      <c r="M172" s="103"/>
      <c r="N172" s="62"/>
      <c r="O172" s="101"/>
      <c r="P172" s="58"/>
      <c r="Q172" s="58"/>
      <c r="R172" s="58"/>
      <c r="S172" s="62"/>
      <c r="T172" s="62"/>
      <c r="U172" s="62"/>
      <c r="V172" s="62"/>
      <c r="W172" s="62"/>
      <c r="X172" s="62"/>
      <c r="Y172" s="62"/>
      <c r="Z172" s="62"/>
      <c r="AA172" s="62"/>
    </row>
    <row r="173">
      <c r="A173" s="96">
        <v>170.0</v>
      </c>
      <c r="B173" s="98" t="str">
        <f t="shared" si="4"/>
        <v>AE0322</v>
      </c>
      <c r="C173" s="99" t="str">
        <f t="shared" si="1"/>
        <v>AE0323</v>
      </c>
      <c r="D173" s="99" t="str">
        <f t="shared" si="5"/>
        <v>AD7C20</v>
      </c>
      <c r="E173" s="99" t="str">
        <f t="shared" si="2"/>
        <v>AD7C21</v>
      </c>
      <c r="F173" s="98" t="str">
        <f t="shared" si="6"/>
        <v>AE0480</v>
      </c>
      <c r="G173" s="99" t="str">
        <f t="shared" si="3"/>
        <v>AE0481</v>
      </c>
      <c r="H173" s="101"/>
      <c r="I173" s="107"/>
      <c r="J173" s="62"/>
      <c r="K173" s="58"/>
      <c r="L173" s="102"/>
      <c r="M173" s="103"/>
      <c r="N173" s="62"/>
      <c r="O173" s="101"/>
      <c r="P173" s="58"/>
      <c r="Q173" s="58"/>
      <c r="R173" s="58"/>
      <c r="S173" s="62"/>
      <c r="T173" s="62"/>
      <c r="U173" s="62"/>
      <c r="V173" s="62"/>
      <c r="W173" s="62"/>
      <c r="X173" s="62"/>
      <c r="Y173" s="62"/>
      <c r="Z173" s="62"/>
      <c r="AA173" s="62"/>
    </row>
    <row r="174">
      <c r="A174" s="96">
        <v>171.0</v>
      </c>
      <c r="B174" s="98" t="str">
        <f t="shared" si="4"/>
        <v>AE0324</v>
      </c>
      <c r="C174" s="99" t="str">
        <f t="shared" si="1"/>
        <v>AE0325</v>
      </c>
      <c r="D174" s="99" t="str">
        <f t="shared" si="5"/>
        <v>AD7C22</v>
      </c>
      <c r="E174" s="99" t="str">
        <f t="shared" si="2"/>
        <v>AD7C23</v>
      </c>
      <c r="F174" s="98" t="str">
        <f t="shared" si="6"/>
        <v>AE0482</v>
      </c>
      <c r="G174" s="99" t="str">
        <f t="shared" si="3"/>
        <v>AE0483</v>
      </c>
      <c r="H174" s="101"/>
      <c r="I174" s="107"/>
      <c r="J174" s="62"/>
      <c r="K174" s="58"/>
      <c r="L174" s="102"/>
      <c r="M174" s="103"/>
      <c r="N174" s="62"/>
      <c r="O174" s="101"/>
      <c r="P174" s="58"/>
      <c r="Q174" s="58"/>
      <c r="R174" s="58"/>
      <c r="S174" s="62"/>
      <c r="T174" s="62"/>
      <c r="U174" s="62"/>
      <c r="V174" s="62"/>
      <c r="W174" s="62"/>
      <c r="X174" s="62"/>
      <c r="Y174" s="62"/>
      <c r="Z174" s="62"/>
      <c r="AA174" s="62"/>
    </row>
    <row r="175">
      <c r="A175" s="96">
        <v>172.0</v>
      </c>
      <c r="B175" s="98" t="str">
        <f t="shared" si="4"/>
        <v>AE0326</v>
      </c>
      <c r="C175" s="99" t="str">
        <f t="shared" si="1"/>
        <v>AE0327</v>
      </c>
      <c r="D175" s="99" t="str">
        <f t="shared" si="5"/>
        <v>AD7C24</v>
      </c>
      <c r="E175" s="99" t="str">
        <f t="shared" si="2"/>
        <v>AD7C25</v>
      </c>
      <c r="F175" s="98" t="str">
        <f t="shared" si="6"/>
        <v>AE0484</v>
      </c>
      <c r="G175" s="99" t="str">
        <f t="shared" si="3"/>
        <v>AE0485</v>
      </c>
      <c r="H175" s="101"/>
      <c r="I175" s="107"/>
      <c r="J175" s="62"/>
      <c r="K175" s="58"/>
      <c r="L175" s="102"/>
      <c r="M175" s="103"/>
      <c r="N175" s="62"/>
      <c r="O175" s="101"/>
      <c r="P175" s="58"/>
      <c r="Q175" s="58"/>
      <c r="R175" s="58"/>
      <c r="S175" s="62"/>
      <c r="T175" s="62"/>
      <c r="U175" s="62"/>
      <c r="V175" s="62"/>
      <c r="W175" s="62"/>
      <c r="X175" s="62"/>
      <c r="Y175" s="62"/>
      <c r="Z175" s="62"/>
      <c r="AA175" s="62"/>
    </row>
    <row r="176">
      <c r="A176" s="96">
        <v>173.0</v>
      </c>
      <c r="B176" s="98" t="str">
        <f t="shared" si="4"/>
        <v>AE0328</v>
      </c>
      <c r="C176" s="99" t="str">
        <f t="shared" si="1"/>
        <v>AE0329</v>
      </c>
      <c r="D176" s="99" t="str">
        <f t="shared" si="5"/>
        <v>AD7C26</v>
      </c>
      <c r="E176" s="99" t="str">
        <f t="shared" si="2"/>
        <v>AD7C27</v>
      </c>
      <c r="F176" s="98" t="str">
        <f t="shared" si="6"/>
        <v>AE0486</v>
      </c>
      <c r="G176" s="99" t="str">
        <f t="shared" si="3"/>
        <v>AE0487</v>
      </c>
      <c r="H176" s="101"/>
      <c r="I176" s="107"/>
      <c r="J176" s="62"/>
      <c r="K176" s="58"/>
      <c r="L176" s="102"/>
      <c r="M176" s="103"/>
      <c r="N176" s="62"/>
      <c r="O176" s="101"/>
      <c r="P176" s="58"/>
      <c r="Q176" s="58"/>
      <c r="R176" s="58"/>
      <c r="S176" s="62"/>
      <c r="T176" s="62"/>
      <c r="U176" s="62"/>
      <c r="V176" s="62"/>
      <c r="W176" s="62"/>
      <c r="X176" s="62"/>
      <c r="Y176" s="62"/>
      <c r="Z176" s="62"/>
      <c r="AA176" s="62"/>
    </row>
    <row r="177">
      <c r="A177" s="96">
        <v>174.0</v>
      </c>
      <c r="B177" s="98" t="str">
        <f t="shared" si="4"/>
        <v>AE032A</v>
      </c>
      <c r="C177" s="99" t="str">
        <f t="shared" si="1"/>
        <v>AE032B</v>
      </c>
      <c r="D177" s="99" t="str">
        <f t="shared" si="5"/>
        <v>AD7C28</v>
      </c>
      <c r="E177" s="99" t="str">
        <f t="shared" si="2"/>
        <v>AD7C29</v>
      </c>
      <c r="F177" s="98" t="str">
        <f t="shared" si="6"/>
        <v>AE0488</v>
      </c>
      <c r="G177" s="99" t="str">
        <f t="shared" si="3"/>
        <v>AE0489</v>
      </c>
      <c r="H177" s="101"/>
      <c r="I177" s="107"/>
      <c r="J177" s="62"/>
      <c r="K177" s="58"/>
      <c r="L177" s="102"/>
      <c r="M177" s="103"/>
      <c r="N177" s="62"/>
      <c r="O177" s="101"/>
      <c r="P177" s="58"/>
      <c r="Q177" s="62"/>
      <c r="R177" s="62"/>
      <c r="S177" s="62"/>
      <c r="T177" s="62"/>
      <c r="U177" s="62"/>
      <c r="V177" s="62"/>
      <c r="W177" s="62"/>
      <c r="X177" s="62"/>
      <c r="Y177" s="62"/>
      <c r="Z177" s="62"/>
      <c r="AA177" s="62"/>
    </row>
    <row r="178">
      <c r="A178" s="96">
        <v>175.0</v>
      </c>
      <c r="B178" s="98" t="str">
        <f t="shared" si="4"/>
        <v>AE032C</v>
      </c>
      <c r="C178" s="99" t="str">
        <f t="shared" si="1"/>
        <v>AE032D</v>
      </c>
      <c r="D178" s="99" t="str">
        <f t="shared" si="5"/>
        <v>AD7C2A</v>
      </c>
      <c r="E178" s="99" t="str">
        <f t="shared" si="2"/>
        <v>AD7C2B</v>
      </c>
      <c r="F178" s="98" t="str">
        <f t="shared" si="6"/>
        <v>AE048A</v>
      </c>
      <c r="G178" s="99" t="str">
        <f t="shared" si="3"/>
        <v>AE048B</v>
      </c>
      <c r="H178" s="101"/>
      <c r="I178" s="107"/>
      <c r="J178" s="62"/>
      <c r="K178" s="58"/>
      <c r="L178" s="102"/>
      <c r="M178" s="103"/>
      <c r="N178" s="62"/>
      <c r="O178" s="101"/>
      <c r="P178" s="58"/>
      <c r="Q178" s="58"/>
      <c r="R178" s="62"/>
      <c r="S178" s="62"/>
      <c r="T178" s="62"/>
      <c r="U178" s="62"/>
      <c r="V178" s="62"/>
      <c r="W178" s="62"/>
      <c r="X178" s="62"/>
      <c r="Y178" s="62"/>
      <c r="Z178" s="62"/>
      <c r="AA178" s="62"/>
    </row>
    <row r="179">
      <c r="A179" s="96">
        <v>176.0</v>
      </c>
      <c r="B179" s="98" t="str">
        <f t="shared" si="4"/>
        <v>AE032E</v>
      </c>
      <c r="C179" s="99" t="str">
        <f t="shared" si="1"/>
        <v>AE032F</v>
      </c>
      <c r="D179" s="99" t="str">
        <f t="shared" si="5"/>
        <v>AD7C2C</v>
      </c>
      <c r="E179" s="99" t="str">
        <f t="shared" si="2"/>
        <v>AD7C2D</v>
      </c>
      <c r="F179" s="98" t="str">
        <f t="shared" si="6"/>
        <v>AE048C</v>
      </c>
      <c r="G179" s="99" t="str">
        <f t="shared" si="3"/>
        <v>AE048D</v>
      </c>
      <c r="H179" s="101"/>
      <c r="I179" s="107"/>
      <c r="J179" s="62"/>
      <c r="K179" s="58"/>
      <c r="L179" s="102"/>
      <c r="M179" s="103"/>
      <c r="N179" s="62"/>
      <c r="O179" s="101"/>
      <c r="P179" s="58"/>
      <c r="Q179" s="58"/>
      <c r="R179" s="62"/>
      <c r="S179" s="62"/>
      <c r="T179" s="62"/>
      <c r="U179" s="62"/>
      <c r="V179" s="62"/>
      <c r="W179" s="62"/>
      <c r="X179" s="62"/>
      <c r="Y179" s="62"/>
      <c r="Z179" s="62"/>
      <c r="AA179" s="62"/>
    </row>
    <row r="180">
      <c r="A180" s="96">
        <v>177.0</v>
      </c>
      <c r="B180" s="98" t="str">
        <f t="shared" si="4"/>
        <v>AE0330</v>
      </c>
      <c r="C180" s="99" t="str">
        <f t="shared" si="1"/>
        <v>AE0331</v>
      </c>
      <c r="D180" s="99" t="str">
        <f t="shared" si="5"/>
        <v>AD7C2E</v>
      </c>
      <c r="E180" s="99" t="str">
        <f t="shared" si="2"/>
        <v>AD7C2F</v>
      </c>
      <c r="F180" s="98" t="str">
        <f t="shared" si="6"/>
        <v>AE048E</v>
      </c>
      <c r="G180" s="99" t="str">
        <f t="shared" si="3"/>
        <v>AE048F</v>
      </c>
      <c r="H180" s="101"/>
      <c r="I180" s="107"/>
      <c r="J180" s="62"/>
      <c r="K180" s="58"/>
      <c r="L180" s="102"/>
      <c r="M180" s="103"/>
      <c r="N180" s="62"/>
      <c r="O180" s="101"/>
      <c r="P180" s="58"/>
      <c r="Q180" s="62"/>
      <c r="R180" s="62"/>
      <c r="S180" s="62"/>
      <c r="T180" s="62"/>
      <c r="U180" s="62"/>
      <c r="V180" s="62"/>
      <c r="W180" s="62"/>
      <c r="X180" s="62"/>
      <c r="Y180" s="62"/>
      <c r="Z180" s="62"/>
      <c r="AA180" s="62"/>
    </row>
    <row r="181">
      <c r="A181" s="96">
        <v>178.0</v>
      </c>
      <c r="B181" s="98" t="str">
        <f t="shared" si="4"/>
        <v>AE0332</v>
      </c>
      <c r="C181" s="99" t="str">
        <f t="shared" si="1"/>
        <v>AE0333</v>
      </c>
      <c r="D181" s="99" t="str">
        <f t="shared" si="5"/>
        <v>AD7C30</v>
      </c>
      <c r="E181" s="99" t="str">
        <f t="shared" si="2"/>
        <v>AD7C31</v>
      </c>
      <c r="F181" s="98" t="str">
        <f t="shared" si="6"/>
        <v>AE0490</v>
      </c>
      <c r="G181" s="99" t="str">
        <f t="shared" si="3"/>
        <v>AE0491</v>
      </c>
      <c r="H181" s="101"/>
      <c r="I181" s="107"/>
      <c r="J181" s="62"/>
      <c r="K181" s="58"/>
      <c r="L181" s="102"/>
      <c r="M181" s="103"/>
      <c r="N181" s="62"/>
      <c r="O181" s="101"/>
      <c r="P181" s="58"/>
      <c r="Q181" s="58"/>
      <c r="R181" s="62"/>
      <c r="S181" s="62"/>
      <c r="T181" s="62"/>
      <c r="U181" s="62"/>
      <c r="V181" s="62"/>
      <c r="W181" s="62"/>
      <c r="X181" s="62"/>
      <c r="Y181" s="62"/>
      <c r="Z181" s="62"/>
      <c r="AA181" s="62"/>
    </row>
    <row r="182">
      <c r="A182" s="96">
        <v>179.0</v>
      </c>
      <c r="B182" s="98" t="str">
        <f t="shared" si="4"/>
        <v>AE0334</v>
      </c>
      <c r="C182" s="99" t="str">
        <f t="shared" si="1"/>
        <v>AE0335</v>
      </c>
      <c r="D182" s="99" t="str">
        <f t="shared" si="5"/>
        <v>AD7C32</v>
      </c>
      <c r="E182" s="99" t="str">
        <f t="shared" si="2"/>
        <v>AD7C33</v>
      </c>
      <c r="F182" s="98" t="str">
        <f t="shared" si="6"/>
        <v>AE0492</v>
      </c>
      <c r="G182" s="99" t="str">
        <f t="shared" si="3"/>
        <v>AE0493</v>
      </c>
      <c r="H182" s="101"/>
      <c r="I182" s="107"/>
      <c r="J182" s="62"/>
      <c r="K182" s="58"/>
      <c r="L182" s="102"/>
      <c r="M182" s="103"/>
      <c r="N182" s="62"/>
      <c r="O182" s="101"/>
      <c r="P182" s="58"/>
      <c r="Q182" s="58"/>
      <c r="R182" s="62"/>
      <c r="S182" s="62"/>
      <c r="T182" s="62"/>
      <c r="U182" s="62"/>
      <c r="V182" s="62"/>
      <c r="W182" s="62"/>
      <c r="X182" s="62"/>
      <c r="Y182" s="62"/>
      <c r="Z182" s="62"/>
      <c r="AA182" s="62"/>
    </row>
    <row r="183">
      <c r="A183" s="96">
        <v>180.0</v>
      </c>
      <c r="B183" s="98" t="str">
        <f t="shared" si="4"/>
        <v>AE0336</v>
      </c>
      <c r="C183" s="99" t="str">
        <f t="shared" si="1"/>
        <v>AE0337</v>
      </c>
      <c r="D183" s="99" t="str">
        <f t="shared" si="5"/>
        <v>AD7C34</v>
      </c>
      <c r="E183" s="99" t="str">
        <f t="shared" si="2"/>
        <v>AD7C35</v>
      </c>
      <c r="F183" s="98" t="str">
        <f t="shared" si="6"/>
        <v>AE0494</v>
      </c>
      <c r="G183" s="99" t="str">
        <f t="shared" si="3"/>
        <v>AE0495</v>
      </c>
      <c r="H183" s="101"/>
      <c r="I183" s="107"/>
      <c r="J183" s="62"/>
      <c r="K183" s="58"/>
      <c r="L183" s="102"/>
      <c r="M183" s="103"/>
      <c r="N183" s="62"/>
      <c r="O183" s="101"/>
      <c r="P183" s="58"/>
      <c r="Q183" s="62"/>
      <c r="R183" s="62"/>
      <c r="S183" s="62"/>
      <c r="T183" s="62"/>
      <c r="U183" s="62"/>
      <c r="V183" s="62"/>
      <c r="W183" s="62"/>
      <c r="X183" s="62"/>
      <c r="Y183" s="62"/>
      <c r="Z183" s="62"/>
      <c r="AA183" s="62"/>
    </row>
    <row r="184">
      <c r="A184" s="96">
        <v>181.0</v>
      </c>
      <c r="B184" s="98" t="str">
        <f t="shared" si="4"/>
        <v>AE0338</v>
      </c>
      <c r="C184" s="99" t="str">
        <f t="shared" si="1"/>
        <v>AE0339</v>
      </c>
      <c r="D184" s="99" t="str">
        <f t="shared" si="5"/>
        <v>AD7C36</v>
      </c>
      <c r="E184" s="99" t="str">
        <f t="shared" si="2"/>
        <v>AD7C37</v>
      </c>
      <c r="F184" s="98" t="str">
        <f t="shared" si="6"/>
        <v>AE0496</v>
      </c>
      <c r="G184" s="99" t="str">
        <f t="shared" si="3"/>
        <v>AE0497</v>
      </c>
      <c r="H184" s="101"/>
      <c r="I184" s="107"/>
      <c r="J184" s="62"/>
      <c r="K184" s="58"/>
      <c r="L184" s="102"/>
      <c r="M184" s="103"/>
      <c r="N184" s="62"/>
      <c r="O184" s="101"/>
      <c r="P184" s="58"/>
      <c r="Q184" s="62"/>
      <c r="R184" s="62"/>
      <c r="S184" s="62"/>
      <c r="T184" s="62"/>
      <c r="U184" s="62"/>
      <c r="V184" s="62"/>
      <c r="W184" s="62"/>
      <c r="X184" s="62"/>
      <c r="Y184" s="62"/>
      <c r="Z184" s="62"/>
      <c r="AA184" s="62"/>
    </row>
    <row r="185">
      <c r="A185" s="96">
        <v>182.0</v>
      </c>
      <c r="B185" s="98" t="str">
        <f t="shared" si="4"/>
        <v>AE033A</v>
      </c>
      <c r="C185" s="99" t="str">
        <f t="shared" si="1"/>
        <v>AE033B</v>
      </c>
      <c r="D185" s="99" t="str">
        <f t="shared" si="5"/>
        <v>AD7C38</v>
      </c>
      <c r="E185" s="99" t="str">
        <f t="shared" si="2"/>
        <v>AD7C39</v>
      </c>
      <c r="F185" s="98" t="str">
        <f t="shared" si="6"/>
        <v>AE0498</v>
      </c>
      <c r="G185" s="99" t="str">
        <f t="shared" si="3"/>
        <v>AE0499</v>
      </c>
      <c r="H185" s="101"/>
      <c r="I185" s="107"/>
      <c r="J185" s="62"/>
      <c r="K185" s="58"/>
      <c r="L185" s="102"/>
      <c r="M185" s="103"/>
      <c r="N185" s="62"/>
      <c r="O185" s="101"/>
      <c r="P185" s="58"/>
      <c r="Q185" s="58"/>
      <c r="R185" s="62"/>
      <c r="S185" s="62"/>
      <c r="T185" s="62"/>
      <c r="U185" s="62"/>
      <c r="V185" s="62"/>
      <c r="W185" s="62"/>
      <c r="X185" s="62"/>
      <c r="Y185" s="62"/>
      <c r="Z185" s="62"/>
      <c r="AA185" s="62"/>
    </row>
    <row r="186">
      <c r="A186" s="96">
        <v>183.0</v>
      </c>
      <c r="B186" s="98" t="str">
        <f t="shared" si="4"/>
        <v>AE033C</v>
      </c>
      <c r="C186" s="99" t="str">
        <f t="shared" si="1"/>
        <v>AE033D</v>
      </c>
      <c r="D186" s="99" t="str">
        <f t="shared" si="5"/>
        <v>AD7C3A</v>
      </c>
      <c r="E186" s="99" t="str">
        <f t="shared" si="2"/>
        <v>AD7C3B</v>
      </c>
      <c r="F186" s="98" t="str">
        <f t="shared" si="6"/>
        <v>AE049A</v>
      </c>
      <c r="G186" s="99" t="str">
        <f t="shared" si="3"/>
        <v>AE049B</v>
      </c>
      <c r="H186" s="101"/>
      <c r="I186" s="107"/>
      <c r="J186" s="62"/>
      <c r="K186" s="58"/>
      <c r="L186" s="102"/>
      <c r="M186" s="103"/>
      <c r="N186" s="62"/>
      <c r="O186" s="101"/>
      <c r="P186" s="58"/>
      <c r="Q186" s="62"/>
      <c r="R186" s="62"/>
      <c r="S186" s="62"/>
      <c r="T186" s="62"/>
      <c r="U186" s="62"/>
      <c r="V186" s="62"/>
      <c r="W186" s="62"/>
      <c r="X186" s="62"/>
      <c r="Y186" s="62"/>
      <c r="Z186" s="62"/>
      <c r="AA186" s="62"/>
    </row>
    <row r="187">
      <c r="A187" s="96">
        <v>184.0</v>
      </c>
      <c r="B187" s="98" t="str">
        <f t="shared" si="4"/>
        <v>AE033E</v>
      </c>
      <c r="C187" s="99" t="str">
        <f t="shared" si="1"/>
        <v>AE033F</v>
      </c>
      <c r="D187" s="99" t="str">
        <f t="shared" si="5"/>
        <v>AD7C3C</v>
      </c>
      <c r="E187" s="99" t="str">
        <f t="shared" si="2"/>
        <v>AD7C3D</v>
      </c>
      <c r="F187" s="98" t="str">
        <f t="shared" si="6"/>
        <v>AE049C</v>
      </c>
      <c r="G187" s="99" t="str">
        <f t="shared" si="3"/>
        <v>AE049D</v>
      </c>
      <c r="H187" s="101"/>
      <c r="I187" s="107"/>
      <c r="J187" s="62"/>
      <c r="K187" s="58"/>
      <c r="L187" s="102"/>
      <c r="M187" s="103"/>
      <c r="N187" s="62"/>
      <c r="O187" s="101"/>
      <c r="P187" s="58"/>
      <c r="Q187" s="62"/>
      <c r="R187" s="62"/>
      <c r="S187" s="62"/>
      <c r="T187" s="62"/>
      <c r="U187" s="62"/>
      <c r="V187" s="62"/>
      <c r="W187" s="62"/>
      <c r="X187" s="62"/>
      <c r="Y187" s="62"/>
      <c r="Z187" s="62"/>
      <c r="AA187" s="62"/>
    </row>
    <row r="188">
      <c r="A188" s="96">
        <v>185.0</v>
      </c>
      <c r="B188" s="98" t="str">
        <f t="shared" si="4"/>
        <v>AE0340</v>
      </c>
      <c r="C188" s="99" t="str">
        <f t="shared" si="1"/>
        <v>AE0341</v>
      </c>
      <c r="D188" s="99" t="str">
        <f t="shared" si="5"/>
        <v>AD7C3E</v>
      </c>
      <c r="E188" s="99" t="str">
        <f t="shared" si="2"/>
        <v>AD7C3F</v>
      </c>
      <c r="F188" s="98" t="str">
        <f t="shared" si="6"/>
        <v>AE049E</v>
      </c>
      <c r="G188" s="99" t="str">
        <f t="shared" si="3"/>
        <v>AE049F</v>
      </c>
      <c r="H188" s="101"/>
      <c r="I188" s="107"/>
      <c r="J188" s="62"/>
      <c r="K188" s="58"/>
      <c r="L188" s="102"/>
      <c r="M188" s="103"/>
      <c r="N188" s="62"/>
      <c r="O188" s="101"/>
      <c r="P188" s="58"/>
      <c r="Q188" s="58"/>
      <c r="R188" s="58"/>
      <c r="S188" s="62"/>
      <c r="T188" s="62"/>
      <c r="U188" s="62"/>
      <c r="V188" s="62"/>
      <c r="W188" s="62"/>
      <c r="X188" s="62"/>
      <c r="Y188" s="62"/>
      <c r="Z188" s="62"/>
      <c r="AA188" s="62"/>
    </row>
    <row r="189">
      <c r="A189" s="96">
        <v>186.0</v>
      </c>
      <c r="B189" s="98" t="str">
        <f t="shared" si="4"/>
        <v>AE0342</v>
      </c>
      <c r="C189" s="99" t="str">
        <f t="shared" si="1"/>
        <v>AE0343</v>
      </c>
      <c r="D189" s="99" t="str">
        <f t="shared" si="5"/>
        <v>AD7C40</v>
      </c>
      <c r="E189" s="99" t="str">
        <f t="shared" si="2"/>
        <v>AD7C41</v>
      </c>
      <c r="F189" s="98" t="str">
        <f t="shared" si="6"/>
        <v>AE04A0</v>
      </c>
      <c r="G189" s="99" t="str">
        <f t="shared" si="3"/>
        <v>AE04A1</v>
      </c>
      <c r="H189" s="101"/>
      <c r="I189" s="107"/>
      <c r="J189" s="62"/>
      <c r="K189" s="58"/>
      <c r="L189" s="102"/>
      <c r="M189" s="103"/>
      <c r="N189" s="62"/>
      <c r="O189" s="101"/>
      <c r="P189" s="58"/>
      <c r="Q189" s="58"/>
      <c r="R189" s="62"/>
      <c r="S189" s="62"/>
      <c r="T189" s="62"/>
      <c r="U189" s="62"/>
      <c r="V189" s="62"/>
      <c r="W189" s="62"/>
      <c r="X189" s="62"/>
      <c r="Y189" s="62"/>
      <c r="Z189" s="62"/>
      <c r="AA189" s="62"/>
    </row>
    <row r="190">
      <c r="A190" s="96">
        <v>187.0</v>
      </c>
      <c r="B190" s="98" t="str">
        <f t="shared" si="4"/>
        <v>AE0344</v>
      </c>
      <c r="C190" s="99" t="str">
        <f t="shared" si="1"/>
        <v>AE0345</v>
      </c>
      <c r="D190" s="99" t="str">
        <f t="shared" si="5"/>
        <v>AD7C42</v>
      </c>
      <c r="E190" s="99" t="str">
        <f t="shared" si="2"/>
        <v>AD7C43</v>
      </c>
      <c r="F190" s="98" t="str">
        <f t="shared" si="6"/>
        <v>AE04A2</v>
      </c>
      <c r="G190" s="99" t="str">
        <f t="shared" si="3"/>
        <v>AE04A3</v>
      </c>
      <c r="H190" s="101"/>
      <c r="I190" s="107"/>
      <c r="J190" s="62"/>
      <c r="K190" s="58"/>
      <c r="L190" s="102"/>
      <c r="M190" s="103"/>
      <c r="N190" s="62"/>
      <c r="O190" s="101"/>
      <c r="P190" s="58"/>
      <c r="Q190" s="58"/>
      <c r="R190" s="62"/>
      <c r="S190" s="62"/>
      <c r="T190" s="62"/>
      <c r="U190" s="62"/>
      <c r="V190" s="62"/>
      <c r="W190" s="62"/>
      <c r="X190" s="62"/>
      <c r="Y190" s="62"/>
      <c r="Z190" s="62"/>
      <c r="AA190" s="62"/>
    </row>
    <row r="191">
      <c r="A191" s="96">
        <v>188.0</v>
      </c>
      <c r="B191" s="98" t="str">
        <f t="shared" si="4"/>
        <v>AE0346</v>
      </c>
      <c r="C191" s="99" t="str">
        <f t="shared" si="1"/>
        <v>AE0347</v>
      </c>
      <c r="D191" s="99" t="str">
        <f t="shared" si="5"/>
        <v>AD7C44</v>
      </c>
      <c r="E191" s="99" t="str">
        <f t="shared" si="2"/>
        <v>AD7C45</v>
      </c>
      <c r="F191" s="98" t="str">
        <f t="shared" si="6"/>
        <v>AE04A4</v>
      </c>
      <c r="G191" s="99" t="str">
        <f t="shared" si="3"/>
        <v>AE04A5</v>
      </c>
      <c r="H191" s="101"/>
      <c r="I191" s="107"/>
      <c r="J191" s="62"/>
      <c r="K191" s="58"/>
      <c r="L191" s="102"/>
      <c r="M191" s="103"/>
      <c r="N191" s="62"/>
      <c r="O191" s="101"/>
      <c r="P191" s="58"/>
      <c r="Q191" s="58"/>
      <c r="R191" s="58"/>
      <c r="S191" s="62"/>
      <c r="T191" s="62"/>
      <c r="U191" s="62"/>
      <c r="V191" s="62"/>
      <c r="W191" s="62"/>
      <c r="X191" s="62"/>
      <c r="Y191" s="62"/>
      <c r="Z191" s="62"/>
      <c r="AA191" s="62"/>
    </row>
    <row r="192">
      <c r="A192" s="96">
        <v>189.0</v>
      </c>
      <c r="B192" s="98" t="str">
        <f t="shared" si="4"/>
        <v>AE0348</v>
      </c>
      <c r="C192" s="99" t="str">
        <f t="shared" si="1"/>
        <v>AE0349</v>
      </c>
      <c r="D192" s="99" t="str">
        <f t="shared" si="5"/>
        <v>AD7C46</v>
      </c>
      <c r="E192" s="99" t="str">
        <f t="shared" si="2"/>
        <v>AD7C47</v>
      </c>
      <c r="F192" s="98" t="str">
        <f t="shared" si="6"/>
        <v>AE04A6</v>
      </c>
      <c r="G192" s="99" t="str">
        <f t="shared" si="3"/>
        <v>AE04A7</v>
      </c>
      <c r="H192" s="101"/>
      <c r="I192" s="107"/>
      <c r="J192" s="62"/>
      <c r="K192" s="58"/>
      <c r="L192" s="102"/>
      <c r="M192" s="103"/>
      <c r="N192" s="62"/>
      <c r="O192" s="101"/>
      <c r="P192" s="58"/>
      <c r="Q192" s="58"/>
      <c r="R192" s="62"/>
      <c r="S192" s="62"/>
      <c r="T192" s="62"/>
      <c r="U192" s="62"/>
      <c r="V192" s="62"/>
      <c r="W192" s="62"/>
      <c r="X192" s="62"/>
      <c r="Y192" s="62"/>
      <c r="Z192" s="62"/>
      <c r="AA192" s="62"/>
    </row>
    <row r="193">
      <c r="A193" s="96">
        <v>190.0</v>
      </c>
      <c r="B193" s="98" t="str">
        <f t="shared" si="4"/>
        <v>AE034A</v>
      </c>
      <c r="C193" s="99" t="str">
        <f t="shared" si="1"/>
        <v>AE034B</v>
      </c>
      <c r="D193" s="99" t="str">
        <f t="shared" si="5"/>
        <v>AD7C48</v>
      </c>
      <c r="E193" s="99" t="str">
        <f t="shared" si="2"/>
        <v>AD7C49</v>
      </c>
      <c r="F193" s="98" t="str">
        <f t="shared" si="6"/>
        <v>AE04A8</v>
      </c>
      <c r="G193" s="99" t="str">
        <f t="shared" si="3"/>
        <v>AE04A9</v>
      </c>
      <c r="H193" s="101"/>
      <c r="I193" s="107"/>
      <c r="J193" s="62"/>
      <c r="K193" s="58"/>
      <c r="L193" s="102"/>
      <c r="M193" s="103"/>
      <c r="N193" s="62"/>
      <c r="O193" s="101"/>
      <c r="P193" s="58"/>
      <c r="Q193" s="58"/>
      <c r="R193" s="58"/>
      <c r="S193" s="62"/>
      <c r="T193" s="62"/>
      <c r="U193" s="62"/>
      <c r="V193" s="62"/>
      <c r="W193" s="62"/>
      <c r="X193" s="62"/>
      <c r="Y193" s="62"/>
      <c r="Z193" s="62"/>
      <c r="AA193" s="62"/>
    </row>
    <row r="194">
      <c r="A194" s="96">
        <v>191.0</v>
      </c>
      <c r="B194" s="98" t="str">
        <f t="shared" si="4"/>
        <v>AE034C</v>
      </c>
      <c r="C194" s="99" t="str">
        <f t="shared" si="1"/>
        <v>AE034D</v>
      </c>
      <c r="D194" s="99" t="str">
        <f t="shared" si="5"/>
        <v>AD7C4A</v>
      </c>
      <c r="E194" s="99" t="str">
        <f t="shared" si="2"/>
        <v>AD7C4B</v>
      </c>
      <c r="F194" s="98" t="str">
        <f t="shared" si="6"/>
        <v>AE04AA</v>
      </c>
      <c r="G194" s="99" t="str">
        <f t="shared" si="3"/>
        <v>AE04AB</v>
      </c>
      <c r="H194" s="101"/>
      <c r="I194" s="107"/>
      <c r="J194" s="62"/>
      <c r="K194" s="58"/>
      <c r="L194" s="102"/>
      <c r="M194" s="103"/>
      <c r="N194" s="62"/>
      <c r="O194" s="101"/>
      <c r="P194" s="58"/>
      <c r="Q194" s="58"/>
      <c r="R194" s="58"/>
      <c r="S194" s="62"/>
      <c r="T194" s="62"/>
      <c r="U194" s="62"/>
      <c r="V194" s="62"/>
      <c r="W194" s="62"/>
      <c r="X194" s="62"/>
      <c r="Y194" s="62"/>
      <c r="Z194" s="62"/>
      <c r="AA194" s="62"/>
    </row>
    <row r="195">
      <c r="A195" s="96">
        <v>192.0</v>
      </c>
      <c r="B195" s="98" t="str">
        <f t="shared" si="4"/>
        <v>AE034E</v>
      </c>
      <c r="C195" s="99" t="str">
        <f t="shared" si="1"/>
        <v>AE034F</v>
      </c>
      <c r="D195" s="99" t="str">
        <f t="shared" si="5"/>
        <v>AD7C4C</v>
      </c>
      <c r="E195" s="99" t="str">
        <f t="shared" si="2"/>
        <v>AD7C4D</v>
      </c>
      <c r="F195" s="98" t="str">
        <f t="shared" si="6"/>
        <v>AE04AC</v>
      </c>
      <c r="G195" s="99" t="str">
        <f t="shared" si="3"/>
        <v>AE04AD</v>
      </c>
      <c r="H195" s="101"/>
      <c r="I195" s="107"/>
      <c r="J195" s="62"/>
      <c r="K195" s="58"/>
      <c r="L195" s="102"/>
      <c r="M195" s="103"/>
      <c r="N195" s="62"/>
      <c r="O195" s="101"/>
      <c r="P195" s="58"/>
      <c r="Q195" s="58"/>
      <c r="R195" s="58"/>
      <c r="S195" s="62"/>
      <c r="T195" s="62"/>
      <c r="U195" s="62"/>
      <c r="V195" s="62"/>
      <c r="W195" s="62"/>
      <c r="X195" s="62"/>
      <c r="Y195" s="62"/>
      <c r="Z195" s="62"/>
      <c r="AA195" s="62"/>
    </row>
    <row r="196">
      <c r="A196" s="96">
        <v>193.0</v>
      </c>
      <c r="B196" s="98" t="str">
        <f t="shared" si="4"/>
        <v>AE0350</v>
      </c>
      <c r="C196" s="99" t="str">
        <f t="shared" si="1"/>
        <v>AE0351</v>
      </c>
      <c r="D196" s="99" t="str">
        <f t="shared" si="5"/>
        <v>AD7C4E</v>
      </c>
      <c r="E196" s="99" t="str">
        <f t="shared" si="2"/>
        <v>AD7C4F</v>
      </c>
      <c r="F196" s="98" t="str">
        <f t="shared" si="6"/>
        <v>AE04AE</v>
      </c>
      <c r="G196" s="99" t="str">
        <f t="shared" si="3"/>
        <v>AE04AF</v>
      </c>
      <c r="H196" s="101"/>
      <c r="I196" s="107"/>
      <c r="J196" s="62"/>
      <c r="K196" s="58"/>
      <c r="L196" s="102"/>
      <c r="M196" s="103"/>
      <c r="N196" s="62"/>
      <c r="O196" s="101"/>
      <c r="P196" s="58"/>
      <c r="Q196" s="58"/>
      <c r="R196" s="58"/>
      <c r="S196" s="62"/>
      <c r="T196" s="62"/>
      <c r="U196" s="62"/>
      <c r="V196" s="62"/>
      <c r="W196" s="62"/>
      <c r="X196" s="62"/>
      <c r="Y196" s="62"/>
      <c r="Z196" s="62"/>
      <c r="AA196" s="62"/>
    </row>
    <row r="197">
      <c r="A197" s="96">
        <v>194.0</v>
      </c>
      <c r="B197" s="98" t="str">
        <f t="shared" si="4"/>
        <v>AE0352</v>
      </c>
      <c r="C197" s="99" t="str">
        <f t="shared" si="1"/>
        <v>AE0353</v>
      </c>
      <c r="D197" s="99" t="str">
        <f t="shared" si="5"/>
        <v>AD7C50</v>
      </c>
      <c r="E197" s="99" t="str">
        <f t="shared" si="2"/>
        <v>AD7C51</v>
      </c>
      <c r="F197" s="98" t="str">
        <f t="shared" si="6"/>
        <v>AE04B0</v>
      </c>
      <c r="G197" s="99" t="str">
        <f t="shared" si="3"/>
        <v>AE04B1</v>
      </c>
      <c r="H197" s="101"/>
      <c r="I197" s="107"/>
      <c r="J197" s="62"/>
      <c r="K197" s="58"/>
      <c r="L197" s="102"/>
      <c r="M197" s="103"/>
      <c r="N197" s="62"/>
      <c r="O197" s="101"/>
      <c r="P197" s="58"/>
      <c r="Q197" s="58"/>
      <c r="R197" s="58"/>
      <c r="S197" s="62"/>
      <c r="T197" s="62"/>
      <c r="U197" s="62"/>
      <c r="V197" s="62"/>
      <c r="W197" s="62"/>
      <c r="X197" s="62"/>
      <c r="Y197" s="62"/>
      <c r="Z197" s="62"/>
      <c r="AA197" s="62"/>
    </row>
    <row r="198">
      <c r="A198" s="96">
        <v>195.0</v>
      </c>
      <c r="B198" s="98" t="str">
        <f t="shared" si="4"/>
        <v>AE0354</v>
      </c>
      <c r="C198" s="99" t="str">
        <f t="shared" si="1"/>
        <v>AE0355</v>
      </c>
      <c r="D198" s="99" t="str">
        <f t="shared" si="5"/>
        <v>AD7C52</v>
      </c>
      <c r="E198" s="99" t="str">
        <f t="shared" si="2"/>
        <v>AD7C53</v>
      </c>
      <c r="F198" s="98" t="str">
        <f t="shared" si="6"/>
        <v>AE04B2</v>
      </c>
      <c r="G198" s="99" t="str">
        <f t="shared" si="3"/>
        <v>AE04B3</v>
      </c>
      <c r="H198" s="101"/>
      <c r="I198" s="107"/>
      <c r="J198" s="62"/>
      <c r="K198" s="58"/>
      <c r="L198" s="102"/>
      <c r="M198" s="103"/>
      <c r="N198" s="62"/>
      <c r="O198" s="101"/>
      <c r="P198" s="58"/>
      <c r="Q198" s="58"/>
      <c r="R198" s="62"/>
      <c r="S198" s="62"/>
      <c r="T198" s="62"/>
      <c r="U198" s="62"/>
      <c r="V198" s="62"/>
      <c r="W198" s="62"/>
      <c r="X198" s="62"/>
      <c r="Y198" s="62"/>
      <c r="Z198" s="62"/>
      <c r="AA198" s="62"/>
    </row>
    <row r="199">
      <c r="A199" s="96">
        <v>196.0</v>
      </c>
      <c r="B199" s="98" t="str">
        <f t="shared" si="4"/>
        <v>AE0356</v>
      </c>
      <c r="C199" s="99" t="str">
        <f t="shared" si="1"/>
        <v>AE0357</v>
      </c>
      <c r="D199" s="99" t="str">
        <f t="shared" si="5"/>
        <v>AD7C54</v>
      </c>
      <c r="E199" s="99" t="str">
        <f t="shared" si="2"/>
        <v>AD7C55</v>
      </c>
      <c r="F199" s="98" t="str">
        <f t="shared" si="6"/>
        <v>AE04B4</v>
      </c>
      <c r="G199" s="99" t="str">
        <f t="shared" si="3"/>
        <v>AE04B5</v>
      </c>
      <c r="H199" s="101"/>
      <c r="I199" s="107"/>
      <c r="J199" s="62"/>
      <c r="K199" s="58"/>
      <c r="L199" s="102"/>
      <c r="M199" s="103"/>
      <c r="N199" s="62"/>
      <c r="O199" s="101"/>
      <c r="P199" s="58"/>
      <c r="Q199" s="58"/>
      <c r="R199" s="62"/>
      <c r="S199" s="62"/>
      <c r="T199" s="62"/>
      <c r="U199" s="62"/>
      <c r="V199" s="62"/>
      <c r="W199" s="62"/>
      <c r="X199" s="62"/>
      <c r="Y199" s="62"/>
      <c r="Z199" s="62"/>
      <c r="AA199" s="62"/>
    </row>
    <row r="200">
      <c r="A200" s="96">
        <v>197.0</v>
      </c>
      <c r="B200" s="98" t="str">
        <f t="shared" si="4"/>
        <v>AE0358</v>
      </c>
      <c r="C200" s="99" t="str">
        <f t="shared" si="1"/>
        <v>AE0359</v>
      </c>
      <c r="D200" s="99" t="str">
        <f t="shared" si="5"/>
        <v>AD7C56</v>
      </c>
      <c r="E200" s="99" t="str">
        <f t="shared" si="2"/>
        <v>AD7C57</v>
      </c>
      <c r="F200" s="98" t="str">
        <f t="shared" si="6"/>
        <v>AE04B6</v>
      </c>
      <c r="G200" s="99" t="str">
        <f t="shared" si="3"/>
        <v>AE04B7</v>
      </c>
      <c r="H200" s="101"/>
      <c r="I200" s="107"/>
      <c r="J200" s="62"/>
      <c r="K200" s="58"/>
      <c r="L200" s="102"/>
      <c r="M200" s="103"/>
      <c r="N200" s="62"/>
      <c r="O200" s="101"/>
      <c r="P200" s="58"/>
      <c r="Q200" s="58"/>
      <c r="R200" s="62"/>
      <c r="S200" s="62"/>
      <c r="T200" s="62"/>
      <c r="U200" s="62"/>
      <c r="V200" s="62"/>
      <c r="W200" s="62"/>
      <c r="X200" s="62"/>
      <c r="Y200" s="62"/>
      <c r="Z200" s="62"/>
      <c r="AA200" s="62"/>
    </row>
    <row r="201">
      <c r="A201" s="96">
        <v>198.0</v>
      </c>
      <c r="B201" s="98" t="str">
        <f t="shared" si="4"/>
        <v>AE035A</v>
      </c>
      <c r="C201" s="99" t="str">
        <f t="shared" si="1"/>
        <v>AE035B</v>
      </c>
      <c r="D201" s="99" t="str">
        <f t="shared" si="5"/>
        <v>AD7C58</v>
      </c>
      <c r="E201" s="99" t="str">
        <f t="shared" si="2"/>
        <v>AD7C59</v>
      </c>
      <c r="F201" s="98" t="str">
        <f t="shared" si="6"/>
        <v>AE04B8</v>
      </c>
      <c r="G201" s="99" t="str">
        <f t="shared" si="3"/>
        <v>AE04B9</v>
      </c>
      <c r="H201" s="101"/>
      <c r="I201" s="107"/>
      <c r="J201" s="62"/>
      <c r="K201" s="58"/>
      <c r="L201" s="102"/>
      <c r="M201" s="103"/>
      <c r="N201" s="62"/>
      <c r="O201" s="101"/>
      <c r="P201" s="58"/>
      <c r="Q201" s="58"/>
      <c r="R201" s="62"/>
      <c r="S201" s="62"/>
      <c r="T201" s="62"/>
      <c r="U201" s="62"/>
      <c r="V201" s="62"/>
      <c r="W201" s="62"/>
      <c r="X201" s="62"/>
      <c r="Y201" s="62"/>
      <c r="Z201" s="62"/>
      <c r="AA201" s="62"/>
    </row>
    <row r="202">
      <c r="A202" s="96">
        <v>199.0</v>
      </c>
      <c r="B202" s="98" t="str">
        <f t="shared" si="4"/>
        <v>AE035C</v>
      </c>
      <c r="C202" s="99" t="str">
        <f t="shared" si="1"/>
        <v>AE035D</v>
      </c>
      <c r="D202" s="99" t="str">
        <f t="shared" si="5"/>
        <v>AD7C5A</v>
      </c>
      <c r="E202" s="99" t="str">
        <f t="shared" si="2"/>
        <v>AD7C5B</v>
      </c>
      <c r="F202" s="98" t="str">
        <f t="shared" si="6"/>
        <v>AE04BA</v>
      </c>
      <c r="G202" s="99" t="str">
        <f t="shared" si="3"/>
        <v>AE04BB</v>
      </c>
      <c r="H202" s="101"/>
      <c r="I202" s="107"/>
      <c r="J202" s="62"/>
      <c r="K202" s="58"/>
      <c r="L202" s="102"/>
      <c r="M202" s="103"/>
      <c r="N202" s="62"/>
      <c r="O202" s="101"/>
      <c r="P202" s="58"/>
      <c r="Q202" s="58"/>
      <c r="R202" s="62"/>
      <c r="S202" s="62"/>
      <c r="T202" s="62"/>
      <c r="U202" s="62"/>
      <c r="V202" s="62"/>
      <c r="W202" s="62"/>
      <c r="X202" s="62"/>
      <c r="Y202" s="62"/>
      <c r="Z202" s="62"/>
      <c r="AA202" s="62"/>
    </row>
    <row r="203">
      <c r="A203" s="96">
        <v>200.0</v>
      </c>
      <c r="B203" s="98" t="str">
        <f t="shared" si="4"/>
        <v>AE035E</v>
      </c>
      <c r="C203" s="99" t="str">
        <f t="shared" si="1"/>
        <v>AE035F</v>
      </c>
      <c r="D203" s="99" t="str">
        <f t="shared" si="5"/>
        <v>AD7C5C</v>
      </c>
      <c r="E203" s="99" t="str">
        <f t="shared" si="2"/>
        <v>AD7C5D</v>
      </c>
      <c r="F203" s="98" t="str">
        <f t="shared" si="6"/>
        <v>AE04BC</v>
      </c>
      <c r="G203" s="99" t="str">
        <f t="shared" si="3"/>
        <v>AE04BD</v>
      </c>
      <c r="H203" s="101"/>
      <c r="I203" s="107"/>
      <c r="J203" s="62"/>
      <c r="K203" s="58"/>
      <c r="L203" s="102"/>
      <c r="M203" s="103"/>
      <c r="N203" s="62"/>
      <c r="O203" s="101"/>
      <c r="P203" s="58"/>
      <c r="Q203" s="58"/>
      <c r="R203" s="62"/>
      <c r="S203" s="62"/>
      <c r="T203" s="62"/>
      <c r="U203" s="62"/>
      <c r="V203" s="62"/>
      <c r="W203" s="62"/>
      <c r="X203" s="62"/>
      <c r="Y203" s="62"/>
      <c r="Z203" s="62"/>
      <c r="AA203" s="62"/>
    </row>
    <row r="204">
      <c r="A204" s="96">
        <v>201.0</v>
      </c>
      <c r="B204" s="98" t="str">
        <f t="shared" si="4"/>
        <v>AE0360</v>
      </c>
      <c r="C204" s="99" t="str">
        <f t="shared" si="1"/>
        <v>AE0361</v>
      </c>
      <c r="D204" s="99" t="str">
        <f t="shared" si="5"/>
        <v>AD7C5E</v>
      </c>
      <c r="E204" s="99" t="str">
        <f t="shared" si="2"/>
        <v>AD7C5F</v>
      </c>
      <c r="F204" s="98" t="str">
        <f t="shared" si="6"/>
        <v>AE04BE</v>
      </c>
      <c r="G204" s="99" t="str">
        <f t="shared" si="3"/>
        <v>AE04BF</v>
      </c>
      <c r="H204" s="101"/>
      <c r="I204" s="107"/>
      <c r="J204" s="62"/>
      <c r="K204" s="58"/>
      <c r="L204" s="102"/>
      <c r="M204" s="103"/>
      <c r="N204" s="62"/>
      <c r="O204" s="101"/>
      <c r="P204" s="58"/>
      <c r="Q204" s="58"/>
      <c r="R204" s="62"/>
      <c r="S204" s="62"/>
      <c r="T204" s="62"/>
      <c r="U204" s="62"/>
      <c r="V204" s="62"/>
      <c r="W204" s="62"/>
      <c r="X204" s="62"/>
      <c r="Y204" s="62"/>
      <c r="Z204" s="62"/>
      <c r="AA204" s="62"/>
    </row>
    <row r="205">
      <c r="A205" s="96">
        <v>202.0</v>
      </c>
      <c r="B205" s="98" t="str">
        <f t="shared" si="4"/>
        <v>AE0362</v>
      </c>
      <c r="C205" s="99" t="str">
        <f t="shared" si="1"/>
        <v>AE0363</v>
      </c>
      <c r="D205" s="99" t="str">
        <f t="shared" si="5"/>
        <v>AD7C60</v>
      </c>
      <c r="E205" s="99" t="str">
        <f t="shared" si="2"/>
        <v>AD7C61</v>
      </c>
      <c r="F205" s="98" t="str">
        <f t="shared" si="6"/>
        <v>AE04C0</v>
      </c>
      <c r="G205" s="99" t="str">
        <f t="shared" si="3"/>
        <v>AE04C1</v>
      </c>
      <c r="H205" s="101"/>
      <c r="I205" s="107"/>
      <c r="J205" s="62"/>
      <c r="K205" s="58"/>
      <c r="L205" s="102"/>
      <c r="M205" s="103"/>
      <c r="N205" s="62"/>
      <c r="O205" s="101"/>
      <c r="P205" s="58"/>
      <c r="Q205" s="58"/>
      <c r="R205" s="62"/>
      <c r="S205" s="62"/>
      <c r="T205" s="62"/>
      <c r="U205" s="62"/>
      <c r="V205" s="62"/>
      <c r="W205" s="62"/>
      <c r="X205" s="62"/>
      <c r="Y205" s="62"/>
      <c r="Z205" s="62"/>
      <c r="AA205" s="62"/>
    </row>
    <row r="206">
      <c r="A206" s="96">
        <v>203.0</v>
      </c>
      <c r="B206" s="98" t="str">
        <f t="shared" si="4"/>
        <v>AE0364</v>
      </c>
      <c r="C206" s="99" t="str">
        <f t="shared" si="1"/>
        <v>AE0365</v>
      </c>
      <c r="D206" s="99" t="str">
        <f t="shared" si="5"/>
        <v>AD7C62</v>
      </c>
      <c r="E206" s="99" t="str">
        <f t="shared" si="2"/>
        <v>AD7C63</v>
      </c>
      <c r="F206" s="98" t="str">
        <f t="shared" si="6"/>
        <v>AE04C2</v>
      </c>
      <c r="G206" s="99" t="str">
        <f t="shared" si="3"/>
        <v>AE04C3</v>
      </c>
      <c r="H206" s="101"/>
      <c r="I206" s="107"/>
      <c r="J206" s="62"/>
      <c r="K206" s="58"/>
      <c r="L206" s="102"/>
      <c r="M206" s="103"/>
      <c r="N206" s="62"/>
      <c r="O206" s="101"/>
      <c r="P206" s="58"/>
      <c r="Q206" s="58"/>
      <c r="R206" s="62"/>
      <c r="S206" s="62"/>
      <c r="T206" s="62"/>
      <c r="U206" s="62"/>
      <c r="V206" s="62"/>
      <c r="W206" s="62"/>
      <c r="X206" s="62"/>
      <c r="Y206" s="62"/>
      <c r="Z206" s="62"/>
      <c r="AA206" s="62"/>
    </row>
    <row r="207">
      <c r="A207" s="96">
        <v>204.0</v>
      </c>
      <c r="B207" s="98" t="str">
        <f t="shared" si="4"/>
        <v>AE0366</v>
      </c>
      <c r="C207" s="99" t="str">
        <f t="shared" si="1"/>
        <v>AE0367</v>
      </c>
      <c r="D207" s="99" t="str">
        <f t="shared" si="5"/>
        <v>AD7C64</v>
      </c>
      <c r="E207" s="99" t="str">
        <f t="shared" si="2"/>
        <v>AD7C65</v>
      </c>
      <c r="F207" s="98" t="str">
        <f t="shared" si="6"/>
        <v>AE04C4</v>
      </c>
      <c r="G207" s="99" t="str">
        <f t="shared" si="3"/>
        <v>AE04C5</v>
      </c>
      <c r="H207" s="101"/>
      <c r="I207" s="107"/>
      <c r="J207" s="62"/>
      <c r="K207" s="58"/>
      <c r="L207" s="102"/>
      <c r="M207" s="103"/>
      <c r="N207" s="62"/>
      <c r="O207" s="101"/>
      <c r="P207" s="58"/>
      <c r="Q207" s="58"/>
      <c r="R207" s="62"/>
      <c r="S207" s="62"/>
      <c r="T207" s="62"/>
      <c r="U207" s="62"/>
      <c r="V207" s="62"/>
      <c r="W207" s="62"/>
      <c r="X207" s="62"/>
      <c r="Y207" s="62"/>
      <c r="Z207" s="62"/>
      <c r="AA207" s="62"/>
    </row>
    <row r="208">
      <c r="A208" s="96">
        <v>205.0</v>
      </c>
      <c r="B208" s="98" t="str">
        <f t="shared" si="4"/>
        <v>AE0368</v>
      </c>
      <c r="C208" s="99" t="str">
        <f t="shared" si="1"/>
        <v>AE0369</v>
      </c>
      <c r="D208" s="99" t="str">
        <f t="shared" si="5"/>
        <v>AD7C66</v>
      </c>
      <c r="E208" s="99" t="str">
        <f t="shared" si="2"/>
        <v>AD7C67</v>
      </c>
      <c r="F208" s="98" t="str">
        <f t="shared" si="6"/>
        <v>AE04C6</v>
      </c>
      <c r="G208" s="99" t="str">
        <f t="shared" si="3"/>
        <v>AE04C7</v>
      </c>
      <c r="H208" s="101"/>
      <c r="I208" s="107"/>
      <c r="J208" s="62"/>
      <c r="K208" s="58"/>
      <c r="L208" s="102"/>
      <c r="M208" s="103"/>
      <c r="N208" s="62"/>
      <c r="O208" s="101"/>
      <c r="P208" s="58"/>
      <c r="Q208" s="58"/>
      <c r="R208" s="62"/>
      <c r="S208" s="62"/>
      <c r="T208" s="62"/>
      <c r="U208" s="62"/>
      <c r="V208" s="62"/>
      <c r="W208" s="62"/>
      <c r="X208" s="62"/>
      <c r="Y208" s="62"/>
      <c r="Z208" s="62"/>
      <c r="AA208" s="62"/>
    </row>
    <row r="209">
      <c r="A209" s="96">
        <v>206.0</v>
      </c>
      <c r="B209" s="98" t="str">
        <f t="shared" si="4"/>
        <v>AE036A</v>
      </c>
      <c r="C209" s="99" t="str">
        <f t="shared" si="1"/>
        <v>AE036B</v>
      </c>
      <c r="D209" s="99" t="str">
        <f t="shared" si="5"/>
        <v>AD7C68</v>
      </c>
      <c r="E209" s="99" t="str">
        <f t="shared" si="2"/>
        <v>AD7C69</v>
      </c>
      <c r="F209" s="98" t="str">
        <f t="shared" si="6"/>
        <v>AE04C8</v>
      </c>
      <c r="G209" s="99" t="str">
        <f t="shared" si="3"/>
        <v>AE04C9</v>
      </c>
      <c r="H209" s="101"/>
      <c r="I209" s="107"/>
      <c r="J209" s="62"/>
      <c r="K209" s="58"/>
      <c r="L209" s="102"/>
      <c r="M209" s="103"/>
      <c r="N209" s="62"/>
      <c r="O209" s="101"/>
      <c r="P209" s="58"/>
      <c r="Q209" s="58"/>
      <c r="R209" s="62"/>
      <c r="S209" s="62"/>
      <c r="T209" s="62"/>
      <c r="U209" s="62"/>
      <c r="V209" s="62"/>
      <c r="W209" s="62"/>
      <c r="X209" s="62"/>
      <c r="Y209" s="62"/>
      <c r="Z209" s="62"/>
      <c r="AA209" s="62"/>
    </row>
    <row r="210">
      <c r="A210" s="96">
        <v>207.0</v>
      </c>
      <c r="B210" s="98" t="str">
        <f t="shared" si="4"/>
        <v>AE036C</v>
      </c>
      <c r="C210" s="99" t="str">
        <f t="shared" si="1"/>
        <v>AE036D</v>
      </c>
      <c r="D210" s="99" t="str">
        <f t="shared" si="5"/>
        <v>AD7C6A</v>
      </c>
      <c r="E210" s="99" t="str">
        <f t="shared" si="2"/>
        <v>AD7C6B</v>
      </c>
      <c r="F210" s="98" t="str">
        <f t="shared" si="6"/>
        <v>AE04CA</v>
      </c>
      <c r="G210" s="99" t="str">
        <f t="shared" si="3"/>
        <v>AE04CB</v>
      </c>
      <c r="H210" s="101"/>
      <c r="I210" s="107"/>
      <c r="J210" s="62"/>
      <c r="K210" s="58"/>
      <c r="L210" s="102"/>
      <c r="M210" s="103"/>
      <c r="N210" s="62"/>
      <c r="O210" s="101"/>
      <c r="P210" s="58"/>
      <c r="Q210" s="58"/>
      <c r="R210" s="62"/>
      <c r="S210" s="62"/>
      <c r="T210" s="62"/>
      <c r="U210" s="62"/>
      <c r="V210" s="62"/>
      <c r="W210" s="62"/>
      <c r="X210" s="62"/>
      <c r="Y210" s="62"/>
      <c r="Z210" s="62"/>
      <c r="AA210" s="62"/>
    </row>
    <row r="211">
      <c r="A211" s="96">
        <v>208.0</v>
      </c>
      <c r="B211" s="98" t="str">
        <f t="shared" si="4"/>
        <v>AE036E</v>
      </c>
      <c r="C211" s="99" t="str">
        <f t="shared" si="1"/>
        <v>AE036F</v>
      </c>
      <c r="D211" s="99" t="str">
        <f t="shared" si="5"/>
        <v>AD7C6C</v>
      </c>
      <c r="E211" s="99" t="str">
        <f t="shared" si="2"/>
        <v>AD7C6D</v>
      </c>
      <c r="F211" s="98" t="str">
        <f t="shared" si="6"/>
        <v>AE04CC</v>
      </c>
      <c r="G211" s="99" t="str">
        <f t="shared" si="3"/>
        <v>AE04CD</v>
      </c>
      <c r="H211" s="101"/>
      <c r="I211" s="107"/>
      <c r="J211" s="62"/>
      <c r="K211" s="58"/>
      <c r="L211" s="102"/>
      <c r="M211" s="103"/>
      <c r="N211" s="62"/>
      <c r="O211" s="101"/>
      <c r="P211" s="58"/>
      <c r="Q211" s="58"/>
      <c r="R211" s="62"/>
      <c r="S211" s="62"/>
      <c r="T211" s="62"/>
      <c r="U211" s="62"/>
      <c r="V211" s="62"/>
      <c r="W211" s="62"/>
      <c r="X211" s="62"/>
      <c r="Y211" s="62"/>
      <c r="Z211" s="62"/>
      <c r="AA211" s="62"/>
    </row>
    <row r="212">
      <c r="A212" s="96">
        <v>209.0</v>
      </c>
      <c r="B212" s="98" t="str">
        <f t="shared" si="4"/>
        <v>AE0370</v>
      </c>
      <c r="C212" s="99" t="str">
        <f t="shared" si="1"/>
        <v>AE0371</v>
      </c>
      <c r="D212" s="99" t="str">
        <f t="shared" si="5"/>
        <v>AD7C6E</v>
      </c>
      <c r="E212" s="99" t="str">
        <f t="shared" si="2"/>
        <v>AD7C6F</v>
      </c>
      <c r="F212" s="98" t="str">
        <f t="shared" si="6"/>
        <v>AE04CE</v>
      </c>
      <c r="G212" s="99" t="str">
        <f t="shared" si="3"/>
        <v>AE04CF</v>
      </c>
      <c r="H212" s="101"/>
      <c r="I212" s="107"/>
      <c r="J212" s="62"/>
      <c r="K212" s="58"/>
      <c r="L212" s="102"/>
      <c r="M212" s="103"/>
      <c r="N212" s="62"/>
      <c r="O212" s="101"/>
      <c r="P212" s="58"/>
      <c r="Q212" s="58"/>
      <c r="R212" s="62"/>
      <c r="S212" s="62"/>
      <c r="T212" s="62"/>
      <c r="U212" s="62"/>
      <c r="V212" s="62"/>
      <c r="W212" s="62"/>
      <c r="X212" s="62"/>
      <c r="Y212" s="62"/>
      <c r="Z212" s="62"/>
      <c r="AA212" s="62"/>
    </row>
    <row r="213">
      <c r="A213" s="96">
        <v>210.0</v>
      </c>
      <c r="B213" s="98" t="str">
        <f t="shared" si="4"/>
        <v>AE0372</v>
      </c>
      <c r="C213" s="99" t="str">
        <f t="shared" si="1"/>
        <v>AE0373</v>
      </c>
      <c r="D213" s="99" t="str">
        <f t="shared" si="5"/>
        <v>AD7C70</v>
      </c>
      <c r="E213" s="99" t="str">
        <f t="shared" si="2"/>
        <v>AD7C71</v>
      </c>
      <c r="F213" s="98" t="str">
        <f t="shared" si="6"/>
        <v>AE04D0</v>
      </c>
      <c r="G213" s="99" t="str">
        <f t="shared" si="3"/>
        <v>AE04D1</v>
      </c>
      <c r="H213" s="101"/>
      <c r="I213" s="107"/>
      <c r="J213" s="62"/>
      <c r="K213" s="58"/>
      <c r="L213" s="102"/>
      <c r="M213" s="103"/>
      <c r="N213" s="62"/>
      <c r="O213" s="101"/>
      <c r="P213" s="58"/>
      <c r="Q213" s="58"/>
      <c r="R213" s="58"/>
      <c r="S213" s="62"/>
      <c r="T213" s="62"/>
      <c r="U213" s="62"/>
      <c r="V213" s="62"/>
      <c r="W213" s="62"/>
      <c r="X213" s="62"/>
      <c r="Y213" s="62"/>
      <c r="Z213" s="62"/>
      <c r="AA213" s="62"/>
    </row>
    <row r="214">
      <c r="A214" s="96">
        <v>211.0</v>
      </c>
      <c r="B214" s="98" t="str">
        <f t="shared" si="4"/>
        <v>AE0374</v>
      </c>
      <c r="C214" s="99" t="str">
        <f t="shared" si="1"/>
        <v>AE0375</v>
      </c>
      <c r="D214" s="99" t="str">
        <f t="shared" si="5"/>
        <v>AD7C72</v>
      </c>
      <c r="E214" s="99" t="str">
        <f t="shared" si="2"/>
        <v>AD7C73</v>
      </c>
      <c r="F214" s="98" t="str">
        <f t="shared" si="6"/>
        <v>AE04D2</v>
      </c>
      <c r="G214" s="99" t="str">
        <f t="shared" si="3"/>
        <v>AE04D3</v>
      </c>
      <c r="H214" s="101"/>
      <c r="I214" s="107"/>
      <c r="J214" s="62"/>
      <c r="K214" s="58"/>
      <c r="L214" s="102"/>
      <c r="M214" s="103"/>
      <c r="N214" s="62"/>
      <c r="O214" s="101"/>
      <c r="P214" s="58"/>
      <c r="Q214" s="58"/>
      <c r="R214" s="62"/>
      <c r="S214" s="62"/>
      <c r="T214" s="62"/>
      <c r="U214" s="62"/>
      <c r="V214" s="62"/>
      <c r="W214" s="62"/>
      <c r="X214" s="62"/>
      <c r="Y214" s="62"/>
      <c r="Z214" s="62"/>
      <c r="AA214" s="62"/>
    </row>
    <row r="215">
      <c r="A215" s="96">
        <v>212.0</v>
      </c>
      <c r="B215" s="98" t="str">
        <f t="shared" si="4"/>
        <v>AE0376</v>
      </c>
      <c r="C215" s="99" t="str">
        <f t="shared" si="1"/>
        <v>AE0377</v>
      </c>
      <c r="D215" s="99" t="str">
        <f t="shared" si="5"/>
        <v>AD7C74</v>
      </c>
      <c r="E215" s="99" t="str">
        <f t="shared" si="2"/>
        <v>AD7C75</v>
      </c>
      <c r="F215" s="98" t="str">
        <f t="shared" si="6"/>
        <v>AE04D4</v>
      </c>
      <c r="G215" s="99" t="str">
        <f t="shared" si="3"/>
        <v>AE04D5</v>
      </c>
      <c r="H215" s="101"/>
      <c r="I215" s="107"/>
      <c r="J215" s="62"/>
      <c r="K215" s="58"/>
      <c r="L215" s="102"/>
      <c r="M215" s="103"/>
      <c r="N215" s="62"/>
      <c r="O215" s="101"/>
      <c r="P215" s="58"/>
      <c r="Q215" s="58"/>
      <c r="R215" s="62"/>
      <c r="S215" s="62"/>
      <c r="T215" s="62"/>
      <c r="U215" s="62"/>
      <c r="V215" s="62"/>
      <c r="W215" s="62"/>
      <c r="X215" s="62"/>
      <c r="Y215" s="62"/>
      <c r="Z215" s="62"/>
      <c r="AA215" s="62"/>
    </row>
    <row r="216">
      <c r="A216" s="96">
        <v>213.0</v>
      </c>
      <c r="B216" s="98" t="str">
        <f t="shared" si="4"/>
        <v>AE0378</v>
      </c>
      <c r="C216" s="99" t="str">
        <f t="shared" si="1"/>
        <v>AE0379</v>
      </c>
      <c r="D216" s="99" t="str">
        <f t="shared" si="5"/>
        <v>AD7C76</v>
      </c>
      <c r="E216" s="99" t="str">
        <f t="shared" si="2"/>
        <v>AD7C77</v>
      </c>
      <c r="F216" s="98" t="str">
        <f t="shared" si="6"/>
        <v>AE04D6</v>
      </c>
      <c r="G216" s="99" t="str">
        <f t="shared" si="3"/>
        <v>AE04D7</v>
      </c>
      <c r="H216" s="101"/>
      <c r="I216" s="107"/>
      <c r="J216" s="62"/>
      <c r="K216" s="58"/>
      <c r="L216" s="102"/>
      <c r="M216" s="103"/>
      <c r="N216" s="62"/>
      <c r="O216" s="101"/>
      <c r="P216" s="58"/>
      <c r="Q216" s="58"/>
      <c r="R216" s="62"/>
      <c r="S216" s="62"/>
      <c r="T216" s="62"/>
      <c r="U216" s="62"/>
      <c r="V216" s="62"/>
      <c r="W216" s="62"/>
      <c r="X216" s="62"/>
      <c r="Y216" s="62"/>
      <c r="Z216" s="62"/>
      <c r="AA216" s="62"/>
    </row>
    <row r="217">
      <c r="A217" s="96">
        <v>214.0</v>
      </c>
      <c r="B217" s="98" t="str">
        <f t="shared" si="4"/>
        <v>AE037A</v>
      </c>
      <c r="C217" s="99" t="str">
        <f t="shared" si="1"/>
        <v>AE037B</v>
      </c>
      <c r="D217" s="99" t="str">
        <f t="shared" si="5"/>
        <v>AD7C78</v>
      </c>
      <c r="E217" s="99" t="str">
        <f t="shared" si="2"/>
        <v>AD7C79</v>
      </c>
      <c r="F217" s="98" t="str">
        <f t="shared" si="6"/>
        <v>AE04D8</v>
      </c>
      <c r="G217" s="99" t="str">
        <f t="shared" si="3"/>
        <v>AE04D9</v>
      </c>
      <c r="H217" s="101"/>
      <c r="I217" s="107"/>
      <c r="J217" s="62"/>
      <c r="K217" s="58"/>
      <c r="L217" s="102"/>
      <c r="M217" s="103"/>
      <c r="N217" s="62"/>
      <c r="O217" s="101"/>
      <c r="P217" s="58"/>
      <c r="Q217" s="58"/>
      <c r="R217" s="62"/>
      <c r="S217" s="62"/>
      <c r="T217" s="62"/>
      <c r="U217" s="62"/>
      <c r="V217" s="62"/>
      <c r="W217" s="62"/>
      <c r="X217" s="62"/>
      <c r="Y217" s="62"/>
      <c r="Z217" s="62"/>
      <c r="AA217" s="62"/>
    </row>
    <row r="218">
      <c r="A218" s="96">
        <v>215.0</v>
      </c>
      <c r="B218" s="98" t="str">
        <f t="shared" si="4"/>
        <v>AE037C</v>
      </c>
      <c r="C218" s="99" t="str">
        <f t="shared" si="1"/>
        <v>AE037D</v>
      </c>
      <c r="D218" s="99" t="str">
        <f t="shared" si="5"/>
        <v>AD7C7A</v>
      </c>
      <c r="E218" s="99" t="str">
        <f t="shared" si="2"/>
        <v>AD7C7B</v>
      </c>
      <c r="F218" s="98" t="str">
        <f t="shared" si="6"/>
        <v>AE04DA</v>
      </c>
      <c r="G218" s="99" t="str">
        <f t="shared" si="3"/>
        <v>AE04DB</v>
      </c>
      <c r="H218" s="101"/>
      <c r="I218" s="107"/>
      <c r="J218" s="62"/>
      <c r="K218" s="58"/>
      <c r="L218" s="102"/>
      <c r="M218" s="103"/>
      <c r="N218" s="62"/>
      <c r="O218" s="101"/>
      <c r="P218" s="58"/>
      <c r="Q218" s="58"/>
      <c r="R218" s="62"/>
      <c r="S218" s="62"/>
      <c r="T218" s="62"/>
      <c r="U218" s="62"/>
      <c r="V218" s="62"/>
      <c r="W218" s="62"/>
      <c r="X218" s="62"/>
      <c r="Y218" s="62"/>
      <c r="Z218" s="62"/>
      <c r="AA218" s="62"/>
    </row>
    <row r="219">
      <c r="A219" s="96">
        <v>216.0</v>
      </c>
      <c r="B219" s="98" t="str">
        <f t="shared" si="4"/>
        <v>AE037E</v>
      </c>
      <c r="C219" s="99" t="str">
        <f t="shared" si="1"/>
        <v>AE037F</v>
      </c>
      <c r="D219" s="99" t="str">
        <f t="shared" si="5"/>
        <v>AD7C7C</v>
      </c>
      <c r="E219" s="99" t="str">
        <f t="shared" si="2"/>
        <v>AD7C7D</v>
      </c>
      <c r="F219" s="98" t="str">
        <f t="shared" si="6"/>
        <v>AE04DC</v>
      </c>
      <c r="G219" s="99" t="str">
        <f t="shared" si="3"/>
        <v>AE04DD</v>
      </c>
      <c r="H219" s="101"/>
      <c r="I219" s="107"/>
      <c r="J219" s="62"/>
      <c r="K219" s="58"/>
      <c r="L219" s="102"/>
      <c r="M219" s="103"/>
      <c r="N219" s="62"/>
      <c r="O219" s="101"/>
      <c r="P219" s="58"/>
      <c r="Q219" s="58"/>
      <c r="R219" s="62"/>
      <c r="S219" s="62"/>
      <c r="T219" s="62"/>
      <c r="U219" s="62"/>
      <c r="V219" s="62"/>
      <c r="W219" s="62"/>
      <c r="X219" s="62"/>
      <c r="Y219" s="62"/>
      <c r="Z219" s="62"/>
      <c r="AA219" s="62"/>
    </row>
    <row r="220">
      <c r="A220" s="96">
        <v>217.0</v>
      </c>
      <c r="B220" s="98" t="str">
        <f t="shared" si="4"/>
        <v>AE0380</v>
      </c>
      <c r="C220" s="99" t="str">
        <f t="shared" si="1"/>
        <v>AE0381</v>
      </c>
      <c r="D220" s="99" t="str">
        <f t="shared" si="5"/>
        <v>AD7C7E</v>
      </c>
      <c r="E220" s="99" t="str">
        <f t="shared" si="2"/>
        <v>AD7C7F</v>
      </c>
      <c r="F220" s="98" t="str">
        <f t="shared" si="6"/>
        <v>AE04DE</v>
      </c>
      <c r="G220" s="99" t="str">
        <f t="shared" si="3"/>
        <v>AE04DF</v>
      </c>
      <c r="H220" s="101"/>
      <c r="I220" s="107"/>
      <c r="J220" s="62"/>
      <c r="K220" s="58"/>
      <c r="L220" s="102"/>
      <c r="M220" s="103"/>
      <c r="N220" s="62"/>
      <c r="O220" s="101"/>
      <c r="P220" s="58"/>
      <c r="Q220" s="58"/>
      <c r="R220" s="62"/>
      <c r="S220" s="62"/>
      <c r="T220" s="62"/>
      <c r="U220" s="62"/>
      <c r="V220" s="62"/>
      <c r="W220" s="62"/>
      <c r="X220" s="62"/>
      <c r="Y220" s="62"/>
      <c r="Z220" s="62"/>
      <c r="AA220" s="62"/>
    </row>
    <row r="221">
      <c r="A221" s="96">
        <v>218.0</v>
      </c>
      <c r="B221" s="98" t="str">
        <f t="shared" si="4"/>
        <v>AE0382</v>
      </c>
      <c r="C221" s="99" t="str">
        <f t="shared" si="1"/>
        <v>AE0383</v>
      </c>
      <c r="D221" s="99" t="str">
        <f t="shared" si="5"/>
        <v>AD7C80</v>
      </c>
      <c r="E221" s="99" t="str">
        <f t="shared" si="2"/>
        <v>AD7C81</v>
      </c>
      <c r="F221" s="98" t="str">
        <f t="shared" si="6"/>
        <v>AE04E0</v>
      </c>
      <c r="G221" s="99" t="str">
        <f t="shared" si="3"/>
        <v>AE04E1</v>
      </c>
      <c r="H221" s="101"/>
      <c r="I221" s="107"/>
      <c r="J221" s="62"/>
      <c r="K221" s="58"/>
      <c r="L221" s="102"/>
      <c r="M221" s="103"/>
      <c r="N221" s="62"/>
      <c r="O221" s="101"/>
      <c r="P221" s="58"/>
      <c r="Q221" s="58"/>
      <c r="R221" s="62"/>
      <c r="S221" s="62"/>
      <c r="T221" s="62"/>
      <c r="U221" s="62"/>
      <c r="V221" s="62"/>
      <c r="W221" s="62"/>
      <c r="X221" s="62"/>
      <c r="Y221" s="62"/>
      <c r="Z221" s="62"/>
      <c r="AA221" s="62"/>
    </row>
    <row r="222">
      <c r="A222" s="96">
        <v>219.0</v>
      </c>
      <c r="B222" s="98" t="str">
        <f t="shared" si="4"/>
        <v>AE0384</v>
      </c>
      <c r="C222" s="99" t="str">
        <f t="shared" si="1"/>
        <v>AE0385</v>
      </c>
      <c r="D222" s="99" t="str">
        <f t="shared" si="5"/>
        <v>AD7C82</v>
      </c>
      <c r="E222" s="99" t="str">
        <f t="shared" si="2"/>
        <v>AD7C83</v>
      </c>
      <c r="F222" s="98" t="str">
        <f t="shared" si="6"/>
        <v>AE04E2</v>
      </c>
      <c r="G222" s="99" t="str">
        <f t="shared" si="3"/>
        <v>AE04E3</v>
      </c>
      <c r="H222" s="101"/>
      <c r="I222" s="107"/>
      <c r="J222" s="62"/>
      <c r="K222" s="58"/>
      <c r="L222" s="102"/>
      <c r="M222" s="103"/>
      <c r="N222" s="62"/>
      <c r="O222" s="101"/>
      <c r="P222" s="58"/>
      <c r="Q222" s="58"/>
      <c r="R222" s="62"/>
      <c r="S222" s="62"/>
      <c r="T222" s="62"/>
      <c r="U222" s="62"/>
      <c r="V222" s="62"/>
      <c r="W222" s="62"/>
      <c r="X222" s="62"/>
      <c r="Y222" s="62"/>
      <c r="Z222" s="62"/>
      <c r="AA222" s="62"/>
    </row>
    <row r="223">
      <c r="A223" s="96">
        <v>220.0</v>
      </c>
      <c r="B223" s="98" t="str">
        <f t="shared" si="4"/>
        <v>AE0386</v>
      </c>
      <c r="C223" s="99" t="str">
        <f t="shared" si="1"/>
        <v>AE0387</v>
      </c>
      <c r="D223" s="99" t="str">
        <f t="shared" si="5"/>
        <v>AD7C84</v>
      </c>
      <c r="E223" s="99" t="str">
        <f t="shared" si="2"/>
        <v>AD7C85</v>
      </c>
      <c r="F223" s="98" t="str">
        <f t="shared" si="6"/>
        <v>AE04E4</v>
      </c>
      <c r="G223" s="99" t="str">
        <f t="shared" si="3"/>
        <v>AE04E5</v>
      </c>
      <c r="H223" s="101"/>
      <c r="I223" s="107"/>
      <c r="J223" s="62"/>
      <c r="K223" s="58"/>
      <c r="L223" s="102"/>
      <c r="M223" s="103"/>
      <c r="N223" s="62"/>
      <c r="O223" s="101"/>
      <c r="P223" s="58"/>
      <c r="Q223" s="58"/>
      <c r="R223" s="62"/>
      <c r="S223" s="62"/>
      <c r="T223" s="62"/>
      <c r="U223" s="62"/>
      <c r="V223" s="62"/>
      <c r="W223" s="62"/>
      <c r="X223" s="62"/>
      <c r="Y223" s="62"/>
      <c r="Z223" s="62"/>
      <c r="AA223" s="62"/>
    </row>
    <row r="224">
      <c r="A224" s="96">
        <v>221.0</v>
      </c>
      <c r="B224" s="98" t="str">
        <f t="shared" si="4"/>
        <v>AE0388</v>
      </c>
      <c r="C224" s="99" t="str">
        <f t="shared" si="1"/>
        <v>AE0389</v>
      </c>
      <c r="D224" s="99" t="str">
        <f t="shared" si="5"/>
        <v>AD7C86</v>
      </c>
      <c r="E224" s="99" t="str">
        <f t="shared" si="2"/>
        <v>AD7C87</v>
      </c>
      <c r="F224" s="98" t="str">
        <f t="shared" si="6"/>
        <v>AE04E6</v>
      </c>
      <c r="G224" s="99" t="str">
        <f t="shared" si="3"/>
        <v>AE04E7</v>
      </c>
      <c r="H224" s="101"/>
      <c r="I224" s="107"/>
      <c r="J224" s="62"/>
      <c r="K224" s="58"/>
      <c r="L224" s="102"/>
      <c r="M224" s="103"/>
      <c r="N224" s="62"/>
      <c r="O224" s="101"/>
      <c r="P224" s="58"/>
      <c r="Q224" s="58"/>
      <c r="R224" s="58"/>
      <c r="S224" s="62"/>
      <c r="T224" s="62"/>
      <c r="U224" s="62"/>
      <c r="V224" s="62"/>
      <c r="W224" s="62"/>
      <c r="X224" s="62"/>
      <c r="Y224" s="62"/>
      <c r="Z224" s="62"/>
      <c r="AA224" s="62"/>
    </row>
    <row r="225">
      <c r="A225" s="96">
        <v>222.0</v>
      </c>
      <c r="B225" s="98" t="str">
        <f t="shared" si="4"/>
        <v>AE038A</v>
      </c>
      <c r="C225" s="99" t="str">
        <f t="shared" si="1"/>
        <v>AE038B</v>
      </c>
      <c r="D225" s="99" t="str">
        <f t="shared" si="5"/>
        <v>AD7C88</v>
      </c>
      <c r="E225" s="99" t="str">
        <f t="shared" si="2"/>
        <v>AD7C89</v>
      </c>
      <c r="F225" s="98" t="str">
        <f t="shared" si="6"/>
        <v>AE04E8</v>
      </c>
      <c r="G225" s="99" t="str">
        <f t="shared" si="3"/>
        <v>AE04E9</v>
      </c>
      <c r="H225" s="101"/>
      <c r="I225" s="107"/>
      <c r="J225" s="62"/>
      <c r="K225" s="58"/>
      <c r="L225" s="102"/>
      <c r="M225" s="103"/>
      <c r="N225" s="62"/>
      <c r="O225" s="101"/>
      <c r="P225" s="58"/>
      <c r="Q225" s="58"/>
      <c r="R225" s="62"/>
      <c r="S225" s="62"/>
      <c r="T225" s="62"/>
      <c r="U225" s="62"/>
      <c r="V225" s="62"/>
      <c r="W225" s="62"/>
      <c r="X225" s="62"/>
      <c r="Y225" s="62"/>
      <c r="Z225" s="62"/>
      <c r="AA225" s="62"/>
    </row>
    <row r="226">
      <c r="A226" s="96">
        <v>223.0</v>
      </c>
      <c r="B226" s="98" t="str">
        <f t="shared" si="4"/>
        <v>AE038C</v>
      </c>
      <c r="C226" s="99" t="str">
        <f t="shared" si="1"/>
        <v>AE038D</v>
      </c>
      <c r="D226" s="99" t="str">
        <f t="shared" si="5"/>
        <v>AD7C8A</v>
      </c>
      <c r="E226" s="99" t="str">
        <f t="shared" si="2"/>
        <v>AD7C8B</v>
      </c>
      <c r="F226" s="98" t="str">
        <f t="shared" si="6"/>
        <v>AE04EA</v>
      </c>
      <c r="G226" s="99" t="str">
        <f t="shared" si="3"/>
        <v>AE04EB</v>
      </c>
      <c r="H226" s="101"/>
      <c r="I226" s="107"/>
      <c r="J226" s="62"/>
      <c r="K226" s="58"/>
      <c r="L226" s="102"/>
      <c r="M226" s="103"/>
      <c r="N226" s="62"/>
      <c r="O226" s="101"/>
      <c r="P226" s="58"/>
      <c r="Q226" s="58"/>
      <c r="R226" s="62"/>
      <c r="S226" s="62"/>
      <c r="T226" s="62"/>
      <c r="U226" s="62"/>
      <c r="V226" s="62"/>
      <c r="W226" s="62"/>
      <c r="X226" s="62"/>
      <c r="Y226" s="62"/>
      <c r="Z226" s="62"/>
      <c r="AA226" s="62"/>
    </row>
    <row r="227">
      <c r="A227" s="96">
        <v>224.0</v>
      </c>
      <c r="B227" s="98" t="str">
        <f t="shared" si="4"/>
        <v>AE038E</v>
      </c>
      <c r="C227" s="99" t="str">
        <f t="shared" si="1"/>
        <v>AE038F</v>
      </c>
      <c r="D227" s="99" t="str">
        <f t="shared" si="5"/>
        <v>AD7C8C</v>
      </c>
      <c r="E227" s="99" t="str">
        <f t="shared" si="2"/>
        <v>AD7C8D</v>
      </c>
      <c r="F227" s="98" t="str">
        <f t="shared" si="6"/>
        <v>AE04EC</v>
      </c>
      <c r="G227" s="99" t="str">
        <f t="shared" si="3"/>
        <v>AE04ED</v>
      </c>
      <c r="H227" s="101"/>
      <c r="I227" s="107"/>
      <c r="J227" s="62"/>
      <c r="K227" s="58"/>
      <c r="L227" s="102"/>
      <c r="M227" s="103"/>
      <c r="N227" s="62"/>
      <c r="O227" s="101"/>
      <c r="P227" s="58"/>
      <c r="Q227" s="58"/>
      <c r="R227" s="62"/>
      <c r="S227" s="62"/>
      <c r="T227" s="62"/>
      <c r="U227" s="62"/>
      <c r="V227" s="62"/>
      <c r="W227" s="62"/>
      <c r="X227" s="62"/>
      <c r="Y227" s="62"/>
      <c r="Z227" s="62"/>
      <c r="AA227" s="62"/>
    </row>
    <row r="228">
      <c r="A228" s="96">
        <v>225.0</v>
      </c>
      <c r="B228" s="98" t="str">
        <f t="shared" si="4"/>
        <v>AE0390</v>
      </c>
      <c r="C228" s="99" t="str">
        <f t="shared" si="1"/>
        <v>AE0391</v>
      </c>
      <c r="D228" s="99" t="str">
        <f t="shared" si="5"/>
        <v>AD7C8E</v>
      </c>
      <c r="E228" s="99" t="str">
        <f t="shared" si="2"/>
        <v>AD7C8F</v>
      </c>
      <c r="F228" s="98" t="str">
        <f t="shared" si="6"/>
        <v>AE04EE</v>
      </c>
      <c r="G228" s="99" t="str">
        <f t="shared" si="3"/>
        <v>AE04EF</v>
      </c>
      <c r="H228" s="101"/>
      <c r="I228" s="107"/>
      <c r="J228" s="62"/>
      <c r="K228" s="58"/>
      <c r="L228" s="102"/>
      <c r="M228" s="103"/>
      <c r="N228" s="62"/>
      <c r="O228" s="101"/>
      <c r="P228" s="58"/>
      <c r="Q228" s="58"/>
      <c r="R228" s="62"/>
      <c r="S228" s="62"/>
      <c r="T228" s="62"/>
      <c r="U228" s="62"/>
      <c r="V228" s="62"/>
      <c r="W228" s="62"/>
      <c r="X228" s="62"/>
      <c r="Y228" s="62"/>
      <c r="Z228" s="62"/>
      <c r="AA228" s="62"/>
    </row>
    <row r="229">
      <c r="A229" s="96">
        <v>226.0</v>
      </c>
      <c r="B229" s="98" t="str">
        <f t="shared" si="4"/>
        <v>AE0392</v>
      </c>
      <c r="C229" s="99" t="str">
        <f t="shared" si="1"/>
        <v>AE0393</v>
      </c>
      <c r="D229" s="99" t="str">
        <f t="shared" si="5"/>
        <v>AD7C90</v>
      </c>
      <c r="E229" s="99" t="str">
        <f t="shared" si="2"/>
        <v>AD7C91</v>
      </c>
      <c r="F229" s="98" t="str">
        <f t="shared" si="6"/>
        <v>AE04F0</v>
      </c>
      <c r="G229" s="99" t="str">
        <f t="shared" si="3"/>
        <v>AE04F1</v>
      </c>
      <c r="H229" s="101"/>
      <c r="I229" s="107"/>
      <c r="J229" s="62"/>
      <c r="K229" s="58"/>
      <c r="L229" s="102"/>
      <c r="M229" s="103"/>
      <c r="N229" s="62"/>
      <c r="O229" s="101"/>
      <c r="P229" s="58"/>
      <c r="Q229" s="58"/>
      <c r="R229" s="62"/>
      <c r="S229" s="62"/>
      <c r="T229" s="62"/>
      <c r="U229" s="62"/>
      <c r="V229" s="62"/>
      <c r="W229" s="62"/>
      <c r="X229" s="62"/>
      <c r="Y229" s="62"/>
      <c r="Z229" s="62"/>
      <c r="AA229" s="62"/>
    </row>
    <row r="230">
      <c r="A230" s="96">
        <v>227.0</v>
      </c>
      <c r="B230" s="98" t="str">
        <f t="shared" si="4"/>
        <v>AE0394</v>
      </c>
      <c r="C230" s="99" t="str">
        <f t="shared" si="1"/>
        <v>AE0395</v>
      </c>
      <c r="D230" s="99" t="str">
        <f t="shared" si="5"/>
        <v>AD7C92</v>
      </c>
      <c r="E230" s="99" t="str">
        <f t="shared" si="2"/>
        <v>AD7C93</v>
      </c>
      <c r="F230" s="98" t="str">
        <f t="shared" si="6"/>
        <v>AE04F2</v>
      </c>
      <c r="G230" s="99" t="str">
        <f t="shared" si="3"/>
        <v>AE04F3</v>
      </c>
      <c r="H230" s="101"/>
      <c r="I230" s="107"/>
      <c r="J230" s="62"/>
      <c r="K230" s="58"/>
      <c r="L230" s="102"/>
      <c r="M230" s="103"/>
      <c r="N230" s="62"/>
      <c r="O230" s="101"/>
      <c r="P230" s="58"/>
      <c r="Q230" s="58"/>
      <c r="R230" s="62"/>
      <c r="S230" s="62"/>
      <c r="T230" s="62"/>
      <c r="U230" s="62"/>
      <c r="V230" s="62"/>
      <c r="W230" s="62"/>
      <c r="X230" s="62"/>
      <c r="Y230" s="62"/>
      <c r="Z230" s="62"/>
      <c r="AA230" s="62"/>
    </row>
    <row r="231">
      <c r="A231" s="96">
        <v>228.0</v>
      </c>
      <c r="B231" s="98" t="str">
        <f t="shared" si="4"/>
        <v>AE0396</v>
      </c>
      <c r="C231" s="99" t="str">
        <f t="shared" si="1"/>
        <v>AE0397</v>
      </c>
      <c r="D231" s="99" t="str">
        <f t="shared" si="5"/>
        <v>AD7C94</v>
      </c>
      <c r="E231" s="99" t="str">
        <f t="shared" si="2"/>
        <v>AD7C95</v>
      </c>
      <c r="F231" s="98" t="str">
        <f t="shared" si="6"/>
        <v>AE04F4</v>
      </c>
      <c r="G231" s="99" t="str">
        <f t="shared" si="3"/>
        <v>AE04F5</v>
      </c>
      <c r="H231" s="101"/>
      <c r="I231" s="107"/>
      <c r="J231" s="62"/>
      <c r="K231" s="58"/>
      <c r="L231" s="102"/>
      <c r="M231" s="103"/>
      <c r="N231" s="62"/>
      <c r="O231" s="101"/>
      <c r="P231" s="58"/>
      <c r="Q231" s="58"/>
      <c r="R231" s="62"/>
      <c r="S231" s="62"/>
      <c r="T231" s="62"/>
      <c r="U231" s="62"/>
      <c r="V231" s="62"/>
      <c r="W231" s="62"/>
      <c r="X231" s="62"/>
      <c r="Y231" s="62"/>
      <c r="Z231" s="62"/>
      <c r="AA231" s="62"/>
    </row>
    <row r="232">
      <c r="A232" s="96">
        <v>229.0</v>
      </c>
      <c r="B232" s="98" t="str">
        <f t="shared" si="4"/>
        <v>AE0398</v>
      </c>
      <c r="C232" s="99" t="str">
        <f t="shared" si="1"/>
        <v>AE0399</v>
      </c>
      <c r="D232" s="99" t="str">
        <f t="shared" si="5"/>
        <v>AD7C96</v>
      </c>
      <c r="E232" s="99" t="str">
        <f t="shared" si="2"/>
        <v>AD7C97</v>
      </c>
      <c r="F232" s="98" t="str">
        <f t="shared" si="6"/>
        <v>AE04F6</v>
      </c>
      <c r="G232" s="99" t="str">
        <f t="shared" si="3"/>
        <v>AE04F7</v>
      </c>
      <c r="H232" s="101"/>
      <c r="I232" s="107"/>
      <c r="J232" s="62"/>
      <c r="K232" s="58"/>
      <c r="L232" s="102"/>
      <c r="M232" s="103"/>
      <c r="N232" s="62"/>
      <c r="O232" s="101"/>
      <c r="P232" s="58"/>
      <c r="Q232" s="58"/>
      <c r="R232" s="62"/>
      <c r="S232" s="62"/>
      <c r="T232" s="62"/>
      <c r="U232" s="62"/>
      <c r="V232" s="62"/>
      <c r="W232" s="62"/>
      <c r="X232" s="62"/>
      <c r="Y232" s="62"/>
      <c r="Z232" s="62"/>
      <c r="AA232" s="62"/>
    </row>
    <row r="233">
      <c r="A233" s="96">
        <v>230.0</v>
      </c>
      <c r="B233" s="98" t="str">
        <f t="shared" si="4"/>
        <v>AE039A</v>
      </c>
      <c r="C233" s="99" t="str">
        <f t="shared" si="1"/>
        <v>AE039B</v>
      </c>
      <c r="D233" s="99" t="str">
        <f t="shared" si="5"/>
        <v>AD7C98</v>
      </c>
      <c r="E233" s="99" t="str">
        <f t="shared" si="2"/>
        <v>AD7C99</v>
      </c>
      <c r="F233" s="98" t="str">
        <f t="shared" si="6"/>
        <v>AE04F8</v>
      </c>
      <c r="G233" s="99" t="str">
        <f t="shared" si="3"/>
        <v>AE04F9</v>
      </c>
      <c r="H233" s="101"/>
      <c r="I233" s="107"/>
      <c r="J233" s="103"/>
      <c r="K233" s="58"/>
      <c r="L233" s="102"/>
      <c r="M233" s="103"/>
      <c r="N233" s="62"/>
      <c r="O233" s="101"/>
      <c r="P233" s="58"/>
      <c r="Q233" s="58"/>
      <c r="R233" s="62"/>
      <c r="S233" s="103"/>
      <c r="T233" s="62"/>
      <c r="U233" s="62"/>
      <c r="V233" s="62"/>
      <c r="W233" s="62"/>
      <c r="X233" s="62"/>
      <c r="Y233" s="62"/>
      <c r="Z233" s="62"/>
      <c r="AA233" s="62"/>
    </row>
    <row r="234">
      <c r="A234" s="96">
        <v>231.0</v>
      </c>
      <c r="B234" s="98" t="str">
        <f t="shared" si="4"/>
        <v>AE039C</v>
      </c>
      <c r="C234" s="99" t="str">
        <f t="shared" si="1"/>
        <v>AE039D</v>
      </c>
      <c r="D234" s="99" t="str">
        <f t="shared" si="5"/>
        <v>AD7C9A</v>
      </c>
      <c r="E234" s="99" t="str">
        <f t="shared" si="2"/>
        <v>AD7C9B</v>
      </c>
      <c r="F234" s="98" t="str">
        <f t="shared" si="6"/>
        <v>AE04FA</v>
      </c>
      <c r="G234" s="99" t="str">
        <f t="shared" si="3"/>
        <v>AE04FB</v>
      </c>
      <c r="H234" s="101"/>
      <c r="I234" s="107"/>
      <c r="J234" s="103"/>
      <c r="K234" s="58"/>
      <c r="L234" s="102"/>
      <c r="M234" s="103"/>
      <c r="N234" s="62"/>
      <c r="O234" s="101"/>
      <c r="P234" s="58"/>
      <c r="Q234" s="58"/>
      <c r="R234" s="62"/>
      <c r="S234" s="103"/>
      <c r="T234" s="62"/>
      <c r="U234" s="62"/>
      <c r="V234" s="62"/>
      <c r="W234" s="62"/>
      <c r="X234" s="62"/>
      <c r="Y234" s="62"/>
      <c r="Z234" s="62"/>
      <c r="AA234" s="62"/>
    </row>
    <row r="235">
      <c r="A235" s="96">
        <v>232.0</v>
      </c>
      <c r="B235" s="98" t="str">
        <f t="shared" si="4"/>
        <v>AE039E</v>
      </c>
      <c r="C235" s="99" t="str">
        <f t="shared" si="1"/>
        <v>AE039F</v>
      </c>
      <c r="D235" s="99" t="str">
        <f t="shared" si="5"/>
        <v>AD7C9C</v>
      </c>
      <c r="E235" s="99" t="str">
        <f t="shared" si="2"/>
        <v>AD7C9D</v>
      </c>
      <c r="F235" s="98" t="str">
        <f t="shared" si="6"/>
        <v>AE04FC</v>
      </c>
      <c r="G235" s="99" t="str">
        <f t="shared" si="3"/>
        <v>AE04FD</v>
      </c>
      <c r="H235" s="101"/>
      <c r="I235" s="107"/>
      <c r="J235" s="103"/>
      <c r="K235" s="58"/>
      <c r="L235" s="102"/>
      <c r="M235" s="103"/>
      <c r="N235" s="62"/>
      <c r="O235" s="101"/>
      <c r="P235" s="58"/>
      <c r="Q235" s="58"/>
      <c r="R235" s="62"/>
      <c r="S235" s="103"/>
      <c r="T235" s="62"/>
      <c r="U235" s="62"/>
      <c r="V235" s="62"/>
      <c r="W235" s="62"/>
      <c r="X235" s="62"/>
      <c r="Y235" s="62"/>
      <c r="Z235" s="62"/>
      <c r="AA235" s="62"/>
    </row>
    <row r="236">
      <c r="A236" s="96">
        <v>233.0</v>
      </c>
      <c r="B236" s="98" t="str">
        <f t="shared" si="4"/>
        <v>AE03A0</v>
      </c>
      <c r="C236" s="99" t="str">
        <f t="shared" si="1"/>
        <v>AE03A1</v>
      </c>
      <c r="D236" s="99" t="str">
        <f t="shared" si="5"/>
        <v>AD7C9E</v>
      </c>
      <c r="E236" s="99" t="str">
        <f t="shared" si="2"/>
        <v>AD7C9F</v>
      </c>
      <c r="F236" s="98" t="str">
        <f t="shared" si="6"/>
        <v>AE04FE</v>
      </c>
      <c r="G236" s="99" t="str">
        <f t="shared" si="3"/>
        <v>AE04FF</v>
      </c>
      <c r="H236" s="101"/>
      <c r="I236" s="107"/>
      <c r="J236" s="103"/>
      <c r="K236" s="58"/>
      <c r="L236" s="102"/>
      <c r="M236" s="103"/>
      <c r="N236" s="62"/>
      <c r="O236" s="101"/>
      <c r="P236" s="58"/>
      <c r="Q236" s="58"/>
      <c r="R236" s="62"/>
      <c r="S236" s="103"/>
      <c r="T236" s="62"/>
      <c r="U236" s="62"/>
      <c r="V236" s="62"/>
      <c r="W236" s="62"/>
      <c r="X236" s="62"/>
      <c r="Y236" s="62"/>
      <c r="Z236" s="62"/>
      <c r="AA236" s="62"/>
    </row>
    <row r="237">
      <c r="A237" s="96">
        <v>234.0</v>
      </c>
      <c r="B237" s="98" t="str">
        <f t="shared" si="4"/>
        <v>AE03A2</v>
      </c>
      <c r="C237" s="99" t="str">
        <f t="shared" si="1"/>
        <v>AE03A3</v>
      </c>
      <c r="D237" s="99" t="str">
        <f t="shared" si="5"/>
        <v>AD7CA0</v>
      </c>
      <c r="E237" s="99" t="str">
        <f t="shared" si="2"/>
        <v>AD7CA1</v>
      </c>
      <c r="F237" s="98" t="str">
        <f t="shared" si="6"/>
        <v>AE0500</v>
      </c>
      <c r="G237" s="99" t="str">
        <f t="shared" si="3"/>
        <v>AE0501</v>
      </c>
      <c r="H237" s="101"/>
      <c r="I237" s="107"/>
      <c r="J237" s="103"/>
      <c r="K237" s="58"/>
      <c r="L237" s="102"/>
      <c r="M237" s="103"/>
      <c r="N237" s="62"/>
      <c r="O237" s="101"/>
      <c r="P237" s="58"/>
      <c r="Q237" s="58"/>
      <c r="R237" s="62"/>
      <c r="S237" s="103"/>
      <c r="T237" s="62"/>
      <c r="U237" s="62"/>
      <c r="V237" s="62"/>
      <c r="W237" s="62"/>
      <c r="X237" s="62"/>
      <c r="Y237" s="62"/>
      <c r="Z237" s="62"/>
      <c r="AA237" s="62"/>
    </row>
    <row r="238">
      <c r="A238" s="96">
        <v>235.0</v>
      </c>
      <c r="B238" s="98" t="str">
        <f t="shared" si="4"/>
        <v>AE03A4</v>
      </c>
      <c r="C238" s="99" t="str">
        <f t="shared" si="1"/>
        <v>AE03A5</v>
      </c>
      <c r="D238" s="99" t="str">
        <f t="shared" si="5"/>
        <v>AD7CA2</v>
      </c>
      <c r="E238" s="99" t="str">
        <f t="shared" si="2"/>
        <v>AD7CA3</v>
      </c>
      <c r="F238" s="98" t="str">
        <f t="shared" si="6"/>
        <v>AE0502</v>
      </c>
      <c r="G238" s="99" t="str">
        <f t="shared" si="3"/>
        <v>AE0503</v>
      </c>
      <c r="H238" s="101"/>
      <c r="I238" s="107"/>
      <c r="J238" s="103"/>
      <c r="K238" s="58"/>
      <c r="L238" s="102"/>
      <c r="M238" s="103"/>
      <c r="N238" s="62"/>
      <c r="O238" s="101"/>
      <c r="P238" s="58"/>
      <c r="Q238" s="58"/>
      <c r="R238" s="62"/>
      <c r="S238" s="103"/>
      <c r="T238" s="62"/>
      <c r="U238" s="62"/>
      <c r="V238" s="62"/>
      <c r="W238" s="62"/>
      <c r="X238" s="62"/>
      <c r="Y238" s="62"/>
      <c r="Z238" s="62"/>
      <c r="AA238" s="62"/>
    </row>
    <row r="239">
      <c r="A239" s="96">
        <v>236.0</v>
      </c>
      <c r="B239" s="98" t="str">
        <f t="shared" si="4"/>
        <v>AE03A6</v>
      </c>
      <c r="C239" s="99" t="str">
        <f t="shared" si="1"/>
        <v>AE03A7</v>
      </c>
      <c r="D239" s="99" t="str">
        <f t="shared" si="5"/>
        <v>AD7CA4</v>
      </c>
      <c r="E239" s="99" t="str">
        <f t="shared" si="2"/>
        <v>AD7CA5</v>
      </c>
      <c r="F239" s="98" t="str">
        <f t="shared" si="6"/>
        <v>AE0504</v>
      </c>
      <c r="G239" s="99" t="str">
        <f t="shared" si="3"/>
        <v>AE0505</v>
      </c>
      <c r="H239" s="101"/>
      <c r="I239" s="107"/>
      <c r="J239" s="103"/>
      <c r="K239" s="58"/>
      <c r="L239" s="102"/>
      <c r="M239" s="103"/>
      <c r="N239" s="62"/>
      <c r="O239" s="101"/>
      <c r="P239" s="58"/>
      <c r="Q239" s="58"/>
      <c r="R239" s="62"/>
      <c r="S239" s="103"/>
      <c r="T239" s="62"/>
      <c r="U239" s="62"/>
      <c r="V239" s="62"/>
      <c r="W239" s="62"/>
      <c r="X239" s="62"/>
      <c r="Y239" s="62"/>
      <c r="Z239" s="62"/>
      <c r="AA239" s="62"/>
    </row>
    <row r="240">
      <c r="A240" s="96">
        <v>237.0</v>
      </c>
      <c r="B240" s="98" t="str">
        <f t="shared" si="4"/>
        <v>AE03A8</v>
      </c>
      <c r="C240" s="99" t="str">
        <f t="shared" si="1"/>
        <v>AE03A9</v>
      </c>
      <c r="D240" s="99" t="str">
        <f t="shared" si="5"/>
        <v>AD7CA6</v>
      </c>
      <c r="E240" s="99" t="str">
        <f t="shared" si="2"/>
        <v>AD7CA7</v>
      </c>
      <c r="F240" s="98" t="str">
        <f t="shared" si="6"/>
        <v>AE0506</v>
      </c>
      <c r="G240" s="99" t="str">
        <f t="shared" si="3"/>
        <v>AE0507</v>
      </c>
      <c r="H240" s="101"/>
      <c r="I240" s="107"/>
      <c r="J240" s="103"/>
      <c r="K240" s="58"/>
      <c r="L240" s="102"/>
      <c r="M240" s="103"/>
      <c r="N240" s="62"/>
      <c r="O240" s="101"/>
      <c r="P240" s="58"/>
      <c r="Q240" s="58"/>
      <c r="R240" s="62"/>
      <c r="S240" s="103"/>
      <c r="T240" s="62"/>
      <c r="U240" s="62"/>
      <c r="V240" s="62"/>
      <c r="W240" s="62"/>
      <c r="X240" s="62"/>
      <c r="Y240" s="62"/>
      <c r="Z240" s="62"/>
      <c r="AA240" s="62"/>
    </row>
    <row r="241">
      <c r="A241" s="96">
        <v>238.0</v>
      </c>
      <c r="B241" s="98" t="str">
        <f t="shared" si="4"/>
        <v>AE03AA</v>
      </c>
      <c r="C241" s="99" t="str">
        <f t="shared" si="1"/>
        <v>AE03AB</v>
      </c>
      <c r="D241" s="99" t="str">
        <f t="shared" si="5"/>
        <v>AD7CA8</v>
      </c>
      <c r="E241" s="99" t="str">
        <f t="shared" si="2"/>
        <v>AD7CA9</v>
      </c>
      <c r="F241" s="98" t="str">
        <f t="shared" si="6"/>
        <v>AE0508</v>
      </c>
      <c r="G241" s="99" t="str">
        <f t="shared" si="3"/>
        <v>AE0509</v>
      </c>
      <c r="H241" s="101"/>
      <c r="I241" s="107"/>
      <c r="J241" s="103"/>
      <c r="K241" s="58"/>
      <c r="L241" s="102"/>
      <c r="M241" s="103"/>
      <c r="N241" s="62"/>
      <c r="O241" s="101"/>
      <c r="P241" s="58"/>
      <c r="Q241" s="58"/>
      <c r="R241" s="62"/>
      <c r="S241" s="103"/>
      <c r="T241" s="62"/>
      <c r="U241" s="62"/>
      <c r="V241" s="62"/>
      <c r="W241" s="62"/>
      <c r="X241" s="62"/>
      <c r="Y241" s="62"/>
      <c r="Z241" s="62"/>
      <c r="AA241" s="62"/>
    </row>
    <row r="242">
      <c r="A242" s="96">
        <v>239.0</v>
      </c>
      <c r="B242" s="98" t="str">
        <f t="shared" si="4"/>
        <v>AE03AC</v>
      </c>
      <c r="C242" s="99" t="str">
        <f t="shared" si="1"/>
        <v>AE03AD</v>
      </c>
      <c r="D242" s="99" t="str">
        <f t="shared" si="5"/>
        <v>AD7CAA</v>
      </c>
      <c r="E242" s="99" t="str">
        <f t="shared" si="2"/>
        <v>AD7CAB</v>
      </c>
      <c r="F242" s="98" t="str">
        <f t="shared" si="6"/>
        <v>AE050A</v>
      </c>
      <c r="G242" s="99" t="str">
        <f t="shared" si="3"/>
        <v>AE050B</v>
      </c>
      <c r="H242" s="101"/>
      <c r="I242" s="107"/>
      <c r="J242" s="103"/>
      <c r="K242" s="58"/>
      <c r="L242" s="102"/>
      <c r="M242" s="103"/>
      <c r="N242" s="62"/>
      <c r="O242" s="101"/>
      <c r="P242" s="58"/>
      <c r="Q242" s="58"/>
      <c r="R242" s="62"/>
      <c r="S242" s="103"/>
      <c r="T242" s="62"/>
      <c r="U242" s="62"/>
      <c r="V242" s="62"/>
      <c r="W242" s="62"/>
      <c r="X242" s="62"/>
      <c r="Y242" s="62"/>
      <c r="Z242" s="62"/>
      <c r="AA242" s="62"/>
    </row>
    <row r="243">
      <c r="A243" s="96">
        <v>240.0</v>
      </c>
      <c r="B243" s="98" t="str">
        <f t="shared" si="4"/>
        <v>AE03AE</v>
      </c>
      <c r="C243" s="99" t="str">
        <f t="shared" si="1"/>
        <v>AE03AF</v>
      </c>
      <c r="D243" s="99" t="str">
        <f t="shared" si="5"/>
        <v>AD7CAC</v>
      </c>
      <c r="E243" s="99" t="str">
        <f t="shared" si="2"/>
        <v>AD7CAD</v>
      </c>
      <c r="F243" s="98" t="str">
        <f t="shared" si="6"/>
        <v>AE050C</v>
      </c>
      <c r="G243" s="99" t="str">
        <f t="shared" si="3"/>
        <v>AE050D</v>
      </c>
      <c r="H243" s="101"/>
      <c r="I243" s="107"/>
      <c r="J243" s="103"/>
      <c r="K243" s="58"/>
      <c r="L243" s="102"/>
      <c r="M243" s="103"/>
      <c r="N243" s="62"/>
      <c r="O243" s="101"/>
      <c r="P243" s="58"/>
      <c r="Q243" s="58"/>
      <c r="R243" s="62"/>
      <c r="S243" s="103"/>
      <c r="T243" s="62"/>
      <c r="U243" s="62"/>
      <c r="V243" s="62"/>
      <c r="W243" s="62"/>
      <c r="X243" s="62"/>
      <c r="Y243" s="62"/>
      <c r="Z243" s="62"/>
      <c r="AA243" s="62"/>
    </row>
    <row r="244">
      <c r="A244" s="96">
        <v>241.0</v>
      </c>
      <c r="B244" s="98" t="str">
        <f t="shared" si="4"/>
        <v>AE03B0</v>
      </c>
      <c r="C244" s="99" t="str">
        <f t="shared" si="1"/>
        <v>AE03B1</v>
      </c>
      <c r="D244" s="99" t="str">
        <f t="shared" si="5"/>
        <v>AD7CAE</v>
      </c>
      <c r="E244" s="99" t="str">
        <f t="shared" si="2"/>
        <v>AD7CAF</v>
      </c>
      <c r="F244" s="98" t="str">
        <f t="shared" si="6"/>
        <v>AE050E</v>
      </c>
      <c r="G244" s="99" t="str">
        <f t="shared" si="3"/>
        <v>AE050F</v>
      </c>
      <c r="H244" s="101"/>
      <c r="I244" s="107"/>
      <c r="J244" s="103"/>
      <c r="K244" s="58"/>
      <c r="L244" s="102"/>
      <c r="M244" s="103"/>
      <c r="N244" s="62"/>
      <c r="O244" s="101"/>
      <c r="P244" s="58"/>
      <c r="Q244" s="58"/>
      <c r="R244" s="62"/>
      <c r="S244" s="103"/>
      <c r="T244" s="62"/>
      <c r="U244" s="62"/>
      <c r="V244" s="62"/>
      <c r="W244" s="62"/>
      <c r="X244" s="62"/>
      <c r="Y244" s="62"/>
      <c r="Z244" s="62"/>
      <c r="AA244" s="62"/>
    </row>
    <row r="245">
      <c r="A245" s="96">
        <v>242.0</v>
      </c>
      <c r="B245" s="98" t="str">
        <f t="shared" si="4"/>
        <v>AE03B2</v>
      </c>
      <c r="C245" s="99" t="str">
        <f t="shared" si="1"/>
        <v>AE03B3</v>
      </c>
      <c r="D245" s="99" t="str">
        <f t="shared" si="5"/>
        <v>AD7CB0</v>
      </c>
      <c r="E245" s="99" t="str">
        <f t="shared" si="2"/>
        <v>AD7CB1</v>
      </c>
      <c r="F245" s="98" t="str">
        <f t="shared" si="6"/>
        <v>AE0510</v>
      </c>
      <c r="G245" s="99" t="str">
        <f t="shared" si="3"/>
        <v>AE0511</v>
      </c>
      <c r="H245" s="101"/>
      <c r="I245" s="107"/>
      <c r="J245" s="103"/>
      <c r="K245" s="58"/>
      <c r="L245" s="102"/>
      <c r="M245" s="103"/>
      <c r="N245" s="62"/>
      <c r="O245" s="101"/>
      <c r="P245" s="58"/>
      <c r="Q245" s="58"/>
      <c r="R245" s="62"/>
      <c r="S245" s="103"/>
      <c r="T245" s="62"/>
      <c r="U245" s="62"/>
      <c r="V245" s="62"/>
      <c r="W245" s="62"/>
      <c r="X245" s="62"/>
      <c r="Y245" s="62"/>
      <c r="Z245" s="62"/>
      <c r="AA245" s="62"/>
    </row>
    <row r="246">
      <c r="A246" s="96">
        <v>243.0</v>
      </c>
      <c r="B246" s="98" t="str">
        <f t="shared" si="4"/>
        <v>AE03B4</v>
      </c>
      <c r="C246" s="99" t="str">
        <f t="shared" si="1"/>
        <v>AE03B5</v>
      </c>
      <c r="D246" s="99" t="str">
        <f t="shared" si="5"/>
        <v>AD7CB2</v>
      </c>
      <c r="E246" s="99" t="str">
        <f t="shared" si="2"/>
        <v>AD7CB3</v>
      </c>
      <c r="F246" s="98" t="str">
        <f t="shared" si="6"/>
        <v>AE0512</v>
      </c>
      <c r="G246" s="99" t="str">
        <f t="shared" si="3"/>
        <v>AE0513</v>
      </c>
      <c r="H246" s="101"/>
      <c r="I246" s="107"/>
      <c r="J246" s="103"/>
      <c r="K246" s="58"/>
      <c r="L246" s="102"/>
      <c r="M246" s="103"/>
      <c r="N246" s="62"/>
      <c r="O246" s="101"/>
      <c r="P246" s="58"/>
      <c r="Q246" s="58"/>
      <c r="R246" s="62"/>
      <c r="S246" s="103"/>
      <c r="T246" s="62"/>
      <c r="U246" s="62"/>
      <c r="V246" s="62"/>
      <c r="W246" s="62"/>
      <c r="X246" s="62"/>
      <c r="Y246" s="62"/>
      <c r="Z246" s="62"/>
      <c r="AA246" s="62"/>
    </row>
    <row r="247">
      <c r="A247" s="96">
        <v>244.0</v>
      </c>
      <c r="B247" s="98" t="str">
        <f t="shared" si="4"/>
        <v>AE03B6</v>
      </c>
      <c r="C247" s="99" t="str">
        <f t="shared" si="1"/>
        <v>AE03B7</v>
      </c>
      <c r="D247" s="99" t="str">
        <f t="shared" si="5"/>
        <v>AD7CB4</v>
      </c>
      <c r="E247" s="99" t="str">
        <f t="shared" si="2"/>
        <v>AD7CB5</v>
      </c>
      <c r="F247" s="98" t="str">
        <f t="shared" si="6"/>
        <v>AE0514</v>
      </c>
      <c r="G247" s="99" t="str">
        <f t="shared" si="3"/>
        <v>AE0515</v>
      </c>
      <c r="H247" s="101"/>
      <c r="I247" s="107"/>
      <c r="J247" s="103"/>
      <c r="K247" s="58"/>
      <c r="L247" s="102"/>
      <c r="M247" s="103"/>
      <c r="N247" s="62"/>
      <c r="O247" s="101"/>
      <c r="P247" s="58"/>
      <c r="Q247" s="62"/>
      <c r="R247" s="62"/>
      <c r="S247" s="103"/>
      <c r="T247" s="62"/>
      <c r="U247" s="62"/>
      <c r="V247" s="62"/>
      <c r="W247" s="62"/>
      <c r="X247" s="62"/>
      <c r="Y247" s="62"/>
      <c r="Z247" s="62"/>
      <c r="AA247" s="62"/>
    </row>
    <row r="248">
      <c r="A248" s="96">
        <v>245.0</v>
      </c>
      <c r="B248" s="98" t="str">
        <f t="shared" si="4"/>
        <v>AE03B8</v>
      </c>
      <c r="C248" s="99" t="str">
        <f t="shared" si="1"/>
        <v>AE03B9</v>
      </c>
      <c r="D248" s="99" t="str">
        <f t="shared" si="5"/>
        <v>AD7CB6</v>
      </c>
      <c r="E248" s="99" t="str">
        <f t="shared" si="2"/>
        <v>AD7CB7</v>
      </c>
      <c r="F248" s="98" t="str">
        <f t="shared" si="6"/>
        <v>AE0516</v>
      </c>
      <c r="G248" s="99" t="str">
        <f t="shared" si="3"/>
        <v>AE0517</v>
      </c>
      <c r="H248" s="101"/>
      <c r="I248" s="107"/>
      <c r="J248" s="103"/>
      <c r="K248" s="58"/>
      <c r="L248" s="102"/>
      <c r="M248" s="103"/>
      <c r="N248" s="62"/>
      <c r="O248" s="101"/>
      <c r="P248" s="58"/>
      <c r="Q248" s="58"/>
      <c r="R248" s="62"/>
      <c r="S248" s="103"/>
      <c r="T248" s="62"/>
      <c r="U248" s="62"/>
      <c r="V248" s="62"/>
      <c r="W248" s="62"/>
      <c r="X248" s="62"/>
      <c r="Y248" s="62"/>
      <c r="Z248" s="62"/>
      <c r="AA248" s="62"/>
    </row>
    <row r="249">
      <c r="A249" s="96">
        <v>246.0</v>
      </c>
      <c r="B249" s="98" t="str">
        <f t="shared" si="4"/>
        <v>AE03BA</v>
      </c>
      <c r="C249" s="99" t="str">
        <f t="shared" si="1"/>
        <v>AE03BB</v>
      </c>
      <c r="D249" s="99" t="str">
        <f t="shared" si="5"/>
        <v>AD7CB8</v>
      </c>
      <c r="E249" s="99" t="str">
        <f t="shared" si="2"/>
        <v>AD7CB9</v>
      </c>
      <c r="F249" s="98" t="str">
        <f t="shared" si="6"/>
        <v>AE0518</v>
      </c>
      <c r="G249" s="99" t="str">
        <f t="shared" si="3"/>
        <v>AE0519</v>
      </c>
      <c r="H249" s="101"/>
      <c r="I249" s="107"/>
      <c r="J249" s="103"/>
      <c r="K249" s="58"/>
      <c r="L249" s="102"/>
      <c r="M249" s="103"/>
      <c r="N249" s="62"/>
      <c r="O249" s="101"/>
      <c r="P249" s="58"/>
      <c r="Q249" s="58"/>
      <c r="R249" s="62"/>
      <c r="S249" s="103"/>
      <c r="T249" s="62"/>
      <c r="U249" s="62"/>
      <c r="V249" s="62"/>
      <c r="W249" s="62"/>
      <c r="X249" s="62"/>
      <c r="Y249" s="62"/>
      <c r="Z249" s="62"/>
      <c r="AA249" s="62"/>
    </row>
    <row r="250">
      <c r="A250" s="96">
        <v>247.0</v>
      </c>
      <c r="B250" s="98" t="str">
        <f t="shared" si="4"/>
        <v>AE03BC</v>
      </c>
      <c r="C250" s="99" t="str">
        <f t="shared" si="1"/>
        <v>AE03BD</v>
      </c>
      <c r="D250" s="99" t="str">
        <f t="shared" si="5"/>
        <v>AD7CBA</v>
      </c>
      <c r="E250" s="99" t="str">
        <f t="shared" si="2"/>
        <v>AD7CBB</v>
      </c>
      <c r="F250" s="98" t="str">
        <f t="shared" si="6"/>
        <v>AE051A</v>
      </c>
      <c r="G250" s="99" t="str">
        <f t="shared" si="3"/>
        <v>AE051B</v>
      </c>
      <c r="H250" s="101"/>
      <c r="I250" s="107"/>
      <c r="J250" s="103"/>
      <c r="K250" s="58"/>
      <c r="L250" s="102"/>
      <c r="M250" s="103"/>
      <c r="N250" s="62"/>
      <c r="O250" s="101"/>
      <c r="P250" s="58"/>
      <c r="Q250" s="58"/>
      <c r="R250" s="62"/>
      <c r="S250" s="103"/>
      <c r="T250" s="62"/>
      <c r="U250" s="62"/>
      <c r="V250" s="62"/>
      <c r="W250" s="62"/>
      <c r="X250" s="62"/>
      <c r="Y250" s="62"/>
      <c r="Z250" s="62"/>
      <c r="AA250" s="62"/>
    </row>
    <row r="251">
      <c r="A251" s="96">
        <v>248.0</v>
      </c>
      <c r="B251" s="98" t="str">
        <f t="shared" si="4"/>
        <v>AE03BE</v>
      </c>
      <c r="C251" s="99" t="str">
        <f t="shared" si="1"/>
        <v>AE03BF</v>
      </c>
      <c r="D251" s="99" t="str">
        <f t="shared" si="5"/>
        <v>AD7CBC</v>
      </c>
      <c r="E251" s="99" t="str">
        <f t="shared" si="2"/>
        <v>AD7CBD</v>
      </c>
      <c r="F251" s="98" t="str">
        <f t="shared" si="6"/>
        <v>AE051C</v>
      </c>
      <c r="G251" s="99" t="str">
        <f t="shared" si="3"/>
        <v>AE051D</v>
      </c>
      <c r="H251" s="101"/>
      <c r="I251" s="107"/>
      <c r="J251" s="103"/>
      <c r="K251" s="58"/>
      <c r="L251" s="102"/>
      <c r="M251" s="103"/>
      <c r="N251" s="62"/>
      <c r="O251" s="101"/>
      <c r="P251" s="58"/>
      <c r="Q251" s="58"/>
      <c r="R251" s="62"/>
      <c r="S251" s="103"/>
      <c r="T251" s="62"/>
      <c r="U251" s="62"/>
      <c r="V251" s="62"/>
      <c r="W251" s="62"/>
      <c r="X251" s="62"/>
      <c r="Y251" s="62"/>
      <c r="Z251" s="62"/>
      <c r="AA251" s="62"/>
    </row>
    <row r="252">
      <c r="A252" s="96">
        <v>249.0</v>
      </c>
      <c r="B252" s="98" t="str">
        <f t="shared" si="4"/>
        <v>AE03C0</v>
      </c>
      <c r="C252" s="99" t="str">
        <f t="shared" si="1"/>
        <v>AE03C1</v>
      </c>
      <c r="D252" s="99" t="str">
        <f t="shared" si="5"/>
        <v>AD7CBE</v>
      </c>
      <c r="E252" s="99" t="str">
        <f t="shared" si="2"/>
        <v>AD7CBF</v>
      </c>
      <c r="F252" s="98" t="str">
        <f t="shared" si="6"/>
        <v>AE051E</v>
      </c>
      <c r="G252" s="99" t="str">
        <f t="shared" si="3"/>
        <v>AE051F</v>
      </c>
      <c r="H252" s="101"/>
      <c r="I252" s="107"/>
      <c r="J252" s="103"/>
      <c r="K252" s="58"/>
      <c r="L252" s="102"/>
      <c r="M252" s="103"/>
      <c r="N252" s="62"/>
      <c r="O252" s="101"/>
      <c r="P252" s="58"/>
      <c r="Q252" s="58"/>
      <c r="R252" s="62"/>
      <c r="S252" s="103"/>
      <c r="T252" s="62"/>
      <c r="U252" s="62"/>
      <c r="V252" s="62"/>
      <c r="W252" s="62"/>
      <c r="X252" s="62"/>
      <c r="Y252" s="62"/>
      <c r="Z252" s="62"/>
      <c r="AA252" s="62"/>
    </row>
    <row r="253">
      <c r="A253" s="96">
        <v>250.0</v>
      </c>
      <c r="B253" s="98" t="str">
        <f t="shared" si="4"/>
        <v>AE03C2</v>
      </c>
      <c r="C253" s="99" t="str">
        <f t="shared" si="1"/>
        <v>AE03C3</v>
      </c>
      <c r="D253" s="99" t="str">
        <f t="shared" si="5"/>
        <v>AD7CC0</v>
      </c>
      <c r="E253" s="99" t="str">
        <f t="shared" si="2"/>
        <v>AD7CC1</v>
      </c>
      <c r="F253" s="98" t="str">
        <f t="shared" si="6"/>
        <v>AE0520</v>
      </c>
      <c r="G253" s="99" t="str">
        <f t="shared" si="3"/>
        <v>AE0521</v>
      </c>
      <c r="H253" s="101"/>
      <c r="I253" s="107"/>
      <c r="J253" s="103"/>
      <c r="K253" s="58"/>
      <c r="L253" s="102"/>
      <c r="M253" s="103"/>
      <c r="N253" s="62"/>
      <c r="O253" s="101"/>
      <c r="P253" s="58"/>
      <c r="Q253" s="58"/>
      <c r="R253" s="62"/>
      <c r="S253" s="103"/>
      <c r="T253" s="62"/>
      <c r="U253" s="62"/>
      <c r="V253" s="62"/>
      <c r="W253" s="62"/>
      <c r="X253" s="62"/>
      <c r="Y253" s="62"/>
      <c r="Z253" s="62"/>
      <c r="AA253" s="62"/>
    </row>
    <row r="254">
      <c r="A254" s="96">
        <v>251.0</v>
      </c>
      <c r="B254" s="98" t="str">
        <f t="shared" si="4"/>
        <v>AE03C4</v>
      </c>
      <c r="C254" s="99" t="str">
        <f t="shared" si="1"/>
        <v>AE03C5</v>
      </c>
      <c r="D254" s="99" t="str">
        <f t="shared" si="5"/>
        <v>AD7CC2</v>
      </c>
      <c r="E254" s="99" t="str">
        <f t="shared" si="2"/>
        <v>AD7CC3</v>
      </c>
      <c r="F254" s="98" t="str">
        <f t="shared" si="6"/>
        <v>AE0522</v>
      </c>
      <c r="G254" s="99" t="str">
        <f t="shared" si="3"/>
        <v>AE0523</v>
      </c>
      <c r="H254" s="101"/>
      <c r="I254" s="107"/>
      <c r="J254" s="103"/>
      <c r="K254" s="58"/>
      <c r="L254" s="102"/>
      <c r="M254" s="103"/>
      <c r="N254" s="62"/>
      <c r="O254" s="101"/>
      <c r="P254" s="58"/>
      <c r="Q254" s="58"/>
      <c r="R254" s="62"/>
      <c r="S254" s="103"/>
      <c r="T254" s="62"/>
      <c r="U254" s="62"/>
      <c r="V254" s="62"/>
      <c r="W254" s="62"/>
      <c r="X254" s="62"/>
      <c r="Y254" s="62"/>
      <c r="Z254" s="62"/>
      <c r="AA254" s="62"/>
    </row>
    <row r="255">
      <c r="A255" s="96">
        <v>252.0</v>
      </c>
      <c r="B255" s="98" t="str">
        <f t="shared" si="4"/>
        <v>AE03C6</v>
      </c>
      <c r="C255" s="99" t="str">
        <f t="shared" si="1"/>
        <v>AE03C7</v>
      </c>
      <c r="D255" s="99" t="str">
        <f t="shared" si="5"/>
        <v>AD7CC4</v>
      </c>
      <c r="E255" s="99" t="str">
        <f t="shared" si="2"/>
        <v>AD7CC5</v>
      </c>
      <c r="F255" s="98" t="str">
        <f t="shared" si="6"/>
        <v>AE0524</v>
      </c>
      <c r="G255" s="99" t="str">
        <f t="shared" si="3"/>
        <v>AE0525</v>
      </c>
      <c r="H255" s="101"/>
      <c r="I255" s="107"/>
      <c r="J255" s="103"/>
      <c r="K255" s="58"/>
      <c r="L255" s="102"/>
      <c r="M255" s="103"/>
      <c r="N255" s="62"/>
      <c r="O255" s="101"/>
      <c r="P255" s="58"/>
      <c r="Q255" s="58"/>
      <c r="R255" s="62"/>
      <c r="S255" s="103"/>
      <c r="T255" s="62"/>
      <c r="U255" s="62"/>
      <c r="V255" s="62"/>
      <c r="W255" s="62"/>
      <c r="X255" s="62"/>
      <c r="Y255" s="62"/>
      <c r="Z255" s="62"/>
      <c r="AA255" s="62"/>
    </row>
    <row r="256">
      <c r="A256" s="96">
        <v>253.0</v>
      </c>
      <c r="B256" s="98" t="str">
        <f t="shared" si="4"/>
        <v>AE03C8</v>
      </c>
      <c r="C256" s="99" t="str">
        <f t="shared" si="1"/>
        <v>AE03C9</v>
      </c>
      <c r="D256" s="99" t="str">
        <f t="shared" si="5"/>
        <v>AD7CC6</v>
      </c>
      <c r="E256" s="99" t="str">
        <f t="shared" si="2"/>
        <v>AD7CC7</v>
      </c>
      <c r="F256" s="98" t="str">
        <f t="shared" si="6"/>
        <v>AE0526</v>
      </c>
      <c r="G256" s="99" t="str">
        <f t="shared" si="3"/>
        <v>AE0527</v>
      </c>
      <c r="H256" s="101"/>
      <c r="I256" s="107"/>
      <c r="J256" s="103"/>
      <c r="K256" s="58"/>
      <c r="L256" s="102"/>
      <c r="M256" s="103"/>
      <c r="N256" s="62"/>
      <c r="O256" s="101"/>
      <c r="P256" s="58"/>
      <c r="Q256" s="58"/>
      <c r="R256" s="62"/>
      <c r="S256" s="103"/>
      <c r="T256" s="108"/>
      <c r="U256" s="108"/>
      <c r="V256" s="108"/>
      <c r="W256" s="108"/>
      <c r="X256" s="108"/>
      <c r="Y256" s="108"/>
      <c r="Z256" s="108"/>
      <c r="AA256" s="108"/>
    </row>
    <row r="257">
      <c r="A257" s="96">
        <v>254.0</v>
      </c>
      <c r="B257" s="98" t="str">
        <f t="shared" si="4"/>
        <v>AE03CA</v>
      </c>
      <c r="C257" s="99" t="str">
        <f t="shared" si="1"/>
        <v>AE03CB</v>
      </c>
      <c r="D257" s="99" t="str">
        <f t="shared" si="5"/>
        <v>AD7CC8</v>
      </c>
      <c r="E257" s="99" t="str">
        <f t="shared" si="2"/>
        <v>AD7CC9</v>
      </c>
      <c r="F257" s="98" t="str">
        <f t="shared" si="6"/>
        <v>AE0528</v>
      </c>
      <c r="G257" s="99" t="str">
        <f t="shared" si="3"/>
        <v>AE0529</v>
      </c>
      <c r="H257" s="101"/>
      <c r="I257" s="107"/>
      <c r="J257" s="103"/>
      <c r="K257" s="58"/>
      <c r="L257" s="102"/>
      <c r="M257" s="103"/>
      <c r="N257" s="62"/>
      <c r="O257" s="101"/>
      <c r="P257" s="58"/>
      <c r="Q257" s="58"/>
      <c r="R257" s="62"/>
      <c r="S257" s="103"/>
      <c r="T257" s="109"/>
      <c r="U257" s="109"/>
      <c r="V257" s="109"/>
      <c r="W257" s="109"/>
      <c r="X257" s="109"/>
      <c r="Y257" s="109"/>
      <c r="Z257" s="109"/>
      <c r="AA257" s="109"/>
    </row>
    <row r="258">
      <c r="A258" s="96">
        <v>255.0</v>
      </c>
      <c r="B258" s="98" t="s">
        <v>1364</v>
      </c>
      <c r="C258" s="99" t="str">
        <f t="shared" si="1"/>
        <v>AE03CD</v>
      </c>
      <c r="D258" s="110" t="s">
        <v>1365</v>
      </c>
      <c r="E258" s="99" t="str">
        <f t="shared" si="2"/>
        <v>AD7CCB</v>
      </c>
      <c r="F258" s="97" t="s">
        <v>1366</v>
      </c>
      <c r="G258" s="99" t="str">
        <f t="shared" si="3"/>
        <v>AE052B</v>
      </c>
      <c r="H258" s="101"/>
      <c r="I258" s="107"/>
      <c r="J258" s="103"/>
      <c r="K258" s="58"/>
      <c r="L258" s="102"/>
      <c r="M258" s="103"/>
      <c r="N258" s="62"/>
      <c r="O258" s="101"/>
      <c r="P258" s="58"/>
      <c r="Q258" s="58"/>
      <c r="R258" s="62"/>
      <c r="S258" s="103"/>
      <c r="T258" s="108"/>
      <c r="U258" s="108"/>
      <c r="V258" s="108"/>
      <c r="W258" s="108"/>
      <c r="X258" s="108"/>
      <c r="Y258" s="108"/>
      <c r="Z258" s="108"/>
      <c r="AA258" s="108"/>
    </row>
    <row r="259">
      <c r="A259" s="96"/>
      <c r="B259" s="98"/>
      <c r="C259" s="99"/>
      <c r="D259" s="99"/>
      <c r="E259" s="111"/>
      <c r="F259" s="97"/>
      <c r="G259" s="97"/>
      <c r="H259" s="101"/>
      <c r="I259" s="62"/>
      <c r="J259" s="103"/>
      <c r="K259" s="58"/>
      <c r="L259" s="102"/>
      <c r="M259" s="103"/>
      <c r="N259" s="62"/>
      <c r="O259" s="101"/>
      <c r="P259" s="58"/>
      <c r="Q259" s="58"/>
      <c r="R259" s="62"/>
      <c r="S259" s="103"/>
      <c r="T259" s="62"/>
      <c r="U259" s="62"/>
      <c r="V259" s="62"/>
      <c r="W259" s="62"/>
      <c r="X259" s="62"/>
      <c r="Y259" s="62"/>
      <c r="Z259" s="62"/>
      <c r="AA259" s="62"/>
    </row>
    <row r="260">
      <c r="A260" s="96"/>
      <c r="B260" s="98"/>
      <c r="C260" s="99"/>
      <c r="D260" s="99"/>
      <c r="E260" s="111"/>
      <c r="F260" s="97"/>
      <c r="G260" s="97"/>
      <c r="H260" s="101"/>
      <c r="I260" s="62"/>
      <c r="J260" s="103"/>
      <c r="K260" s="58"/>
      <c r="L260" s="102"/>
      <c r="M260" s="103"/>
      <c r="N260" s="62"/>
      <c r="O260" s="101"/>
      <c r="P260" s="58"/>
      <c r="Q260" s="58"/>
      <c r="R260" s="62"/>
      <c r="S260" s="103"/>
      <c r="T260" s="62"/>
      <c r="U260" s="62"/>
      <c r="V260" s="62"/>
      <c r="W260" s="62"/>
      <c r="X260" s="62"/>
      <c r="Y260" s="62"/>
      <c r="Z260" s="62"/>
      <c r="AA260" s="62"/>
    </row>
    <row r="261">
      <c r="A261" s="96"/>
      <c r="B261" s="98"/>
      <c r="C261" s="99"/>
      <c r="D261" s="99"/>
      <c r="E261" s="111"/>
      <c r="F261" s="97"/>
      <c r="G261" s="97"/>
      <c r="H261" s="101"/>
      <c r="I261" s="62"/>
      <c r="J261" s="103"/>
      <c r="K261" s="58"/>
      <c r="L261" s="102"/>
      <c r="M261" s="103"/>
      <c r="N261" s="62"/>
      <c r="O261" s="101"/>
      <c r="P261" s="58"/>
      <c r="Q261" s="58"/>
      <c r="R261" s="62"/>
      <c r="S261" s="103"/>
      <c r="T261" s="62"/>
      <c r="U261" s="62"/>
      <c r="V261" s="62"/>
      <c r="W261" s="62"/>
      <c r="X261" s="62"/>
      <c r="Y261" s="62"/>
      <c r="Z261" s="62"/>
      <c r="AA261" s="62"/>
    </row>
    <row r="262">
      <c r="A262" s="96"/>
      <c r="B262" s="98"/>
      <c r="C262" s="99"/>
      <c r="D262" s="99"/>
      <c r="E262" s="111"/>
      <c r="F262" s="97"/>
      <c r="G262" s="97"/>
      <c r="H262" s="101"/>
      <c r="I262" s="62"/>
      <c r="J262" s="103"/>
      <c r="K262" s="58"/>
      <c r="L262" s="102"/>
      <c r="M262" s="103"/>
      <c r="N262" s="62"/>
      <c r="O262" s="101"/>
      <c r="P262" s="58"/>
      <c r="Q262" s="62"/>
      <c r="R262" s="62"/>
      <c r="S262" s="103"/>
      <c r="T262" s="62"/>
      <c r="U262" s="62"/>
      <c r="V262" s="62"/>
      <c r="W262" s="62"/>
      <c r="X262" s="62"/>
      <c r="Y262" s="62"/>
      <c r="Z262" s="62"/>
      <c r="AA262" s="62"/>
    </row>
    <row r="263">
      <c r="A263" s="96"/>
      <c r="B263" s="98"/>
      <c r="C263" s="99"/>
      <c r="D263" s="99"/>
      <c r="E263" s="111"/>
      <c r="F263" s="97"/>
      <c r="G263" s="97"/>
      <c r="H263" s="101"/>
      <c r="I263" s="62"/>
      <c r="J263" s="103"/>
      <c r="K263" s="58"/>
      <c r="L263" s="102"/>
      <c r="M263" s="103"/>
      <c r="N263" s="62"/>
      <c r="O263" s="101"/>
      <c r="P263" s="58"/>
      <c r="Q263" s="62"/>
      <c r="R263" s="62"/>
      <c r="S263" s="103"/>
      <c r="T263" s="62"/>
      <c r="U263" s="62"/>
      <c r="V263" s="62"/>
      <c r="W263" s="62"/>
      <c r="X263" s="62"/>
      <c r="Y263" s="62"/>
      <c r="Z263" s="62"/>
      <c r="AA263" s="62"/>
    </row>
    <row r="264">
      <c r="A264" s="96"/>
      <c r="B264" s="98"/>
      <c r="C264" s="99"/>
      <c r="D264" s="99"/>
      <c r="E264" s="111"/>
      <c r="F264" s="97"/>
      <c r="G264" s="97"/>
      <c r="H264" s="101"/>
      <c r="I264" s="62"/>
      <c r="J264" s="103"/>
      <c r="K264" s="58"/>
      <c r="L264" s="102"/>
      <c r="M264" s="103"/>
      <c r="N264" s="62"/>
      <c r="O264" s="101"/>
      <c r="P264" s="58"/>
      <c r="Q264" s="62"/>
      <c r="R264" s="62"/>
      <c r="S264" s="103"/>
      <c r="T264" s="62"/>
      <c r="U264" s="62"/>
      <c r="V264" s="62"/>
      <c r="W264" s="62"/>
      <c r="X264" s="62"/>
      <c r="Y264" s="62"/>
      <c r="Z264" s="62"/>
      <c r="AA264" s="62"/>
    </row>
    <row r="265">
      <c r="A265" s="96"/>
      <c r="B265" s="98"/>
      <c r="C265" s="99"/>
      <c r="D265" s="99"/>
      <c r="E265" s="111"/>
      <c r="F265" s="97"/>
      <c r="G265" s="97"/>
      <c r="H265" s="101"/>
      <c r="I265" s="62"/>
      <c r="J265" s="103"/>
      <c r="K265" s="58"/>
      <c r="L265" s="102"/>
      <c r="M265" s="103"/>
      <c r="N265" s="62"/>
      <c r="O265" s="101"/>
      <c r="P265" s="58"/>
      <c r="Q265" s="62"/>
      <c r="R265" s="62"/>
      <c r="S265" s="103"/>
      <c r="T265" s="62"/>
      <c r="U265" s="62"/>
      <c r="V265" s="62"/>
      <c r="W265" s="62"/>
      <c r="X265" s="62"/>
      <c r="Y265" s="62"/>
      <c r="Z265" s="62"/>
      <c r="AA265" s="62"/>
    </row>
    <row r="266">
      <c r="A266" s="96"/>
      <c r="B266" s="98"/>
      <c r="C266" s="99"/>
      <c r="D266" s="99"/>
      <c r="E266" s="111"/>
      <c r="F266" s="97"/>
      <c r="G266" s="97"/>
      <c r="H266" s="101"/>
      <c r="I266" s="62"/>
      <c r="J266" s="103"/>
      <c r="K266" s="58"/>
      <c r="L266" s="102"/>
      <c r="M266" s="103"/>
      <c r="N266" s="62"/>
      <c r="O266" s="101"/>
      <c r="P266" s="58"/>
      <c r="Q266" s="62"/>
      <c r="R266" s="62"/>
      <c r="S266" s="103"/>
      <c r="T266" s="62"/>
      <c r="U266" s="62"/>
      <c r="V266" s="62"/>
      <c r="W266" s="62"/>
      <c r="X266" s="62"/>
      <c r="Y266" s="62"/>
      <c r="Z266" s="62"/>
      <c r="AA266" s="62"/>
    </row>
    <row r="267">
      <c r="A267" s="96"/>
      <c r="B267" s="98"/>
      <c r="C267" s="99"/>
      <c r="D267" s="99"/>
      <c r="E267" s="111"/>
      <c r="F267" s="97"/>
      <c r="G267" s="97"/>
      <c r="H267" s="101"/>
      <c r="I267" s="62"/>
      <c r="J267" s="103"/>
      <c r="K267" s="58"/>
      <c r="L267" s="102"/>
      <c r="M267" s="103"/>
      <c r="N267" s="62"/>
      <c r="O267" s="101"/>
      <c r="P267" s="58"/>
      <c r="Q267" s="62"/>
      <c r="R267" s="62"/>
      <c r="S267" s="103"/>
      <c r="T267" s="62"/>
      <c r="U267" s="62"/>
      <c r="V267" s="62"/>
      <c r="W267" s="62"/>
      <c r="X267" s="62"/>
      <c r="Y267" s="62"/>
      <c r="Z267" s="62"/>
      <c r="AA267" s="62"/>
    </row>
    <row r="268">
      <c r="A268" s="96"/>
      <c r="B268" s="98"/>
      <c r="C268" s="99"/>
      <c r="D268" s="99"/>
      <c r="E268" s="111"/>
      <c r="F268" s="97"/>
      <c r="G268" s="97"/>
      <c r="H268" s="101"/>
      <c r="I268" s="62"/>
      <c r="J268" s="103"/>
      <c r="K268" s="58"/>
      <c r="L268" s="102"/>
      <c r="M268" s="103"/>
      <c r="N268" s="62"/>
      <c r="O268" s="101"/>
      <c r="P268" s="58"/>
      <c r="Q268" s="62"/>
      <c r="R268" s="62"/>
      <c r="S268" s="103"/>
      <c r="T268" s="62"/>
      <c r="U268" s="62"/>
      <c r="V268" s="62"/>
      <c r="W268" s="62"/>
      <c r="X268" s="62"/>
      <c r="Y268" s="62"/>
      <c r="Z268" s="62"/>
      <c r="AA268" s="62"/>
    </row>
    <row r="269">
      <c r="A269" s="96"/>
      <c r="B269" s="98"/>
      <c r="C269" s="99"/>
      <c r="D269" s="99"/>
      <c r="E269" s="111"/>
      <c r="F269" s="97"/>
      <c r="G269" s="97"/>
      <c r="H269" s="101"/>
      <c r="I269" s="58"/>
      <c r="J269" s="103"/>
      <c r="K269" s="58"/>
      <c r="L269" s="102"/>
      <c r="M269" s="103"/>
      <c r="N269" s="62"/>
      <c r="O269" s="101"/>
      <c r="P269" s="58"/>
      <c r="Q269" s="58"/>
      <c r="R269" s="58"/>
      <c r="S269" s="103"/>
      <c r="T269" s="62"/>
      <c r="U269" s="62"/>
      <c r="V269" s="62"/>
      <c r="W269" s="62"/>
      <c r="X269" s="62"/>
      <c r="Y269" s="62"/>
      <c r="Z269" s="62"/>
      <c r="AA269" s="62"/>
    </row>
    <row r="270">
      <c r="A270" s="96"/>
      <c r="B270" s="98"/>
      <c r="C270" s="99"/>
      <c r="D270" s="99"/>
      <c r="E270" s="111"/>
      <c r="F270" s="97"/>
      <c r="G270" s="97"/>
      <c r="H270" s="101"/>
      <c r="I270" s="62"/>
      <c r="J270" s="103"/>
      <c r="K270" s="58"/>
      <c r="L270" s="102"/>
      <c r="M270" s="103"/>
      <c r="N270" s="62"/>
      <c r="O270" s="101"/>
      <c r="P270" s="58"/>
      <c r="Q270" s="58"/>
      <c r="R270" s="62"/>
      <c r="S270" s="103"/>
      <c r="T270" s="62"/>
      <c r="U270" s="62"/>
      <c r="V270" s="62"/>
      <c r="W270" s="62"/>
      <c r="X270" s="62"/>
      <c r="Y270" s="62"/>
      <c r="Z270" s="62"/>
      <c r="AA270" s="62"/>
    </row>
    <row r="271">
      <c r="A271" s="96"/>
      <c r="B271" s="98"/>
      <c r="C271" s="99"/>
      <c r="D271" s="99"/>
      <c r="E271" s="111"/>
      <c r="F271" s="97"/>
      <c r="G271" s="97"/>
      <c r="H271" s="101"/>
      <c r="I271" s="62"/>
      <c r="J271" s="103"/>
      <c r="K271" s="58"/>
      <c r="L271" s="102"/>
      <c r="M271" s="103"/>
      <c r="N271" s="62"/>
      <c r="O271" s="101"/>
      <c r="P271" s="58"/>
      <c r="Q271" s="58"/>
      <c r="R271" s="62"/>
      <c r="S271" s="103"/>
      <c r="T271" s="62"/>
      <c r="U271" s="62"/>
      <c r="V271" s="62"/>
      <c r="W271" s="62"/>
      <c r="X271" s="62"/>
      <c r="Y271" s="62"/>
      <c r="Z271" s="62"/>
      <c r="AA271" s="62"/>
    </row>
    <row r="272">
      <c r="A272" s="96"/>
      <c r="B272" s="98"/>
      <c r="C272" s="99"/>
      <c r="D272" s="99"/>
      <c r="E272" s="111"/>
      <c r="F272" s="97"/>
      <c r="G272" s="97"/>
      <c r="H272" s="101"/>
      <c r="I272" s="62"/>
      <c r="J272" s="103"/>
      <c r="K272" s="58"/>
      <c r="L272" s="102"/>
      <c r="M272" s="103"/>
      <c r="N272" s="62"/>
      <c r="O272" s="101"/>
      <c r="P272" s="58"/>
      <c r="Q272" s="58"/>
      <c r="R272" s="62"/>
      <c r="S272" s="103"/>
      <c r="T272" s="62"/>
      <c r="U272" s="62"/>
      <c r="V272" s="62"/>
      <c r="W272" s="62"/>
      <c r="X272" s="62"/>
      <c r="Y272" s="62"/>
      <c r="Z272" s="62"/>
      <c r="AA272" s="62"/>
    </row>
    <row r="273">
      <c r="A273" s="96"/>
      <c r="B273" s="98"/>
      <c r="C273" s="99"/>
      <c r="D273" s="99"/>
      <c r="E273" s="111"/>
      <c r="F273" s="97"/>
      <c r="G273" s="97"/>
      <c r="H273" s="101"/>
      <c r="I273" s="58"/>
      <c r="J273" s="103"/>
      <c r="K273" s="58"/>
      <c r="L273" s="102"/>
      <c r="M273" s="103"/>
      <c r="N273" s="62"/>
      <c r="O273" s="101"/>
      <c r="P273" s="58"/>
      <c r="Q273" s="58"/>
      <c r="R273" s="58"/>
      <c r="S273" s="103"/>
      <c r="T273" s="62"/>
      <c r="U273" s="62"/>
      <c r="V273" s="62"/>
      <c r="W273" s="62"/>
      <c r="X273" s="62"/>
      <c r="Y273" s="62"/>
      <c r="Z273" s="62"/>
      <c r="AA273" s="62"/>
    </row>
    <row r="274">
      <c r="A274" s="96"/>
      <c r="B274" s="98"/>
      <c r="C274" s="99"/>
      <c r="D274" s="99"/>
      <c r="E274" s="111"/>
      <c r="F274" s="97"/>
      <c r="G274" s="97"/>
      <c r="H274" s="101"/>
      <c r="I274" s="62"/>
      <c r="J274" s="103"/>
      <c r="K274" s="58"/>
      <c r="L274" s="102"/>
      <c r="M274" s="103"/>
      <c r="N274" s="62"/>
      <c r="O274" s="101"/>
      <c r="P274" s="58"/>
      <c r="Q274" s="112"/>
      <c r="R274" s="62"/>
      <c r="S274" s="103"/>
      <c r="T274" s="62"/>
      <c r="U274" s="62"/>
      <c r="V274" s="62"/>
      <c r="W274" s="62"/>
      <c r="X274" s="62"/>
      <c r="Y274" s="62"/>
      <c r="Z274" s="62"/>
      <c r="AA274" s="62"/>
    </row>
    <row r="275">
      <c r="A275" s="96"/>
      <c r="B275" s="98"/>
      <c r="C275" s="99"/>
      <c r="D275" s="99"/>
      <c r="E275" s="111"/>
      <c r="F275" s="97"/>
      <c r="G275" s="97"/>
      <c r="H275" s="101"/>
      <c r="I275" s="62"/>
      <c r="J275" s="103"/>
      <c r="K275" s="58"/>
      <c r="L275" s="102"/>
      <c r="M275" s="103"/>
      <c r="N275" s="62"/>
      <c r="O275" s="101"/>
      <c r="P275" s="58"/>
      <c r="Q275" s="112"/>
      <c r="R275" s="62"/>
      <c r="S275" s="103"/>
      <c r="T275" s="62"/>
      <c r="U275" s="62"/>
      <c r="V275" s="62"/>
      <c r="W275" s="62"/>
      <c r="X275" s="62"/>
      <c r="Y275" s="62"/>
      <c r="Z275" s="62"/>
      <c r="AA275" s="62"/>
    </row>
    <row r="276">
      <c r="A276" s="96"/>
      <c r="B276" s="98"/>
      <c r="C276" s="99"/>
      <c r="D276" s="99"/>
      <c r="E276" s="111"/>
      <c r="F276" s="97"/>
      <c r="G276" s="97"/>
      <c r="H276" s="101"/>
      <c r="I276" s="62"/>
      <c r="J276" s="103"/>
      <c r="K276" s="58"/>
      <c r="L276" s="102"/>
      <c r="M276" s="103"/>
      <c r="N276" s="62"/>
      <c r="O276" s="101"/>
      <c r="P276" s="58"/>
      <c r="Q276" s="112"/>
      <c r="R276" s="62"/>
      <c r="S276" s="103"/>
      <c r="T276" s="62"/>
      <c r="U276" s="62"/>
      <c r="V276" s="62"/>
      <c r="W276" s="62"/>
      <c r="X276" s="62"/>
      <c r="Y276" s="62"/>
      <c r="Z276" s="62"/>
      <c r="AA276" s="62"/>
    </row>
    <row r="277">
      <c r="A277" s="96"/>
      <c r="B277" s="98"/>
      <c r="C277" s="99"/>
      <c r="D277" s="99"/>
      <c r="E277" s="111"/>
      <c r="F277" s="97"/>
      <c r="G277" s="97"/>
      <c r="H277" s="101"/>
      <c r="I277" s="62"/>
      <c r="J277" s="103"/>
      <c r="K277" s="58"/>
      <c r="L277" s="102"/>
      <c r="M277" s="103"/>
      <c r="N277" s="62"/>
      <c r="O277" s="101"/>
      <c r="P277" s="58"/>
      <c r="Q277" s="112"/>
      <c r="R277" s="62"/>
      <c r="S277" s="103"/>
      <c r="T277" s="62"/>
      <c r="U277" s="62"/>
      <c r="V277" s="62"/>
      <c r="W277" s="62"/>
      <c r="X277" s="62"/>
      <c r="Y277" s="62"/>
      <c r="Z277" s="62"/>
      <c r="AA277" s="62"/>
    </row>
    <row r="278">
      <c r="A278" s="96"/>
      <c r="B278" s="98"/>
      <c r="C278" s="99"/>
      <c r="D278" s="99"/>
      <c r="E278" s="111"/>
      <c r="F278" s="97"/>
      <c r="G278" s="97"/>
      <c r="H278" s="101"/>
      <c r="I278" s="62"/>
      <c r="J278" s="103"/>
      <c r="K278" s="58"/>
      <c r="L278" s="102"/>
      <c r="M278" s="103"/>
      <c r="N278" s="62"/>
      <c r="O278" s="101"/>
      <c r="P278" s="58"/>
      <c r="Q278" s="112"/>
      <c r="R278" s="62"/>
      <c r="S278" s="103"/>
      <c r="T278" s="62"/>
      <c r="U278" s="62"/>
      <c r="V278" s="62"/>
      <c r="W278" s="62"/>
      <c r="X278" s="62"/>
      <c r="Y278" s="62"/>
      <c r="Z278" s="62"/>
      <c r="AA278" s="62"/>
    </row>
    <row r="279">
      <c r="A279" s="96"/>
      <c r="B279" s="98"/>
      <c r="C279" s="99"/>
      <c r="D279" s="99"/>
      <c r="E279" s="111"/>
      <c r="F279" s="97"/>
      <c r="G279" s="97"/>
      <c r="H279" s="101"/>
      <c r="I279" s="62"/>
      <c r="J279" s="103"/>
      <c r="K279" s="58"/>
      <c r="L279" s="102"/>
      <c r="M279" s="103"/>
      <c r="N279" s="62"/>
      <c r="O279" s="101"/>
      <c r="P279" s="58"/>
      <c r="Q279" s="112"/>
      <c r="R279" s="62"/>
      <c r="S279" s="103"/>
      <c r="T279" s="62"/>
      <c r="U279" s="62"/>
      <c r="V279" s="62"/>
      <c r="W279" s="62"/>
      <c r="X279" s="62"/>
      <c r="Y279" s="62"/>
      <c r="Z279" s="62"/>
      <c r="AA279" s="62"/>
    </row>
    <row r="280">
      <c r="A280" s="96"/>
      <c r="B280" s="98"/>
      <c r="C280" s="99"/>
      <c r="D280" s="99"/>
      <c r="E280" s="111"/>
      <c r="F280" s="97"/>
      <c r="G280" s="97"/>
      <c r="H280" s="101"/>
      <c r="I280" s="62"/>
      <c r="J280" s="103"/>
      <c r="K280" s="58"/>
      <c r="L280" s="102"/>
      <c r="M280" s="103"/>
      <c r="N280" s="62"/>
      <c r="O280" s="101"/>
      <c r="P280" s="58"/>
      <c r="Q280" s="112"/>
      <c r="R280" s="62"/>
      <c r="S280" s="103"/>
      <c r="T280" s="62"/>
      <c r="U280" s="62"/>
      <c r="V280" s="62"/>
      <c r="W280" s="62"/>
      <c r="X280" s="62"/>
      <c r="Y280" s="62"/>
      <c r="Z280" s="62"/>
      <c r="AA280" s="62"/>
    </row>
    <row r="281">
      <c r="A281" s="96"/>
      <c r="B281" s="98"/>
      <c r="C281" s="99"/>
      <c r="D281" s="99"/>
      <c r="E281" s="111"/>
      <c r="F281" s="97"/>
      <c r="G281" s="97"/>
      <c r="H281" s="101"/>
      <c r="I281" s="62"/>
      <c r="J281" s="62"/>
      <c r="K281" s="58"/>
      <c r="L281" s="102"/>
      <c r="M281" s="103"/>
      <c r="N281" s="62"/>
      <c r="O281" s="101"/>
      <c r="P281" s="58"/>
      <c r="Q281" s="11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</row>
    <row r="282">
      <c r="A282" s="96"/>
      <c r="B282" s="98"/>
      <c r="C282" s="99"/>
      <c r="D282" s="99"/>
      <c r="E282" s="111"/>
      <c r="F282" s="97"/>
      <c r="G282" s="97"/>
      <c r="H282" s="101"/>
      <c r="I282" s="62"/>
      <c r="J282" s="62"/>
      <c r="K282" s="58"/>
      <c r="L282" s="102"/>
      <c r="M282" s="103"/>
      <c r="N282" s="62"/>
      <c r="O282" s="101"/>
      <c r="P282" s="58"/>
      <c r="Q282" s="11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</row>
    <row r="283">
      <c r="A283" s="96"/>
      <c r="B283" s="98"/>
      <c r="C283" s="99"/>
      <c r="D283" s="99"/>
      <c r="E283" s="111"/>
      <c r="F283" s="97"/>
      <c r="G283" s="97"/>
      <c r="H283" s="101"/>
      <c r="I283" s="62"/>
      <c r="J283" s="62"/>
      <c r="K283" s="58"/>
      <c r="L283" s="102"/>
      <c r="M283" s="103"/>
      <c r="N283" s="62"/>
      <c r="O283" s="101"/>
      <c r="P283" s="58"/>
      <c r="Q283" s="11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</row>
    <row r="284">
      <c r="A284" s="96"/>
      <c r="B284" s="98"/>
      <c r="C284" s="99"/>
      <c r="D284" s="99"/>
      <c r="E284" s="111"/>
      <c r="F284" s="97"/>
      <c r="G284" s="97"/>
      <c r="H284" s="101"/>
      <c r="I284" s="62"/>
      <c r="J284" s="62"/>
      <c r="K284" s="58"/>
      <c r="L284" s="102"/>
      <c r="M284" s="103"/>
      <c r="N284" s="62"/>
      <c r="O284" s="101"/>
      <c r="P284" s="58"/>
      <c r="Q284" s="11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</row>
    <row r="285">
      <c r="A285" s="96"/>
      <c r="B285" s="98"/>
      <c r="C285" s="99"/>
      <c r="D285" s="99"/>
      <c r="E285" s="111"/>
      <c r="F285" s="97"/>
      <c r="G285" s="97"/>
      <c r="H285" s="101"/>
      <c r="I285" s="62"/>
      <c r="J285" s="62"/>
      <c r="K285" s="58"/>
      <c r="L285" s="102"/>
      <c r="M285" s="103"/>
      <c r="N285" s="62"/>
      <c r="O285" s="101"/>
      <c r="P285" s="58"/>
      <c r="Q285" s="11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</row>
    <row r="286">
      <c r="A286" s="96"/>
      <c r="B286" s="98"/>
      <c r="C286" s="99"/>
      <c r="D286" s="99"/>
      <c r="E286" s="111"/>
      <c r="F286" s="97"/>
      <c r="G286" s="97"/>
      <c r="H286" s="101"/>
      <c r="I286" s="62"/>
      <c r="J286" s="62"/>
      <c r="K286" s="58"/>
      <c r="L286" s="102"/>
      <c r="M286" s="103"/>
      <c r="N286" s="62"/>
      <c r="O286" s="101"/>
      <c r="P286" s="58"/>
      <c r="Q286" s="112"/>
      <c r="R286" s="62"/>
      <c r="S286" s="62"/>
      <c r="T286" s="62"/>
      <c r="U286" s="62"/>
      <c r="V286" s="62"/>
      <c r="W286" s="62"/>
      <c r="X286" s="62"/>
      <c r="Y286" s="62"/>
      <c r="Z286" s="62"/>
      <c r="AA286" s="62"/>
    </row>
    <row r="287">
      <c r="A287" s="96"/>
      <c r="B287" s="98"/>
      <c r="C287" s="99"/>
      <c r="D287" s="99"/>
      <c r="E287" s="111"/>
      <c r="F287" s="97"/>
      <c r="G287" s="97"/>
      <c r="H287" s="101"/>
      <c r="I287" s="62"/>
      <c r="J287" s="62"/>
      <c r="K287" s="58"/>
      <c r="L287" s="102"/>
      <c r="M287" s="103"/>
      <c r="N287" s="62"/>
      <c r="O287" s="101"/>
      <c r="P287" s="58"/>
      <c r="Q287" s="112"/>
      <c r="R287" s="62"/>
      <c r="S287" s="62"/>
      <c r="T287" s="62"/>
      <c r="U287" s="62"/>
      <c r="V287" s="62"/>
      <c r="W287" s="62"/>
      <c r="X287" s="62"/>
      <c r="Y287" s="62"/>
      <c r="Z287" s="62"/>
      <c r="AA287" s="62"/>
    </row>
    <row r="288">
      <c r="A288" s="96"/>
      <c r="B288" s="98"/>
      <c r="C288" s="99"/>
      <c r="D288" s="99"/>
      <c r="E288" s="111"/>
      <c r="F288" s="97"/>
      <c r="G288" s="97"/>
      <c r="H288" s="101"/>
      <c r="I288" s="62"/>
      <c r="J288" s="62"/>
      <c r="K288" s="58"/>
      <c r="L288" s="102"/>
      <c r="M288" s="103"/>
      <c r="N288" s="62"/>
      <c r="O288" s="101"/>
      <c r="P288" s="58"/>
      <c r="Q288" s="112"/>
      <c r="R288" s="62"/>
      <c r="S288" s="62"/>
      <c r="T288" s="62"/>
      <c r="U288" s="62"/>
      <c r="V288" s="62"/>
      <c r="W288" s="62"/>
      <c r="X288" s="62"/>
      <c r="Y288" s="62"/>
      <c r="Z288" s="62"/>
      <c r="AA288" s="62"/>
    </row>
    <row r="289">
      <c r="A289" s="96"/>
      <c r="B289" s="98"/>
      <c r="C289" s="99"/>
      <c r="D289" s="99"/>
      <c r="E289" s="111"/>
      <c r="F289" s="97"/>
      <c r="G289" s="97"/>
      <c r="H289" s="101"/>
      <c r="I289" s="62"/>
      <c r="J289" s="62"/>
      <c r="K289" s="58"/>
      <c r="L289" s="102"/>
      <c r="M289" s="103"/>
      <c r="N289" s="62"/>
      <c r="O289" s="101"/>
      <c r="P289" s="58"/>
      <c r="Q289" s="112"/>
      <c r="R289" s="62"/>
      <c r="S289" s="62"/>
      <c r="T289" s="62"/>
      <c r="U289" s="62"/>
      <c r="V289" s="62"/>
      <c r="W289" s="62"/>
      <c r="X289" s="62"/>
      <c r="Y289" s="62"/>
      <c r="Z289" s="62"/>
      <c r="AA289" s="62"/>
    </row>
    <row r="290">
      <c r="A290" s="96"/>
      <c r="B290" s="98"/>
      <c r="C290" s="99"/>
      <c r="D290" s="99"/>
      <c r="E290" s="111"/>
      <c r="F290" s="97"/>
      <c r="G290" s="97"/>
      <c r="H290" s="101"/>
      <c r="I290" s="62"/>
      <c r="J290" s="62"/>
      <c r="K290" s="58"/>
      <c r="L290" s="102"/>
      <c r="M290" s="103"/>
      <c r="N290" s="62"/>
      <c r="O290" s="101"/>
      <c r="P290" s="58"/>
      <c r="Q290" s="112"/>
      <c r="R290" s="62"/>
      <c r="S290" s="62"/>
      <c r="T290" s="62"/>
      <c r="U290" s="62"/>
      <c r="V290" s="62"/>
      <c r="W290" s="62"/>
      <c r="X290" s="62"/>
      <c r="Y290" s="62"/>
      <c r="Z290" s="62"/>
      <c r="AA290" s="62"/>
    </row>
    <row r="291">
      <c r="A291" s="96"/>
      <c r="B291" s="98"/>
      <c r="C291" s="99"/>
      <c r="D291" s="99"/>
      <c r="E291" s="111"/>
      <c r="F291" s="97"/>
      <c r="G291" s="97"/>
      <c r="H291" s="101"/>
      <c r="I291" s="62"/>
      <c r="J291" s="62"/>
      <c r="K291" s="58"/>
      <c r="L291" s="102"/>
      <c r="M291" s="103"/>
      <c r="N291" s="62"/>
      <c r="O291" s="101"/>
      <c r="P291" s="58"/>
      <c r="Q291" s="112"/>
      <c r="R291" s="62"/>
      <c r="S291" s="62"/>
      <c r="T291" s="62"/>
      <c r="U291" s="62"/>
      <c r="V291" s="62"/>
      <c r="W291" s="62"/>
      <c r="X291" s="62"/>
      <c r="Y291" s="62"/>
      <c r="Z291" s="62"/>
      <c r="AA291" s="62"/>
    </row>
    <row r="292">
      <c r="A292" s="96"/>
      <c r="B292" s="98"/>
      <c r="C292" s="99"/>
      <c r="D292" s="99"/>
      <c r="E292" s="111"/>
      <c r="F292" s="97"/>
      <c r="G292" s="97"/>
      <c r="H292" s="101"/>
      <c r="I292" s="62"/>
      <c r="J292" s="62"/>
      <c r="K292" s="58"/>
      <c r="L292" s="102"/>
      <c r="M292" s="103"/>
      <c r="N292" s="62"/>
      <c r="O292" s="101"/>
      <c r="P292" s="58"/>
      <c r="Q292" s="112"/>
      <c r="R292" s="62"/>
      <c r="S292" s="62"/>
      <c r="T292" s="62"/>
      <c r="U292" s="62"/>
      <c r="V292" s="62"/>
      <c r="W292" s="62"/>
      <c r="X292" s="62"/>
      <c r="Y292" s="62"/>
      <c r="Z292" s="62"/>
      <c r="AA292" s="62"/>
    </row>
    <row r="293">
      <c r="A293" s="96"/>
      <c r="B293" s="98"/>
      <c r="C293" s="99"/>
      <c r="D293" s="99"/>
      <c r="E293" s="111"/>
      <c r="F293" s="97"/>
      <c r="G293" s="97"/>
      <c r="H293" s="101"/>
      <c r="I293" s="62"/>
      <c r="J293" s="62"/>
      <c r="K293" s="58"/>
      <c r="L293" s="102"/>
      <c r="M293" s="103"/>
      <c r="N293" s="62"/>
      <c r="O293" s="101"/>
      <c r="P293" s="58"/>
      <c r="Q293" s="112"/>
      <c r="R293" s="62"/>
      <c r="S293" s="62"/>
      <c r="T293" s="62"/>
      <c r="U293" s="62"/>
      <c r="V293" s="62"/>
      <c r="W293" s="62"/>
      <c r="X293" s="62"/>
      <c r="Y293" s="62"/>
      <c r="Z293" s="62"/>
      <c r="AA293" s="62"/>
    </row>
    <row r="294">
      <c r="A294" s="96"/>
      <c r="B294" s="98"/>
      <c r="C294" s="99"/>
      <c r="D294" s="99"/>
      <c r="E294" s="111"/>
      <c r="F294" s="97"/>
      <c r="G294" s="97"/>
      <c r="H294" s="101"/>
      <c r="I294" s="62"/>
      <c r="J294" s="62"/>
      <c r="K294" s="58"/>
      <c r="L294" s="102"/>
      <c r="M294" s="103"/>
      <c r="N294" s="62"/>
      <c r="O294" s="101"/>
      <c r="P294" s="58"/>
      <c r="Q294" s="112"/>
      <c r="R294" s="62"/>
      <c r="S294" s="62"/>
      <c r="T294" s="62"/>
      <c r="U294" s="62"/>
      <c r="V294" s="62"/>
      <c r="W294" s="62"/>
      <c r="X294" s="62"/>
      <c r="Y294" s="62"/>
      <c r="Z294" s="62"/>
      <c r="AA294" s="62"/>
    </row>
    <row r="295">
      <c r="A295" s="96"/>
      <c r="B295" s="98"/>
      <c r="C295" s="99"/>
      <c r="D295" s="99"/>
      <c r="E295" s="111"/>
      <c r="F295" s="97"/>
      <c r="G295" s="97"/>
      <c r="H295" s="101"/>
      <c r="I295" s="62"/>
      <c r="J295" s="62"/>
      <c r="K295" s="58"/>
      <c r="L295" s="102"/>
      <c r="M295" s="103"/>
      <c r="N295" s="62"/>
      <c r="O295" s="101"/>
      <c r="P295" s="58"/>
      <c r="Q295" s="112"/>
      <c r="R295" s="62"/>
      <c r="S295" s="62"/>
      <c r="T295" s="62"/>
      <c r="U295" s="62"/>
      <c r="V295" s="62"/>
      <c r="W295" s="62"/>
      <c r="X295" s="62"/>
      <c r="Y295" s="62"/>
      <c r="Z295" s="62"/>
      <c r="AA295" s="62"/>
    </row>
    <row r="296">
      <c r="A296" s="96"/>
      <c r="B296" s="98"/>
      <c r="C296" s="99"/>
      <c r="D296" s="99"/>
      <c r="E296" s="111"/>
      <c r="F296" s="97"/>
      <c r="G296" s="97"/>
      <c r="H296" s="101"/>
      <c r="I296" s="62"/>
      <c r="J296" s="62"/>
      <c r="K296" s="58"/>
      <c r="L296" s="102"/>
      <c r="M296" s="103"/>
      <c r="N296" s="62"/>
      <c r="O296" s="101"/>
      <c r="P296" s="58"/>
      <c r="Q296" s="112"/>
      <c r="R296" s="62"/>
      <c r="S296" s="62"/>
      <c r="T296" s="62"/>
      <c r="U296" s="62"/>
      <c r="V296" s="62"/>
      <c r="W296" s="62"/>
      <c r="X296" s="62"/>
      <c r="Y296" s="62"/>
      <c r="Z296" s="62"/>
      <c r="AA296" s="62"/>
    </row>
    <row r="297">
      <c r="A297" s="96"/>
      <c r="B297" s="98"/>
      <c r="C297" s="99"/>
      <c r="D297" s="99"/>
      <c r="E297" s="111"/>
      <c r="F297" s="97"/>
      <c r="G297" s="97"/>
      <c r="H297" s="101"/>
      <c r="I297" s="62"/>
      <c r="J297" s="62"/>
      <c r="K297" s="58"/>
      <c r="L297" s="102"/>
      <c r="M297" s="103"/>
      <c r="N297" s="62"/>
      <c r="O297" s="101"/>
      <c r="P297" s="58"/>
      <c r="Q297" s="112"/>
      <c r="R297" s="62"/>
      <c r="S297" s="62"/>
      <c r="T297" s="62"/>
      <c r="U297" s="62"/>
      <c r="V297" s="62"/>
      <c r="W297" s="62"/>
      <c r="X297" s="62"/>
      <c r="Y297" s="62"/>
      <c r="Z297" s="62"/>
      <c r="AA297" s="62"/>
    </row>
    <row r="298">
      <c r="A298" s="96"/>
      <c r="B298" s="98"/>
      <c r="C298" s="99"/>
      <c r="D298" s="99"/>
      <c r="E298" s="111"/>
      <c r="F298" s="97"/>
      <c r="G298" s="97"/>
      <c r="H298" s="101"/>
      <c r="I298" s="62"/>
      <c r="J298" s="62"/>
      <c r="K298" s="58"/>
      <c r="L298" s="102"/>
      <c r="M298" s="103"/>
      <c r="N298" s="62"/>
      <c r="O298" s="101"/>
      <c r="P298" s="58"/>
      <c r="Q298" s="112"/>
      <c r="R298" s="62"/>
      <c r="S298" s="62"/>
      <c r="T298" s="62"/>
      <c r="U298" s="62"/>
      <c r="V298" s="62"/>
      <c r="W298" s="62"/>
      <c r="X298" s="62"/>
      <c r="Y298" s="62"/>
      <c r="Z298" s="62"/>
      <c r="AA298" s="62"/>
    </row>
    <row r="299">
      <c r="A299" s="96"/>
      <c r="B299" s="98"/>
      <c r="C299" s="99"/>
      <c r="D299" s="99"/>
      <c r="E299" s="111"/>
      <c r="F299" s="97"/>
      <c r="G299" s="97"/>
      <c r="H299" s="101"/>
      <c r="I299" s="62"/>
      <c r="J299" s="62"/>
      <c r="K299" s="58"/>
      <c r="L299" s="102"/>
      <c r="M299" s="103"/>
      <c r="N299" s="62"/>
      <c r="O299" s="101"/>
      <c r="P299" s="58"/>
      <c r="Q299" s="112"/>
      <c r="R299" s="62"/>
      <c r="S299" s="62"/>
      <c r="T299" s="62"/>
      <c r="U299" s="62"/>
      <c r="V299" s="62"/>
      <c r="W299" s="62"/>
      <c r="X299" s="62"/>
      <c r="Y299" s="62"/>
      <c r="Z299" s="62"/>
      <c r="AA299" s="62"/>
    </row>
    <row r="300">
      <c r="A300" s="96"/>
      <c r="B300" s="98"/>
      <c r="C300" s="99"/>
      <c r="D300" s="99"/>
      <c r="E300" s="111"/>
      <c r="F300" s="97"/>
      <c r="G300" s="97"/>
      <c r="H300" s="101"/>
      <c r="I300" s="62"/>
      <c r="J300" s="62"/>
      <c r="K300" s="58"/>
      <c r="L300" s="102"/>
      <c r="M300" s="103"/>
      <c r="N300" s="62"/>
      <c r="O300" s="101"/>
      <c r="P300" s="58"/>
      <c r="Q300" s="112"/>
      <c r="R300" s="62"/>
      <c r="S300" s="62"/>
      <c r="T300" s="62"/>
      <c r="U300" s="62"/>
      <c r="V300" s="62"/>
      <c r="W300" s="62"/>
      <c r="X300" s="62"/>
      <c r="Y300" s="62"/>
      <c r="Z300" s="62"/>
      <c r="AA300" s="62"/>
    </row>
    <row r="301">
      <c r="A301" s="96"/>
      <c r="B301" s="98"/>
      <c r="C301" s="99"/>
      <c r="D301" s="99"/>
      <c r="E301" s="111"/>
      <c r="F301" s="97"/>
      <c r="G301" s="97"/>
      <c r="H301" s="101"/>
      <c r="I301" s="62"/>
      <c r="J301" s="62"/>
      <c r="K301" s="58"/>
      <c r="L301" s="102"/>
      <c r="M301" s="103"/>
      <c r="N301" s="62"/>
      <c r="O301" s="101"/>
      <c r="P301" s="58"/>
      <c r="Q301" s="112"/>
      <c r="R301" s="62"/>
      <c r="S301" s="62"/>
      <c r="T301" s="62"/>
      <c r="U301" s="62"/>
      <c r="V301" s="62"/>
      <c r="W301" s="62"/>
      <c r="X301" s="62"/>
      <c r="Y301" s="62"/>
      <c r="Z301" s="62"/>
      <c r="AA301" s="62"/>
    </row>
    <row r="302">
      <c r="A302" s="96"/>
      <c r="B302" s="98"/>
      <c r="C302" s="99"/>
      <c r="D302" s="99"/>
      <c r="E302" s="111"/>
      <c r="F302" s="97"/>
      <c r="G302" s="97"/>
      <c r="H302" s="101"/>
      <c r="I302" s="62"/>
      <c r="J302" s="62"/>
      <c r="K302" s="58"/>
      <c r="L302" s="102"/>
      <c r="M302" s="103"/>
      <c r="N302" s="62"/>
      <c r="O302" s="101"/>
      <c r="P302" s="58"/>
      <c r="Q302" s="112"/>
      <c r="R302" s="62"/>
      <c r="S302" s="62"/>
      <c r="T302" s="62"/>
      <c r="U302" s="62"/>
      <c r="V302" s="62"/>
      <c r="W302" s="62"/>
      <c r="X302" s="62"/>
      <c r="Y302" s="62"/>
      <c r="Z302" s="62"/>
      <c r="AA302" s="62"/>
    </row>
    <row r="303">
      <c r="A303" s="96"/>
      <c r="B303" s="98"/>
      <c r="C303" s="99"/>
      <c r="D303" s="99"/>
      <c r="E303" s="111"/>
      <c r="F303" s="97"/>
      <c r="G303" s="97"/>
      <c r="H303" s="101"/>
      <c r="I303" s="62"/>
      <c r="J303" s="62"/>
      <c r="K303" s="58"/>
      <c r="L303" s="102"/>
      <c r="M303" s="103"/>
      <c r="N303" s="62"/>
      <c r="O303" s="101"/>
      <c r="P303" s="58"/>
      <c r="Q303" s="112"/>
      <c r="R303" s="62"/>
      <c r="S303" s="62"/>
      <c r="T303" s="62"/>
      <c r="U303" s="62"/>
      <c r="V303" s="62"/>
      <c r="W303" s="62"/>
      <c r="X303" s="62"/>
      <c r="Y303" s="62"/>
      <c r="Z303" s="62"/>
      <c r="AA303" s="62"/>
    </row>
    <row r="304">
      <c r="A304" s="96"/>
      <c r="B304" s="98"/>
      <c r="C304" s="99"/>
      <c r="D304" s="99"/>
      <c r="E304" s="111"/>
      <c r="F304" s="97"/>
      <c r="G304" s="97"/>
      <c r="H304" s="101"/>
      <c r="I304" s="62"/>
      <c r="J304" s="62"/>
      <c r="K304" s="58"/>
      <c r="L304" s="102"/>
      <c r="M304" s="103"/>
      <c r="N304" s="62"/>
      <c r="O304" s="101"/>
      <c r="P304" s="58"/>
      <c r="Q304" s="112"/>
      <c r="R304" s="62"/>
      <c r="S304" s="62"/>
      <c r="T304" s="62"/>
      <c r="U304" s="62"/>
      <c r="V304" s="62"/>
      <c r="W304" s="62"/>
      <c r="X304" s="62"/>
      <c r="Y304" s="62"/>
      <c r="Z304" s="62"/>
      <c r="AA304" s="62"/>
    </row>
    <row r="305">
      <c r="A305" s="96"/>
      <c r="B305" s="98"/>
      <c r="C305" s="99"/>
      <c r="D305" s="99"/>
      <c r="E305" s="111"/>
      <c r="F305" s="97"/>
      <c r="G305" s="97"/>
      <c r="H305" s="101"/>
      <c r="I305" s="62"/>
      <c r="J305" s="62"/>
      <c r="K305" s="58"/>
      <c r="L305" s="102"/>
      <c r="M305" s="103"/>
      <c r="N305" s="62"/>
      <c r="O305" s="101"/>
      <c r="P305" s="58"/>
      <c r="Q305" s="112"/>
      <c r="R305" s="62"/>
      <c r="S305" s="62"/>
      <c r="T305" s="62"/>
      <c r="U305" s="62"/>
      <c r="V305" s="62"/>
      <c r="W305" s="62"/>
      <c r="X305" s="62"/>
      <c r="Y305" s="62"/>
      <c r="Z305" s="62"/>
      <c r="AA305" s="62"/>
    </row>
    <row r="306">
      <c r="A306" s="96"/>
      <c r="B306" s="98"/>
      <c r="C306" s="99"/>
      <c r="D306" s="99"/>
      <c r="E306" s="111"/>
      <c r="F306" s="97"/>
      <c r="G306" s="97"/>
      <c r="H306" s="101"/>
      <c r="I306" s="62"/>
      <c r="J306" s="62"/>
      <c r="K306" s="58"/>
      <c r="L306" s="102"/>
      <c r="M306" s="103"/>
      <c r="N306" s="62"/>
      <c r="O306" s="101"/>
      <c r="P306" s="58"/>
      <c r="Q306" s="112"/>
      <c r="R306" s="62"/>
      <c r="S306" s="62"/>
      <c r="T306" s="62"/>
      <c r="U306" s="62"/>
      <c r="V306" s="62"/>
      <c r="W306" s="62"/>
      <c r="X306" s="62"/>
      <c r="Y306" s="62"/>
      <c r="Z306" s="62"/>
      <c r="AA306" s="62"/>
    </row>
    <row r="307">
      <c r="A307" s="96"/>
      <c r="B307" s="98"/>
      <c r="C307" s="99"/>
      <c r="D307" s="99"/>
      <c r="E307" s="111"/>
      <c r="F307" s="97"/>
      <c r="G307" s="97"/>
      <c r="H307" s="101"/>
      <c r="I307" s="62"/>
      <c r="J307" s="62"/>
      <c r="K307" s="58"/>
      <c r="L307" s="102"/>
      <c r="M307" s="103"/>
      <c r="N307" s="62"/>
      <c r="O307" s="101"/>
      <c r="P307" s="58"/>
      <c r="Q307" s="112"/>
      <c r="R307" s="62"/>
      <c r="S307" s="62"/>
      <c r="T307" s="62"/>
      <c r="U307" s="62"/>
      <c r="V307" s="62"/>
      <c r="W307" s="62"/>
      <c r="X307" s="62"/>
      <c r="Y307" s="62"/>
      <c r="Z307" s="62"/>
      <c r="AA307" s="62"/>
    </row>
    <row r="308">
      <c r="A308" s="96"/>
      <c r="B308" s="98"/>
      <c r="C308" s="99"/>
      <c r="D308" s="99"/>
      <c r="E308" s="111"/>
      <c r="F308" s="97"/>
      <c r="G308" s="97"/>
      <c r="H308" s="101"/>
      <c r="I308" s="62"/>
      <c r="J308" s="62"/>
      <c r="K308" s="58"/>
      <c r="L308" s="102"/>
      <c r="M308" s="103"/>
      <c r="N308" s="62"/>
      <c r="O308" s="101"/>
      <c r="P308" s="58"/>
      <c r="Q308" s="112"/>
      <c r="R308" s="62"/>
      <c r="S308" s="62"/>
      <c r="T308" s="62"/>
      <c r="U308" s="62"/>
      <c r="V308" s="62"/>
      <c r="W308" s="62"/>
      <c r="X308" s="62"/>
      <c r="Y308" s="62"/>
      <c r="Z308" s="62"/>
      <c r="AA308" s="62"/>
    </row>
    <row r="309">
      <c r="A309" s="96"/>
      <c r="B309" s="98"/>
      <c r="C309" s="99"/>
      <c r="D309" s="99"/>
      <c r="E309" s="111"/>
      <c r="F309" s="97"/>
      <c r="G309" s="97"/>
      <c r="H309" s="101"/>
      <c r="I309" s="62"/>
      <c r="J309" s="62"/>
      <c r="K309" s="58"/>
      <c r="L309" s="102"/>
      <c r="M309" s="103"/>
      <c r="N309" s="62"/>
      <c r="O309" s="101"/>
      <c r="P309" s="58"/>
      <c r="Q309" s="112"/>
      <c r="R309" s="62"/>
      <c r="S309" s="62"/>
      <c r="T309" s="62"/>
      <c r="U309" s="62"/>
      <c r="V309" s="62"/>
      <c r="W309" s="62"/>
      <c r="X309" s="62"/>
      <c r="Y309" s="62"/>
      <c r="Z309" s="62"/>
      <c r="AA309" s="62"/>
    </row>
    <row r="310">
      <c r="A310" s="96"/>
      <c r="B310" s="98"/>
      <c r="C310" s="99"/>
      <c r="D310" s="99"/>
      <c r="E310" s="111"/>
      <c r="F310" s="97"/>
      <c r="G310" s="97"/>
      <c r="H310" s="101"/>
      <c r="I310" s="62"/>
      <c r="J310" s="62"/>
      <c r="K310" s="58"/>
      <c r="L310" s="102"/>
      <c r="M310" s="103"/>
      <c r="N310" s="62"/>
      <c r="O310" s="101"/>
      <c r="P310" s="58"/>
      <c r="Q310" s="11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</row>
    <row r="311">
      <c r="A311" s="96"/>
      <c r="B311" s="98"/>
      <c r="C311" s="99"/>
      <c r="D311" s="99"/>
      <c r="E311" s="111"/>
      <c r="F311" s="97"/>
      <c r="G311" s="97"/>
      <c r="H311" s="101"/>
      <c r="I311" s="62"/>
      <c r="J311" s="62"/>
      <c r="K311" s="58"/>
      <c r="L311" s="102"/>
      <c r="M311" s="103"/>
      <c r="N311" s="62"/>
      <c r="O311" s="101"/>
      <c r="P311" s="58"/>
      <c r="Q311" s="11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</row>
    <row r="312">
      <c r="A312" s="96"/>
      <c r="B312" s="98"/>
      <c r="C312" s="99"/>
      <c r="D312" s="99"/>
      <c r="E312" s="111"/>
      <c r="F312" s="97"/>
      <c r="G312" s="97"/>
      <c r="H312" s="101"/>
      <c r="I312" s="62"/>
      <c r="J312" s="62"/>
      <c r="K312" s="58"/>
      <c r="L312" s="102"/>
      <c r="M312" s="103"/>
      <c r="N312" s="62"/>
      <c r="O312" s="101"/>
      <c r="P312" s="58"/>
      <c r="Q312" s="112"/>
      <c r="R312" s="62"/>
      <c r="S312" s="62"/>
      <c r="T312" s="62"/>
      <c r="U312" s="62"/>
      <c r="V312" s="62"/>
      <c r="W312" s="62"/>
      <c r="X312" s="62"/>
      <c r="Y312" s="62"/>
      <c r="Z312" s="62"/>
      <c r="AA312" s="62"/>
    </row>
    <row r="313">
      <c r="A313" s="96"/>
      <c r="B313" s="98"/>
      <c r="C313" s="99"/>
      <c r="D313" s="99"/>
      <c r="E313" s="111"/>
      <c r="F313" s="97"/>
      <c r="G313" s="97"/>
      <c r="H313" s="101"/>
      <c r="I313" s="62"/>
      <c r="J313" s="62"/>
      <c r="K313" s="58"/>
      <c r="L313" s="102"/>
      <c r="M313" s="103"/>
      <c r="N313" s="62"/>
      <c r="O313" s="101"/>
      <c r="P313" s="58"/>
      <c r="Q313" s="11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</row>
    <row r="314">
      <c r="A314" s="96"/>
      <c r="B314" s="98"/>
      <c r="C314" s="99"/>
      <c r="D314" s="99"/>
      <c r="E314" s="111"/>
      <c r="F314" s="97"/>
      <c r="G314" s="97"/>
      <c r="H314" s="101"/>
      <c r="I314" s="62"/>
      <c r="J314" s="62"/>
      <c r="K314" s="58"/>
      <c r="L314" s="102"/>
      <c r="M314" s="103"/>
      <c r="N314" s="62"/>
      <c r="O314" s="101"/>
      <c r="P314" s="58"/>
      <c r="Q314" s="11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</row>
    <row r="315">
      <c r="A315" s="96"/>
      <c r="B315" s="98"/>
      <c r="C315" s="99"/>
      <c r="D315" s="99"/>
      <c r="E315" s="111"/>
      <c r="F315" s="97"/>
      <c r="G315" s="97"/>
      <c r="H315" s="101"/>
      <c r="I315" s="62"/>
      <c r="J315" s="62"/>
      <c r="K315" s="58"/>
      <c r="L315" s="102"/>
      <c r="M315" s="103"/>
      <c r="N315" s="62"/>
      <c r="O315" s="101"/>
      <c r="P315" s="58"/>
      <c r="Q315" s="11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</row>
    <row r="316">
      <c r="A316" s="96"/>
      <c r="B316" s="98"/>
      <c r="C316" s="99"/>
      <c r="D316" s="99"/>
      <c r="E316" s="111"/>
      <c r="F316" s="97"/>
      <c r="G316" s="97"/>
      <c r="H316" s="101"/>
      <c r="I316" s="62"/>
      <c r="J316" s="62"/>
      <c r="K316" s="58"/>
      <c r="L316" s="102"/>
      <c r="M316" s="103"/>
      <c r="N316" s="62"/>
      <c r="O316" s="101"/>
      <c r="P316" s="58"/>
      <c r="Q316" s="11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</row>
    <row r="317">
      <c r="A317" s="96"/>
      <c r="B317" s="98"/>
      <c r="C317" s="99"/>
      <c r="D317" s="99"/>
      <c r="E317" s="111"/>
      <c r="F317" s="97"/>
      <c r="G317" s="97"/>
      <c r="H317" s="101"/>
      <c r="I317" s="62"/>
      <c r="J317" s="62"/>
      <c r="K317" s="58"/>
      <c r="L317" s="102"/>
      <c r="M317" s="103"/>
      <c r="N317" s="62"/>
      <c r="O317" s="101"/>
      <c r="P317" s="58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</row>
    <row r="318">
      <c r="A318" s="96"/>
      <c r="B318" s="98"/>
      <c r="C318" s="99"/>
      <c r="D318" s="99"/>
      <c r="E318" s="111"/>
      <c r="F318" s="97"/>
      <c r="G318" s="97"/>
      <c r="H318" s="101"/>
      <c r="I318" s="58"/>
      <c r="J318" s="62"/>
      <c r="K318" s="58"/>
      <c r="L318" s="102"/>
      <c r="M318" s="103"/>
      <c r="N318" s="62"/>
      <c r="O318" s="101"/>
      <c r="P318" s="58"/>
      <c r="Q318" s="62"/>
      <c r="R318" s="58"/>
      <c r="S318" s="62"/>
      <c r="T318" s="62"/>
      <c r="U318" s="62"/>
      <c r="V318" s="62"/>
      <c r="W318" s="62"/>
      <c r="X318" s="62"/>
      <c r="Y318" s="62"/>
      <c r="Z318" s="62"/>
      <c r="AA318" s="62"/>
    </row>
    <row r="319">
      <c r="A319" s="96"/>
      <c r="B319" s="98"/>
      <c r="C319" s="99"/>
      <c r="D319" s="99"/>
      <c r="E319" s="111"/>
      <c r="F319" s="97"/>
      <c r="G319" s="97"/>
      <c r="H319" s="101"/>
      <c r="I319" s="58"/>
      <c r="J319" s="62"/>
      <c r="K319" s="58"/>
      <c r="L319" s="102"/>
      <c r="M319" s="103"/>
      <c r="N319" s="62"/>
      <c r="O319" s="101"/>
      <c r="P319" s="58"/>
      <c r="Q319" s="62"/>
      <c r="R319" s="58"/>
      <c r="S319" s="62"/>
      <c r="T319" s="62"/>
      <c r="U319" s="62"/>
      <c r="V319" s="62"/>
      <c r="W319" s="62"/>
      <c r="X319" s="62"/>
      <c r="Y319" s="62"/>
      <c r="Z319" s="62"/>
      <c r="AA319" s="62"/>
    </row>
    <row r="320">
      <c r="A320" s="96"/>
      <c r="B320" s="98"/>
      <c r="C320" s="99"/>
      <c r="D320" s="99"/>
      <c r="E320" s="111"/>
      <c r="F320" s="97"/>
      <c r="G320" s="97"/>
      <c r="H320" s="101"/>
      <c r="I320" s="58"/>
      <c r="J320" s="62"/>
      <c r="K320" s="58"/>
      <c r="L320" s="102"/>
      <c r="M320" s="103"/>
      <c r="N320" s="62"/>
      <c r="O320" s="101"/>
      <c r="P320" s="58"/>
      <c r="Q320" s="62"/>
      <c r="R320" s="58"/>
      <c r="S320" s="62"/>
      <c r="T320" s="62"/>
      <c r="U320" s="62"/>
      <c r="V320" s="62"/>
      <c r="W320" s="62"/>
      <c r="X320" s="62"/>
      <c r="Y320" s="62"/>
      <c r="Z320" s="62"/>
      <c r="AA320" s="62"/>
    </row>
    <row r="321">
      <c r="A321" s="96"/>
      <c r="B321" s="98"/>
      <c r="C321" s="99"/>
      <c r="D321" s="99"/>
      <c r="E321" s="111"/>
      <c r="F321" s="97"/>
      <c r="G321" s="97"/>
      <c r="H321" s="101"/>
      <c r="I321" s="58"/>
      <c r="J321" s="62"/>
      <c r="K321" s="58"/>
      <c r="L321" s="102"/>
      <c r="M321" s="103"/>
      <c r="N321" s="62"/>
      <c r="O321" s="101"/>
      <c r="P321" s="58"/>
      <c r="Q321" s="62"/>
      <c r="R321" s="58"/>
      <c r="S321" s="62"/>
      <c r="T321" s="62"/>
      <c r="U321" s="62"/>
      <c r="V321" s="62"/>
      <c r="W321" s="62"/>
      <c r="X321" s="62"/>
      <c r="Y321" s="62"/>
      <c r="Z321" s="62"/>
      <c r="AA321" s="62"/>
    </row>
    <row r="322">
      <c r="A322" s="96"/>
      <c r="B322" s="98"/>
      <c r="C322" s="99"/>
      <c r="D322" s="99"/>
      <c r="E322" s="111"/>
      <c r="F322" s="97"/>
      <c r="G322" s="97"/>
      <c r="H322" s="101"/>
      <c r="I322" s="62"/>
      <c r="J322" s="62"/>
      <c r="K322" s="58"/>
      <c r="L322" s="102"/>
      <c r="M322" s="103"/>
      <c r="N322" s="62"/>
      <c r="O322" s="101"/>
      <c r="P322" s="58"/>
      <c r="Q322" s="58"/>
      <c r="R322" s="62"/>
      <c r="S322" s="62"/>
      <c r="T322" s="62"/>
      <c r="U322" s="62"/>
      <c r="V322" s="62"/>
      <c r="W322" s="62"/>
      <c r="X322" s="62"/>
      <c r="Y322" s="62"/>
      <c r="Z322" s="62"/>
      <c r="AA322" s="62"/>
    </row>
    <row r="323">
      <c r="A323" s="96"/>
      <c r="B323" s="98"/>
      <c r="C323" s="99"/>
      <c r="D323" s="99"/>
      <c r="E323" s="111"/>
      <c r="F323" s="97"/>
      <c r="G323" s="97"/>
      <c r="H323" s="101"/>
      <c r="I323" s="62"/>
      <c r="J323" s="62"/>
      <c r="K323" s="58"/>
      <c r="L323" s="102"/>
      <c r="M323" s="103"/>
      <c r="N323" s="62"/>
      <c r="O323" s="101"/>
      <c r="P323" s="58"/>
      <c r="Q323" s="58"/>
      <c r="R323" s="62"/>
      <c r="S323" s="62"/>
      <c r="T323" s="62"/>
      <c r="U323" s="62"/>
      <c r="V323" s="62"/>
      <c r="W323" s="62"/>
      <c r="X323" s="62"/>
      <c r="Y323" s="62"/>
      <c r="Z323" s="62"/>
      <c r="AA323" s="62"/>
    </row>
    <row r="324">
      <c r="A324" s="96"/>
      <c r="B324" s="98"/>
      <c r="C324" s="99"/>
      <c r="D324" s="99"/>
      <c r="E324" s="111"/>
      <c r="F324" s="97"/>
      <c r="G324" s="97"/>
      <c r="H324" s="101"/>
      <c r="I324" s="62"/>
      <c r="J324" s="62"/>
      <c r="K324" s="58"/>
      <c r="L324" s="102"/>
      <c r="M324" s="103"/>
      <c r="N324" s="62"/>
      <c r="O324" s="101"/>
      <c r="P324" s="58"/>
      <c r="Q324" s="58"/>
      <c r="R324" s="62"/>
      <c r="S324" s="62"/>
      <c r="T324" s="62"/>
      <c r="U324" s="62"/>
      <c r="V324" s="62"/>
      <c r="W324" s="62"/>
      <c r="X324" s="62"/>
      <c r="Y324" s="62"/>
      <c r="Z324" s="62"/>
      <c r="AA324" s="62"/>
    </row>
    <row r="325">
      <c r="A325" s="96"/>
      <c r="B325" s="98"/>
      <c r="C325" s="99"/>
      <c r="D325" s="99"/>
      <c r="E325" s="111"/>
      <c r="F325" s="97"/>
      <c r="G325" s="97"/>
      <c r="H325" s="101"/>
      <c r="I325" s="62"/>
      <c r="J325" s="62"/>
      <c r="K325" s="58"/>
      <c r="L325" s="102"/>
      <c r="M325" s="103"/>
      <c r="N325" s="62"/>
      <c r="O325" s="101"/>
      <c r="P325" s="58"/>
      <c r="Q325" s="62"/>
      <c r="R325" s="62"/>
      <c r="S325" s="62"/>
      <c r="T325" s="62"/>
      <c r="U325" s="62"/>
      <c r="V325" s="62"/>
      <c r="W325" s="62"/>
      <c r="X325" s="62"/>
      <c r="Y325" s="62"/>
      <c r="Z325" s="62"/>
      <c r="AA325" s="62"/>
    </row>
    <row r="326">
      <c r="A326" s="96"/>
      <c r="B326" s="98"/>
      <c r="C326" s="99"/>
      <c r="D326" s="99"/>
      <c r="E326" s="111"/>
      <c r="F326" s="97"/>
      <c r="G326" s="97"/>
      <c r="H326" s="101"/>
      <c r="I326" s="62"/>
      <c r="J326" s="62"/>
      <c r="K326" s="58"/>
      <c r="L326" s="102"/>
      <c r="M326" s="103"/>
      <c r="N326" s="62"/>
      <c r="O326" s="101"/>
      <c r="P326" s="58"/>
      <c r="Q326" s="62"/>
      <c r="R326" s="62"/>
      <c r="S326" s="62"/>
      <c r="T326" s="62"/>
      <c r="U326" s="62"/>
      <c r="V326" s="62"/>
      <c r="W326" s="62"/>
      <c r="X326" s="62"/>
      <c r="Y326" s="62"/>
      <c r="Z326" s="62"/>
      <c r="AA326" s="62"/>
    </row>
    <row r="327">
      <c r="A327" s="96"/>
      <c r="B327" s="98"/>
      <c r="C327" s="99"/>
      <c r="D327" s="99"/>
      <c r="E327" s="111"/>
      <c r="F327" s="97"/>
      <c r="G327" s="97"/>
      <c r="H327" s="101"/>
      <c r="I327" s="62"/>
      <c r="J327" s="62"/>
      <c r="K327" s="58"/>
      <c r="L327" s="102"/>
      <c r="M327" s="103"/>
      <c r="N327" s="62"/>
      <c r="O327" s="101"/>
      <c r="P327" s="58"/>
      <c r="Q327" s="62"/>
      <c r="R327" s="62"/>
      <c r="S327" s="62"/>
      <c r="T327" s="62"/>
      <c r="U327" s="62"/>
      <c r="V327" s="62"/>
      <c r="W327" s="62"/>
      <c r="X327" s="62"/>
      <c r="Y327" s="62"/>
      <c r="Z327" s="62"/>
      <c r="AA327" s="62"/>
    </row>
    <row r="328">
      <c r="A328" s="96"/>
      <c r="B328" s="98"/>
      <c r="C328" s="99"/>
      <c r="D328" s="99"/>
      <c r="E328" s="111"/>
      <c r="F328" s="97"/>
      <c r="G328" s="97"/>
      <c r="H328" s="101"/>
      <c r="I328" s="62"/>
      <c r="J328" s="62"/>
      <c r="K328" s="58"/>
      <c r="L328" s="102"/>
      <c r="M328" s="103"/>
      <c r="N328" s="62"/>
      <c r="O328" s="101"/>
      <c r="P328" s="58"/>
      <c r="Q328" s="58"/>
      <c r="R328" s="62"/>
      <c r="S328" s="62"/>
      <c r="T328" s="62"/>
      <c r="U328" s="62"/>
      <c r="V328" s="62"/>
      <c r="W328" s="62"/>
      <c r="X328" s="62"/>
      <c r="Y328" s="62"/>
      <c r="Z328" s="62"/>
      <c r="AA328" s="62"/>
    </row>
    <row r="329">
      <c r="A329" s="96"/>
      <c r="B329" s="98"/>
      <c r="C329" s="99"/>
      <c r="D329" s="99"/>
      <c r="E329" s="111"/>
      <c r="F329" s="97"/>
      <c r="G329" s="97"/>
      <c r="H329" s="101"/>
      <c r="I329" s="62"/>
      <c r="J329" s="62"/>
      <c r="K329" s="58"/>
      <c r="L329" s="102"/>
      <c r="M329" s="103"/>
      <c r="N329" s="62"/>
      <c r="O329" s="101"/>
      <c r="P329" s="58"/>
      <c r="Q329" s="58"/>
      <c r="R329" s="62"/>
      <c r="S329" s="62"/>
      <c r="T329" s="62"/>
      <c r="U329" s="62"/>
      <c r="V329" s="62"/>
      <c r="W329" s="62"/>
      <c r="X329" s="62"/>
      <c r="Y329" s="62"/>
      <c r="Z329" s="62"/>
      <c r="AA329" s="62"/>
    </row>
    <row r="330">
      <c r="A330" s="96"/>
      <c r="B330" s="98"/>
      <c r="C330" s="99"/>
      <c r="D330" s="99"/>
      <c r="E330" s="111"/>
      <c r="F330" s="97"/>
      <c r="G330" s="97"/>
      <c r="H330" s="101"/>
      <c r="I330" s="62"/>
      <c r="J330" s="62"/>
      <c r="K330" s="58"/>
      <c r="L330" s="102"/>
      <c r="M330" s="103"/>
      <c r="N330" s="62"/>
      <c r="O330" s="101"/>
      <c r="P330" s="58"/>
      <c r="Q330" s="62"/>
      <c r="R330" s="62"/>
      <c r="S330" s="62"/>
      <c r="T330" s="62"/>
      <c r="U330" s="62"/>
      <c r="V330" s="62"/>
      <c r="W330" s="62"/>
      <c r="X330" s="62"/>
      <c r="Y330" s="62"/>
      <c r="Z330" s="62"/>
      <c r="AA330" s="62"/>
    </row>
    <row r="331">
      <c r="A331" s="96"/>
      <c r="B331" s="98"/>
      <c r="C331" s="99"/>
      <c r="D331" s="99"/>
      <c r="E331" s="111"/>
      <c r="F331" s="97"/>
      <c r="G331" s="97"/>
      <c r="H331" s="101"/>
      <c r="I331" s="62"/>
      <c r="J331" s="62"/>
      <c r="K331" s="58"/>
      <c r="L331" s="102"/>
      <c r="M331" s="103"/>
      <c r="N331" s="62"/>
      <c r="O331" s="101"/>
      <c r="P331" s="58"/>
      <c r="Q331" s="62"/>
      <c r="R331" s="62"/>
      <c r="S331" s="62"/>
      <c r="T331" s="62"/>
      <c r="U331" s="62"/>
      <c r="V331" s="62"/>
      <c r="W331" s="62"/>
      <c r="X331" s="62"/>
      <c r="Y331" s="62"/>
      <c r="Z331" s="62"/>
      <c r="AA331" s="62"/>
    </row>
    <row r="332">
      <c r="A332" s="96"/>
      <c r="B332" s="98"/>
      <c r="C332" s="99"/>
      <c r="D332" s="99"/>
      <c r="E332" s="111"/>
      <c r="F332" s="97"/>
      <c r="G332" s="97"/>
      <c r="H332" s="101"/>
      <c r="I332" s="62"/>
      <c r="J332" s="62"/>
      <c r="K332" s="58"/>
      <c r="L332" s="102"/>
      <c r="M332" s="103"/>
      <c r="N332" s="62"/>
      <c r="O332" s="101"/>
      <c r="P332" s="58"/>
      <c r="Q332" s="62"/>
      <c r="R332" s="62"/>
      <c r="S332" s="62"/>
      <c r="T332" s="62"/>
      <c r="U332" s="62"/>
      <c r="V332" s="62"/>
      <c r="W332" s="62"/>
      <c r="X332" s="62"/>
      <c r="Y332" s="62"/>
      <c r="Z332" s="62"/>
      <c r="AA332" s="62"/>
    </row>
    <row r="333">
      <c r="A333" s="96"/>
      <c r="B333" s="98"/>
      <c r="C333" s="99"/>
      <c r="D333" s="99"/>
      <c r="E333" s="111"/>
      <c r="F333" s="97"/>
      <c r="G333" s="97"/>
      <c r="H333" s="101"/>
      <c r="I333" s="62"/>
      <c r="J333" s="62"/>
      <c r="K333" s="58"/>
      <c r="L333" s="102"/>
      <c r="M333" s="103"/>
      <c r="N333" s="62"/>
      <c r="O333" s="101"/>
      <c r="P333" s="58"/>
      <c r="Q333" s="62"/>
      <c r="R333" s="62"/>
      <c r="S333" s="62"/>
      <c r="T333" s="62"/>
      <c r="U333" s="62"/>
      <c r="V333" s="62"/>
      <c r="W333" s="62"/>
      <c r="X333" s="62"/>
      <c r="Y333" s="62"/>
      <c r="Z333" s="62"/>
      <c r="AA333" s="62"/>
    </row>
    <row r="334">
      <c r="A334" s="96"/>
      <c r="B334" s="98"/>
      <c r="C334" s="99"/>
      <c r="D334" s="99"/>
      <c r="E334" s="111"/>
      <c r="F334" s="97"/>
      <c r="G334" s="97"/>
      <c r="H334" s="101"/>
      <c r="I334" s="62"/>
      <c r="J334" s="62"/>
      <c r="K334" s="58"/>
      <c r="L334" s="102"/>
      <c r="M334" s="103"/>
      <c r="N334" s="62"/>
      <c r="O334" s="101"/>
      <c r="P334" s="58"/>
      <c r="Q334" s="62"/>
      <c r="R334" s="62"/>
      <c r="S334" s="62"/>
      <c r="T334" s="62"/>
      <c r="U334" s="62"/>
      <c r="V334" s="62"/>
      <c r="W334" s="62"/>
      <c r="X334" s="62"/>
      <c r="Y334" s="62"/>
      <c r="Z334" s="62"/>
      <c r="AA334" s="62"/>
    </row>
    <row r="335">
      <c r="A335" s="96"/>
      <c r="B335" s="98"/>
      <c r="C335" s="99"/>
      <c r="D335" s="99"/>
      <c r="E335" s="111"/>
      <c r="F335" s="97"/>
      <c r="G335" s="97"/>
      <c r="H335" s="101"/>
      <c r="I335" s="62"/>
      <c r="J335" s="62"/>
      <c r="K335" s="58"/>
      <c r="L335" s="102"/>
      <c r="M335" s="103"/>
      <c r="N335" s="62"/>
      <c r="O335" s="101"/>
      <c r="P335" s="58"/>
      <c r="Q335" s="62"/>
      <c r="R335" s="62"/>
      <c r="S335" s="62"/>
      <c r="T335" s="62"/>
      <c r="U335" s="62"/>
      <c r="V335" s="62"/>
      <c r="W335" s="62"/>
      <c r="X335" s="62"/>
      <c r="Y335" s="62"/>
      <c r="Z335" s="62"/>
      <c r="AA335" s="62"/>
    </row>
    <row r="336">
      <c r="A336" s="96"/>
      <c r="B336" s="98"/>
      <c r="C336" s="99"/>
      <c r="D336" s="99"/>
      <c r="E336" s="111"/>
      <c r="F336" s="97"/>
      <c r="G336" s="97"/>
      <c r="H336" s="101"/>
      <c r="I336" s="62"/>
      <c r="J336" s="62"/>
      <c r="K336" s="58"/>
      <c r="L336" s="102"/>
      <c r="M336" s="103"/>
      <c r="N336" s="62"/>
      <c r="O336" s="101"/>
      <c r="P336" s="58"/>
      <c r="Q336" s="62"/>
      <c r="R336" s="62"/>
      <c r="S336" s="62"/>
      <c r="T336" s="62"/>
      <c r="U336" s="62"/>
      <c r="V336" s="62"/>
      <c r="W336" s="62"/>
      <c r="X336" s="62"/>
      <c r="Y336" s="62"/>
      <c r="Z336" s="62"/>
      <c r="AA336" s="62"/>
    </row>
    <row r="337">
      <c r="A337" s="96"/>
      <c r="B337" s="98"/>
      <c r="C337" s="99"/>
      <c r="D337" s="99"/>
      <c r="E337" s="111"/>
      <c r="F337" s="97"/>
      <c r="G337" s="97"/>
      <c r="H337" s="101"/>
      <c r="I337" s="62"/>
      <c r="J337" s="62"/>
      <c r="K337" s="58"/>
      <c r="L337" s="102"/>
      <c r="M337" s="103"/>
      <c r="N337" s="62"/>
      <c r="O337" s="101"/>
      <c r="P337" s="58"/>
      <c r="Q337" s="62"/>
      <c r="R337" s="62"/>
      <c r="S337" s="62"/>
      <c r="T337" s="62"/>
      <c r="U337" s="62"/>
      <c r="V337" s="62"/>
      <c r="W337" s="62"/>
      <c r="X337" s="62"/>
      <c r="Y337" s="62"/>
      <c r="Z337" s="62"/>
      <c r="AA337" s="62"/>
    </row>
    <row r="338">
      <c r="A338" s="96"/>
      <c r="B338" s="98"/>
      <c r="C338" s="99"/>
      <c r="D338" s="99"/>
      <c r="E338" s="111"/>
      <c r="F338" s="97"/>
      <c r="G338" s="97"/>
      <c r="H338" s="101"/>
      <c r="I338" s="62"/>
      <c r="J338" s="62"/>
      <c r="K338" s="58"/>
      <c r="L338" s="102"/>
      <c r="M338" s="103"/>
      <c r="N338" s="62"/>
      <c r="O338" s="101"/>
      <c r="P338" s="58"/>
      <c r="Q338" s="62"/>
      <c r="R338" s="62"/>
      <c r="S338" s="62"/>
      <c r="T338" s="62"/>
      <c r="U338" s="62"/>
      <c r="V338" s="62"/>
      <c r="W338" s="62"/>
      <c r="X338" s="62"/>
      <c r="Y338" s="62"/>
      <c r="Z338" s="62"/>
      <c r="AA338" s="62"/>
    </row>
    <row r="339">
      <c r="A339" s="96"/>
      <c r="B339" s="98"/>
      <c r="C339" s="99"/>
      <c r="D339" s="99"/>
      <c r="E339" s="111"/>
      <c r="F339" s="97"/>
      <c r="G339" s="97"/>
      <c r="H339" s="101"/>
      <c r="I339" s="62"/>
      <c r="J339" s="62"/>
      <c r="K339" s="58"/>
      <c r="L339" s="102"/>
      <c r="M339" s="103"/>
      <c r="N339" s="62"/>
      <c r="O339" s="101"/>
      <c r="P339" s="58"/>
      <c r="Q339" s="62"/>
      <c r="R339" s="62"/>
      <c r="S339" s="62"/>
      <c r="T339" s="62"/>
      <c r="U339" s="62"/>
      <c r="V339" s="62"/>
      <c r="W339" s="62"/>
      <c r="X339" s="62"/>
      <c r="Y339" s="62"/>
      <c r="Z339" s="62"/>
      <c r="AA339" s="62"/>
    </row>
    <row r="340">
      <c r="A340" s="96"/>
      <c r="B340" s="98"/>
      <c r="C340" s="99"/>
      <c r="D340" s="99"/>
      <c r="E340" s="111"/>
      <c r="F340" s="97"/>
      <c r="G340" s="97"/>
      <c r="H340" s="101"/>
      <c r="I340" s="62"/>
      <c r="J340" s="62"/>
      <c r="K340" s="58"/>
      <c r="L340" s="102"/>
      <c r="M340" s="103"/>
      <c r="N340" s="62"/>
      <c r="O340" s="101"/>
      <c r="P340" s="58"/>
      <c r="Q340" s="62"/>
      <c r="R340" s="62"/>
      <c r="S340" s="62"/>
      <c r="T340" s="62"/>
      <c r="U340" s="62"/>
      <c r="V340" s="62"/>
      <c r="W340" s="62"/>
      <c r="X340" s="62"/>
      <c r="Y340" s="62"/>
      <c r="Z340" s="62"/>
      <c r="AA340" s="62"/>
    </row>
    <row r="341">
      <c r="A341" s="96"/>
      <c r="B341" s="98"/>
      <c r="C341" s="99"/>
      <c r="D341" s="99"/>
      <c r="E341" s="111"/>
      <c r="F341" s="97"/>
      <c r="G341" s="97"/>
      <c r="H341" s="101"/>
      <c r="I341" s="62"/>
      <c r="J341" s="62"/>
      <c r="K341" s="58"/>
      <c r="L341" s="102"/>
      <c r="M341" s="103"/>
      <c r="N341" s="62"/>
      <c r="O341" s="101"/>
      <c r="P341" s="58"/>
      <c r="Q341" s="62"/>
      <c r="R341" s="62"/>
      <c r="S341" s="62"/>
      <c r="T341" s="62"/>
      <c r="U341" s="62"/>
      <c r="V341" s="62"/>
      <c r="W341" s="62"/>
      <c r="X341" s="62"/>
      <c r="Y341" s="62"/>
      <c r="Z341" s="62"/>
      <c r="AA341" s="62"/>
    </row>
    <row r="342">
      <c r="A342" s="96"/>
      <c r="B342" s="98"/>
      <c r="C342" s="99"/>
      <c r="D342" s="99"/>
      <c r="E342" s="111"/>
      <c r="F342" s="97"/>
      <c r="G342" s="97"/>
      <c r="H342" s="101"/>
      <c r="I342" s="62"/>
      <c r="J342" s="62"/>
      <c r="K342" s="58"/>
      <c r="L342" s="102"/>
      <c r="M342" s="103"/>
      <c r="N342" s="62"/>
      <c r="O342" s="101"/>
      <c r="P342" s="58"/>
      <c r="Q342" s="62"/>
      <c r="R342" s="62"/>
      <c r="S342" s="62"/>
      <c r="T342" s="62"/>
      <c r="U342" s="62"/>
      <c r="V342" s="62"/>
      <c r="W342" s="62"/>
      <c r="X342" s="62"/>
      <c r="Y342" s="62"/>
      <c r="Z342" s="62"/>
      <c r="AA342" s="62"/>
    </row>
    <row r="343">
      <c r="A343" s="96"/>
      <c r="B343" s="98"/>
      <c r="C343" s="99"/>
      <c r="D343" s="99"/>
      <c r="E343" s="111"/>
      <c r="F343" s="97"/>
      <c r="G343" s="97"/>
      <c r="H343" s="101"/>
      <c r="I343" s="62"/>
      <c r="J343" s="62"/>
      <c r="K343" s="58"/>
      <c r="L343" s="102"/>
      <c r="M343" s="103"/>
      <c r="N343" s="62"/>
      <c r="O343" s="101"/>
      <c r="P343" s="58"/>
      <c r="Q343" s="62"/>
      <c r="R343" s="62"/>
      <c r="S343" s="62"/>
      <c r="T343" s="62"/>
      <c r="U343" s="62"/>
      <c r="V343" s="62"/>
      <c r="W343" s="62"/>
      <c r="X343" s="62"/>
      <c r="Y343" s="62"/>
      <c r="Z343" s="62"/>
      <c r="AA343" s="62"/>
    </row>
    <row r="344">
      <c r="A344" s="96"/>
      <c r="B344" s="98"/>
      <c r="C344" s="99"/>
      <c r="D344" s="99"/>
      <c r="E344" s="111"/>
      <c r="F344" s="97"/>
      <c r="G344" s="97"/>
      <c r="H344" s="101"/>
      <c r="I344" s="62"/>
      <c r="J344" s="62"/>
      <c r="K344" s="58"/>
      <c r="L344" s="102"/>
      <c r="M344" s="103"/>
      <c r="N344" s="62"/>
      <c r="O344" s="101"/>
      <c r="P344" s="58"/>
      <c r="Q344" s="62"/>
      <c r="R344" s="62"/>
      <c r="S344" s="62"/>
      <c r="T344" s="62"/>
      <c r="U344" s="62"/>
      <c r="V344" s="62"/>
      <c r="W344" s="62"/>
      <c r="X344" s="62"/>
      <c r="Y344" s="62"/>
      <c r="Z344" s="62"/>
      <c r="AA344" s="62"/>
    </row>
    <row r="345">
      <c r="A345" s="96"/>
      <c r="B345" s="98"/>
      <c r="C345" s="99"/>
      <c r="D345" s="99"/>
      <c r="E345" s="111"/>
      <c r="F345" s="97"/>
      <c r="G345" s="97"/>
      <c r="H345" s="101"/>
      <c r="I345" s="62"/>
      <c r="J345" s="62"/>
      <c r="K345" s="58"/>
      <c r="L345" s="102"/>
      <c r="M345" s="103"/>
      <c r="N345" s="62"/>
      <c r="O345" s="101"/>
      <c r="P345" s="58"/>
      <c r="Q345" s="62"/>
      <c r="R345" s="62"/>
      <c r="S345" s="62"/>
      <c r="T345" s="62"/>
      <c r="U345" s="62"/>
      <c r="V345" s="62"/>
      <c r="W345" s="62"/>
      <c r="X345" s="62"/>
      <c r="Y345" s="62"/>
      <c r="Z345" s="62"/>
      <c r="AA345" s="62"/>
    </row>
    <row r="346">
      <c r="A346" s="96"/>
      <c r="B346" s="98"/>
      <c r="C346" s="99"/>
      <c r="D346" s="99"/>
      <c r="E346" s="111"/>
      <c r="F346" s="97"/>
      <c r="G346" s="97"/>
      <c r="H346" s="101"/>
      <c r="I346" s="62"/>
      <c r="J346" s="62"/>
      <c r="K346" s="58"/>
      <c r="L346" s="102"/>
      <c r="M346" s="103"/>
      <c r="N346" s="62"/>
      <c r="O346" s="101"/>
      <c r="P346" s="58"/>
      <c r="Q346" s="62"/>
      <c r="R346" s="62"/>
      <c r="S346" s="62"/>
      <c r="T346" s="62"/>
      <c r="U346" s="62"/>
      <c r="V346" s="62"/>
      <c r="W346" s="62"/>
      <c r="X346" s="62"/>
      <c r="Y346" s="62"/>
      <c r="Z346" s="62"/>
      <c r="AA346" s="62"/>
    </row>
    <row r="347">
      <c r="A347" s="96"/>
      <c r="B347" s="98"/>
      <c r="C347" s="99"/>
      <c r="D347" s="99"/>
      <c r="E347" s="111"/>
      <c r="F347" s="97"/>
      <c r="G347" s="97"/>
      <c r="H347" s="101"/>
      <c r="I347" s="62"/>
      <c r="J347" s="62"/>
      <c r="K347" s="58"/>
      <c r="L347" s="102"/>
      <c r="M347" s="103"/>
      <c r="N347" s="62"/>
      <c r="O347" s="101"/>
      <c r="P347" s="58"/>
      <c r="Q347" s="62"/>
      <c r="R347" s="62"/>
      <c r="S347" s="62"/>
      <c r="T347" s="62"/>
      <c r="U347" s="62"/>
      <c r="V347" s="62"/>
      <c r="W347" s="62"/>
      <c r="X347" s="62"/>
      <c r="Y347" s="62"/>
      <c r="Z347" s="62"/>
      <c r="AA347" s="62"/>
    </row>
    <row r="348">
      <c r="A348" s="96"/>
      <c r="B348" s="98"/>
      <c r="C348" s="99"/>
      <c r="D348" s="99"/>
      <c r="E348" s="111"/>
      <c r="F348" s="97"/>
      <c r="G348" s="97"/>
      <c r="H348" s="101"/>
      <c r="I348" s="62"/>
      <c r="J348" s="62"/>
      <c r="K348" s="58"/>
      <c r="L348" s="102"/>
      <c r="M348" s="103"/>
      <c r="N348" s="62"/>
      <c r="O348" s="101"/>
      <c r="P348" s="58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</row>
    <row r="349">
      <c r="A349" s="96"/>
      <c r="B349" s="98"/>
      <c r="C349" s="99"/>
      <c r="D349" s="99"/>
      <c r="E349" s="111"/>
      <c r="F349" s="97"/>
      <c r="G349" s="97"/>
      <c r="H349" s="101"/>
      <c r="I349" s="62"/>
      <c r="J349" s="62"/>
      <c r="K349" s="58"/>
      <c r="L349" s="102"/>
      <c r="M349" s="103"/>
      <c r="N349" s="62"/>
      <c r="O349" s="101"/>
      <c r="P349" s="58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</row>
    <row r="350">
      <c r="A350" s="96"/>
      <c r="B350" s="98"/>
      <c r="C350" s="99"/>
      <c r="D350" s="99"/>
      <c r="E350" s="111"/>
      <c r="F350" s="97"/>
      <c r="G350" s="97"/>
      <c r="H350" s="101"/>
      <c r="I350" s="62"/>
      <c r="J350" s="62"/>
      <c r="K350" s="58"/>
      <c r="L350" s="102"/>
      <c r="M350" s="103"/>
      <c r="N350" s="62"/>
      <c r="O350" s="101"/>
      <c r="P350" s="58"/>
      <c r="Q350" s="62"/>
      <c r="R350" s="62"/>
      <c r="S350" s="62"/>
      <c r="T350" s="62"/>
      <c r="U350" s="62"/>
      <c r="V350" s="62"/>
      <c r="W350" s="62"/>
      <c r="X350" s="62"/>
      <c r="Y350" s="62"/>
      <c r="Z350" s="62"/>
      <c r="AA350" s="62"/>
    </row>
    <row r="351">
      <c r="A351" s="96"/>
      <c r="B351" s="98"/>
      <c r="C351" s="99"/>
      <c r="D351" s="99"/>
      <c r="E351" s="111"/>
      <c r="F351" s="97"/>
      <c r="G351" s="97"/>
      <c r="H351" s="101"/>
      <c r="I351" s="62"/>
      <c r="J351" s="62"/>
      <c r="K351" s="58"/>
      <c r="L351" s="102"/>
      <c r="M351" s="103"/>
      <c r="N351" s="62"/>
      <c r="O351" s="101"/>
      <c r="P351" s="58"/>
      <c r="Q351" s="58"/>
      <c r="R351" s="62"/>
      <c r="S351" s="62"/>
      <c r="T351" s="62"/>
      <c r="U351" s="62"/>
      <c r="V351" s="62"/>
      <c r="W351" s="62"/>
      <c r="X351" s="62"/>
      <c r="Y351" s="62"/>
      <c r="Z351" s="62"/>
      <c r="AA351" s="62"/>
    </row>
    <row r="352">
      <c r="A352" s="96"/>
      <c r="B352" s="98"/>
      <c r="C352" s="99"/>
      <c r="D352" s="99"/>
      <c r="E352" s="111"/>
      <c r="F352" s="97"/>
      <c r="G352" s="97"/>
      <c r="H352" s="101"/>
      <c r="I352" s="62"/>
      <c r="J352" s="62"/>
      <c r="K352" s="58"/>
      <c r="L352" s="102"/>
      <c r="M352" s="103"/>
      <c r="N352" s="62"/>
      <c r="O352" s="101"/>
      <c r="P352" s="58"/>
      <c r="Q352" s="58"/>
      <c r="R352" s="62"/>
      <c r="S352" s="62"/>
      <c r="T352" s="62"/>
      <c r="U352" s="62"/>
      <c r="V352" s="62"/>
      <c r="W352" s="62"/>
      <c r="X352" s="62"/>
      <c r="Y352" s="62"/>
      <c r="Z352" s="62"/>
      <c r="AA352" s="62"/>
    </row>
    <row r="353">
      <c r="A353" s="96"/>
      <c r="B353" s="98"/>
      <c r="C353" s="99"/>
      <c r="D353" s="99"/>
      <c r="E353" s="111"/>
      <c r="F353" s="97"/>
      <c r="G353" s="97"/>
      <c r="H353" s="101"/>
      <c r="I353" s="62"/>
      <c r="J353" s="62"/>
      <c r="K353" s="58"/>
      <c r="L353" s="102"/>
      <c r="M353" s="103"/>
      <c r="N353" s="62"/>
      <c r="O353" s="101"/>
      <c r="P353" s="58"/>
      <c r="Q353" s="58"/>
      <c r="R353" s="62"/>
      <c r="S353" s="62"/>
      <c r="T353" s="62"/>
      <c r="U353" s="62"/>
      <c r="V353" s="62"/>
      <c r="W353" s="62"/>
      <c r="X353" s="62"/>
      <c r="Y353" s="62"/>
      <c r="Z353" s="62"/>
      <c r="AA353" s="62"/>
    </row>
    <row r="354">
      <c r="A354" s="96"/>
      <c r="B354" s="98"/>
      <c r="C354" s="99"/>
      <c r="D354" s="99"/>
      <c r="E354" s="111"/>
      <c r="F354" s="97"/>
      <c r="G354" s="97"/>
      <c r="H354" s="101"/>
      <c r="I354" s="58"/>
      <c r="J354" s="62"/>
      <c r="K354" s="58"/>
      <c r="L354" s="102"/>
      <c r="M354" s="103"/>
      <c r="N354" s="62"/>
      <c r="O354" s="101"/>
      <c r="P354" s="58"/>
      <c r="Q354" s="58"/>
      <c r="R354" s="58"/>
      <c r="S354" s="62"/>
      <c r="T354" s="62"/>
      <c r="U354" s="62"/>
      <c r="V354" s="62"/>
      <c r="W354" s="62"/>
      <c r="X354" s="62"/>
      <c r="Y354" s="62"/>
      <c r="Z354" s="62"/>
      <c r="AA354" s="62"/>
    </row>
    <row r="355">
      <c r="A355" s="96"/>
      <c r="B355" s="98"/>
      <c r="C355" s="99"/>
      <c r="D355" s="99"/>
      <c r="E355" s="111"/>
      <c r="F355" s="97"/>
      <c r="G355" s="97"/>
      <c r="H355" s="101"/>
      <c r="I355" s="62"/>
      <c r="J355" s="62"/>
      <c r="K355" s="58"/>
      <c r="L355" s="102"/>
      <c r="M355" s="103"/>
      <c r="N355" s="62"/>
      <c r="O355" s="101"/>
      <c r="P355" s="58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</row>
    <row r="356">
      <c r="A356" s="96"/>
      <c r="B356" s="98"/>
      <c r="C356" s="99"/>
      <c r="D356" s="99"/>
      <c r="E356" s="111"/>
      <c r="F356" s="97"/>
      <c r="G356" s="97"/>
      <c r="H356" s="101"/>
      <c r="I356" s="62"/>
      <c r="J356" s="62"/>
      <c r="K356" s="58"/>
      <c r="L356" s="102"/>
      <c r="M356" s="103"/>
      <c r="N356" s="62"/>
      <c r="O356" s="101"/>
      <c r="P356" s="58"/>
      <c r="Q356" s="58"/>
      <c r="R356" s="62"/>
      <c r="S356" s="62"/>
      <c r="T356" s="62"/>
      <c r="U356" s="62"/>
      <c r="V356" s="62"/>
      <c r="W356" s="62"/>
      <c r="X356" s="62"/>
      <c r="Y356" s="62"/>
      <c r="Z356" s="62"/>
      <c r="AA356" s="62"/>
    </row>
    <row r="357">
      <c r="A357" s="96"/>
      <c r="B357" s="98"/>
      <c r="C357" s="99"/>
      <c r="D357" s="99"/>
      <c r="E357" s="111"/>
      <c r="F357" s="97"/>
      <c r="G357" s="97"/>
      <c r="H357" s="101"/>
      <c r="I357" s="62"/>
      <c r="J357" s="62"/>
      <c r="K357" s="58"/>
      <c r="L357" s="102"/>
      <c r="M357" s="103"/>
      <c r="N357" s="62"/>
      <c r="O357" s="101"/>
      <c r="P357" s="58"/>
      <c r="Q357" s="58"/>
      <c r="R357" s="62"/>
      <c r="S357" s="62"/>
      <c r="T357" s="62"/>
      <c r="U357" s="62"/>
      <c r="V357" s="62"/>
      <c r="W357" s="62"/>
      <c r="X357" s="62"/>
      <c r="Y357" s="62"/>
      <c r="Z357" s="62"/>
      <c r="AA357" s="62"/>
    </row>
    <row r="358">
      <c r="A358" s="96"/>
      <c r="B358" s="98"/>
      <c r="C358" s="99"/>
      <c r="D358" s="99"/>
      <c r="E358" s="111"/>
      <c r="F358" s="97"/>
      <c r="G358" s="97"/>
      <c r="H358" s="101"/>
      <c r="I358" s="62"/>
      <c r="J358" s="62"/>
      <c r="K358" s="58"/>
      <c r="L358" s="102"/>
      <c r="M358" s="103"/>
      <c r="N358" s="62"/>
      <c r="O358" s="101"/>
      <c r="P358" s="58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</row>
    <row r="359">
      <c r="A359" s="96"/>
      <c r="B359" s="98"/>
      <c r="C359" s="99"/>
      <c r="D359" s="99"/>
      <c r="E359" s="111"/>
      <c r="F359" s="97"/>
      <c r="G359" s="97"/>
      <c r="H359" s="101"/>
      <c r="I359" s="62"/>
      <c r="J359" s="62"/>
      <c r="K359" s="58"/>
      <c r="L359" s="102"/>
      <c r="M359" s="103"/>
      <c r="N359" s="62"/>
      <c r="O359" s="101"/>
      <c r="P359" s="58"/>
      <c r="Q359" s="58"/>
      <c r="R359" s="62"/>
      <c r="S359" s="62"/>
      <c r="T359" s="62"/>
      <c r="U359" s="62"/>
      <c r="V359" s="62"/>
      <c r="W359" s="62"/>
      <c r="X359" s="62"/>
      <c r="Y359" s="62"/>
      <c r="Z359" s="62"/>
      <c r="AA359" s="62"/>
    </row>
    <row r="360">
      <c r="A360" s="96"/>
      <c r="B360" s="98"/>
      <c r="C360" s="99"/>
      <c r="D360" s="99"/>
      <c r="E360" s="111"/>
      <c r="F360" s="97"/>
      <c r="G360" s="97"/>
      <c r="H360" s="101"/>
      <c r="I360" s="62"/>
      <c r="J360" s="62"/>
      <c r="K360" s="58"/>
      <c r="L360" s="102"/>
      <c r="M360" s="103"/>
      <c r="N360" s="62"/>
      <c r="O360" s="101"/>
      <c r="P360" s="58"/>
      <c r="Q360" s="58"/>
      <c r="R360" s="62"/>
      <c r="S360" s="62"/>
      <c r="T360" s="62"/>
      <c r="U360" s="62"/>
      <c r="V360" s="62"/>
      <c r="W360" s="62"/>
      <c r="X360" s="62"/>
      <c r="Y360" s="62"/>
      <c r="Z360" s="62"/>
      <c r="AA360" s="62"/>
    </row>
    <row r="361">
      <c r="A361" s="96"/>
      <c r="B361" s="98"/>
      <c r="C361" s="99"/>
      <c r="D361" s="99"/>
      <c r="E361" s="111"/>
      <c r="F361" s="97"/>
      <c r="G361" s="97"/>
      <c r="H361" s="101"/>
      <c r="I361" s="62"/>
      <c r="J361" s="62"/>
      <c r="K361" s="58"/>
      <c r="L361" s="102"/>
      <c r="M361" s="103"/>
      <c r="N361" s="62"/>
      <c r="O361" s="101"/>
      <c r="P361" s="58"/>
      <c r="Q361" s="58"/>
      <c r="R361" s="62"/>
      <c r="S361" s="62"/>
      <c r="T361" s="62"/>
      <c r="U361" s="62"/>
      <c r="V361" s="62"/>
      <c r="W361" s="62"/>
      <c r="X361" s="62"/>
      <c r="Y361" s="62"/>
      <c r="Z361" s="62"/>
      <c r="AA361" s="62"/>
    </row>
    <row r="362">
      <c r="A362" s="96"/>
      <c r="B362" s="98"/>
      <c r="C362" s="99"/>
      <c r="D362" s="99"/>
      <c r="E362" s="111"/>
      <c r="F362" s="97"/>
      <c r="G362" s="97"/>
      <c r="H362" s="101"/>
      <c r="I362" s="62"/>
      <c r="J362" s="62"/>
      <c r="K362" s="58"/>
      <c r="L362" s="102"/>
      <c r="M362" s="103"/>
      <c r="N362" s="62"/>
      <c r="O362" s="101"/>
      <c r="P362" s="58"/>
      <c r="Q362" s="58"/>
      <c r="R362" s="62"/>
      <c r="S362" s="62"/>
      <c r="T362" s="62"/>
      <c r="U362" s="62"/>
      <c r="V362" s="62"/>
      <c r="W362" s="62"/>
      <c r="X362" s="62"/>
      <c r="Y362" s="62"/>
      <c r="Z362" s="62"/>
      <c r="AA362" s="62"/>
    </row>
    <row r="363">
      <c r="A363" s="96"/>
      <c r="B363" s="98"/>
      <c r="C363" s="99"/>
      <c r="D363" s="99"/>
      <c r="E363" s="111"/>
      <c r="F363" s="97"/>
      <c r="G363" s="97"/>
      <c r="H363" s="101"/>
      <c r="I363" s="62"/>
      <c r="J363" s="62"/>
      <c r="K363" s="58"/>
      <c r="L363" s="102"/>
      <c r="M363" s="103"/>
      <c r="N363" s="62"/>
      <c r="O363" s="101"/>
      <c r="P363" s="58"/>
      <c r="Q363" s="58"/>
      <c r="R363" s="62"/>
      <c r="S363" s="62"/>
      <c r="T363" s="62"/>
      <c r="U363" s="62"/>
      <c r="V363" s="62"/>
      <c r="W363" s="62"/>
      <c r="X363" s="62"/>
      <c r="Y363" s="62"/>
      <c r="Z363" s="62"/>
      <c r="AA363" s="62"/>
    </row>
    <row r="364">
      <c r="A364" s="96"/>
      <c r="B364" s="98"/>
      <c r="C364" s="99"/>
      <c r="D364" s="99"/>
      <c r="E364" s="111"/>
      <c r="F364" s="97"/>
      <c r="G364" s="97"/>
      <c r="H364" s="101"/>
      <c r="I364" s="62"/>
      <c r="J364" s="62"/>
      <c r="K364" s="58"/>
      <c r="L364" s="102"/>
      <c r="M364" s="103"/>
      <c r="N364" s="62"/>
      <c r="O364" s="101"/>
      <c r="P364" s="58"/>
      <c r="Q364" s="62"/>
      <c r="R364" s="62"/>
      <c r="S364" s="62"/>
      <c r="T364" s="62"/>
      <c r="U364" s="62"/>
      <c r="V364" s="62"/>
      <c r="W364" s="62"/>
      <c r="X364" s="62"/>
      <c r="Y364" s="62"/>
      <c r="Z364" s="62"/>
      <c r="AA364" s="62"/>
    </row>
    <row r="365">
      <c r="A365" s="96"/>
      <c r="B365" s="98"/>
      <c r="C365" s="99"/>
      <c r="D365" s="99"/>
      <c r="E365" s="111"/>
      <c r="F365" s="97"/>
      <c r="G365" s="97"/>
      <c r="H365" s="101"/>
      <c r="I365" s="62"/>
      <c r="J365" s="62"/>
      <c r="K365" s="58"/>
      <c r="L365" s="102"/>
      <c r="M365" s="103"/>
      <c r="N365" s="62"/>
      <c r="O365" s="101"/>
      <c r="P365" s="58"/>
      <c r="Q365" s="58"/>
      <c r="R365" s="62"/>
      <c r="S365" s="62"/>
      <c r="T365" s="62"/>
      <c r="U365" s="62"/>
      <c r="V365" s="62"/>
      <c r="W365" s="62"/>
      <c r="X365" s="62"/>
      <c r="Y365" s="62"/>
      <c r="Z365" s="62"/>
      <c r="AA365" s="62"/>
    </row>
    <row r="366">
      <c r="A366" s="96"/>
      <c r="B366" s="98"/>
      <c r="C366" s="99"/>
      <c r="D366" s="99"/>
      <c r="E366" s="111"/>
      <c r="F366" s="97"/>
      <c r="G366" s="97"/>
      <c r="H366" s="101"/>
      <c r="I366" s="62"/>
      <c r="J366" s="62"/>
      <c r="K366" s="58"/>
      <c r="L366" s="102"/>
      <c r="M366" s="103"/>
      <c r="N366" s="62"/>
      <c r="O366" s="101"/>
      <c r="P366" s="58"/>
      <c r="Q366" s="58"/>
      <c r="R366" s="62"/>
      <c r="S366" s="62"/>
      <c r="T366" s="62"/>
      <c r="U366" s="62"/>
      <c r="V366" s="62"/>
      <c r="W366" s="62"/>
      <c r="X366" s="62"/>
      <c r="Y366" s="62"/>
      <c r="Z366" s="62"/>
      <c r="AA366" s="62"/>
    </row>
    <row r="367">
      <c r="A367" s="96"/>
      <c r="B367" s="98"/>
      <c r="C367" s="99"/>
      <c r="D367" s="99"/>
      <c r="E367" s="111"/>
      <c r="F367" s="97"/>
      <c r="G367" s="97"/>
      <c r="H367" s="101"/>
      <c r="I367" s="62"/>
      <c r="J367" s="62"/>
      <c r="K367" s="58"/>
      <c r="L367" s="102"/>
      <c r="M367" s="103"/>
      <c r="N367" s="62"/>
      <c r="O367" s="101"/>
      <c r="P367" s="58"/>
      <c r="Q367" s="58"/>
      <c r="R367" s="62"/>
      <c r="S367" s="62"/>
      <c r="T367" s="62"/>
      <c r="U367" s="62"/>
      <c r="V367" s="62"/>
      <c r="W367" s="62"/>
      <c r="X367" s="62"/>
      <c r="Y367" s="62"/>
      <c r="Z367" s="62"/>
      <c r="AA367" s="62"/>
    </row>
    <row r="368">
      <c r="A368" s="96"/>
      <c r="B368" s="98"/>
      <c r="C368" s="99"/>
      <c r="D368" s="99"/>
      <c r="E368" s="111"/>
      <c r="F368" s="97"/>
      <c r="G368" s="97"/>
      <c r="H368" s="101"/>
      <c r="I368" s="62"/>
      <c r="J368" s="62"/>
      <c r="K368" s="58"/>
      <c r="L368" s="102"/>
      <c r="M368" s="103"/>
      <c r="N368" s="62"/>
      <c r="O368" s="101"/>
      <c r="P368" s="58"/>
      <c r="Q368" s="58"/>
      <c r="R368" s="62"/>
      <c r="S368" s="62"/>
      <c r="T368" s="62"/>
      <c r="U368" s="62"/>
      <c r="V368" s="62"/>
      <c r="W368" s="62"/>
      <c r="X368" s="62"/>
      <c r="Y368" s="62"/>
      <c r="Z368" s="62"/>
      <c r="AA368" s="62"/>
    </row>
    <row r="369">
      <c r="A369" s="96"/>
      <c r="B369" s="98"/>
      <c r="C369" s="99"/>
      <c r="D369" s="99"/>
      <c r="E369" s="111"/>
      <c r="F369" s="97"/>
      <c r="G369" s="97"/>
      <c r="H369" s="101"/>
      <c r="I369" s="62"/>
      <c r="J369" s="62"/>
      <c r="K369" s="58"/>
      <c r="L369" s="102"/>
      <c r="M369" s="103"/>
      <c r="N369" s="62"/>
      <c r="O369" s="101"/>
      <c r="P369" s="58"/>
      <c r="Q369" s="58"/>
      <c r="R369" s="62"/>
      <c r="S369" s="62"/>
      <c r="T369" s="62"/>
      <c r="U369" s="62"/>
      <c r="V369" s="62"/>
      <c r="W369" s="62"/>
      <c r="X369" s="62"/>
      <c r="Y369" s="62"/>
      <c r="Z369" s="62"/>
      <c r="AA369" s="62"/>
    </row>
    <row r="370">
      <c r="A370" s="96"/>
      <c r="B370" s="98"/>
      <c r="C370" s="99"/>
      <c r="D370" s="99"/>
      <c r="E370" s="111"/>
      <c r="F370" s="97"/>
      <c r="G370" s="97"/>
      <c r="H370" s="101"/>
      <c r="I370" s="62"/>
      <c r="J370" s="62"/>
      <c r="K370" s="58"/>
      <c r="L370" s="102"/>
      <c r="M370" s="103"/>
      <c r="N370" s="62"/>
      <c r="O370" s="101"/>
      <c r="P370" s="58"/>
      <c r="Q370" s="58"/>
      <c r="R370" s="62"/>
      <c r="S370" s="62"/>
      <c r="T370" s="62"/>
      <c r="U370" s="62"/>
      <c r="V370" s="62"/>
      <c r="W370" s="62"/>
      <c r="X370" s="62"/>
      <c r="Y370" s="62"/>
      <c r="Z370" s="62"/>
      <c r="AA370" s="62"/>
    </row>
    <row r="371">
      <c r="A371" s="96"/>
      <c r="B371" s="98"/>
      <c r="C371" s="99"/>
      <c r="D371" s="99"/>
      <c r="E371" s="111"/>
      <c r="F371" s="97"/>
      <c r="G371" s="97"/>
      <c r="H371" s="101"/>
      <c r="I371" s="62"/>
      <c r="J371" s="62"/>
      <c r="K371" s="58"/>
      <c r="L371" s="102"/>
      <c r="M371" s="103"/>
      <c r="N371" s="62"/>
      <c r="O371" s="101"/>
      <c r="P371" s="58"/>
      <c r="Q371" s="58"/>
      <c r="R371" s="62"/>
      <c r="S371" s="62"/>
      <c r="T371" s="62"/>
      <c r="U371" s="62"/>
      <c r="V371" s="62"/>
      <c r="W371" s="62"/>
      <c r="X371" s="62"/>
      <c r="Y371" s="62"/>
      <c r="Z371" s="62"/>
      <c r="AA371" s="62"/>
    </row>
    <row r="372">
      <c r="A372" s="96"/>
      <c r="B372" s="98"/>
      <c r="C372" s="99"/>
      <c r="D372" s="99"/>
      <c r="E372" s="111"/>
      <c r="F372" s="97"/>
      <c r="G372" s="97"/>
      <c r="H372" s="101"/>
      <c r="I372" s="62"/>
      <c r="J372" s="62"/>
      <c r="K372" s="58"/>
      <c r="L372" s="102"/>
      <c r="M372" s="103"/>
      <c r="N372" s="62"/>
      <c r="O372" s="101"/>
      <c r="P372" s="58"/>
      <c r="Q372" s="58"/>
      <c r="R372" s="62"/>
      <c r="S372" s="62"/>
      <c r="T372" s="62"/>
      <c r="U372" s="62"/>
      <c r="V372" s="62"/>
      <c r="W372" s="62"/>
      <c r="X372" s="62"/>
      <c r="Y372" s="62"/>
      <c r="Z372" s="62"/>
      <c r="AA372" s="62"/>
    </row>
    <row r="373">
      <c r="A373" s="96"/>
      <c r="B373" s="98"/>
      <c r="C373" s="99"/>
      <c r="D373" s="99"/>
      <c r="E373" s="111"/>
      <c r="F373" s="97"/>
      <c r="G373" s="97"/>
      <c r="H373" s="101"/>
      <c r="I373" s="62"/>
      <c r="J373" s="62"/>
      <c r="K373" s="58"/>
      <c r="L373" s="102"/>
      <c r="M373" s="103"/>
      <c r="N373" s="62"/>
      <c r="O373" s="101"/>
      <c r="P373" s="58"/>
      <c r="Q373" s="58"/>
      <c r="R373" s="62"/>
      <c r="S373" s="62"/>
      <c r="T373" s="62"/>
      <c r="U373" s="62"/>
      <c r="V373" s="62"/>
      <c r="W373" s="62"/>
      <c r="X373" s="62"/>
      <c r="Y373" s="62"/>
      <c r="Z373" s="62"/>
      <c r="AA373" s="62"/>
    </row>
    <row r="374">
      <c r="A374" s="96"/>
      <c r="B374" s="98"/>
      <c r="C374" s="99"/>
      <c r="D374" s="99"/>
      <c r="E374" s="111"/>
      <c r="F374" s="97"/>
      <c r="G374" s="97"/>
      <c r="H374" s="101"/>
      <c r="I374" s="62"/>
      <c r="J374" s="62"/>
      <c r="K374" s="58"/>
      <c r="L374" s="102"/>
      <c r="M374" s="103"/>
      <c r="N374" s="62"/>
      <c r="O374" s="101"/>
      <c r="P374" s="58"/>
      <c r="Q374" s="58"/>
      <c r="R374" s="62"/>
      <c r="S374" s="62"/>
      <c r="T374" s="62"/>
      <c r="U374" s="62"/>
      <c r="V374" s="62"/>
      <c r="W374" s="62"/>
      <c r="X374" s="62"/>
      <c r="Y374" s="62"/>
      <c r="Z374" s="62"/>
      <c r="AA374" s="62"/>
    </row>
    <row r="375">
      <c r="A375" s="96"/>
      <c r="B375" s="98"/>
      <c r="C375" s="99"/>
      <c r="D375" s="99"/>
      <c r="E375" s="111"/>
      <c r="F375" s="97"/>
      <c r="G375" s="97"/>
      <c r="H375" s="101"/>
      <c r="I375" s="62"/>
      <c r="J375" s="62"/>
      <c r="K375" s="58"/>
      <c r="L375" s="102"/>
      <c r="M375" s="103"/>
      <c r="N375" s="62"/>
      <c r="O375" s="101"/>
      <c r="P375" s="58"/>
      <c r="Q375" s="58"/>
      <c r="R375" s="62"/>
      <c r="S375" s="62"/>
      <c r="T375" s="62"/>
      <c r="U375" s="62"/>
      <c r="V375" s="62"/>
      <c r="W375" s="62"/>
      <c r="X375" s="62"/>
      <c r="Y375" s="62"/>
      <c r="Z375" s="62"/>
      <c r="AA375" s="62"/>
    </row>
    <row r="376">
      <c r="A376" s="96"/>
      <c r="B376" s="98"/>
      <c r="C376" s="99"/>
      <c r="D376" s="99"/>
      <c r="E376" s="111"/>
      <c r="F376" s="97"/>
      <c r="G376" s="97"/>
      <c r="H376" s="101"/>
      <c r="I376" s="62"/>
      <c r="J376" s="62"/>
      <c r="K376" s="58"/>
      <c r="L376" s="102"/>
      <c r="M376" s="103"/>
      <c r="N376" s="62"/>
      <c r="O376" s="101"/>
      <c r="P376" s="58"/>
      <c r="Q376" s="58"/>
      <c r="R376" s="62"/>
      <c r="S376" s="62"/>
      <c r="T376" s="62"/>
      <c r="U376" s="62"/>
      <c r="V376" s="62"/>
      <c r="W376" s="62"/>
      <c r="X376" s="62"/>
      <c r="Y376" s="62"/>
      <c r="Z376" s="62"/>
      <c r="AA376" s="62"/>
    </row>
    <row r="377">
      <c r="A377" s="96"/>
      <c r="B377" s="98"/>
      <c r="C377" s="99"/>
      <c r="D377" s="99"/>
      <c r="E377" s="111"/>
      <c r="F377" s="97"/>
      <c r="G377" s="97"/>
      <c r="H377" s="101"/>
      <c r="I377" s="62"/>
      <c r="J377" s="62"/>
      <c r="K377" s="58"/>
      <c r="L377" s="102"/>
      <c r="M377" s="103"/>
      <c r="N377" s="62"/>
      <c r="O377" s="101"/>
      <c r="P377" s="58"/>
      <c r="Q377" s="58"/>
      <c r="R377" s="62"/>
      <c r="S377" s="62"/>
      <c r="T377" s="62"/>
      <c r="U377" s="62"/>
      <c r="V377" s="62"/>
      <c r="W377" s="62"/>
      <c r="X377" s="62"/>
      <c r="Y377" s="62"/>
      <c r="Z377" s="62"/>
      <c r="AA377" s="62"/>
    </row>
    <row r="378">
      <c r="A378" s="96"/>
      <c r="B378" s="98"/>
      <c r="C378" s="99"/>
      <c r="D378" s="99"/>
      <c r="E378" s="111"/>
      <c r="F378" s="97"/>
      <c r="G378" s="97"/>
      <c r="H378" s="101"/>
      <c r="I378" s="62"/>
      <c r="J378" s="62"/>
      <c r="K378" s="58"/>
      <c r="L378" s="102"/>
      <c r="M378" s="103"/>
      <c r="N378" s="62"/>
      <c r="O378" s="101"/>
      <c r="P378" s="58"/>
      <c r="Q378" s="58"/>
      <c r="R378" s="62"/>
      <c r="S378" s="62"/>
      <c r="T378" s="62"/>
      <c r="U378" s="62"/>
      <c r="V378" s="62"/>
      <c r="W378" s="62"/>
      <c r="X378" s="62"/>
      <c r="Y378" s="62"/>
      <c r="Z378" s="62"/>
      <c r="AA378" s="62"/>
    </row>
    <row r="379">
      <c r="A379" s="96"/>
      <c r="B379" s="98"/>
      <c r="C379" s="99"/>
      <c r="D379" s="99"/>
      <c r="E379" s="111"/>
      <c r="F379" s="97"/>
      <c r="G379" s="97"/>
      <c r="H379" s="101"/>
      <c r="I379" s="62"/>
      <c r="J379" s="62"/>
      <c r="K379" s="58"/>
      <c r="L379" s="102"/>
      <c r="M379" s="103"/>
      <c r="N379" s="62"/>
      <c r="O379" s="101"/>
      <c r="P379" s="58"/>
      <c r="Q379" s="58"/>
      <c r="R379" s="62"/>
      <c r="S379" s="62"/>
      <c r="T379" s="62"/>
      <c r="U379" s="62"/>
      <c r="V379" s="62"/>
      <c r="W379" s="62"/>
      <c r="X379" s="62"/>
      <c r="Y379" s="62"/>
      <c r="Z379" s="62"/>
      <c r="AA379" s="62"/>
    </row>
    <row r="380">
      <c r="A380" s="96"/>
      <c r="B380" s="98"/>
      <c r="C380" s="99"/>
      <c r="D380" s="99"/>
      <c r="E380" s="111"/>
      <c r="F380" s="97"/>
      <c r="G380" s="97"/>
      <c r="H380" s="101"/>
      <c r="I380" s="62"/>
      <c r="J380" s="62"/>
      <c r="K380" s="58"/>
      <c r="L380" s="102"/>
      <c r="M380" s="103"/>
      <c r="N380" s="62"/>
      <c r="O380" s="101"/>
      <c r="P380" s="58"/>
      <c r="Q380" s="58"/>
      <c r="R380" s="62"/>
      <c r="S380" s="62"/>
      <c r="T380" s="62"/>
      <c r="U380" s="62"/>
      <c r="V380" s="62"/>
      <c r="W380" s="62"/>
      <c r="X380" s="62"/>
      <c r="Y380" s="62"/>
      <c r="Z380" s="62"/>
      <c r="AA380" s="62"/>
    </row>
    <row r="381">
      <c r="A381" s="96"/>
      <c r="B381" s="98"/>
      <c r="C381" s="99"/>
      <c r="D381" s="99"/>
      <c r="E381" s="111"/>
      <c r="F381" s="97"/>
      <c r="G381" s="97"/>
      <c r="H381" s="101"/>
      <c r="I381" s="62"/>
      <c r="J381" s="62"/>
      <c r="K381" s="58"/>
      <c r="L381" s="102"/>
      <c r="M381" s="103"/>
      <c r="N381" s="62"/>
      <c r="O381" s="101"/>
      <c r="P381" s="58"/>
      <c r="Q381" s="58"/>
      <c r="R381" s="62"/>
      <c r="S381" s="62"/>
      <c r="T381" s="62"/>
      <c r="U381" s="62"/>
      <c r="V381" s="62"/>
      <c r="W381" s="62"/>
      <c r="X381" s="62"/>
      <c r="Y381" s="62"/>
      <c r="Z381" s="62"/>
      <c r="AA381" s="62"/>
    </row>
    <row r="382">
      <c r="A382" s="96"/>
      <c r="B382" s="98"/>
      <c r="C382" s="99"/>
      <c r="D382" s="99"/>
      <c r="E382" s="111"/>
      <c r="F382" s="97"/>
      <c r="G382" s="97"/>
      <c r="H382" s="101"/>
      <c r="I382" s="62"/>
      <c r="J382" s="62"/>
      <c r="K382" s="58"/>
      <c r="L382" s="102"/>
      <c r="M382" s="103"/>
      <c r="N382" s="62"/>
      <c r="O382" s="101"/>
      <c r="P382" s="58"/>
      <c r="Q382" s="62"/>
      <c r="R382" s="62"/>
      <c r="S382" s="62"/>
      <c r="T382" s="62"/>
      <c r="U382" s="62"/>
      <c r="V382" s="62"/>
      <c r="W382" s="62"/>
      <c r="X382" s="62"/>
      <c r="Y382" s="62"/>
      <c r="Z382" s="62"/>
      <c r="AA382" s="62"/>
    </row>
    <row r="383">
      <c r="A383" s="96"/>
      <c r="B383" s="98"/>
      <c r="C383" s="99"/>
      <c r="D383" s="99"/>
      <c r="E383" s="111"/>
      <c r="F383" s="97"/>
      <c r="G383" s="97"/>
      <c r="H383" s="101"/>
      <c r="I383" s="62"/>
      <c r="J383" s="62"/>
      <c r="K383" s="58"/>
      <c r="L383" s="102"/>
      <c r="M383" s="103"/>
      <c r="N383" s="62"/>
      <c r="O383" s="101"/>
      <c r="P383" s="58"/>
      <c r="Q383" s="62"/>
      <c r="R383" s="62"/>
      <c r="S383" s="62"/>
      <c r="T383" s="62"/>
      <c r="U383" s="62"/>
      <c r="V383" s="62"/>
      <c r="W383" s="62"/>
      <c r="X383" s="62"/>
      <c r="Y383" s="62"/>
      <c r="Z383" s="62"/>
      <c r="AA383" s="62"/>
    </row>
    <row r="384">
      <c r="A384" s="96"/>
      <c r="B384" s="98"/>
      <c r="C384" s="99"/>
      <c r="D384" s="99"/>
      <c r="E384" s="111"/>
      <c r="F384" s="97"/>
      <c r="G384" s="97"/>
      <c r="H384" s="101"/>
      <c r="I384" s="62"/>
      <c r="J384" s="62"/>
      <c r="K384" s="58"/>
      <c r="L384" s="102"/>
      <c r="M384" s="103"/>
      <c r="N384" s="62"/>
      <c r="O384" s="101"/>
      <c r="P384" s="58"/>
      <c r="Q384" s="62"/>
      <c r="R384" s="62"/>
      <c r="S384" s="62"/>
      <c r="T384" s="62"/>
      <c r="U384" s="62"/>
      <c r="V384" s="62"/>
      <c r="W384" s="62"/>
      <c r="X384" s="62"/>
      <c r="Y384" s="62"/>
      <c r="Z384" s="62"/>
      <c r="AA384" s="62"/>
    </row>
    <row r="385">
      <c r="A385" s="96"/>
      <c r="B385" s="98"/>
      <c r="C385" s="99"/>
      <c r="D385" s="99"/>
      <c r="E385" s="111"/>
      <c r="F385" s="97"/>
      <c r="G385" s="97"/>
      <c r="H385" s="101"/>
      <c r="I385" s="62"/>
      <c r="J385" s="62"/>
      <c r="K385" s="58"/>
      <c r="L385" s="102"/>
      <c r="M385" s="103"/>
      <c r="N385" s="62"/>
      <c r="O385" s="101"/>
      <c r="P385" s="58"/>
      <c r="Q385" s="62"/>
      <c r="R385" s="62"/>
      <c r="S385" s="62"/>
      <c r="T385" s="62"/>
      <c r="U385" s="62"/>
      <c r="V385" s="62"/>
      <c r="W385" s="62"/>
      <c r="X385" s="62"/>
      <c r="Y385" s="62"/>
      <c r="Z385" s="62"/>
      <c r="AA385" s="62"/>
    </row>
    <row r="386">
      <c r="A386" s="96"/>
      <c r="B386" s="98"/>
      <c r="C386" s="99"/>
      <c r="D386" s="99"/>
      <c r="E386" s="111"/>
      <c r="F386" s="97"/>
      <c r="G386" s="97"/>
      <c r="H386" s="101"/>
      <c r="I386" s="62"/>
      <c r="J386" s="62"/>
      <c r="K386" s="58"/>
      <c r="L386" s="102"/>
      <c r="M386" s="103"/>
      <c r="N386" s="62"/>
      <c r="O386" s="101"/>
      <c r="P386" s="58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</row>
    <row r="387">
      <c r="A387" s="96"/>
      <c r="B387" s="98"/>
      <c r="C387" s="99"/>
      <c r="D387" s="99"/>
      <c r="E387" s="111"/>
      <c r="F387" s="97"/>
      <c r="G387" s="97"/>
      <c r="H387" s="101"/>
      <c r="I387" s="62"/>
      <c r="J387" s="62"/>
      <c r="K387" s="58"/>
      <c r="L387" s="102"/>
      <c r="M387" s="103"/>
      <c r="N387" s="62"/>
      <c r="O387" s="101"/>
      <c r="P387" s="58"/>
      <c r="Q387" s="58"/>
      <c r="R387" s="62"/>
      <c r="S387" s="62"/>
      <c r="T387" s="62"/>
      <c r="U387" s="62"/>
      <c r="V387" s="62"/>
      <c r="W387" s="62"/>
      <c r="X387" s="62"/>
      <c r="Y387" s="62"/>
      <c r="Z387" s="62"/>
      <c r="AA387" s="62"/>
    </row>
    <row r="388">
      <c r="A388" s="96"/>
      <c r="B388" s="98"/>
      <c r="C388" s="99"/>
      <c r="D388" s="99"/>
      <c r="E388" s="111"/>
      <c r="F388" s="97"/>
      <c r="G388" s="97"/>
      <c r="H388" s="101"/>
      <c r="I388" s="62"/>
      <c r="J388" s="62"/>
      <c r="K388" s="58"/>
      <c r="L388" s="102"/>
      <c r="M388" s="103"/>
      <c r="N388" s="62"/>
      <c r="O388" s="101"/>
      <c r="P388" s="58"/>
      <c r="Q388" s="58"/>
      <c r="R388" s="62"/>
      <c r="S388" s="62"/>
      <c r="T388" s="62"/>
      <c r="U388" s="62"/>
      <c r="V388" s="62"/>
      <c r="W388" s="62"/>
      <c r="X388" s="62"/>
      <c r="Y388" s="62"/>
      <c r="Z388" s="62"/>
      <c r="AA388" s="62"/>
    </row>
    <row r="389">
      <c r="A389" s="96"/>
      <c r="B389" s="98"/>
      <c r="C389" s="99"/>
      <c r="D389" s="99"/>
      <c r="E389" s="111"/>
      <c r="F389" s="97"/>
      <c r="G389" s="97"/>
      <c r="H389" s="101"/>
      <c r="I389" s="62"/>
      <c r="J389" s="62"/>
      <c r="K389" s="58"/>
      <c r="L389" s="102"/>
      <c r="M389" s="103"/>
      <c r="N389" s="62"/>
      <c r="O389" s="101"/>
      <c r="P389" s="58"/>
      <c r="Q389" s="58"/>
      <c r="R389" s="62"/>
      <c r="S389" s="62"/>
      <c r="T389" s="62"/>
      <c r="U389" s="62"/>
      <c r="V389" s="62"/>
      <c r="W389" s="62"/>
      <c r="X389" s="62"/>
      <c r="Y389" s="62"/>
      <c r="Z389" s="62"/>
      <c r="AA389" s="62"/>
    </row>
    <row r="390">
      <c r="A390" s="96"/>
      <c r="B390" s="98"/>
      <c r="C390" s="99"/>
      <c r="D390" s="99"/>
      <c r="E390" s="111"/>
      <c r="F390" s="97"/>
      <c r="G390" s="97"/>
      <c r="H390" s="101"/>
      <c r="I390" s="62"/>
      <c r="J390" s="62"/>
      <c r="K390" s="58"/>
      <c r="L390" s="102"/>
      <c r="M390" s="103"/>
      <c r="N390" s="62"/>
      <c r="O390" s="101"/>
      <c r="P390" s="58"/>
      <c r="Q390" s="58"/>
      <c r="R390" s="62"/>
      <c r="S390" s="62"/>
      <c r="T390" s="62"/>
      <c r="U390" s="62"/>
      <c r="V390" s="62"/>
      <c r="W390" s="62"/>
      <c r="X390" s="62"/>
      <c r="Y390" s="62"/>
      <c r="Z390" s="62"/>
      <c r="AA390" s="62"/>
    </row>
    <row r="391">
      <c r="A391" s="96"/>
      <c r="B391" s="98"/>
      <c r="C391" s="99"/>
      <c r="D391" s="99"/>
      <c r="E391" s="111"/>
      <c r="F391" s="97"/>
      <c r="G391" s="97"/>
      <c r="H391" s="101"/>
      <c r="I391" s="62"/>
      <c r="J391" s="62"/>
      <c r="K391" s="58"/>
      <c r="L391" s="102"/>
      <c r="M391" s="103"/>
      <c r="N391" s="62"/>
      <c r="O391" s="101"/>
      <c r="P391" s="58"/>
      <c r="Q391" s="58"/>
      <c r="R391" s="62"/>
      <c r="S391" s="62"/>
      <c r="T391" s="62"/>
      <c r="U391" s="62"/>
      <c r="V391" s="62"/>
      <c r="W391" s="62"/>
      <c r="X391" s="62"/>
      <c r="Y391" s="62"/>
      <c r="Z391" s="62"/>
      <c r="AA391" s="62"/>
    </row>
    <row r="392">
      <c r="A392" s="96"/>
      <c r="B392" s="98"/>
      <c r="C392" s="99"/>
      <c r="D392" s="99"/>
      <c r="E392" s="111"/>
      <c r="F392" s="97"/>
      <c r="G392" s="97"/>
      <c r="H392" s="101"/>
      <c r="I392" s="62"/>
      <c r="J392" s="62"/>
      <c r="K392" s="58"/>
      <c r="L392" s="102"/>
      <c r="M392" s="103"/>
      <c r="N392" s="62"/>
      <c r="O392" s="101"/>
      <c r="P392" s="58"/>
      <c r="Q392" s="58"/>
      <c r="R392" s="62"/>
      <c r="S392" s="62"/>
      <c r="T392" s="62"/>
      <c r="U392" s="62"/>
      <c r="V392" s="62"/>
      <c r="W392" s="62"/>
      <c r="X392" s="62"/>
      <c r="Y392" s="62"/>
      <c r="Z392" s="62"/>
      <c r="AA392" s="62"/>
    </row>
    <row r="393">
      <c r="A393" s="96"/>
      <c r="B393" s="98"/>
      <c r="C393" s="99"/>
      <c r="D393" s="99"/>
      <c r="E393" s="111"/>
      <c r="F393" s="97"/>
      <c r="G393" s="97"/>
      <c r="H393" s="101"/>
      <c r="I393" s="62"/>
      <c r="J393" s="62"/>
      <c r="K393" s="58"/>
      <c r="L393" s="102"/>
      <c r="M393" s="103"/>
      <c r="N393" s="62"/>
      <c r="O393" s="101"/>
      <c r="P393" s="58"/>
      <c r="Q393" s="58"/>
      <c r="R393" s="62"/>
      <c r="S393" s="62"/>
      <c r="T393" s="62"/>
      <c r="U393" s="62"/>
      <c r="V393" s="62"/>
      <c r="W393" s="62"/>
      <c r="X393" s="62"/>
      <c r="Y393" s="62"/>
      <c r="Z393" s="62"/>
      <c r="AA393" s="62"/>
    </row>
    <row r="394">
      <c r="A394" s="96"/>
      <c r="B394" s="98"/>
      <c r="C394" s="99"/>
      <c r="D394" s="99"/>
      <c r="E394" s="111"/>
      <c r="F394" s="97"/>
      <c r="G394" s="97"/>
      <c r="H394" s="101"/>
      <c r="I394" s="62"/>
      <c r="J394" s="62"/>
      <c r="K394" s="58"/>
      <c r="L394" s="102"/>
      <c r="M394" s="103"/>
      <c r="N394" s="62"/>
      <c r="O394" s="101"/>
      <c r="P394" s="58"/>
      <c r="Q394" s="58"/>
      <c r="R394" s="62"/>
      <c r="S394" s="62"/>
      <c r="T394" s="62"/>
      <c r="U394" s="62"/>
      <c r="V394" s="62"/>
      <c r="W394" s="62"/>
      <c r="X394" s="62"/>
      <c r="Y394" s="62"/>
      <c r="Z394" s="62"/>
      <c r="AA394" s="62"/>
    </row>
    <row r="395">
      <c r="A395" s="96"/>
      <c r="B395" s="98"/>
      <c r="C395" s="99"/>
      <c r="D395" s="99"/>
      <c r="E395" s="111"/>
      <c r="F395" s="97"/>
      <c r="G395" s="97"/>
      <c r="H395" s="101"/>
      <c r="I395" s="62"/>
      <c r="J395" s="62"/>
      <c r="K395" s="58"/>
      <c r="L395" s="102"/>
      <c r="M395" s="103"/>
      <c r="N395" s="62"/>
      <c r="O395" s="101"/>
      <c r="P395" s="58"/>
      <c r="Q395" s="58"/>
      <c r="R395" s="62"/>
      <c r="S395" s="62"/>
      <c r="T395" s="62"/>
      <c r="U395" s="62"/>
      <c r="V395" s="62"/>
      <c r="W395" s="62"/>
      <c r="X395" s="62"/>
      <c r="Y395" s="62"/>
      <c r="Z395" s="62"/>
      <c r="AA395" s="62"/>
    </row>
    <row r="396">
      <c r="A396" s="96"/>
      <c r="B396" s="98"/>
      <c r="C396" s="99"/>
      <c r="D396" s="99"/>
      <c r="E396" s="111"/>
      <c r="F396" s="97"/>
      <c r="G396" s="97"/>
      <c r="H396" s="101"/>
      <c r="I396" s="62"/>
      <c r="J396" s="62"/>
      <c r="K396" s="58"/>
      <c r="L396" s="102"/>
      <c r="M396" s="103"/>
      <c r="N396" s="62"/>
      <c r="O396" s="101"/>
      <c r="P396" s="58"/>
      <c r="Q396" s="58"/>
      <c r="R396" s="62"/>
      <c r="S396" s="62"/>
      <c r="T396" s="62"/>
      <c r="U396" s="62"/>
      <c r="V396" s="62"/>
      <c r="W396" s="62"/>
      <c r="X396" s="62"/>
      <c r="Y396" s="62"/>
      <c r="Z396" s="62"/>
      <c r="AA396" s="62"/>
    </row>
    <row r="397">
      <c r="A397" s="96"/>
      <c r="B397" s="98"/>
      <c r="C397" s="99"/>
      <c r="D397" s="99"/>
      <c r="E397" s="111"/>
      <c r="F397" s="97"/>
      <c r="G397" s="97"/>
      <c r="H397" s="101"/>
      <c r="I397" s="62"/>
      <c r="J397" s="62"/>
      <c r="K397" s="58"/>
      <c r="L397" s="102"/>
      <c r="M397" s="103"/>
      <c r="N397" s="62"/>
      <c r="O397" s="101"/>
      <c r="P397" s="58"/>
      <c r="Q397" s="58"/>
      <c r="R397" s="62"/>
      <c r="S397" s="62"/>
      <c r="T397" s="62"/>
      <c r="U397" s="62"/>
      <c r="V397" s="62"/>
      <c r="W397" s="62"/>
      <c r="X397" s="62"/>
      <c r="Y397" s="62"/>
      <c r="Z397" s="62"/>
      <c r="AA397" s="62"/>
    </row>
    <row r="398">
      <c r="A398" s="96"/>
      <c r="B398" s="98"/>
      <c r="C398" s="99"/>
      <c r="D398" s="99"/>
      <c r="E398" s="111"/>
      <c r="F398" s="97"/>
      <c r="G398" s="97"/>
      <c r="H398" s="101"/>
      <c r="I398" s="62"/>
      <c r="J398" s="62"/>
      <c r="K398" s="58"/>
      <c r="L398" s="102"/>
      <c r="M398" s="103"/>
      <c r="N398" s="62"/>
      <c r="O398" s="101"/>
      <c r="P398" s="58"/>
      <c r="Q398" s="58"/>
      <c r="R398" s="62"/>
      <c r="S398" s="62"/>
      <c r="T398" s="62"/>
      <c r="U398" s="62"/>
      <c r="V398" s="62"/>
      <c r="W398" s="62"/>
      <c r="X398" s="62"/>
      <c r="Y398" s="62"/>
      <c r="Z398" s="62"/>
      <c r="AA398" s="62"/>
    </row>
    <row r="399">
      <c r="A399" s="96"/>
      <c r="B399" s="98"/>
      <c r="C399" s="99"/>
      <c r="D399" s="99"/>
      <c r="E399" s="111"/>
      <c r="F399" s="97"/>
      <c r="G399" s="97"/>
      <c r="H399" s="101"/>
      <c r="I399" s="62"/>
      <c r="J399" s="62"/>
      <c r="K399" s="58"/>
      <c r="L399" s="102"/>
      <c r="M399" s="103"/>
      <c r="N399" s="62"/>
      <c r="O399" s="101"/>
      <c r="P399" s="58"/>
      <c r="Q399" s="58"/>
      <c r="R399" s="62"/>
      <c r="S399" s="62"/>
      <c r="T399" s="62"/>
      <c r="U399" s="62"/>
      <c r="V399" s="62"/>
      <c r="W399" s="62"/>
      <c r="X399" s="62"/>
      <c r="Y399" s="62"/>
      <c r="Z399" s="62"/>
      <c r="AA399" s="62"/>
    </row>
    <row r="400">
      <c r="A400" s="96"/>
      <c r="B400" s="98"/>
      <c r="C400" s="99"/>
      <c r="D400" s="99"/>
      <c r="E400" s="111"/>
      <c r="F400" s="97"/>
      <c r="G400" s="97"/>
      <c r="H400" s="101"/>
      <c r="I400" s="62"/>
      <c r="J400" s="62"/>
      <c r="K400" s="58"/>
      <c r="L400" s="102"/>
      <c r="M400" s="103"/>
      <c r="N400" s="62"/>
      <c r="O400" s="101"/>
      <c r="P400" s="58"/>
      <c r="Q400" s="58"/>
      <c r="R400" s="62"/>
      <c r="S400" s="62"/>
      <c r="T400" s="62"/>
      <c r="U400" s="62"/>
      <c r="V400" s="62"/>
      <c r="W400" s="62"/>
      <c r="X400" s="62"/>
      <c r="Y400" s="62"/>
      <c r="Z400" s="62"/>
      <c r="AA400" s="62"/>
    </row>
    <row r="401">
      <c r="A401" s="96"/>
      <c r="B401" s="98"/>
      <c r="C401" s="99"/>
      <c r="D401" s="99"/>
      <c r="E401" s="111"/>
      <c r="F401" s="97"/>
      <c r="G401" s="97"/>
      <c r="H401" s="101"/>
      <c r="I401" s="62"/>
      <c r="J401" s="62"/>
      <c r="K401" s="58"/>
      <c r="L401" s="102"/>
      <c r="M401" s="103"/>
      <c r="N401" s="62"/>
      <c r="O401" s="101"/>
      <c r="P401" s="58"/>
      <c r="Q401" s="58"/>
      <c r="R401" s="62"/>
      <c r="S401" s="62"/>
      <c r="T401" s="62"/>
      <c r="U401" s="62"/>
      <c r="V401" s="62"/>
      <c r="W401" s="62"/>
      <c r="X401" s="62"/>
      <c r="Y401" s="62"/>
      <c r="Z401" s="62"/>
      <c r="AA401" s="62"/>
    </row>
    <row r="402">
      <c r="A402" s="96"/>
      <c r="B402" s="98"/>
      <c r="C402" s="99"/>
      <c r="D402" s="99"/>
      <c r="E402" s="111"/>
      <c r="F402" s="97"/>
      <c r="G402" s="97"/>
      <c r="H402" s="101"/>
      <c r="I402" s="62"/>
      <c r="J402" s="62"/>
      <c r="K402" s="58"/>
      <c r="L402" s="102"/>
      <c r="M402" s="103"/>
      <c r="N402" s="62"/>
      <c r="O402" s="101"/>
      <c r="P402" s="58"/>
      <c r="Q402" s="58"/>
      <c r="R402" s="62"/>
      <c r="S402" s="62"/>
      <c r="T402" s="62"/>
      <c r="U402" s="62"/>
      <c r="V402" s="62"/>
      <c r="W402" s="62"/>
      <c r="X402" s="62"/>
      <c r="Y402" s="62"/>
      <c r="Z402" s="62"/>
      <c r="AA402" s="62"/>
    </row>
    <row r="403">
      <c r="A403" s="96"/>
      <c r="B403" s="98"/>
      <c r="C403" s="99"/>
      <c r="D403" s="99"/>
      <c r="E403" s="111"/>
      <c r="F403" s="97"/>
      <c r="G403" s="97"/>
      <c r="H403" s="101"/>
      <c r="I403" s="62"/>
      <c r="J403" s="62"/>
      <c r="K403" s="58"/>
      <c r="L403" s="102"/>
      <c r="M403" s="103"/>
      <c r="N403" s="62"/>
      <c r="O403" s="101"/>
      <c r="P403" s="58"/>
      <c r="Q403" s="58"/>
      <c r="R403" s="62"/>
      <c r="S403" s="62"/>
      <c r="T403" s="62"/>
      <c r="U403" s="62"/>
      <c r="V403" s="62"/>
      <c r="W403" s="62"/>
      <c r="X403" s="62"/>
      <c r="Y403" s="62"/>
      <c r="Z403" s="62"/>
      <c r="AA403" s="62"/>
    </row>
    <row r="404">
      <c r="A404" s="96"/>
      <c r="B404" s="98"/>
      <c r="C404" s="99"/>
      <c r="D404" s="99"/>
      <c r="E404" s="111"/>
      <c r="F404" s="97"/>
      <c r="G404" s="97"/>
      <c r="H404" s="101"/>
      <c r="I404" s="62"/>
      <c r="J404" s="62"/>
      <c r="K404" s="58"/>
      <c r="L404" s="102"/>
      <c r="M404" s="103"/>
      <c r="N404" s="62"/>
      <c r="O404" s="101"/>
      <c r="P404" s="58"/>
      <c r="Q404" s="58"/>
      <c r="R404" s="62"/>
      <c r="S404" s="62"/>
      <c r="T404" s="62"/>
      <c r="U404" s="62"/>
      <c r="V404" s="62"/>
      <c r="W404" s="62"/>
      <c r="X404" s="62"/>
      <c r="Y404" s="62"/>
      <c r="Z404" s="62"/>
      <c r="AA404" s="62"/>
    </row>
    <row r="405">
      <c r="A405" s="96"/>
      <c r="B405" s="98"/>
      <c r="C405" s="99"/>
      <c r="D405" s="99"/>
      <c r="E405" s="111"/>
      <c r="F405" s="97"/>
      <c r="G405" s="97"/>
      <c r="H405" s="101"/>
      <c r="I405" s="62"/>
      <c r="J405" s="62"/>
      <c r="K405" s="58"/>
      <c r="L405" s="102"/>
      <c r="M405" s="103"/>
      <c r="N405" s="62"/>
      <c r="O405" s="101"/>
      <c r="P405" s="58"/>
      <c r="Q405" s="58"/>
      <c r="R405" s="62"/>
      <c r="S405" s="62"/>
      <c r="T405" s="62"/>
      <c r="U405" s="62"/>
      <c r="V405" s="62"/>
      <c r="W405" s="62"/>
      <c r="X405" s="62"/>
      <c r="Y405" s="62"/>
      <c r="Z405" s="62"/>
      <c r="AA405" s="62"/>
    </row>
    <row r="406">
      <c r="A406" s="96"/>
      <c r="B406" s="98"/>
      <c r="C406" s="99"/>
      <c r="D406" s="99"/>
      <c r="E406" s="111"/>
      <c r="F406" s="97"/>
      <c r="G406" s="97"/>
      <c r="H406" s="101"/>
      <c r="I406" s="62"/>
      <c r="J406" s="62"/>
      <c r="K406" s="58"/>
      <c r="L406" s="102"/>
      <c r="M406" s="103"/>
      <c r="N406" s="62"/>
      <c r="O406" s="101"/>
      <c r="P406" s="58"/>
      <c r="Q406" s="58"/>
      <c r="R406" s="62"/>
      <c r="S406" s="62"/>
      <c r="T406" s="62"/>
      <c r="U406" s="62"/>
      <c r="V406" s="62"/>
      <c r="W406" s="62"/>
      <c r="X406" s="62"/>
      <c r="Y406" s="62"/>
      <c r="Z406" s="62"/>
      <c r="AA406" s="62"/>
    </row>
    <row r="407">
      <c r="A407" s="96"/>
      <c r="B407" s="98"/>
      <c r="C407" s="99"/>
      <c r="D407" s="99"/>
      <c r="E407" s="111"/>
      <c r="F407" s="97"/>
      <c r="G407" s="97"/>
      <c r="H407" s="101"/>
      <c r="I407" s="62"/>
      <c r="J407" s="62"/>
      <c r="K407" s="58"/>
      <c r="L407" s="102"/>
      <c r="M407" s="103"/>
      <c r="N407" s="62"/>
      <c r="O407" s="101"/>
      <c r="P407" s="58"/>
      <c r="Q407" s="58"/>
      <c r="R407" s="62"/>
      <c r="S407" s="62"/>
      <c r="T407" s="62"/>
      <c r="U407" s="62"/>
      <c r="V407" s="62"/>
      <c r="W407" s="62"/>
      <c r="X407" s="62"/>
      <c r="Y407" s="62"/>
      <c r="Z407" s="62"/>
      <c r="AA407" s="62"/>
    </row>
    <row r="408">
      <c r="A408" s="96"/>
      <c r="B408" s="98"/>
      <c r="C408" s="99"/>
      <c r="D408" s="99"/>
      <c r="E408" s="111"/>
      <c r="F408" s="97"/>
      <c r="G408" s="97"/>
      <c r="H408" s="101"/>
      <c r="I408" s="62"/>
      <c r="J408" s="62"/>
      <c r="K408" s="58"/>
      <c r="L408" s="102"/>
      <c r="M408" s="103"/>
      <c r="N408" s="62"/>
      <c r="O408" s="101"/>
      <c r="P408" s="58"/>
      <c r="Q408" s="58"/>
      <c r="R408" s="62"/>
      <c r="S408" s="62"/>
      <c r="T408" s="62"/>
      <c r="U408" s="62"/>
      <c r="V408" s="62"/>
      <c r="W408" s="62"/>
      <c r="X408" s="62"/>
      <c r="Y408" s="62"/>
      <c r="Z408" s="62"/>
      <c r="AA408" s="62"/>
    </row>
    <row r="409">
      <c r="A409" s="96"/>
      <c r="B409" s="98"/>
      <c r="C409" s="99"/>
      <c r="D409" s="99"/>
      <c r="E409" s="111"/>
      <c r="F409" s="97"/>
      <c r="G409" s="97"/>
      <c r="H409" s="101"/>
      <c r="I409" s="62"/>
      <c r="J409" s="62"/>
      <c r="K409" s="58"/>
      <c r="L409" s="102"/>
      <c r="M409" s="103"/>
      <c r="N409" s="62"/>
      <c r="O409" s="101"/>
      <c r="P409" s="58"/>
      <c r="Q409" s="58"/>
      <c r="R409" s="62"/>
      <c r="S409" s="62"/>
      <c r="T409" s="62"/>
      <c r="U409" s="62"/>
      <c r="V409" s="62"/>
      <c r="W409" s="62"/>
      <c r="X409" s="62"/>
      <c r="Y409" s="62"/>
      <c r="Z409" s="62"/>
      <c r="AA409" s="62"/>
    </row>
    <row r="410">
      <c r="A410" s="96"/>
      <c r="B410" s="98"/>
      <c r="C410" s="99"/>
      <c r="D410" s="99"/>
      <c r="E410" s="111"/>
      <c r="F410" s="97"/>
      <c r="G410" s="97"/>
      <c r="H410" s="101"/>
      <c r="I410" s="62"/>
      <c r="J410" s="62"/>
      <c r="K410" s="58"/>
      <c r="L410" s="102"/>
      <c r="M410" s="103"/>
      <c r="N410" s="62"/>
      <c r="O410" s="101"/>
      <c r="P410" s="58"/>
      <c r="Q410" s="58"/>
      <c r="R410" s="62"/>
      <c r="S410" s="62"/>
      <c r="T410" s="62"/>
      <c r="U410" s="62"/>
      <c r="V410" s="62"/>
      <c r="W410" s="62"/>
      <c r="X410" s="62"/>
      <c r="Y410" s="62"/>
      <c r="Z410" s="62"/>
      <c r="AA410" s="62"/>
    </row>
    <row r="411">
      <c r="A411" s="96"/>
      <c r="B411" s="98"/>
      <c r="C411" s="99"/>
      <c r="D411" s="99"/>
      <c r="E411" s="111"/>
      <c r="F411" s="97"/>
      <c r="G411" s="97"/>
      <c r="H411" s="101"/>
      <c r="I411" s="62"/>
      <c r="J411" s="62"/>
      <c r="K411" s="58"/>
      <c r="L411" s="102"/>
      <c r="M411" s="103"/>
      <c r="N411" s="62"/>
      <c r="O411" s="101"/>
      <c r="P411" s="58"/>
      <c r="Q411" s="58"/>
      <c r="R411" s="62"/>
      <c r="S411" s="62"/>
      <c r="T411" s="62"/>
      <c r="U411" s="62"/>
      <c r="V411" s="62"/>
      <c r="W411" s="62"/>
      <c r="X411" s="62"/>
      <c r="Y411" s="62"/>
      <c r="Z411" s="62"/>
      <c r="AA411" s="62"/>
    </row>
    <row r="412">
      <c r="A412" s="96"/>
      <c r="B412" s="98"/>
      <c r="C412" s="99"/>
      <c r="D412" s="99"/>
      <c r="E412" s="111"/>
      <c r="F412" s="97"/>
      <c r="G412" s="97"/>
      <c r="H412" s="101"/>
      <c r="I412" s="62"/>
      <c r="J412" s="62"/>
      <c r="K412" s="58"/>
      <c r="L412" s="102"/>
      <c r="M412" s="103"/>
      <c r="N412" s="62"/>
      <c r="O412" s="101"/>
      <c r="P412" s="58"/>
      <c r="Q412" s="58"/>
      <c r="R412" s="62"/>
      <c r="S412" s="62"/>
      <c r="T412" s="62"/>
      <c r="U412" s="62"/>
      <c r="V412" s="62"/>
      <c r="W412" s="62"/>
      <c r="X412" s="62"/>
      <c r="Y412" s="62"/>
      <c r="Z412" s="62"/>
      <c r="AA412" s="62"/>
    </row>
    <row r="413">
      <c r="A413" s="96"/>
      <c r="B413" s="98"/>
      <c r="C413" s="99"/>
      <c r="D413" s="99"/>
      <c r="E413" s="111"/>
      <c r="F413" s="97"/>
      <c r="G413" s="97"/>
      <c r="H413" s="101"/>
      <c r="I413" s="62"/>
      <c r="J413" s="62"/>
      <c r="K413" s="58"/>
      <c r="L413" s="102"/>
      <c r="M413" s="103"/>
      <c r="N413" s="62"/>
      <c r="O413" s="101"/>
      <c r="P413" s="58"/>
      <c r="Q413" s="58"/>
      <c r="R413" s="62"/>
      <c r="S413" s="62"/>
      <c r="T413" s="62"/>
      <c r="U413" s="62"/>
      <c r="V413" s="62"/>
      <c r="W413" s="62"/>
      <c r="X413" s="62"/>
      <c r="Y413" s="62"/>
      <c r="Z413" s="62"/>
      <c r="AA413" s="62"/>
    </row>
    <row r="414">
      <c r="A414" s="96"/>
      <c r="B414" s="98"/>
      <c r="C414" s="99"/>
      <c r="D414" s="99"/>
      <c r="E414" s="111"/>
      <c r="F414" s="97"/>
      <c r="G414" s="97"/>
      <c r="H414" s="101"/>
      <c r="I414" s="62"/>
      <c r="J414" s="62"/>
      <c r="K414" s="58"/>
      <c r="L414" s="102"/>
      <c r="M414" s="103"/>
      <c r="N414" s="62"/>
      <c r="O414" s="101"/>
      <c r="P414" s="58"/>
      <c r="Q414" s="58"/>
      <c r="R414" s="62"/>
      <c r="S414" s="62"/>
      <c r="T414" s="62"/>
      <c r="U414" s="62"/>
      <c r="V414" s="62"/>
      <c r="W414" s="62"/>
      <c r="X414" s="62"/>
      <c r="Y414" s="62"/>
      <c r="Z414" s="62"/>
      <c r="AA414" s="62"/>
    </row>
    <row r="415">
      <c r="A415" s="96"/>
      <c r="B415" s="98"/>
      <c r="C415" s="99"/>
      <c r="D415" s="99"/>
      <c r="E415" s="111"/>
      <c r="F415" s="97"/>
      <c r="G415" s="97"/>
      <c r="H415" s="101"/>
      <c r="I415" s="62"/>
      <c r="J415" s="62"/>
      <c r="K415" s="58"/>
      <c r="L415" s="102"/>
      <c r="M415" s="103"/>
      <c r="N415" s="62"/>
      <c r="O415" s="101"/>
      <c r="P415" s="58"/>
      <c r="Q415" s="58"/>
      <c r="R415" s="62"/>
      <c r="S415" s="62"/>
      <c r="T415" s="62"/>
      <c r="U415" s="62"/>
      <c r="V415" s="62"/>
      <c r="W415" s="62"/>
      <c r="X415" s="62"/>
      <c r="Y415" s="62"/>
      <c r="Z415" s="62"/>
      <c r="AA415" s="62"/>
    </row>
    <row r="416">
      <c r="A416" s="96"/>
      <c r="B416" s="98"/>
      <c r="C416" s="99"/>
      <c r="D416" s="99"/>
      <c r="E416" s="111"/>
      <c r="F416" s="97"/>
      <c r="G416" s="97"/>
      <c r="H416" s="101"/>
      <c r="I416" s="62"/>
      <c r="J416" s="62"/>
      <c r="K416" s="58"/>
      <c r="L416" s="102"/>
      <c r="M416" s="103"/>
      <c r="N416" s="62"/>
      <c r="O416" s="101"/>
      <c r="P416" s="58"/>
      <c r="Q416" s="58"/>
      <c r="R416" s="62"/>
      <c r="S416" s="62"/>
      <c r="T416" s="62"/>
      <c r="U416" s="62"/>
      <c r="V416" s="62"/>
      <c r="W416" s="62"/>
      <c r="X416" s="62"/>
      <c r="Y416" s="62"/>
      <c r="Z416" s="62"/>
      <c r="AA416" s="62"/>
    </row>
    <row r="417">
      <c r="A417" s="96"/>
      <c r="B417" s="98"/>
      <c r="C417" s="99"/>
      <c r="D417" s="99"/>
      <c r="E417" s="111"/>
      <c r="F417" s="97"/>
      <c r="G417" s="97"/>
      <c r="H417" s="101"/>
      <c r="I417" s="62"/>
      <c r="J417" s="62"/>
      <c r="K417" s="58"/>
      <c r="L417" s="102"/>
      <c r="M417" s="103"/>
      <c r="N417" s="62"/>
      <c r="O417" s="101"/>
      <c r="P417" s="58"/>
      <c r="Q417" s="58"/>
      <c r="R417" s="62"/>
      <c r="S417" s="62"/>
      <c r="T417" s="62"/>
      <c r="U417" s="62"/>
      <c r="V417" s="62"/>
      <c r="W417" s="62"/>
      <c r="X417" s="62"/>
      <c r="Y417" s="62"/>
      <c r="Z417" s="62"/>
      <c r="AA417" s="62"/>
    </row>
    <row r="418">
      <c r="A418" s="96"/>
      <c r="B418" s="98"/>
      <c r="C418" s="99"/>
      <c r="D418" s="99"/>
      <c r="E418" s="111"/>
      <c r="F418" s="97"/>
      <c r="G418" s="97"/>
      <c r="H418" s="101"/>
      <c r="I418" s="62"/>
      <c r="J418" s="62"/>
      <c r="K418" s="58"/>
      <c r="L418" s="102"/>
      <c r="M418" s="103"/>
      <c r="N418" s="62"/>
      <c r="O418" s="101"/>
      <c r="P418" s="58"/>
      <c r="Q418" s="58"/>
      <c r="R418" s="62"/>
      <c r="S418" s="62"/>
      <c r="T418" s="62"/>
      <c r="U418" s="62"/>
      <c r="V418" s="62"/>
      <c r="W418" s="62"/>
      <c r="X418" s="62"/>
      <c r="Y418" s="62"/>
      <c r="Z418" s="62"/>
      <c r="AA418" s="62"/>
    </row>
    <row r="419">
      <c r="A419" s="96"/>
      <c r="B419" s="98"/>
      <c r="C419" s="99"/>
      <c r="D419" s="99"/>
      <c r="E419" s="111"/>
      <c r="F419" s="97"/>
      <c r="G419" s="97"/>
      <c r="H419" s="101"/>
      <c r="I419" s="62"/>
      <c r="J419" s="62"/>
      <c r="K419" s="58"/>
      <c r="L419" s="102"/>
      <c r="M419" s="103"/>
      <c r="N419" s="62"/>
      <c r="O419" s="101"/>
      <c r="P419" s="58"/>
      <c r="Q419" s="58"/>
      <c r="R419" s="62"/>
      <c r="S419" s="62"/>
      <c r="T419" s="62"/>
      <c r="U419" s="62"/>
      <c r="V419" s="62"/>
      <c r="W419" s="62"/>
      <c r="X419" s="62"/>
      <c r="Y419" s="62"/>
      <c r="Z419" s="62"/>
      <c r="AA419" s="62"/>
    </row>
    <row r="420">
      <c r="A420" s="96"/>
      <c r="B420" s="98"/>
      <c r="C420" s="99"/>
      <c r="D420" s="99"/>
      <c r="E420" s="111"/>
      <c r="F420" s="97"/>
      <c r="G420" s="97"/>
      <c r="H420" s="101"/>
      <c r="I420" s="62"/>
      <c r="J420" s="62"/>
      <c r="K420" s="58"/>
      <c r="L420" s="102"/>
      <c r="M420" s="103"/>
      <c r="N420" s="62"/>
      <c r="O420" s="101"/>
      <c r="P420" s="58"/>
      <c r="Q420" s="58"/>
      <c r="R420" s="62"/>
      <c r="S420" s="62"/>
      <c r="T420" s="62"/>
      <c r="U420" s="62"/>
      <c r="V420" s="62"/>
      <c r="W420" s="62"/>
      <c r="X420" s="62"/>
      <c r="Y420" s="62"/>
      <c r="Z420" s="62"/>
      <c r="AA420" s="62"/>
    </row>
    <row r="421">
      <c r="A421" s="96"/>
      <c r="B421" s="98"/>
      <c r="C421" s="99"/>
      <c r="D421" s="99"/>
      <c r="E421" s="111"/>
      <c r="F421" s="97"/>
      <c r="G421" s="97"/>
      <c r="H421" s="101"/>
      <c r="I421" s="62"/>
      <c r="J421" s="62"/>
      <c r="K421" s="58"/>
      <c r="L421" s="102"/>
      <c r="M421" s="103"/>
      <c r="N421" s="62"/>
      <c r="O421" s="101"/>
      <c r="P421" s="58"/>
      <c r="Q421" s="58"/>
      <c r="R421" s="62"/>
      <c r="S421" s="62"/>
      <c r="T421" s="62"/>
      <c r="U421" s="62"/>
      <c r="V421" s="62"/>
      <c r="W421" s="62"/>
      <c r="X421" s="62"/>
      <c r="Y421" s="62"/>
      <c r="Z421" s="62"/>
      <c r="AA421" s="62"/>
    </row>
    <row r="422">
      <c r="A422" s="96"/>
      <c r="B422" s="98"/>
      <c r="C422" s="99"/>
      <c r="D422" s="99"/>
      <c r="E422" s="111"/>
      <c r="F422" s="97"/>
      <c r="G422" s="97"/>
      <c r="H422" s="101"/>
      <c r="I422" s="62"/>
      <c r="J422" s="62"/>
      <c r="K422" s="58"/>
      <c r="L422" s="102"/>
      <c r="M422" s="103"/>
      <c r="N422" s="62"/>
      <c r="O422" s="101"/>
      <c r="P422" s="58"/>
      <c r="Q422" s="58"/>
      <c r="R422" s="62"/>
      <c r="S422" s="62"/>
      <c r="T422" s="62"/>
      <c r="U422" s="62"/>
      <c r="V422" s="62"/>
      <c r="W422" s="62"/>
      <c r="X422" s="62"/>
      <c r="Y422" s="62"/>
      <c r="Z422" s="62"/>
      <c r="AA422" s="62"/>
    </row>
    <row r="423">
      <c r="A423" s="96"/>
      <c r="B423" s="98"/>
      <c r="C423" s="99"/>
      <c r="D423" s="99"/>
      <c r="E423" s="111"/>
      <c r="F423" s="97"/>
      <c r="G423" s="97"/>
      <c r="H423" s="101"/>
      <c r="I423" s="62"/>
      <c r="J423" s="62"/>
      <c r="K423" s="58"/>
      <c r="L423" s="102"/>
      <c r="M423" s="103"/>
      <c r="N423" s="62"/>
      <c r="O423" s="101"/>
      <c r="P423" s="58"/>
      <c r="Q423" s="58"/>
      <c r="R423" s="62"/>
      <c r="S423" s="62"/>
      <c r="T423" s="62"/>
      <c r="U423" s="62"/>
      <c r="V423" s="62"/>
      <c r="W423" s="62"/>
      <c r="X423" s="62"/>
      <c r="Y423" s="62"/>
      <c r="Z423" s="62"/>
      <c r="AA423" s="62"/>
    </row>
    <row r="424">
      <c r="A424" s="96"/>
      <c r="B424" s="98"/>
      <c r="C424" s="99"/>
      <c r="D424" s="99"/>
      <c r="E424" s="111"/>
      <c r="F424" s="97"/>
      <c r="G424" s="97"/>
      <c r="H424" s="101"/>
      <c r="I424" s="62"/>
      <c r="J424" s="62"/>
      <c r="K424" s="58"/>
      <c r="L424" s="102"/>
      <c r="M424" s="103"/>
      <c r="N424" s="62"/>
      <c r="O424" s="101"/>
      <c r="P424" s="58"/>
      <c r="Q424" s="58"/>
      <c r="R424" s="62"/>
      <c r="S424" s="62"/>
      <c r="T424" s="62"/>
      <c r="U424" s="62"/>
      <c r="V424" s="62"/>
      <c r="W424" s="62"/>
      <c r="X424" s="62"/>
      <c r="Y424" s="62"/>
      <c r="Z424" s="62"/>
      <c r="AA424" s="62"/>
    </row>
    <row r="425">
      <c r="A425" s="96"/>
      <c r="B425" s="98"/>
      <c r="C425" s="99"/>
      <c r="D425" s="99"/>
      <c r="E425" s="111"/>
      <c r="F425" s="97"/>
      <c r="G425" s="97"/>
      <c r="H425" s="101"/>
      <c r="I425" s="62"/>
      <c r="J425" s="62"/>
      <c r="K425" s="58"/>
      <c r="L425" s="102"/>
      <c r="M425" s="103"/>
      <c r="N425" s="62"/>
      <c r="O425" s="101"/>
      <c r="P425" s="58"/>
      <c r="Q425" s="58"/>
      <c r="R425" s="62"/>
      <c r="S425" s="62"/>
      <c r="T425" s="62"/>
      <c r="U425" s="62"/>
      <c r="V425" s="62"/>
      <c r="W425" s="62"/>
      <c r="X425" s="62"/>
      <c r="Y425" s="62"/>
      <c r="Z425" s="62"/>
      <c r="AA425" s="62"/>
    </row>
    <row r="426">
      <c r="A426" s="96"/>
      <c r="B426" s="98"/>
      <c r="C426" s="99"/>
      <c r="D426" s="99"/>
      <c r="E426" s="111"/>
      <c r="F426" s="97"/>
      <c r="G426" s="97"/>
      <c r="H426" s="101"/>
      <c r="I426" s="62"/>
      <c r="J426" s="62"/>
      <c r="K426" s="58"/>
      <c r="L426" s="102"/>
      <c r="M426" s="103"/>
      <c r="N426" s="62"/>
      <c r="O426" s="101"/>
      <c r="P426" s="58"/>
      <c r="Q426" s="58"/>
      <c r="R426" s="62"/>
      <c r="S426" s="62"/>
      <c r="T426" s="62"/>
      <c r="U426" s="62"/>
      <c r="V426" s="62"/>
      <c r="W426" s="62"/>
      <c r="X426" s="62"/>
      <c r="Y426" s="62"/>
      <c r="Z426" s="62"/>
      <c r="AA426" s="62"/>
    </row>
    <row r="427">
      <c r="A427" s="96"/>
      <c r="B427" s="98"/>
      <c r="C427" s="99"/>
      <c r="D427" s="99"/>
      <c r="E427" s="111"/>
      <c r="F427" s="97"/>
      <c r="G427" s="97"/>
      <c r="H427" s="101"/>
      <c r="I427" s="62"/>
      <c r="J427" s="62"/>
      <c r="K427" s="58"/>
      <c r="L427" s="102"/>
      <c r="M427" s="103"/>
      <c r="N427" s="62"/>
      <c r="O427" s="101"/>
      <c r="P427" s="58"/>
      <c r="Q427" s="58"/>
      <c r="R427" s="62"/>
      <c r="S427" s="62"/>
      <c r="T427" s="62"/>
      <c r="U427" s="62"/>
      <c r="V427" s="62"/>
      <c r="W427" s="62"/>
      <c r="X427" s="62"/>
      <c r="Y427" s="62"/>
      <c r="Z427" s="62"/>
      <c r="AA427" s="62"/>
    </row>
    <row r="428">
      <c r="A428" s="96"/>
      <c r="B428" s="98"/>
      <c r="C428" s="99"/>
      <c r="D428" s="99"/>
      <c r="E428" s="111"/>
      <c r="F428" s="97"/>
      <c r="G428" s="97"/>
      <c r="H428" s="101"/>
      <c r="I428" s="62"/>
      <c r="J428" s="62"/>
      <c r="K428" s="58"/>
      <c r="L428" s="102"/>
      <c r="M428" s="103"/>
      <c r="N428" s="62"/>
      <c r="O428" s="101"/>
      <c r="P428" s="58"/>
      <c r="Q428" s="58"/>
      <c r="R428" s="62"/>
      <c r="S428" s="62"/>
      <c r="T428" s="62"/>
      <c r="U428" s="62"/>
      <c r="V428" s="62"/>
      <c r="W428" s="62"/>
      <c r="X428" s="62"/>
      <c r="Y428" s="62"/>
      <c r="Z428" s="62"/>
      <c r="AA428" s="62"/>
    </row>
    <row r="429">
      <c r="A429" s="96"/>
      <c r="B429" s="98"/>
      <c r="C429" s="99"/>
      <c r="D429" s="99"/>
      <c r="E429" s="111"/>
      <c r="F429" s="97"/>
      <c r="G429" s="97"/>
      <c r="H429" s="101"/>
      <c r="I429" s="62"/>
      <c r="J429" s="62"/>
      <c r="K429" s="58"/>
      <c r="L429" s="102"/>
      <c r="M429" s="103"/>
      <c r="N429" s="62"/>
      <c r="O429" s="101"/>
      <c r="P429" s="58"/>
      <c r="Q429" s="58"/>
      <c r="R429" s="62"/>
      <c r="S429" s="62"/>
      <c r="T429" s="62"/>
      <c r="U429" s="62"/>
      <c r="V429" s="62"/>
      <c r="W429" s="62"/>
      <c r="X429" s="62"/>
      <c r="Y429" s="62"/>
      <c r="Z429" s="62"/>
      <c r="AA429" s="62"/>
    </row>
    <row r="430">
      <c r="A430" s="96"/>
      <c r="B430" s="98"/>
      <c r="C430" s="99"/>
      <c r="D430" s="99"/>
      <c r="E430" s="111"/>
      <c r="F430" s="97"/>
      <c r="G430" s="97"/>
      <c r="H430" s="101"/>
      <c r="I430" s="62"/>
      <c r="J430" s="62"/>
      <c r="K430" s="58"/>
      <c r="L430" s="102"/>
      <c r="M430" s="103"/>
      <c r="N430" s="62"/>
      <c r="O430" s="101"/>
      <c r="P430" s="58"/>
      <c r="Q430" s="58"/>
      <c r="R430" s="62"/>
      <c r="S430" s="62"/>
      <c r="T430" s="62"/>
      <c r="U430" s="62"/>
      <c r="V430" s="62"/>
      <c r="W430" s="62"/>
      <c r="X430" s="62"/>
      <c r="Y430" s="62"/>
      <c r="Z430" s="62"/>
      <c r="AA430" s="62"/>
    </row>
    <row r="431">
      <c r="A431" s="96"/>
      <c r="B431" s="98"/>
      <c r="C431" s="99"/>
      <c r="D431" s="99"/>
      <c r="E431" s="111"/>
      <c r="F431" s="97"/>
      <c r="G431" s="97"/>
      <c r="H431" s="101"/>
      <c r="I431" s="62"/>
      <c r="J431" s="62"/>
      <c r="K431" s="58"/>
      <c r="L431" s="102"/>
      <c r="M431" s="103"/>
      <c r="N431" s="62"/>
      <c r="O431" s="101"/>
      <c r="P431" s="58"/>
      <c r="Q431" s="58"/>
      <c r="R431" s="62"/>
      <c r="S431" s="62"/>
      <c r="T431" s="62"/>
      <c r="U431" s="62"/>
      <c r="V431" s="62"/>
      <c r="W431" s="62"/>
      <c r="X431" s="62"/>
      <c r="Y431" s="62"/>
      <c r="Z431" s="62"/>
      <c r="AA431" s="62"/>
    </row>
    <row r="432">
      <c r="A432" s="96"/>
      <c r="B432" s="98"/>
      <c r="C432" s="99"/>
      <c r="D432" s="99"/>
      <c r="E432" s="111"/>
      <c r="F432" s="97"/>
      <c r="G432" s="97"/>
      <c r="H432" s="101"/>
      <c r="I432" s="62"/>
      <c r="J432" s="62"/>
      <c r="K432" s="58"/>
      <c r="L432" s="102"/>
      <c r="M432" s="103"/>
      <c r="N432" s="62"/>
      <c r="O432" s="101"/>
      <c r="P432" s="58"/>
      <c r="Q432" s="58"/>
      <c r="R432" s="62"/>
      <c r="S432" s="62"/>
      <c r="T432" s="62"/>
      <c r="U432" s="62"/>
      <c r="V432" s="62"/>
      <c r="W432" s="62"/>
      <c r="X432" s="62"/>
      <c r="Y432" s="62"/>
      <c r="Z432" s="62"/>
      <c r="AA432" s="62"/>
    </row>
    <row r="433">
      <c r="A433" s="96"/>
      <c r="B433" s="98"/>
      <c r="C433" s="99"/>
      <c r="D433" s="99"/>
      <c r="E433" s="111"/>
      <c r="F433" s="97"/>
      <c r="G433" s="97"/>
      <c r="H433" s="101"/>
      <c r="I433" s="62"/>
      <c r="J433" s="62"/>
      <c r="K433" s="58"/>
      <c r="L433" s="102"/>
      <c r="M433" s="103"/>
      <c r="N433" s="62"/>
      <c r="O433" s="101"/>
      <c r="P433" s="58"/>
      <c r="Q433" s="58"/>
      <c r="R433" s="62"/>
      <c r="S433" s="62"/>
      <c r="T433" s="62"/>
      <c r="U433" s="62"/>
      <c r="V433" s="62"/>
      <c r="W433" s="62"/>
      <c r="X433" s="62"/>
      <c r="Y433" s="62"/>
      <c r="Z433" s="62"/>
      <c r="AA433" s="62"/>
    </row>
    <row r="434">
      <c r="A434" s="96"/>
      <c r="B434" s="98"/>
      <c r="C434" s="99"/>
      <c r="D434" s="99"/>
      <c r="E434" s="111"/>
      <c r="F434" s="97"/>
      <c r="G434" s="97"/>
      <c r="H434" s="101"/>
      <c r="I434" s="62"/>
      <c r="J434" s="62"/>
      <c r="K434" s="58"/>
      <c r="L434" s="102"/>
      <c r="M434" s="103"/>
      <c r="N434" s="62"/>
      <c r="O434" s="101"/>
      <c r="P434" s="58"/>
      <c r="Q434" s="58"/>
      <c r="R434" s="62"/>
      <c r="S434" s="62"/>
      <c r="T434" s="62"/>
      <c r="U434" s="62"/>
      <c r="V434" s="62"/>
      <c r="W434" s="62"/>
      <c r="X434" s="62"/>
      <c r="Y434" s="62"/>
      <c r="Z434" s="62"/>
      <c r="AA434" s="62"/>
    </row>
    <row r="435">
      <c r="A435" s="96"/>
      <c r="B435" s="98"/>
      <c r="C435" s="99"/>
      <c r="D435" s="99"/>
      <c r="E435" s="111"/>
      <c r="F435" s="97"/>
      <c r="G435" s="97"/>
      <c r="H435" s="101"/>
      <c r="I435" s="62"/>
      <c r="J435" s="62"/>
      <c r="K435" s="58"/>
      <c r="L435" s="102"/>
      <c r="M435" s="103"/>
      <c r="N435" s="62"/>
      <c r="O435" s="101"/>
      <c r="P435" s="58"/>
      <c r="Q435" s="58"/>
      <c r="R435" s="62"/>
      <c r="S435" s="62"/>
      <c r="T435" s="62"/>
      <c r="U435" s="62"/>
      <c r="V435" s="62"/>
      <c r="W435" s="62"/>
      <c r="X435" s="62"/>
      <c r="Y435" s="62"/>
      <c r="Z435" s="62"/>
      <c r="AA435" s="62"/>
    </row>
    <row r="436">
      <c r="A436" s="96"/>
      <c r="B436" s="98"/>
      <c r="C436" s="99"/>
      <c r="D436" s="99"/>
      <c r="E436" s="111"/>
      <c r="F436" s="97"/>
      <c r="G436" s="97"/>
      <c r="H436" s="101"/>
      <c r="I436" s="62"/>
      <c r="J436" s="62"/>
      <c r="K436" s="58"/>
      <c r="L436" s="102"/>
      <c r="M436" s="103"/>
      <c r="N436" s="62"/>
      <c r="O436" s="101"/>
      <c r="P436" s="58"/>
      <c r="Q436" s="58"/>
      <c r="R436" s="62"/>
      <c r="S436" s="62"/>
      <c r="T436" s="62"/>
      <c r="U436" s="62"/>
      <c r="V436" s="62"/>
      <c r="W436" s="62"/>
      <c r="X436" s="62"/>
      <c r="Y436" s="62"/>
      <c r="Z436" s="62"/>
      <c r="AA436" s="62"/>
    </row>
    <row r="437">
      <c r="A437" s="96"/>
      <c r="B437" s="98"/>
      <c r="C437" s="99"/>
      <c r="D437" s="99"/>
      <c r="E437" s="111"/>
      <c r="F437" s="97"/>
      <c r="G437" s="97"/>
      <c r="H437" s="101"/>
      <c r="I437" s="62"/>
      <c r="J437" s="62"/>
      <c r="K437" s="58"/>
      <c r="L437" s="102"/>
      <c r="M437" s="103"/>
      <c r="N437" s="62"/>
      <c r="O437" s="101"/>
      <c r="P437" s="58"/>
      <c r="Q437" s="58"/>
      <c r="R437" s="62"/>
      <c r="S437" s="62"/>
      <c r="T437" s="62"/>
      <c r="U437" s="62"/>
      <c r="V437" s="62"/>
      <c r="W437" s="62"/>
      <c r="X437" s="62"/>
      <c r="Y437" s="62"/>
      <c r="Z437" s="62"/>
      <c r="AA437" s="62"/>
    </row>
    <row r="438">
      <c r="A438" s="96"/>
      <c r="B438" s="98"/>
      <c r="C438" s="99"/>
      <c r="D438" s="99"/>
      <c r="E438" s="111"/>
      <c r="F438" s="97"/>
      <c r="G438" s="97"/>
      <c r="H438" s="101"/>
      <c r="I438" s="62"/>
      <c r="J438" s="62"/>
      <c r="K438" s="58"/>
      <c r="L438" s="102"/>
      <c r="M438" s="103"/>
      <c r="N438" s="62"/>
      <c r="O438" s="101"/>
      <c r="P438" s="58"/>
      <c r="Q438" s="58"/>
      <c r="R438" s="62"/>
      <c r="S438" s="62"/>
      <c r="T438" s="62"/>
      <c r="U438" s="62"/>
      <c r="V438" s="62"/>
      <c r="W438" s="62"/>
      <c r="X438" s="62"/>
      <c r="Y438" s="62"/>
      <c r="Z438" s="62"/>
      <c r="AA438" s="62"/>
    </row>
    <row r="439">
      <c r="A439" s="96"/>
      <c r="B439" s="98"/>
      <c r="C439" s="99"/>
      <c r="D439" s="99"/>
      <c r="E439" s="111"/>
      <c r="F439" s="97"/>
      <c r="G439" s="97"/>
      <c r="H439" s="101"/>
      <c r="I439" s="62"/>
      <c r="J439" s="62"/>
      <c r="K439" s="58"/>
      <c r="L439" s="102"/>
      <c r="M439" s="103"/>
      <c r="N439" s="62"/>
      <c r="O439" s="101"/>
      <c r="P439" s="58"/>
      <c r="Q439" s="58"/>
      <c r="R439" s="62"/>
      <c r="S439" s="62"/>
      <c r="T439" s="62"/>
      <c r="U439" s="62"/>
      <c r="V439" s="62"/>
      <c r="W439" s="62"/>
      <c r="X439" s="62"/>
      <c r="Y439" s="62"/>
      <c r="Z439" s="62"/>
      <c r="AA439" s="62"/>
    </row>
    <row r="440">
      <c r="A440" s="96"/>
      <c r="B440" s="98"/>
      <c r="C440" s="99"/>
      <c r="D440" s="99"/>
      <c r="E440" s="111"/>
      <c r="F440" s="97"/>
      <c r="G440" s="97"/>
      <c r="H440" s="101"/>
      <c r="I440" s="62"/>
      <c r="J440" s="62"/>
      <c r="K440" s="58"/>
      <c r="L440" s="102"/>
      <c r="M440" s="103"/>
      <c r="N440" s="62"/>
      <c r="O440" s="101"/>
      <c r="P440" s="58"/>
      <c r="Q440" s="58"/>
      <c r="R440" s="62"/>
      <c r="S440" s="62"/>
      <c r="T440" s="62"/>
      <c r="U440" s="62"/>
      <c r="V440" s="62"/>
      <c r="W440" s="62"/>
      <c r="X440" s="62"/>
      <c r="Y440" s="62"/>
      <c r="Z440" s="62"/>
      <c r="AA440" s="62"/>
    </row>
    <row r="441">
      <c r="A441" s="96"/>
      <c r="B441" s="98"/>
      <c r="C441" s="99"/>
      <c r="D441" s="99"/>
      <c r="E441" s="111"/>
      <c r="F441" s="97"/>
      <c r="G441" s="97"/>
      <c r="H441" s="101"/>
      <c r="I441" s="62"/>
      <c r="J441" s="62"/>
      <c r="K441" s="58"/>
      <c r="L441" s="102"/>
      <c r="M441" s="103"/>
      <c r="N441" s="62"/>
      <c r="O441" s="101"/>
      <c r="P441" s="58"/>
      <c r="Q441" s="58"/>
      <c r="R441" s="62"/>
      <c r="S441" s="62"/>
      <c r="T441" s="62"/>
      <c r="U441" s="62"/>
      <c r="V441" s="62"/>
      <c r="W441" s="62"/>
      <c r="X441" s="62"/>
      <c r="Y441" s="62"/>
      <c r="Z441" s="62"/>
      <c r="AA441" s="62"/>
    </row>
    <row r="442">
      <c r="A442" s="96"/>
      <c r="B442" s="98"/>
      <c r="C442" s="99"/>
      <c r="D442" s="99"/>
      <c r="E442" s="111"/>
      <c r="F442" s="97"/>
      <c r="G442" s="97"/>
      <c r="H442" s="101"/>
      <c r="I442" s="62"/>
      <c r="J442" s="62"/>
      <c r="K442" s="58"/>
      <c r="L442" s="102"/>
      <c r="M442" s="103"/>
      <c r="N442" s="62"/>
      <c r="O442" s="101"/>
      <c r="P442" s="58"/>
      <c r="Q442" s="58"/>
      <c r="R442" s="62"/>
      <c r="S442" s="62"/>
      <c r="T442" s="62"/>
      <c r="U442" s="62"/>
      <c r="V442" s="62"/>
      <c r="W442" s="62"/>
      <c r="X442" s="62"/>
      <c r="Y442" s="62"/>
      <c r="Z442" s="62"/>
      <c r="AA442" s="62"/>
    </row>
    <row r="443">
      <c r="A443" s="96"/>
      <c r="B443" s="98"/>
      <c r="C443" s="99"/>
      <c r="D443" s="99"/>
      <c r="E443" s="111"/>
      <c r="F443" s="97"/>
      <c r="G443" s="97"/>
      <c r="H443" s="101"/>
      <c r="I443" s="62"/>
      <c r="J443" s="62"/>
      <c r="K443" s="58"/>
      <c r="L443" s="102"/>
      <c r="M443" s="103"/>
      <c r="N443" s="62"/>
      <c r="O443" s="101"/>
      <c r="P443" s="58"/>
      <c r="Q443" s="58"/>
      <c r="R443" s="62"/>
      <c r="S443" s="62"/>
      <c r="T443" s="62"/>
      <c r="U443" s="62"/>
      <c r="V443" s="62"/>
      <c r="W443" s="62"/>
      <c r="X443" s="62"/>
      <c r="Y443" s="62"/>
      <c r="Z443" s="62"/>
      <c r="AA443" s="62"/>
    </row>
    <row r="444">
      <c r="A444" s="96"/>
      <c r="B444" s="98"/>
      <c r="C444" s="99"/>
      <c r="D444" s="99"/>
      <c r="E444" s="111"/>
      <c r="F444" s="97"/>
      <c r="G444" s="97"/>
      <c r="H444" s="101"/>
      <c r="I444" s="62"/>
      <c r="J444" s="62"/>
      <c r="K444" s="58"/>
      <c r="L444" s="102"/>
      <c r="M444" s="103"/>
      <c r="N444" s="62"/>
      <c r="O444" s="101"/>
      <c r="P444" s="58"/>
      <c r="Q444" s="58"/>
      <c r="R444" s="62"/>
      <c r="S444" s="62"/>
      <c r="T444" s="62"/>
      <c r="U444" s="62"/>
      <c r="V444" s="62"/>
      <c r="W444" s="62"/>
      <c r="X444" s="62"/>
      <c r="Y444" s="62"/>
      <c r="Z444" s="62"/>
      <c r="AA444" s="62"/>
    </row>
    <row r="445">
      <c r="A445" s="96"/>
      <c r="B445" s="98"/>
      <c r="C445" s="99"/>
      <c r="D445" s="99"/>
      <c r="E445" s="111"/>
      <c r="F445" s="97"/>
      <c r="G445" s="97"/>
      <c r="H445" s="101"/>
      <c r="I445" s="62"/>
      <c r="J445" s="62"/>
      <c r="K445" s="58"/>
      <c r="L445" s="102"/>
      <c r="M445" s="103"/>
      <c r="N445" s="62"/>
      <c r="O445" s="101"/>
      <c r="P445" s="58"/>
      <c r="Q445" s="58"/>
      <c r="R445" s="62"/>
      <c r="S445" s="62"/>
      <c r="T445" s="62"/>
      <c r="U445" s="62"/>
      <c r="V445" s="62"/>
      <c r="W445" s="62"/>
      <c r="X445" s="62"/>
      <c r="Y445" s="62"/>
      <c r="Z445" s="62"/>
      <c r="AA445" s="62"/>
    </row>
    <row r="446">
      <c r="A446" s="96"/>
      <c r="B446" s="98"/>
      <c r="C446" s="99"/>
      <c r="D446" s="99"/>
      <c r="E446" s="111"/>
      <c r="F446" s="97"/>
      <c r="G446" s="97"/>
      <c r="H446" s="101"/>
      <c r="I446" s="62"/>
      <c r="J446" s="62"/>
      <c r="K446" s="58"/>
      <c r="L446" s="102"/>
      <c r="M446" s="103"/>
      <c r="N446" s="62"/>
      <c r="O446" s="101"/>
      <c r="P446" s="58"/>
      <c r="Q446" s="58"/>
      <c r="R446" s="62"/>
      <c r="S446" s="62"/>
      <c r="T446" s="62"/>
      <c r="U446" s="62"/>
      <c r="V446" s="62"/>
      <c r="W446" s="62"/>
      <c r="X446" s="62"/>
      <c r="Y446" s="62"/>
      <c r="Z446" s="62"/>
      <c r="AA446" s="62"/>
    </row>
    <row r="447">
      <c r="A447" s="96"/>
      <c r="B447" s="98"/>
      <c r="C447" s="99"/>
      <c r="D447" s="99"/>
      <c r="E447" s="111"/>
      <c r="F447" s="97"/>
      <c r="G447" s="97"/>
      <c r="H447" s="101"/>
      <c r="I447" s="62"/>
      <c r="J447" s="62"/>
      <c r="K447" s="58"/>
      <c r="L447" s="102"/>
      <c r="M447" s="103"/>
      <c r="N447" s="62"/>
      <c r="O447" s="101"/>
      <c r="P447" s="58"/>
      <c r="Q447" s="58"/>
      <c r="R447" s="62"/>
      <c r="S447" s="62"/>
      <c r="T447" s="62"/>
      <c r="U447" s="62"/>
      <c r="V447" s="62"/>
      <c r="W447" s="62"/>
      <c r="X447" s="62"/>
      <c r="Y447" s="62"/>
      <c r="Z447" s="62"/>
      <c r="AA447" s="62"/>
    </row>
    <row r="448">
      <c r="A448" s="96"/>
      <c r="B448" s="98"/>
      <c r="C448" s="99"/>
      <c r="D448" s="99"/>
      <c r="E448" s="111"/>
      <c r="F448" s="97"/>
      <c r="G448" s="97"/>
      <c r="H448" s="101"/>
      <c r="I448" s="62"/>
      <c r="J448" s="62"/>
      <c r="K448" s="58"/>
      <c r="L448" s="102"/>
      <c r="M448" s="103"/>
      <c r="N448" s="62"/>
      <c r="O448" s="101"/>
      <c r="P448" s="58"/>
      <c r="Q448" s="58"/>
      <c r="R448" s="62"/>
      <c r="S448" s="62"/>
      <c r="T448" s="62"/>
      <c r="U448" s="62"/>
      <c r="V448" s="62"/>
      <c r="W448" s="62"/>
      <c r="X448" s="62"/>
      <c r="Y448" s="62"/>
      <c r="Z448" s="62"/>
      <c r="AA448" s="62"/>
    </row>
    <row r="449">
      <c r="A449" s="96"/>
      <c r="B449" s="98"/>
      <c r="C449" s="99"/>
      <c r="D449" s="99"/>
      <c r="E449" s="111"/>
      <c r="F449" s="97"/>
      <c r="G449" s="97"/>
      <c r="H449" s="101"/>
      <c r="I449" s="62"/>
      <c r="J449" s="62"/>
      <c r="K449" s="58"/>
      <c r="L449" s="102"/>
      <c r="M449" s="103"/>
      <c r="N449" s="62"/>
      <c r="O449" s="101"/>
      <c r="P449" s="58"/>
      <c r="Q449" s="58"/>
      <c r="R449" s="62"/>
      <c r="S449" s="62"/>
      <c r="T449" s="62"/>
      <c r="U449" s="62"/>
      <c r="V449" s="62"/>
      <c r="W449" s="62"/>
      <c r="X449" s="62"/>
      <c r="Y449" s="62"/>
      <c r="Z449" s="62"/>
      <c r="AA449" s="62"/>
    </row>
    <row r="450">
      <c r="A450" s="96"/>
      <c r="B450" s="98"/>
      <c r="C450" s="99"/>
      <c r="D450" s="99"/>
      <c r="E450" s="111"/>
      <c r="F450" s="97"/>
      <c r="G450" s="97"/>
      <c r="H450" s="101"/>
      <c r="I450" s="62"/>
      <c r="J450" s="62"/>
      <c r="K450" s="58"/>
      <c r="L450" s="102"/>
      <c r="M450" s="103"/>
      <c r="N450" s="62"/>
      <c r="O450" s="101"/>
      <c r="P450" s="58"/>
      <c r="Q450" s="58"/>
      <c r="R450" s="62"/>
      <c r="S450" s="62"/>
      <c r="T450" s="62"/>
      <c r="U450" s="62"/>
      <c r="V450" s="62"/>
      <c r="W450" s="62"/>
      <c r="X450" s="62"/>
      <c r="Y450" s="62"/>
      <c r="Z450" s="62"/>
      <c r="AA450" s="62"/>
    </row>
    <row r="451">
      <c r="A451" s="96"/>
      <c r="B451" s="98"/>
      <c r="C451" s="99"/>
      <c r="D451" s="99"/>
      <c r="E451" s="111"/>
      <c r="F451" s="97"/>
      <c r="G451" s="97"/>
      <c r="H451" s="101"/>
      <c r="I451" s="62"/>
      <c r="J451" s="62"/>
      <c r="K451" s="58"/>
      <c r="L451" s="102"/>
      <c r="M451" s="103"/>
      <c r="N451" s="62"/>
      <c r="O451" s="101"/>
      <c r="P451" s="58"/>
      <c r="Q451" s="58"/>
      <c r="R451" s="62"/>
      <c r="S451" s="62"/>
      <c r="T451" s="62"/>
      <c r="U451" s="62"/>
      <c r="V451" s="62"/>
      <c r="W451" s="62"/>
      <c r="X451" s="62"/>
      <c r="Y451" s="62"/>
      <c r="Z451" s="62"/>
      <c r="AA451" s="62"/>
    </row>
    <row r="452">
      <c r="A452" s="96"/>
      <c r="B452" s="98"/>
      <c r="C452" s="99"/>
      <c r="D452" s="99"/>
      <c r="E452" s="111"/>
      <c r="F452" s="97"/>
      <c r="G452" s="97"/>
      <c r="H452" s="101"/>
      <c r="I452" s="62"/>
      <c r="J452" s="62"/>
      <c r="K452" s="58"/>
      <c r="L452" s="102"/>
      <c r="M452" s="103"/>
      <c r="N452" s="62"/>
      <c r="O452" s="101"/>
      <c r="P452" s="58"/>
      <c r="Q452" s="58"/>
      <c r="R452" s="62"/>
      <c r="S452" s="62"/>
      <c r="T452" s="62"/>
      <c r="U452" s="62"/>
      <c r="V452" s="62"/>
      <c r="W452" s="62"/>
      <c r="X452" s="62"/>
      <c r="Y452" s="62"/>
      <c r="Z452" s="62"/>
      <c r="AA452" s="62"/>
    </row>
    <row r="453">
      <c r="A453" s="96"/>
      <c r="B453" s="98"/>
      <c r="C453" s="99"/>
      <c r="D453" s="99"/>
      <c r="E453" s="111"/>
      <c r="F453" s="97"/>
      <c r="G453" s="97"/>
      <c r="H453" s="101"/>
      <c r="I453" s="62"/>
      <c r="J453" s="62"/>
      <c r="K453" s="58"/>
      <c r="L453" s="102"/>
      <c r="M453" s="103"/>
      <c r="N453" s="62"/>
      <c r="O453" s="101"/>
      <c r="P453" s="58"/>
      <c r="Q453" s="58"/>
      <c r="R453" s="62"/>
      <c r="S453" s="62"/>
      <c r="T453" s="62"/>
      <c r="U453" s="62"/>
      <c r="V453" s="62"/>
      <c r="W453" s="62"/>
      <c r="X453" s="62"/>
      <c r="Y453" s="62"/>
      <c r="Z453" s="62"/>
      <c r="AA453" s="62"/>
    </row>
    <row r="454">
      <c r="A454" s="96"/>
      <c r="B454" s="98"/>
      <c r="C454" s="99"/>
      <c r="D454" s="99"/>
      <c r="E454" s="111"/>
      <c r="F454" s="97"/>
      <c r="G454" s="97"/>
      <c r="H454" s="101"/>
      <c r="I454" s="62"/>
      <c r="J454" s="62"/>
      <c r="K454" s="58"/>
      <c r="L454" s="102"/>
      <c r="M454" s="103"/>
      <c r="N454" s="62"/>
      <c r="O454" s="101"/>
      <c r="P454" s="58"/>
      <c r="Q454" s="58"/>
      <c r="R454" s="62"/>
      <c r="S454" s="62"/>
      <c r="T454" s="62"/>
      <c r="U454" s="62"/>
      <c r="V454" s="62"/>
      <c r="W454" s="62"/>
      <c r="X454" s="62"/>
      <c r="Y454" s="62"/>
      <c r="Z454" s="62"/>
      <c r="AA454" s="62"/>
    </row>
    <row r="455">
      <c r="A455" s="96"/>
      <c r="B455" s="98"/>
      <c r="C455" s="99"/>
      <c r="D455" s="99"/>
      <c r="E455" s="111"/>
      <c r="F455" s="97"/>
      <c r="G455" s="97"/>
      <c r="H455" s="101"/>
      <c r="I455" s="62"/>
      <c r="J455" s="62"/>
      <c r="K455" s="58"/>
      <c r="L455" s="102"/>
      <c r="M455" s="103"/>
      <c r="N455" s="62"/>
      <c r="O455" s="101"/>
      <c r="P455" s="58"/>
      <c r="Q455" s="58"/>
      <c r="R455" s="62"/>
      <c r="S455" s="62"/>
      <c r="T455" s="62"/>
      <c r="U455" s="62"/>
      <c r="V455" s="62"/>
      <c r="W455" s="62"/>
      <c r="X455" s="62"/>
      <c r="Y455" s="62"/>
      <c r="Z455" s="62"/>
      <c r="AA455" s="62"/>
    </row>
    <row r="456">
      <c r="A456" s="96"/>
      <c r="B456" s="98"/>
      <c r="C456" s="99"/>
      <c r="D456" s="99"/>
      <c r="E456" s="111"/>
      <c r="F456" s="97"/>
      <c r="G456" s="97"/>
      <c r="H456" s="101"/>
      <c r="I456" s="62"/>
      <c r="J456" s="62"/>
      <c r="K456" s="58"/>
      <c r="L456" s="102"/>
      <c r="M456" s="103"/>
      <c r="N456" s="62"/>
      <c r="O456" s="101"/>
      <c r="P456" s="58"/>
      <c r="Q456" s="58"/>
      <c r="R456" s="62"/>
      <c r="S456" s="62"/>
      <c r="T456" s="62"/>
      <c r="U456" s="62"/>
      <c r="V456" s="62"/>
      <c r="W456" s="62"/>
      <c r="X456" s="62"/>
      <c r="Y456" s="62"/>
      <c r="Z456" s="62"/>
      <c r="AA456" s="62"/>
    </row>
    <row r="457">
      <c r="A457" s="96"/>
      <c r="B457" s="98"/>
      <c r="C457" s="99"/>
      <c r="D457" s="99"/>
      <c r="E457" s="111"/>
      <c r="F457" s="97"/>
      <c r="G457" s="97"/>
      <c r="H457" s="101"/>
      <c r="I457" s="62"/>
      <c r="J457" s="62"/>
      <c r="K457" s="58"/>
      <c r="L457" s="102"/>
      <c r="M457" s="103"/>
      <c r="N457" s="62"/>
      <c r="O457" s="101"/>
      <c r="P457" s="58"/>
      <c r="Q457" s="58"/>
      <c r="R457" s="62"/>
      <c r="S457" s="62"/>
      <c r="T457" s="62"/>
      <c r="U457" s="62"/>
      <c r="V457" s="62"/>
      <c r="W457" s="62"/>
      <c r="X457" s="62"/>
      <c r="Y457" s="62"/>
      <c r="Z457" s="62"/>
      <c r="AA457" s="62"/>
    </row>
    <row r="458">
      <c r="A458" s="96"/>
      <c r="B458" s="98"/>
      <c r="C458" s="99"/>
      <c r="D458" s="99"/>
      <c r="E458" s="111"/>
      <c r="F458" s="97"/>
      <c r="G458" s="97"/>
      <c r="H458" s="101"/>
      <c r="I458" s="62"/>
      <c r="J458" s="62"/>
      <c r="K458" s="58"/>
      <c r="L458" s="102"/>
      <c r="M458" s="103"/>
      <c r="N458" s="62"/>
      <c r="O458" s="101"/>
      <c r="P458" s="58"/>
      <c r="Q458" s="58"/>
      <c r="R458" s="62"/>
      <c r="S458" s="62"/>
      <c r="T458" s="62"/>
      <c r="U458" s="62"/>
      <c r="V458" s="62"/>
      <c r="W458" s="62"/>
      <c r="X458" s="62"/>
      <c r="Y458" s="62"/>
      <c r="Z458" s="62"/>
      <c r="AA458" s="62"/>
    </row>
    <row r="459">
      <c r="A459" s="96"/>
      <c r="B459" s="98"/>
      <c r="C459" s="99"/>
      <c r="D459" s="99"/>
      <c r="E459" s="111"/>
      <c r="F459" s="97"/>
      <c r="G459" s="97"/>
      <c r="H459" s="101"/>
      <c r="I459" s="62"/>
      <c r="J459" s="62"/>
      <c r="K459" s="58"/>
      <c r="L459" s="102"/>
      <c r="M459" s="103"/>
      <c r="N459" s="62"/>
      <c r="O459" s="101"/>
      <c r="P459" s="58"/>
      <c r="Q459" s="58"/>
      <c r="R459" s="62"/>
      <c r="S459" s="62"/>
      <c r="T459" s="62"/>
      <c r="U459" s="62"/>
      <c r="V459" s="62"/>
      <c r="W459" s="62"/>
      <c r="X459" s="62"/>
      <c r="Y459" s="62"/>
      <c r="Z459" s="62"/>
      <c r="AA459" s="62"/>
    </row>
    <row r="460">
      <c r="A460" s="96"/>
      <c r="B460" s="98"/>
      <c r="C460" s="99"/>
      <c r="D460" s="99"/>
      <c r="E460" s="111"/>
      <c r="F460" s="97"/>
      <c r="G460" s="97"/>
      <c r="H460" s="101"/>
      <c r="I460" s="62"/>
      <c r="J460" s="62"/>
      <c r="K460" s="58"/>
      <c r="L460" s="102"/>
      <c r="M460" s="103"/>
      <c r="N460" s="62"/>
      <c r="O460" s="101"/>
      <c r="P460" s="58"/>
      <c r="Q460" s="58"/>
      <c r="R460" s="62"/>
      <c r="S460" s="62"/>
      <c r="T460" s="62"/>
      <c r="U460" s="62"/>
      <c r="V460" s="62"/>
      <c r="W460" s="62"/>
      <c r="X460" s="62"/>
      <c r="Y460" s="62"/>
      <c r="Z460" s="62"/>
      <c r="AA460" s="62"/>
    </row>
    <row r="461">
      <c r="A461" s="96"/>
      <c r="B461" s="98"/>
      <c r="C461" s="99"/>
      <c r="D461" s="99"/>
      <c r="E461" s="111"/>
      <c r="F461" s="97"/>
      <c r="G461" s="97"/>
      <c r="H461" s="101"/>
      <c r="I461" s="62"/>
      <c r="J461" s="62"/>
      <c r="K461" s="58"/>
      <c r="L461" s="102"/>
      <c r="M461" s="103"/>
      <c r="N461" s="62"/>
      <c r="O461" s="101"/>
      <c r="P461" s="58"/>
      <c r="Q461" s="58"/>
      <c r="R461" s="62"/>
      <c r="S461" s="62"/>
      <c r="T461" s="62"/>
      <c r="U461" s="62"/>
      <c r="V461" s="62"/>
      <c r="W461" s="62"/>
      <c r="X461" s="62"/>
      <c r="Y461" s="62"/>
      <c r="Z461" s="62"/>
      <c r="AA461" s="62"/>
    </row>
    <row r="462">
      <c r="A462" s="96"/>
      <c r="B462" s="98"/>
      <c r="C462" s="99"/>
      <c r="D462" s="99"/>
      <c r="E462" s="111"/>
      <c r="F462" s="97"/>
      <c r="G462" s="97"/>
      <c r="H462" s="101"/>
      <c r="I462" s="62"/>
      <c r="J462" s="62"/>
      <c r="K462" s="58"/>
      <c r="L462" s="102"/>
      <c r="M462" s="103"/>
      <c r="N462" s="62"/>
      <c r="O462" s="101"/>
      <c r="P462" s="58"/>
      <c r="Q462" s="58"/>
      <c r="R462" s="62"/>
      <c r="S462" s="62"/>
      <c r="T462" s="62"/>
      <c r="U462" s="62"/>
      <c r="V462" s="62"/>
      <c r="W462" s="62"/>
      <c r="X462" s="62"/>
      <c r="Y462" s="62"/>
      <c r="Z462" s="62"/>
      <c r="AA462" s="62"/>
    </row>
    <row r="463">
      <c r="A463" s="96"/>
      <c r="B463" s="98"/>
      <c r="C463" s="99"/>
      <c r="D463" s="99"/>
      <c r="E463" s="111"/>
      <c r="F463" s="97"/>
      <c r="G463" s="97"/>
      <c r="H463" s="101"/>
      <c r="I463" s="62"/>
      <c r="J463" s="62"/>
      <c r="K463" s="58"/>
      <c r="L463" s="102"/>
      <c r="M463" s="103"/>
      <c r="N463" s="62"/>
      <c r="O463" s="101"/>
      <c r="P463" s="58"/>
      <c r="Q463" s="58"/>
      <c r="R463" s="62"/>
      <c r="S463" s="62"/>
      <c r="T463" s="62"/>
      <c r="U463" s="62"/>
      <c r="V463" s="62"/>
      <c r="W463" s="62"/>
      <c r="X463" s="62"/>
      <c r="Y463" s="62"/>
      <c r="Z463" s="62"/>
      <c r="AA463" s="62"/>
    </row>
    <row r="464">
      <c r="A464" s="96"/>
      <c r="B464" s="98"/>
      <c r="C464" s="99"/>
      <c r="D464" s="99"/>
      <c r="E464" s="111"/>
      <c r="F464" s="97"/>
      <c r="G464" s="97"/>
      <c r="H464" s="101"/>
      <c r="I464" s="62"/>
      <c r="J464" s="62"/>
      <c r="K464" s="58"/>
      <c r="L464" s="102"/>
      <c r="M464" s="103"/>
      <c r="N464" s="62"/>
      <c r="O464" s="101"/>
      <c r="P464" s="58"/>
      <c r="Q464" s="58"/>
      <c r="R464" s="62"/>
      <c r="S464" s="62"/>
      <c r="T464" s="62"/>
      <c r="U464" s="62"/>
      <c r="V464" s="62"/>
      <c r="W464" s="62"/>
      <c r="X464" s="62"/>
      <c r="Y464" s="62"/>
      <c r="Z464" s="62"/>
      <c r="AA464" s="62"/>
    </row>
    <row r="465">
      <c r="A465" s="96"/>
      <c r="B465" s="98"/>
      <c r="C465" s="99"/>
      <c r="D465" s="99"/>
      <c r="E465" s="111"/>
      <c r="F465" s="97"/>
      <c r="G465" s="97"/>
      <c r="H465" s="101"/>
      <c r="I465" s="62"/>
      <c r="J465" s="62"/>
      <c r="K465" s="58"/>
      <c r="L465" s="102"/>
      <c r="M465" s="103"/>
      <c r="N465" s="62"/>
      <c r="O465" s="101"/>
      <c r="P465" s="58"/>
      <c r="Q465" s="58"/>
      <c r="R465" s="62"/>
      <c r="S465" s="62"/>
      <c r="T465" s="62"/>
      <c r="U465" s="62"/>
      <c r="V465" s="62"/>
      <c r="W465" s="62"/>
      <c r="X465" s="62"/>
      <c r="Y465" s="62"/>
      <c r="Z465" s="62"/>
      <c r="AA465" s="62"/>
    </row>
    <row r="466">
      <c r="A466" s="96"/>
      <c r="B466" s="98"/>
      <c r="C466" s="99"/>
      <c r="D466" s="99"/>
      <c r="E466" s="111"/>
      <c r="F466" s="97"/>
      <c r="G466" s="97"/>
      <c r="H466" s="101"/>
      <c r="I466" s="62"/>
      <c r="J466" s="62"/>
      <c r="K466" s="58"/>
      <c r="L466" s="102"/>
      <c r="M466" s="103"/>
      <c r="N466" s="62"/>
      <c r="O466" s="101"/>
      <c r="P466" s="58"/>
      <c r="Q466" s="58"/>
      <c r="R466" s="62"/>
      <c r="S466" s="62"/>
      <c r="T466" s="62"/>
      <c r="U466" s="62"/>
      <c r="V466" s="62"/>
      <c r="W466" s="62"/>
      <c r="X466" s="62"/>
      <c r="Y466" s="62"/>
      <c r="Z466" s="62"/>
      <c r="AA466" s="62"/>
    </row>
    <row r="467">
      <c r="A467" s="96"/>
      <c r="B467" s="98"/>
      <c r="C467" s="99"/>
      <c r="D467" s="99"/>
      <c r="E467" s="111"/>
      <c r="F467" s="97"/>
      <c r="G467" s="97"/>
      <c r="H467" s="101"/>
      <c r="I467" s="62"/>
      <c r="J467" s="62"/>
      <c r="K467" s="58"/>
      <c r="L467" s="102"/>
      <c r="M467" s="103"/>
      <c r="N467" s="62"/>
      <c r="O467" s="101"/>
      <c r="P467" s="58"/>
      <c r="Q467" s="58"/>
      <c r="R467" s="62"/>
      <c r="S467" s="62"/>
      <c r="T467" s="62"/>
      <c r="U467" s="62"/>
      <c r="V467" s="62"/>
      <c r="W467" s="62"/>
      <c r="X467" s="62"/>
      <c r="Y467" s="62"/>
      <c r="Z467" s="62"/>
      <c r="AA467" s="62"/>
    </row>
    <row r="468">
      <c r="A468" s="96"/>
      <c r="B468" s="98"/>
      <c r="C468" s="99"/>
      <c r="D468" s="99"/>
      <c r="E468" s="111"/>
      <c r="F468" s="97"/>
      <c r="G468" s="97"/>
      <c r="H468" s="101"/>
      <c r="I468" s="62"/>
      <c r="J468" s="62"/>
      <c r="K468" s="58"/>
      <c r="L468" s="102"/>
      <c r="M468" s="103"/>
      <c r="N468" s="62"/>
      <c r="O468" s="101"/>
      <c r="P468" s="58"/>
      <c r="Q468" s="58"/>
      <c r="R468" s="62"/>
      <c r="S468" s="62"/>
      <c r="T468" s="62"/>
      <c r="U468" s="62"/>
      <c r="V468" s="62"/>
      <c r="W468" s="62"/>
      <c r="X468" s="62"/>
      <c r="Y468" s="62"/>
      <c r="Z468" s="62"/>
      <c r="AA468" s="62"/>
    </row>
    <row r="469">
      <c r="A469" s="96"/>
      <c r="B469" s="98"/>
      <c r="C469" s="99"/>
      <c r="D469" s="99"/>
      <c r="E469" s="111"/>
      <c r="F469" s="97"/>
      <c r="G469" s="97"/>
      <c r="H469" s="101"/>
      <c r="I469" s="62"/>
      <c r="J469" s="62"/>
      <c r="K469" s="58"/>
      <c r="L469" s="102"/>
      <c r="M469" s="103"/>
      <c r="N469" s="62"/>
      <c r="O469" s="101"/>
      <c r="P469" s="58"/>
      <c r="Q469" s="58"/>
      <c r="R469" s="62"/>
      <c r="S469" s="62"/>
      <c r="T469" s="62"/>
      <c r="U469" s="62"/>
      <c r="V469" s="62"/>
      <c r="W469" s="62"/>
      <c r="X469" s="62"/>
      <c r="Y469" s="62"/>
      <c r="Z469" s="62"/>
      <c r="AA469" s="62"/>
    </row>
    <row r="470">
      <c r="A470" s="96"/>
      <c r="B470" s="98"/>
      <c r="C470" s="99"/>
      <c r="D470" s="99"/>
      <c r="E470" s="111"/>
      <c r="F470" s="97"/>
      <c r="G470" s="97"/>
      <c r="H470" s="101"/>
      <c r="I470" s="62"/>
      <c r="J470" s="62"/>
      <c r="K470" s="58"/>
      <c r="L470" s="102"/>
      <c r="M470" s="103"/>
      <c r="N470" s="62"/>
      <c r="O470" s="101"/>
      <c r="P470" s="58"/>
      <c r="Q470" s="58"/>
      <c r="R470" s="62"/>
      <c r="S470" s="62"/>
      <c r="T470" s="62"/>
      <c r="U470" s="62"/>
      <c r="V470" s="62"/>
      <c r="W470" s="62"/>
      <c r="X470" s="62"/>
      <c r="Y470" s="62"/>
      <c r="Z470" s="62"/>
      <c r="AA470" s="62"/>
    </row>
    <row r="471">
      <c r="A471" s="96"/>
      <c r="B471" s="98"/>
      <c r="C471" s="99"/>
      <c r="D471" s="99"/>
      <c r="E471" s="111"/>
      <c r="F471" s="97"/>
      <c r="G471" s="97"/>
      <c r="H471" s="101"/>
      <c r="I471" s="62"/>
      <c r="J471" s="62"/>
      <c r="K471" s="58"/>
      <c r="L471" s="102"/>
      <c r="M471" s="103"/>
      <c r="N471" s="62"/>
      <c r="O471" s="101"/>
      <c r="P471" s="58"/>
      <c r="Q471" s="58"/>
      <c r="R471" s="62"/>
      <c r="S471" s="62"/>
      <c r="T471" s="62"/>
      <c r="U471" s="62"/>
      <c r="V471" s="62"/>
      <c r="W471" s="62"/>
      <c r="X471" s="62"/>
      <c r="Y471" s="62"/>
      <c r="Z471" s="62"/>
      <c r="AA471" s="62"/>
    </row>
    <row r="472">
      <c r="A472" s="96"/>
      <c r="B472" s="98"/>
      <c r="C472" s="99"/>
      <c r="D472" s="99"/>
      <c r="E472" s="111"/>
      <c r="F472" s="97"/>
      <c r="G472" s="97"/>
      <c r="H472" s="101"/>
      <c r="I472" s="62"/>
      <c r="J472" s="62"/>
      <c r="K472" s="58"/>
      <c r="L472" s="102"/>
      <c r="M472" s="103"/>
      <c r="N472" s="62"/>
      <c r="O472" s="101"/>
      <c r="P472" s="58"/>
      <c r="Q472" s="58"/>
      <c r="R472" s="62"/>
      <c r="S472" s="62"/>
      <c r="T472" s="62"/>
      <c r="U472" s="62"/>
      <c r="V472" s="62"/>
      <c r="W472" s="62"/>
      <c r="X472" s="62"/>
      <c r="Y472" s="62"/>
      <c r="Z472" s="62"/>
      <c r="AA472" s="62"/>
    </row>
    <row r="473">
      <c r="A473" s="96"/>
      <c r="B473" s="98"/>
      <c r="C473" s="99"/>
      <c r="D473" s="99"/>
      <c r="E473" s="111"/>
      <c r="F473" s="97"/>
      <c r="G473" s="97"/>
      <c r="H473" s="101"/>
      <c r="I473" s="62"/>
      <c r="J473" s="62"/>
      <c r="K473" s="58"/>
      <c r="L473" s="102"/>
      <c r="M473" s="103"/>
      <c r="N473" s="62"/>
      <c r="O473" s="101"/>
      <c r="P473" s="58"/>
      <c r="Q473" s="58"/>
      <c r="R473" s="62"/>
      <c r="S473" s="62"/>
      <c r="T473" s="62"/>
      <c r="U473" s="62"/>
      <c r="V473" s="62"/>
      <c r="W473" s="62"/>
      <c r="X473" s="62"/>
      <c r="Y473" s="62"/>
      <c r="Z473" s="62"/>
      <c r="AA473" s="62"/>
    </row>
    <row r="474">
      <c r="A474" s="96"/>
      <c r="B474" s="98"/>
      <c r="C474" s="99"/>
      <c r="D474" s="99"/>
      <c r="E474" s="111"/>
      <c r="F474" s="97"/>
      <c r="G474" s="97"/>
      <c r="H474" s="101"/>
      <c r="I474" s="62"/>
      <c r="J474" s="62"/>
      <c r="K474" s="58"/>
      <c r="L474" s="102"/>
      <c r="M474" s="103"/>
      <c r="N474" s="62"/>
      <c r="O474" s="101"/>
      <c r="P474" s="58"/>
      <c r="Q474" s="58"/>
      <c r="R474" s="62"/>
      <c r="S474" s="62"/>
      <c r="T474" s="62"/>
      <c r="U474" s="62"/>
      <c r="V474" s="62"/>
      <c r="W474" s="62"/>
      <c r="X474" s="62"/>
      <c r="Y474" s="62"/>
      <c r="Z474" s="62"/>
      <c r="AA474" s="62"/>
    </row>
    <row r="475">
      <c r="A475" s="96"/>
      <c r="B475" s="98"/>
      <c r="C475" s="99"/>
      <c r="D475" s="99"/>
      <c r="E475" s="111"/>
      <c r="F475" s="97"/>
      <c r="G475" s="97"/>
      <c r="H475" s="101"/>
      <c r="I475" s="62"/>
      <c r="J475" s="62"/>
      <c r="K475" s="58"/>
      <c r="L475" s="102"/>
      <c r="M475" s="103"/>
      <c r="N475" s="62"/>
      <c r="O475" s="101"/>
      <c r="P475" s="58"/>
      <c r="Q475" s="58"/>
      <c r="R475" s="62"/>
      <c r="S475" s="62"/>
      <c r="T475" s="62"/>
      <c r="U475" s="62"/>
      <c r="V475" s="62"/>
      <c r="W475" s="62"/>
      <c r="X475" s="62"/>
      <c r="Y475" s="62"/>
      <c r="Z475" s="62"/>
      <c r="AA475" s="62"/>
    </row>
    <row r="476">
      <c r="A476" s="96"/>
      <c r="B476" s="98"/>
      <c r="C476" s="99"/>
      <c r="D476" s="99"/>
      <c r="E476" s="111"/>
      <c r="F476" s="97"/>
      <c r="G476" s="97"/>
      <c r="H476" s="101"/>
      <c r="I476" s="62"/>
      <c r="J476" s="62"/>
      <c r="K476" s="58"/>
      <c r="L476" s="102"/>
      <c r="M476" s="103"/>
      <c r="N476" s="62"/>
      <c r="O476" s="101"/>
      <c r="P476" s="58"/>
      <c r="Q476" s="58"/>
      <c r="R476" s="62"/>
      <c r="S476" s="62"/>
      <c r="T476" s="62"/>
      <c r="U476" s="62"/>
      <c r="V476" s="62"/>
      <c r="W476" s="62"/>
      <c r="X476" s="62"/>
      <c r="Y476" s="62"/>
      <c r="Z476" s="62"/>
      <c r="AA476" s="62"/>
    </row>
    <row r="477">
      <c r="A477" s="96"/>
      <c r="B477" s="98"/>
      <c r="C477" s="99"/>
      <c r="D477" s="99"/>
      <c r="E477" s="111"/>
      <c r="F477" s="97"/>
      <c r="G477" s="97"/>
      <c r="H477" s="101"/>
      <c r="I477" s="62"/>
      <c r="J477" s="62"/>
      <c r="K477" s="58"/>
      <c r="L477" s="102"/>
      <c r="M477" s="103"/>
      <c r="N477" s="62"/>
      <c r="O477" s="101"/>
      <c r="P477" s="58"/>
      <c r="Q477" s="58"/>
      <c r="R477" s="62"/>
      <c r="S477" s="62"/>
      <c r="T477" s="62"/>
      <c r="U477" s="62"/>
      <c r="V477" s="62"/>
      <c r="W477" s="62"/>
      <c r="X477" s="62"/>
      <c r="Y477" s="62"/>
      <c r="Z477" s="62"/>
      <c r="AA477" s="62"/>
    </row>
    <row r="478">
      <c r="A478" s="96"/>
      <c r="B478" s="98"/>
      <c r="C478" s="99"/>
      <c r="D478" s="99"/>
      <c r="E478" s="111"/>
      <c r="F478" s="97"/>
      <c r="G478" s="97"/>
      <c r="H478" s="101"/>
      <c r="I478" s="62"/>
      <c r="J478" s="62"/>
      <c r="K478" s="58"/>
      <c r="L478" s="102"/>
      <c r="M478" s="103"/>
      <c r="N478" s="62"/>
      <c r="O478" s="101"/>
      <c r="P478" s="58"/>
      <c r="Q478" s="58"/>
      <c r="R478" s="62"/>
      <c r="S478" s="62"/>
      <c r="T478" s="62"/>
      <c r="U478" s="62"/>
      <c r="V478" s="62"/>
      <c r="W478" s="62"/>
      <c r="X478" s="62"/>
      <c r="Y478" s="62"/>
      <c r="Z478" s="62"/>
      <c r="AA478" s="62"/>
    </row>
    <row r="479">
      <c r="A479" s="96"/>
      <c r="B479" s="98"/>
      <c r="C479" s="99"/>
      <c r="D479" s="99"/>
      <c r="E479" s="111"/>
      <c r="F479" s="97"/>
      <c r="G479" s="97"/>
      <c r="H479" s="101"/>
      <c r="I479" s="62"/>
      <c r="J479" s="62"/>
      <c r="K479" s="58"/>
      <c r="L479" s="102"/>
      <c r="M479" s="103"/>
      <c r="N479" s="62"/>
      <c r="O479" s="101"/>
      <c r="P479" s="58"/>
      <c r="Q479" s="58"/>
      <c r="R479" s="62"/>
      <c r="S479" s="62"/>
      <c r="T479" s="62"/>
      <c r="U479" s="62"/>
      <c r="V479" s="62"/>
      <c r="W479" s="62"/>
      <c r="X479" s="62"/>
      <c r="Y479" s="62"/>
      <c r="Z479" s="62"/>
      <c r="AA479" s="62"/>
    </row>
    <row r="480">
      <c r="A480" s="96"/>
      <c r="B480" s="98"/>
      <c r="C480" s="99"/>
      <c r="D480" s="99"/>
      <c r="E480" s="111"/>
      <c r="F480" s="97"/>
      <c r="G480" s="97"/>
      <c r="H480" s="101"/>
      <c r="I480" s="62"/>
      <c r="J480" s="62"/>
      <c r="K480" s="58"/>
      <c r="L480" s="102"/>
      <c r="M480" s="103"/>
      <c r="N480" s="62"/>
      <c r="O480" s="101"/>
      <c r="P480" s="58"/>
      <c r="Q480" s="58"/>
      <c r="R480" s="62"/>
      <c r="S480" s="62"/>
      <c r="T480" s="62"/>
      <c r="U480" s="62"/>
      <c r="V480" s="62"/>
      <c r="W480" s="62"/>
      <c r="X480" s="62"/>
      <c r="Y480" s="62"/>
      <c r="Z480" s="62"/>
      <c r="AA480" s="62"/>
    </row>
    <row r="481">
      <c r="A481" s="96"/>
      <c r="B481" s="98"/>
      <c r="C481" s="99"/>
      <c r="D481" s="99"/>
      <c r="E481" s="111"/>
      <c r="F481" s="97"/>
      <c r="G481" s="97"/>
      <c r="H481" s="101"/>
      <c r="I481" s="62"/>
      <c r="J481" s="62"/>
      <c r="K481" s="58"/>
      <c r="L481" s="102"/>
      <c r="M481" s="103"/>
      <c r="N481" s="62"/>
      <c r="O481" s="101"/>
      <c r="P481" s="58"/>
      <c r="Q481" s="58"/>
      <c r="R481" s="62"/>
      <c r="S481" s="62"/>
      <c r="T481" s="62"/>
      <c r="U481" s="62"/>
      <c r="V481" s="62"/>
      <c r="W481" s="62"/>
      <c r="X481" s="62"/>
      <c r="Y481" s="62"/>
      <c r="Z481" s="62"/>
      <c r="AA481" s="62"/>
    </row>
    <row r="482">
      <c r="A482" s="96"/>
      <c r="B482" s="98"/>
      <c r="C482" s="99"/>
      <c r="D482" s="99"/>
      <c r="E482" s="111"/>
      <c r="F482" s="97"/>
      <c r="G482" s="97"/>
      <c r="H482" s="101"/>
      <c r="I482" s="62"/>
      <c r="J482" s="62"/>
      <c r="K482" s="58"/>
      <c r="L482" s="102"/>
      <c r="M482" s="103"/>
      <c r="N482" s="62"/>
      <c r="O482" s="101"/>
      <c r="P482" s="58"/>
      <c r="Q482" s="58"/>
      <c r="R482" s="62"/>
      <c r="S482" s="62"/>
      <c r="T482" s="62"/>
      <c r="U482" s="62"/>
      <c r="V482" s="62"/>
      <c r="W482" s="62"/>
      <c r="X482" s="62"/>
      <c r="Y482" s="62"/>
      <c r="Z482" s="62"/>
      <c r="AA482" s="62"/>
    </row>
    <row r="483">
      <c r="A483" s="96"/>
      <c r="B483" s="98"/>
      <c r="C483" s="99"/>
      <c r="D483" s="99"/>
      <c r="E483" s="111"/>
      <c r="F483" s="97"/>
      <c r="G483" s="97"/>
      <c r="H483" s="101"/>
      <c r="I483" s="62"/>
      <c r="J483" s="62"/>
      <c r="K483" s="58"/>
      <c r="L483" s="102"/>
      <c r="M483" s="103"/>
      <c r="N483" s="62"/>
      <c r="O483" s="101"/>
      <c r="P483" s="58"/>
      <c r="Q483" s="58"/>
      <c r="R483" s="62"/>
      <c r="S483" s="62"/>
      <c r="T483" s="62"/>
      <c r="U483" s="62"/>
      <c r="V483" s="62"/>
      <c r="W483" s="62"/>
      <c r="X483" s="62"/>
      <c r="Y483" s="62"/>
      <c r="Z483" s="62"/>
      <c r="AA483" s="62"/>
    </row>
    <row r="484">
      <c r="A484" s="96"/>
      <c r="B484" s="98"/>
      <c r="C484" s="99"/>
      <c r="D484" s="99"/>
      <c r="E484" s="111"/>
      <c r="F484" s="97"/>
      <c r="G484" s="97"/>
      <c r="H484" s="101"/>
      <c r="I484" s="62"/>
      <c r="J484" s="62"/>
      <c r="K484" s="58"/>
      <c r="L484" s="102"/>
      <c r="M484" s="103"/>
      <c r="N484" s="62"/>
      <c r="O484" s="101"/>
      <c r="P484" s="58"/>
      <c r="Q484" s="58"/>
      <c r="R484" s="62"/>
      <c r="S484" s="62"/>
      <c r="T484" s="62"/>
      <c r="U484" s="62"/>
      <c r="V484" s="62"/>
      <c r="W484" s="62"/>
      <c r="X484" s="62"/>
      <c r="Y484" s="62"/>
      <c r="Z484" s="62"/>
      <c r="AA484" s="62"/>
    </row>
    <row r="485">
      <c r="A485" s="96"/>
      <c r="B485" s="98"/>
      <c r="C485" s="99"/>
      <c r="D485" s="99"/>
      <c r="E485" s="111"/>
      <c r="F485" s="97"/>
      <c r="G485" s="97"/>
      <c r="H485" s="101"/>
      <c r="I485" s="62"/>
      <c r="J485" s="62"/>
      <c r="K485" s="58"/>
      <c r="L485" s="102"/>
      <c r="M485" s="103"/>
      <c r="N485" s="62"/>
      <c r="O485" s="101"/>
      <c r="P485" s="58"/>
      <c r="Q485" s="58"/>
      <c r="R485" s="62"/>
      <c r="S485" s="62"/>
      <c r="T485" s="62"/>
      <c r="U485" s="62"/>
      <c r="V485" s="62"/>
      <c r="W485" s="62"/>
      <c r="X485" s="62"/>
      <c r="Y485" s="62"/>
      <c r="Z485" s="62"/>
      <c r="AA485" s="62"/>
    </row>
    <row r="486">
      <c r="A486" s="96"/>
      <c r="B486" s="98"/>
      <c r="C486" s="99"/>
      <c r="D486" s="99"/>
      <c r="E486" s="111"/>
      <c r="F486" s="97"/>
      <c r="G486" s="97"/>
      <c r="H486" s="101"/>
      <c r="I486" s="62"/>
      <c r="J486" s="62"/>
      <c r="K486" s="58"/>
      <c r="L486" s="102"/>
      <c r="M486" s="103"/>
      <c r="N486" s="62"/>
      <c r="O486" s="101"/>
      <c r="P486" s="58"/>
      <c r="Q486" s="58"/>
      <c r="R486" s="62"/>
      <c r="S486" s="62"/>
      <c r="T486" s="62"/>
      <c r="U486" s="62"/>
      <c r="V486" s="62"/>
      <c r="W486" s="62"/>
      <c r="X486" s="62"/>
      <c r="Y486" s="62"/>
      <c r="Z486" s="62"/>
      <c r="AA486" s="62"/>
    </row>
    <row r="487">
      <c r="A487" s="96"/>
      <c r="B487" s="98"/>
      <c r="C487" s="99"/>
      <c r="D487" s="99"/>
      <c r="E487" s="111"/>
      <c r="F487" s="97"/>
      <c r="G487" s="97"/>
      <c r="H487" s="101"/>
      <c r="I487" s="62"/>
      <c r="J487" s="62"/>
      <c r="K487" s="58"/>
      <c r="L487" s="102"/>
      <c r="M487" s="103"/>
      <c r="N487" s="62"/>
      <c r="O487" s="101"/>
      <c r="P487" s="58"/>
      <c r="Q487" s="58"/>
      <c r="R487" s="62"/>
      <c r="S487" s="62"/>
      <c r="T487" s="62"/>
      <c r="U487" s="62"/>
      <c r="V487" s="62"/>
      <c r="W487" s="62"/>
      <c r="X487" s="62"/>
      <c r="Y487" s="62"/>
      <c r="Z487" s="62"/>
      <c r="AA487" s="62"/>
    </row>
    <row r="488">
      <c r="A488" s="96"/>
      <c r="B488" s="98"/>
      <c r="C488" s="99"/>
      <c r="D488" s="99"/>
      <c r="E488" s="111"/>
      <c r="F488" s="97"/>
      <c r="G488" s="97"/>
      <c r="H488" s="101"/>
      <c r="I488" s="62"/>
      <c r="J488" s="62"/>
      <c r="K488" s="58"/>
      <c r="L488" s="102"/>
      <c r="M488" s="103"/>
      <c r="N488" s="62"/>
      <c r="O488" s="101"/>
      <c r="P488" s="58"/>
      <c r="Q488" s="58"/>
      <c r="R488" s="62"/>
      <c r="S488" s="62"/>
      <c r="T488" s="62"/>
      <c r="U488" s="62"/>
      <c r="V488" s="62"/>
      <c r="W488" s="62"/>
      <c r="X488" s="62"/>
      <c r="Y488" s="62"/>
      <c r="Z488" s="62"/>
      <c r="AA488" s="62"/>
    </row>
    <row r="489">
      <c r="A489" s="96"/>
      <c r="B489" s="98"/>
      <c r="C489" s="99"/>
      <c r="D489" s="99"/>
      <c r="E489" s="111"/>
      <c r="F489" s="97"/>
      <c r="G489" s="97"/>
      <c r="H489" s="101"/>
      <c r="I489" s="62"/>
      <c r="J489" s="62"/>
      <c r="K489" s="58"/>
      <c r="L489" s="102"/>
      <c r="M489" s="103"/>
      <c r="N489" s="62"/>
      <c r="O489" s="101"/>
      <c r="P489" s="58"/>
      <c r="Q489" s="58"/>
      <c r="R489" s="62"/>
      <c r="S489" s="62"/>
      <c r="T489" s="62"/>
      <c r="U489" s="62"/>
      <c r="V489" s="62"/>
      <c r="W489" s="62"/>
      <c r="X489" s="62"/>
      <c r="Y489" s="62"/>
      <c r="Z489" s="62"/>
      <c r="AA489" s="62"/>
    </row>
    <row r="490">
      <c r="A490" s="96"/>
      <c r="B490" s="98"/>
      <c r="C490" s="99"/>
      <c r="D490" s="99"/>
      <c r="E490" s="111"/>
      <c r="F490" s="97"/>
      <c r="G490" s="97"/>
      <c r="H490" s="101"/>
      <c r="I490" s="62"/>
      <c r="J490" s="62"/>
      <c r="K490" s="58"/>
      <c r="L490" s="102"/>
      <c r="M490" s="103"/>
      <c r="N490" s="62"/>
      <c r="O490" s="101"/>
      <c r="P490" s="58"/>
      <c r="Q490" s="58"/>
      <c r="R490" s="62"/>
      <c r="S490" s="62"/>
      <c r="T490" s="62"/>
      <c r="U490" s="62"/>
      <c r="V490" s="62"/>
      <c r="W490" s="62"/>
      <c r="X490" s="62"/>
      <c r="Y490" s="62"/>
      <c r="Z490" s="62"/>
      <c r="AA490" s="62"/>
    </row>
    <row r="491">
      <c r="A491" s="96"/>
      <c r="B491" s="98"/>
      <c r="C491" s="99"/>
      <c r="D491" s="99"/>
      <c r="E491" s="111"/>
      <c r="F491" s="97"/>
      <c r="G491" s="97"/>
      <c r="H491" s="101"/>
      <c r="I491" s="62"/>
      <c r="J491" s="62"/>
      <c r="K491" s="58"/>
      <c r="L491" s="102"/>
      <c r="M491" s="103"/>
      <c r="N491" s="62"/>
      <c r="O491" s="101"/>
      <c r="P491" s="58"/>
      <c r="Q491" s="58"/>
      <c r="R491" s="62"/>
      <c r="S491" s="62"/>
      <c r="T491" s="62"/>
      <c r="U491" s="62"/>
      <c r="V491" s="62"/>
      <c r="W491" s="62"/>
      <c r="X491" s="62"/>
      <c r="Y491" s="62"/>
      <c r="Z491" s="62"/>
      <c r="AA491" s="62"/>
    </row>
    <row r="492">
      <c r="A492" s="96"/>
      <c r="B492" s="98"/>
      <c r="C492" s="99"/>
      <c r="D492" s="99"/>
      <c r="E492" s="111"/>
      <c r="F492" s="97"/>
      <c r="G492" s="97"/>
      <c r="H492" s="101"/>
      <c r="I492" s="62"/>
      <c r="J492" s="62"/>
      <c r="K492" s="58"/>
      <c r="L492" s="102"/>
      <c r="M492" s="103"/>
      <c r="N492" s="62"/>
      <c r="O492" s="101"/>
      <c r="P492" s="58"/>
      <c r="Q492" s="58"/>
      <c r="R492" s="62"/>
      <c r="S492" s="62"/>
      <c r="T492" s="62"/>
      <c r="U492" s="62"/>
      <c r="V492" s="62"/>
      <c r="W492" s="62"/>
      <c r="X492" s="62"/>
      <c r="Y492" s="62"/>
      <c r="Z492" s="62"/>
      <c r="AA492" s="62"/>
    </row>
    <row r="493">
      <c r="A493" s="96"/>
      <c r="B493" s="98"/>
      <c r="C493" s="99"/>
      <c r="D493" s="99"/>
      <c r="E493" s="111"/>
      <c r="F493" s="97"/>
      <c r="G493" s="97"/>
      <c r="H493" s="101"/>
      <c r="I493" s="62"/>
      <c r="J493" s="62"/>
      <c r="K493" s="58"/>
      <c r="L493" s="102"/>
      <c r="M493" s="103"/>
      <c r="N493" s="62"/>
      <c r="O493" s="101"/>
      <c r="P493" s="58"/>
      <c r="Q493" s="58"/>
      <c r="R493" s="62"/>
      <c r="S493" s="62"/>
      <c r="T493" s="62"/>
      <c r="U493" s="62"/>
      <c r="V493" s="62"/>
      <c r="W493" s="62"/>
      <c r="X493" s="62"/>
      <c r="Y493" s="62"/>
      <c r="Z493" s="62"/>
      <c r="AA493" s="62"/>
    </row>
    <row r="494">
      <c r="A494" s="96"/>
      <c r="B494" s="98"/>
      <c r="C494" s="99"/>
      <c r="D494" s="99"/>
      <c r="E494" s="111"/>
      <c r="F494" s="97"/>
      <c r="G494" s="97"/>
      <c r="H494" s="101"/>
      <c r="I494" s="62"/>
      <c r="J494" s="62"/>
      <c r="K494" s="58"/>
      <c r="L494" s="102"/>
      <c r="M494" s="103"/>
      <c r="N494" s="62"/>
      <c r="O494" s="101"/>
      <c r="P494" s="58"/>
      <c r="Q494" s="58"/>
      <c r="R494" s="62"/>
      <c r="S494" s="62"/>
      <c r="T494" s="62"/>
      <c r="U494" s="62"/>
      <c r="V494" s="62"/>
      <c r="W494" s="62"/>
      <c r="X494" s="62"/>
      <c r="Y494" s="62"/>
      <c r="Z494" s="62"/>
      <c r="AA494" s="62"/>
    </row>
    <row r="495">
      <c r="A495" s="96"/>
      <c r="B495" s="98"/>
      <c r="C495" s="99"/>
      <c r="D495" s="99"/>
      <c r="E495" s="111"/>
      <c r="F495" s="97"/>
      <c r="G495" s="97"/>
      <c r="H495" s="101"/>
      <c r="I495" s="62"/>
      <c r="J495" s="62"/>
      <c r="K495" s="58"/>
      <c r="L495" s="102"/>
      <c r="M495" s="103"/>
      <c r="N495" s="62"/>
      <c r="O495" s="101"/>
      <c r="P495" s="58"/>
      <c r="Q495" s="58"/>
      <c r="R495" s="62"/>
      <c r="S495" s="62"/>
      <c r="T495" s="62"/>
      <c r="U495" s="62"/>
      <c r="V495" s="62"/>
      <c r="W495" s="62"/>
      <c r="X495" s="62"/>
      <c r="Y495" s="62"/>
      <c r="Z495" s="62"/>
      <c r="AA495" s="62"/>
    </row>
    <row r="496">
      <c r="A496" s="96"/>
      <c r="B496" s="98"/>
      <c r="C496" s="99"/>
      <c r="D496" s="99"/>
      <c r="E496" s="111"/>
      <c r="F496" s="97"/>
      <c r="G496" s="97"/>
      <c r="H496" s="101"/>
      <c r="I496" s="62"/>
      <c r="J496" s="62"/>
      <c r="K496" s="58"/>
      <c r="L496" s="102"/>
      <c r="M496" s="103"/>
      <c r="N496" s="62"/>
      <c r="O496" s="101"/>
      <c r="P496" s="58"/>
      <c r="Q496" s="58"/>
      <c r="R496" s="62"/>
      <c r="S496" s="62"/>
      <c r="T496" s="62"/>
      <c r="U496" s="62"/>
      <c r="V496" s="62"/>
      <c r="W496" s="62"/>
      <c r="X496" s="62"/>
      <c r="Y496" s="62"/>
      <c r="Z496" s="62"/>
      <c r="AA496" s="62"/>
    </row>
    <row r="497">
      <c r="A497" s="96"/>
      <c r="B497" s="98"/>
      <c r="C497" s="99"/>
      <c r="D497" s="99"/>
      <c r="E497" s="111"/>
      <c r="F497" s="97"/>
      <c r="G497" s="97"/>
      <c r="H497" s="101"/>
      <c r="I497" s="62"/>
      <c r="J497" s="62"/>
      <c r="K497" s="58"/>
      <c r="L497" s="102"/>
      <c r="M497" s="103"/>
      <c r="N497" s="62"/>
      <c r="O497" s="101"/>
      <c r="P497" s="58"/>
      <c r="Q497" s="58"/>
      <c r="R497" s="62"/>
      <c r="S497" s="62"/>
      <c r="T497" s="62"/>
      <c r="U497" s="62"/>
      <c r="V497" s="62"/>
      <c r="W497" s="62"/>
      <c r="X497" s="62"/>
      <c r="Y497" s="62"/>
      <c r="Z497" s="62"/>
      <c r="AA497" s="62"/>
    </row>
    <row r="498">
      <c r="A498" s="96"/>
      <c r="B498" s="98"/>
      <c r="C498" s="99"/>
      <c r="D498" s="99"/>
      <c r="E498" s="111"/>
      <c r="F498" s="97"/>
      <c r="G498" s="97"/>
      <c r="H498" s="101"/>
      <c r="I498" s="62"/>
      <c r="J498" s="62"/>
      <c r="K498" s="58"/>
      <c r="L498" s="102"/>
      <c r="M498" s="103"/>
      <c r="N498" s="62"/>
      <c r="O498" s="101"/>
      <c r="P498" s="58"/>
      <c r="Q498" s="58"/>
      <c r="R498" s="62"/>
      <c r="S498" s="62"/>
      <c r="T498" s="62"/>
      <c r="U498" s="62"/>
      <c r="V498" s="62"/>
      <c r="W498" s="62"/>
      <c r="X498" s="62"/>
      <c r="Y498" s="62"/>
      <c r="Z498" s="62"/>
      <c r="AA498" s="62"/>
    </row>
    <row r="499">
      <c r="A499" s="96"/>
      <c r="B499" s="98"/>
      <c r="C499" s="99"/>
      <c r="D499" s="99"/>
      <c r="E499" s="111"/>
      <c r="F499" s="97"/>
      <c r="G499" s="97"/>
      <c r="H499" s="101"/>
      <c r="I499" s="62"/>
      <c r="J499" s="62"/>
      <c r="K499" s="58"/>
      <c r="L499" s="102"/>
      <c r="M499" s="103"/>
      <c r="N499" s="62"/>
      <c r="O499" s="101"/>
      <c r="P499" s="58"/>
      <c r="Q499" s="58"/>
      <c r="R499" s="62"/>
      <c r="S499" s="62"/>
      <c r="T499" s="62"/>
      <c r="U499" s="62"/>
      <c r="V499" s="62"/>
      <c r="W499" s="62"/>
      <c r="X499" s="62"/>
      <c r="Y499" s="62"/>
      <c r="Z499" s="62"/>
      <c r="AA499" s="62"/>
    </row>
    <row r="500">
      <c r="A500" s="96"/>
      <c r="B500" s="98"/>
      <c r="C500" s="99"/>
      <c r="D500" s="99"/>
      <c r="E500" s="111"/>
      <c r="F500" s="97"/>
      <c r="G500" s="97"/>
      <c r="H500" s="101"/>
      <c r="I500" s="62"/>
      <c r="J500" s="62"/>
      <c r="K500" s="58"/>
      <c r="L500" s="102"/>
      <c r="M500" s="103"/>
      <c r="N500" s="62"/>
      <c r="O500" s="101"/>
      <c r="P500" s="58"/>
      <c r="Q500" s="58"/>
      <c r="R500" s="62"/>
      <c r="S500" s="62"/>
      <c r="T500" s="62"/>
      <c r="U500" s="62"/>
      <c r="V500" s="62"/>
      <c r="W500" s="62"/>
      <c r="X500" s="62"/>
      <c r="Y500" s="62"/>
      <c r="Z500" s="62"/>
      <c r="AA500" s="62"/>
    </row>
    <row r="501">
      <c r="A501" s="96"/>
      <c r="B501" s="98"/>
      <c r="C501" s="99"/>
      <c r="D501" s="99"/>
      <c r="E501" s="111"/>
      <c r="F501" s="97"/>
      <c r="G501" s="97"/>
      <c r="H501" s="101"/>
      <c r="I501" s="62"/>
      <c r="J501" s="62"/>
      <c r="K501" s="58"/>
      <c r="L501" s="102"/>
      <c r="M501" s="103"/>
      <c r="N501" s="62"/>
      <c r="O501" s="101"/>
      <c r="P501" s="58"/>
      <c r="Q501" s="58"/>
      <c r="R501" s="62"/>
      <c r="S501" s="62"/>
      <c r="T501" s="62"/>
      <c r="U501" s="62"/>
      <c r="V501" s="62"/>
      <c r="W501" s="62"/>
      <c r="X501" s="62"/>
      <c r="Y501" s="62"/>
      <c r="Z501" s="62"/>
      <c r="AA501" s="62"/>
    </row>
    <row r="502">
      <c r="A502" s="96"/>
      <c r="B502" s="98"/>
      <c r="C502" s="99"/>
      <c r="D502" s="99"/>
      <c r="E502" s="111"/>
      <c r="F502" s="97"/>
      <c r="G502" s="97"/>
      <c r="H502" s="101"/>
      <c r="I502" s="62"/>
      <c r="J502" s="62"/>
      <c r="K502" s="58"/>
      <c r="L502" s="102"/>
      <c r="M502" s="103"/>
      <c r="N502" s="62"/>
      <c r="O502" s="101"/>
      <c r="P502" s="58"/>
      <c r="Q502" s="58"/>
      <c r="R502" s="62"/>
      <c r="S502" s="62"/>
      <c r="T502" s="62"/>
      <c r="U502" s="62"/>
      <c r="V502" s="62"/>
      <c r="W502" s="62"/>
      <c r="X502" s="62"/>
      <c r="Y502" s="62"/>
      <c r="Z502" s="62"/>
      <c r="AA502" s="62"/>
    </row>
    <row r="503">
      <c r="A503" s="96"/>
      <c r="B503" s="98"/>
      <c r="C503" s="99"/>
      <c r="D503" s="99"/>
      <c r="E503" s="111"/>
      <c r="F503" s="97"/>
      <c r="G503" s="97"/>
      <c r="H503" s="101"/>
      <c r="I503" s="62"/>
      <c r="J503" s="62"/>
      <c r="K503" s="58"/>
      <c r="L503" s="102"/>
      <c r="M503" s="103"/>
      <c r="N503" s="62"/>
      <c r="O503" s="101"/>
      <c r="P503" s="58"/>
      <c r="Q503" s="58"/>
      <c r="R503" s="62"/>
      <c r="S503" s="62"/>
      <c r="T503" s="62"/>
      <c r="U503" s="62"/>
      <c r="V503" s="62"/>
      <c r="W503" s="62"/>
      <c r="X503" s="62"/>
      <c r="Y503" s="62"/>
      <c r="Z503" s="62"/>
      <c r="AA503" s="62"/>
    </row>
    <row r="504">
      <c r="A504" s="96"/>
      <c r="B504" s="98"/>
      <c r="C504" s="99"/>
      <c r="D504" s="99"/>
      <c r="E504" s="111"/>
      <c r="F504" s="97"/>
      <c r="G504" s="97"/>
      <c r="H504" s="101"/>
      <c r="I504" s="62"/>
      <c r="J504" s="62"/>
      <c r="K504" s="58"/>
      <c r="L504" s="102"/>
      <c r="M504" s="103"/>
      <c r="N504" s="62"/>
      <c r="O504" s="101"/>
      <c r="P504" s="58"/>
      <c r="Q504" s="58"/>
      <c r="R504" s="62"/>
      <c r="S504" s="62"/>
      <c r="T504" s="62"/>
      <c r="U504" s="62"/>
      <c r="V504" s="62"/>
      <c r="W504" s="62"/>
      <c r="X504" s="62"/>
      <c r="Y504" s="62"/>
      <c r="Z504" s="62"/>
      <c r="AA504" s="62"/>
    </row>
    <row r="505">
      <c r="A505" s="96"/>
      <c r="B505" s="98"/>
      <c r="C505" s="99"/>
      <c r="D505" s="99"/>
      <c r="E505" s="111"/>
      <c r="F505" s="97"/>
      <c r="G505" s="97"/>
      <c r="H505" s="101"/>
      <c r="I505" s="62"/>
      <c r="J505" s="62"/>
      <c r="K505" s="58"/>
      <c r="L505" s="102"/>
      <c r="M505" s="103"/>
      <c r="N505" s="62"/>
      <c r="O505" s="101"/>
      <c r="P505" s="58"/>
      <c r="Q505" s="58"/>
      <c r="R505" s="62"/>
      <c r="S505" s="62"/>
      <c r="T505" s="62"/>
      <c r="U505" s="62"/>
      <c r="V505" s="62"/>
      <c r="W505" s="62"/>
      <c r="X505" s="62"/>
      <c r="Y505" s="62"/>
      <c r="Z505" s="62"/>
      <c r="AA505" s="62"/>
    </row>
    <row r="506">
      <c r="A506" s="96"/>
      <c r="B506" s="98"/>
      <c r="C506" s="99"/>
      <c r="D506" s="99"/>
      <c r="E506" s="111"/>
      <c r="F506" s="97"/>
      <c r="G506" s="97"/>
      <c r="H506" s="101"/>
      <c r="I506" s="62"/>
      <c r="J506" s="62"/>
      <c r="K506" s="58"/>
      <c r="L506" s="102"/>
      <c r="M506" s="103"/>
      <c r="N506" s="62"/>
      <c r="O506" s="101"/>
      <c r="P506" s="58"/>
      <c r="Q506" s="58"/>
      <c r="R506" s="62"/>
      <c r="S506" s="62"/>
      <c r="T506" s="62"/>
      <c r="U506" s="62"/>
      <c r="V506" s="62"/>
      <c r="W506" s="62"/>
      <c r="X506" s="62"/>
      <c r="Y506" s="62"/>
      <c r="Z506" s="62"/>
      <c r="AA506" s="62"/>
    </row>
    <row r="507">
      <c r="A507" s="96"/>
      <c r="B507" s="98"/>
      <c r="C507" s="99"/>
      <c r="D507" s="99"/>
      <c r="E507" s="111"/>
      <c r="F507" s="97"/>
      <c r="G507" s="97"/>
      <c r="H507" s="101"/>
      <c r="I507" s="62"/>
      <c r="J507" s="62"/>
      <c r="K507" s="58"/>
      <c r="L507" s="102"/>
      <c r="M507" s="103"/>
      <c r="N507" s="62"/>
      <c r="O507" s="101"/>
      <c r="P507" s="58"/>
      <c r="Q507" s="58"/>
      <c r="R507" s="62"/>
      <c r="S507" s="62"/>
      <c r="T507" s="62"/>
      <c r="U507" s="62"/>
      <c r="V507" s="62"/>
      <c r="W507" s="62"/>
      <c r="X507" s="62"/>
      <c r="Y507" s="62"/>
      <c r="Z507" s="62"/>
      <c r="AA507" s="62"/>
    </row>
    <row r="508">
      <c r="A508" s="96"/>
      <c r="B508" s="98"/>
      <c r="C508" s="99"/>
      <c r="D508" s="99"/>
      <c r="E508" s="111"/>
      <c r="F508" s="97"/>
      <c r="G508" s="97"/>
      <c r="H508" s="101"/>
      <c r="I508" s="62"/>
      <c r="J508" s="62"/>
      <c r="K508" s="58"/>
      <c r="L508" s="102"/>
      <c r="M508" s="103"/>
      <c r="N508" s="62"/>
      <c r="O508" s="101"/>
      <c r="P508" s="58"/>
      <c r="Q508" s="58"/>
      <c r="R508" s="62"/>
      <c r="S508" s="62"/>
      <c r="T508" s="62"/>
      <c r="U508" s="62"/>
      <c r="V508" s="62"/>
      <c r="W508" s="62"/>
      <c r="X508" s="62"/>
      <c r="Y508" s="62"/>
      <c r="Z508" s="62"/>
      <c r="AA508" s="62"/>
    </row>
    <row r="509">
      <c r="A509" s="96"/>
      <c r="B509" s="98"/>
      <c r="C509" s="99"/>
      <c r="D509" s="99"/>
      <c r="E509" s="111"/>
      <c r="F509" s="97"/>
      <c r="G509" s="97"/>
      <c r="H509" s="101"/>
      <c r="I509" s="62"/>
      <c r="J509" s="62"/>
      <c r="K509" s="58"/>
      <c r="L509" s="102"/>
      <c r="M509" s="103"/>
      <c r="N509" s="62"/>
      <c r="O509" s="101"/>
      <c r="P509" s="58"/>
      <c r="Q509" s="58"/>
      <c r="R509" s="62"/>
      <c r="S509" s="62"/>
      <c r="T509" s="62"/>
      <c r="U509" s="62"/>
      <c r="V509" s="62"/>
      <c r="W509" s="62"/>
      <c r="X509" s="62"/>
      <c r="Y509" s="62"/>
      <c r="Z509" s="62"/>
      <c r="AA509" s="62"/>
    </row>
    <row r="510">
      <c r="A510" s="96"/>
      <c r="B510" s="98"/>
      <c r="C510" s="99"/>
      <c r="D510" s="99"/>
      <c r="E510" s="111"/>
      <c r="F510" s="97"/>
      <c r="G510" s="97"/>
      <c r="H510" s="101"/>
      <c r="I510" s="62"/>
      <c r="J510" s="62"/>
      <c r="K510" s="58"/>
      <c r="L510" s="102"/>
      <c r="M510" s="103"/>
      <c r="N510" s="62"/>
      <c r="O510" s="101"/>
      <c r="P510" s="58"/>
      <c r="Q510" s="58"/>
      <c r="R510" s="62"/>
      <c r="S510" s="62"/>
      <c r="T510" s="62"/>
      <c r="U510" s="62"/>
      <c r="V510" s="62"/>
      <c r="W510" s="62"/>
      <c r="X510" s="62"/>
      <c r="Y510" s="62"/>
      <c r="Z510" s="62"/>
      <c r="AA510" s="62"/>
    </row>
    <row r="511">
      <c r="A511" s="96"/>
      <c r="B511" s="98"/>
      <c r="C511" s="99"/>
      <c r="D511" s="99"/>
      <c r="E511" s="111"/>
      <c r="F511" s="97"/>
      <c r="G511" s="97"/>
      <c r="H511" s="101"/>
      <c r="I511" s="58"/>
      <c r="J511" s="62"/>
      <c r="K511" s="58"/>
      <c r="L511" s="102"/>
      <c r="M511" s="103"/>
      <c r="N511" s="62"/>
      <c r="O511" s="101"/>
      <c r="P511" s="58"/>
      <c r="Q511" s="58"/>
      <c r="R511" s="58"/>
      <c r="S511" s="62"/>
      <c r="T511" s="62"/>
      <c r="U511" s="62"/>
      <c r="V511" s="62"/>
      <c r="W511" s="62"/>
      <c r="X511" s="62"/>
      <c r="Y511" s="62"/>
      <c r="Z511" s="62"/>
      <c r="AA511" s="62"/>
    </row>
    <row r="512">
      <c r="A512" s="96"/>
      <c r="B512" s="98"/>
      <c r="C512" s="99"/>
      <c r="D512" s="99"/>
      <c r="E512" s="111"/>
      <c r="F512" s="97"/>
      <c r="G512" s="97"/>
      <c r="H512" s="101"/>
      <c r="I512" s="62"/>
      <c r="J512" s="62"/>
      <c r="K512" s="58"/>
      <c r="L512" s="102"/>
      <c r="M512" s="103"/>
      <c r="N512" s="62"/>
      <c r="O512" s="101"/>
      <c r="P512" s="58"/>
      <c r="Q512" s="58"/>
      <c r="R512" s="62"/>
      <c r="S512" s="62"/>
      <c r="T512" s="62"/>
      <c r="U512" s="62"/>
      <c r="V512" s="62"/>
      <c r="W512" s="62"/>
      <c r="X512" s="62"/>
      <c r="Y512" s="62"/>
      <c r="Z512" s="62"/>
      <c r="AA512" s="62"/>
    </row>
    <row r="513">
      <c r="A513" s="96"/>
      <c r="B513" s="98"/>
      <c r="C513" s="99"/>
      <c r="D513" s="99"/>
      <c r="E513" s="111"/>
      <c r="F513" s="97"/>
      <c r="G513" s="97"/>
      <c r="H513" s="101"/>
      <c r="I513" s="62"/>
      <c r="J513" s="62"/>
      <c r="K513" s="58"/>
      <c r="L513" s="102"/>
      <c r="M513" s="103"/>
      <c r="N513" s="62"/>
      <c r="O513" s="101"/>
      <c r="P513" s="58"/>
      <c r="Q513" s="58"/>
      <c r="R513" s="62"/>
      <c r="S513" s="62"/>
      <c r="T513" s="62"/>
      <c r="U513" s="62"/>
      <c r="V513" s="62"/>
      <c r="W513" s="62"/>
      <c r="X513" s="62"/>
      <c r="Y513" s="62"/>
      <c r="Z513" s="62"/>
      <c r="AA513" s="62"/>
    </row>
    <row r="514">
      <c r="A514" s="96"/>
      <c r="B514" s="98"/>
      <c r="C514" s="99"/>
      <c r="D514" s="99"/>
      <c r="E514" s="111"/>
      <c r="F514" s="97"/>
      <c r="G514" s="97"/>
      <c r="H514" s="101"/>
      <c r="I514" s="62"/>
      <c r="J514" s="62"/>
      <c r="K514" s="58"/>
      <c r="L514" s="102"/>
      <c r="M514" s="103"/>
      <c r="N514" s="62"/>
      <c r="O514" s="101"/>
      <c r="P514" s="58"/>
      <c r="Q514" s="58"/>
      <c r="R514" s="62"/>
      <c r="S514" s="62"/>
      <c r="T514" s="62"/>
      <c r="U514" s="62"/>
      <c r="V514" s="62"/>
      <c r="W514" s="62"/>
      <c r="X514" s="62"/>
      <c r="Y514" s="62"/>
      <c r="Z514" s="62"/>
      <c r="AA514" s="62"/>
    </row>
    <row r="515">
      <c r="A515" s="96"/>
      <c r="B515" s="98"/>
      <c r="C515" s="99"/>
      <c r="D515" s="99"/>
      <c r="E515" s="111"/>
      <c r="F515" s="97"/>
      <c r="G515" s="97"/>
      <c r="H515" s="101"/>
      <c r="I515" s="58"/>
      <c r="J515" s="62"/>
      <c r="K515" s="58"/>
      <c r="L515" s="102"/>
      <c r="M515" s="103"/>
      <c r="N515" s="62"/>
      <c r="O515" s="101"/>
      <c r="P515" s="58"/>
      <c r="Q515" s="62"/>
      <c r="R515" s="58"/>
      <c r="S515" s="62"/>
      <c r="T515" s="62"/>
      <c r="U515" s="62"/>
      <c r="V515" s="62"/>
      <c r="W515" s="62"/>
      <c r="X515" s="62"/>
      <c r="Y515" s="62"/>
      <c r="Z515" s="62"/>
      <c r="AA515" s="62"/>
    </row>
    <row r="516">
      <c r="A516" s="96"/>
      <c r="B516" s="98"/>
      <c r="C516" s="99"/>
      <c r="D516" s="99"/>
      <c r="E516" s="111"/>
      <c r="F516" s="97"/>
      <c r="G516" s="97"/>
      <c r="H516" s="101"/>
      <c r="I516" s="62"/>
      <c r="J516" s="62"/>
      <c r="K516" s="58"/>
      <c r="L516" s="102"/>
      <c r="M516" s="103"/>
      <c r="N516" s="62"/>
      <c r="O516" s="101"/>
      <c r="P516" s="58"/>
      <c r="Q516" s="112"/>
      <c r="R516" s="62"/>
      <c r="S516" s="62"/>
      <c r="T516" s="62"/>
      <c r="U516" s="62"/>
      <c r="V516" s="62"/>
      <c r="W516" s="62"/>
      <c r="X516" s="62"/>
      <c r="Y516" s="62"/>
      <c r="Z516" s="62"/>
      <c r="AA516" s="62"/>
    </row>
    <row r="517">
      <c r="A517" s="96"/>
      <c r="B517" s="98"/>
      <c r="C517" s="99"/>
      <c r="D517" s="99"/>
      <c r="E517" s="111"/>
      <c r="F517" s="97"/>
      <c r="G517" s="97"/>
      <c r="H517" s="101"/>
      <c r="I517" s="62"/>
      <c r="J517" s="62"/>
      <c r="K517" s="58"/>
      <c r="L517" s="102"/>
      <c r="M517" s="103"/>
      <c r="N517" s="62"/>
      <c r="O517" s="101"/>
      <c r="P517" s="58"/>
      <c r="Q517" s="112"/>
      <c r="R517" s="62"/>
      <c r="S517" s="62"/>
      <c r="T517" s="62"/>
      <c r="U517" s="62"/>
      <c r="V517" s="62"/>
      <c r="W517" s="62"/>
      <c r="X517" s="62"/>
      <c r="Y517" s="62"/>
      <c r="Z517" s="62"/>
      <c r="AA517" s="62"/>
    </row>
    <row r="518">
      <c r="A518" s="96"/>
      <c r="B518" s="98"/>
      <c r="C518" s="99"/>
      <c r="D518" s="99"/>
      <c r="E518" s="111"/>
      <c r="F518" s="97"/>
      <c r="G518" s="97"/>
      <c r="H518" s="101"/>
      <c r="I518" s="62"/>
      <c r="J518" s="62"/>
      <c r="K518" s="58"/>
      <c r="L518" s="102"/>
      <c r="M518" s="103"/>
      <c r="N518" s="62"/>
      <c r="O518" s="101"/>
      <c r="P518" s="58"/>
      <c r="Q518" s="112"/>
      <c r="R518" s="62"/>
      <c r="S518" s="62"/>
      <c r="T518" s="62"/>
      <c r="U518" s="62"/>
      <c r="V518" s="62"/>
      <c r="W518" s="62"/>
      <c r="X518" s="62"/>
      <c r="Y518" s="62"/>
      <c r="Z518" s="62"/>
      <c r="AA518" s="62"/>
    </row>
    <row r="519">
      <c r="A519" s="96"/>
      <c r="B519" s="98"/>
      <c r="C519" s="99"/>
      <c r="D519" s="99"/>
      <c r="E519" s="111"/>
      <c r="F519" s="97"/>
      <c r="G519" s="97"/>
      <c r="H519" s="101"/>
      <c r="I519" s="62"/>
      <c r="J519" s="62"/>
      <c r="K519" s="58"/>
      <c r="L519" s="102"/>
      <c r="M519" s="103"/>
      <c r="N519" s="62"/>
      <c r="O519" s="101"/>
      <c r="P519" s="58"/>
      <c r="Q519" s="112"/>
      <c r="R519" s="62"/>
      <c r="S519" s="62"/>
      <c r="T519" s="62"/>
      <c r="U519" s="62"/>
      <c r="V519" s="62"/>
      <c r="W519" s="62"/>
      <c r="X519" s="62"/>
      <c r="Y519" s="62"/>
      <c r="Z519" s="62"/>
      <c r="AA519" s="62"/>
    </row>
    <row r="520">
      <c r="A520" s="96"/>
      <c r="B520" s="98"/>
      <c r="C520" s="99"/>
      <c r="D520" s="99"/>
      <c r="E520" s="111"/>
      <c r="F520" s="97"/>
      <c r="G520" s="97"/>
      <c r="H520" s="101"/>
      <c r="I520" s="62"/>
      <c r="J520" s="62"/>
      <c r="K520" s="58"/>
      <c r="L520" s="102"/>
      <c r="M520" s="103"/>
      <c r="N520" s="62"/>
      <c r="O520" s="101"/>
      <c r="P520" s="58"/>
      <c r="Q520" s="112"/>
      <c r="R520" s="62"/>
      <c r="S520" s="62"/>
      <c r="T520" s="62"/>
      <c r="U520" s="62"/>
      <c r="V520" s="62"/>
      <c r="W520" s="62"/>
      <c r="X520" s="62"/>
      <c r="Y520" s="62"/>
      <c r="Z520" s="62"/>
      <c r="AA520" s="62"/>
    </row>
    <row r="521">
      <c r="A521" s="96"/>
      <c r="B521" s="98"/>
      <c r="C521" s="99"/>
      <c r="D521" s="99"/>
      <c r="E521" s="111"/>
      <c r="F521" s="97"/>
      <c r="G521" s="97"/>
      <c r="H521" s="101"/>
      <c r="I521" s="62"/>
      <c r="J521" s="62"/>
      <c r="K521" s="58"/>
      <c r="L521" s="102"/>
      <c r="M521" s="103"/>
      <c r="N521" s="62"/>
      <c r="O521" s="101"/>
      <c r="P521" s="58"/>
      <c r="Q521" s="112"/>
      <c r="R521" s="62"/>
      <c r="S521" s="62"/>
      <c r="T521" s="62"/>
      <c r="U521" s="62"/>
      <c r="V521" s="62"/>
      <c r="W521" s="62"/>
      <c r="X521" s="62"/>
      <c r="Y521" s="62"/>
      <c r="Z521" s="62"/>
      <c r="AA521" s="62"/>
    </row>
    <row r="522">
      <c r="A522" s="96"/>
      <c r="B522" s="98"/>
      <c r="C522" s="99"/>
      <c r="D522" s="99"/>
      <c r="E522" s="111"/>
      <c r="F522" s="97"/>
      <c r="G522" s="97"/>
      <c r="H522" s="101"/>
      <c r="I522" s="62"/>
      <c r="J522" s="62"/>
      <c r="K522" s="58"/>
      <c r="L522" s="102"/>
      <c r="M522" s="103"/>
      <c r="N522" s="62"/>
      <c r="O522" s="101"/>
      <c r="P522" s="58"/>
      <c r="Q522" s="112"/>
      <c r="R522" s="62"/>
      <c r="S522" s="62"/>
      <c r="T522" s="62"/>
      <c r="U522" s="62"/>
      <c r="V522" s="62"/>
      <c r="W522" s="62"/>
      <c r="X522" s="62"/>
      <c r="Y522" s="62"/>
      <c r="Z522" s="62"/>
      <c r="AA522" s="62"/>
    </row>
    <row r="523">
      <c r="A523" s="96"/>
      <c r="B523" s="98"/>
      <c r="C523" s="99"/>
      <c r="D523" s="99"/>
      <c r="E523" s="111"/>
      <c r="F523" s="97"/>
      <c r="G523" s="97"/>
      <c r="H523" s="101"/>
      <c r="I523" s="62"/>
      <c r="J523" s="62"/>
      <c r="K523" s="58"/>
      <c r="L523" s="102"/>
      <c r="M523" s="103"/>
      <c r="N523" s="62"/>
      <c r="O523" s="101"/>
      <c r="P523" s="58"/>
      <c r="Q523" s="112"/>
      <c r="R523" s="62"/>
      <c r="S523" s="62"/>
      <c r="T523" s="62"/>
      <c r="U523" s="62"/>
      <c r="V523" s="62"/>
      <c r="W523" s="62"/>
      <c r="X523" s="62"/>
      <c r="Y523" s="62"/>
      <c r="Z523" s="62"/>
      <c r="AA523" s="62"/>
    </row>
    <row r="524">
      <c r="A524" s="96"/>
      <c r="B524" s="98"/>
      <c r="C524" s="99"/>
      <c r="D524" s="99"/>
      <c r="E524" s="111"/>
      <c r="F524" s="97"/>
      <c r="G524" s="97"/>
      <c r="H524" s="101"/>
      <c r="I524" s="62"/>
      <c r="J524" s="62"/>
      <c r="K524" s="58"/>
      <c r="L524" s="102"/>
      <c r="M524" s="103"/>
      <c r="N524" s="62"/>
      <c r="O524" s="101"/>
      <c r="P524" s="58"/>
      <c r="Q524" s="112"/>
      <c r="R524" s="62"/>
      <c r="S524" s="62"/>
      <c r="T524" s="62"/>
      <c r="U524" s="62"/>
      <c r="V524" s="62"/>
      <c r="W524" s="62"/>
      <c r="X524" s="62"/>
      <c r="Y524" s="62"/>
      <c r="Z524" s="62"/>
      <c r="AA524" s="62"/>
    </row>
    <row r="525">
      <c r="A525" s="96"/>
      <c r="B525" s="98"/>
      <c r="C525" s="99"/>
      <c r="D525" s="99"/>
      <c r="E525" s="111"/>
      <c r="F525" s="97"/>
      <c r="G525" s="97"/>
      <c r="H525" s="101"/>
      <c r="I525" s="62"/>
      <c r="J525" s="62"/>
      <c r="K525" s="58"/>
      <c r="L525" s="102"/>
      <c r="M525" s="103"/>
      <c r="N525" s="62"/>
      <c r="O525" s="101"/>
      <c r="P525" s="58"/>
      <c r="Q525" s="112"/>
      <c r="R525" s="62"/>
      <c r="S525" s="62"/>
      <c r="T525" s="62"/>
      <c r="U525" s="62"/>
      <c r="V525" s="62"/>
      <c r="W525" s="62"/>
      <c r="X525" s="62"/>
      <c r="Y525" s="62"/>
      <c r="Z525" s="62"/>
      <c r="AA525" s="62"/>
    </row>
    <row r="526">
      <c r="A526" s="96"/>
      <c r="B526" s="98"/>
      <c r="C526" s="99"/>
      <c r="D526" s="99"/>
      <c r="E526" s="111"/>
      <c r="F526" s="97"/>
      <c r="G526" s="97"/>
      <c r="H526" s="101"/>
      <c r="I526" s="62"/>
      <c r="J526" s="62"/>
      <c r="K526" s="58"/>
      <c r="L526" s="102"/>
      <c r="M526" s="103"/>
      <c r="N526" s="62"/>
      <c r="O526" s="101"/>
      <c r="P526" s="58"/>
      <c r="Q526" s="112"/>
      <c r="R526" s="62"/>
      <c r="S526" s="62"/>
      <c r="T526" s="62"/>
      <c r="U526" s="62"/>
      <c r="V526" s="62"/>
      <c r="W526" s="62"/>
      <c r="X526" s="62"/>
      <c r="Y526" s="62"/>
      <c r="Z526" s="62"/>
      <c r="AA526" s="62"/>
    </row>
    <row r="527">
      <c r="A527" s="96"/>
      <c r="B527" s="98"/>
      <c r="C527" s="99"/>
      <c r="D527" s="99"/>
      <c r="E527" s="111"/>
      <c r="F527" s="97"/>
      <c r="G527" s="97"/>
      <c r="H527" s="101"/>
      <c r="I527" s="62"/>
      <c r="J527" s="62"/>
      <c r="K527" s="58"/>
      <c r="L527" s="102"/>
      <c r="M527" s="103"/>
      <c r="N527" s="62"/>
      <c r="O527" s="101"/>
      <c r="P527" s="58"/>
      <c r="Q527" s="112"/>
      <c r="R527" s="62"/>
      <c r="S527" s="62"/>
      <c r="T527" s="62"/>
      <c r="U527" s="62"/>
      <c r="V527" s="62"/>
      <c r="W527" s="62"/>
      <c r="X527" s="62"/>
      <c r="Y527" s="62"/>
      <c r="Z527" s="62"/>
      <c r="AA527" s="62"/>
    </row>
    <row r="528">
      <c r="A528" s="96"/>
      <c r="B528" s="98"/>
      <c r="C528" s="99"/>
      <c r="D528" s="99"/>
      <c r="E528" s="111"/>
      <c r="F528" s="97"/>
      <c r="G528" s="97"/>
      <c r="H528" s="101"/>
      <c r="I528" s="62"/>
      <c r="J528" s="62"/>
      <c r="K528" s="58"/>
      <c r="L528" s="102"/>
      <c r="M528" s="103"/>
      <c r="N528" s="62"/>
      <c r="O528" s="101"/>
      <c r="P528" s="58"/>
      <c r="Q528" s="112"/>
      <c r="R528" s="62"/>
      <c r="S528" s="62"/>
      <c r="T528" s="62"/>
      <c r="U528" s="62"/>
      <c r="V528" s="62"/>
      <c r="W528" s="62"/>
      <c r="X528" s="62"/>
      <c r="Y528" s="62"/>
      <c r="Z528" s="62"/>
      <c r="AA528" s="62"/>
    </row>
    <row r="529">
      <c r="A529" s="96"/>
      <c r="B529" s="98"/>
      <c r="C529" s="99"/>
      <c r="D529" s="99"/>
      <c r="E529" s="111"/>
      <c r="F529" s="97"/>
      <c r="G529" s="97"/>
      <c r="H529" s="101"/>
      <c r="I529" s="62"/>
      <c r="J529" s="62"/>
      <c r="K529" s="58"/>
      <c r="L529" s="102"/>
      <c r="M529" s="103"/>
      <c r="N529" s="62"/>
      <c r="O529" s="101"/>
      <c r="P529" s="58"/>
      <c r="Q529" s="112"/>
      <c r="R529" s="62"/>
      <c r="S529" s="62"/>
      <c r="T529" s="62"/>
      <c r="U529" s="62"/>
      <c r="V529" s="62"/>
      <c r="W529" s="62"/>
      <c r="X529" s="62"/>
      <c r="Y529" s="62"/>
      <c r="Z529" s="62"/>
      <c r="AA529" s="62"/>
    </row>
    <row r="530">
      <c r="A530" s="96"/>
      <c r="B530" s="98"/>
      <c r="C530" s="99"/>
      <c r="D530" s="99"/>
      <c r="E530" s="111"/>
      <c r="F530" s="97"/>
      <c r="G530" s="97"/>
      <c r="H530" s="101"/>
      <c r="I530" s="62"/>
      <c r="J530" s="62"/>
      <c r="K530" s="58"/>
      <c r="L530" s="102"/>
      <c r="M530" s="103"/>
      <c r="N530" s="62"/>
      <c r="O530" s="101"/>
      <c r="P530" s="58"/>
      <c r="Q530" s="112"/>
      <c r="R530" s="62"/>
      <c r="S530" s="62"/>
      <c r="T530" s="62"/>
      <c r="U530" s="62"/>
      <c r="V530" s="62"/>
      <c r="W530" s="62"/>
      <c r="X530" s="62"/>
      <c r="Y530" s="62"/>
      <c r="Z530" s="62"/>
      <c r="AA530" s="62"/>
    </row>
    <row r="531">
      <c r="A531" s="96"/>
      <c r="B531" s="98"/>
      <c r="C531" s="99"/>
      <c r="D531" s="99"/>
      <c r="E531" s="111"/>
      <c r="F531" s="97"/>
      <c r="G531" s="97"/>
      <c r="H531" s="101"/>
      <c r="I531" s="62"/>
      <c r="J531" s="62"/>
      <c r="K531" s="58"/>
      <c r="L531" s="102"/>
      <c r="M531" s="103"/>
      <c r="N531" s="62"/>
      <c r="O531" s="101"/>
      <c r="P531" s="58"/>
      <c r="Q531" s="112"/>
      <c r="R531" s="62"/>
      <c r="S531" s="62"/>
      <c r="T531" s="62"/>
      <c r="U531" s="62"/>
      <c r="V531" s="62"/>
      <c r="W531" s="62"/>
      <c r="X531" s="62"/>
      <c r="Y531" s="62"/>
      <c r="Z531" s="62"/>
      <c r="AA531" s="62"/>
    </row>
    <row r="532">
      <c r="A532" s="96"/>
      <c r="B532" s="98"/>
      <c r="C532" s="99"/>
      <c r="D532" s="99"/>
      <c r="E532" s="111"/>
      <c r="F532" s="97"/>
      <c r="G532" s="97"/>
      <c r="H532" s="101"/>
      <c r="I532" s="62"/>
      <c r="J532" s="62"/>
      <c r="K532" s="58"/>
      <c r="L532" s="102"/>
      <c r="M532" s="103"/>
      <c r="N532" s="62"/>
      <c r="O532" s="101"/>
      <c r="P532" s="58"/>
      <c r="Q532" s="112"/>
      <c r="R532" s="62"/>
      <c r="S532" s="62"/>
      <c r="T532" s="62"/>
      <c r="U532" s="62"/>
      <c r="V532" s="62"/>
      <c r="W532" s="62"/>
      <c r="X532" s="62"/>
      <c r="Y532" s="62"/>
      <c r="Z532" s="62"/>
      <c r="AA532" s="62"/>
    </row>
    <row r="533">
      <c r="A533" s="96"/>
      <c r="B533" s="98"/>
      <c r="C533" s="99"/>
      <c r="D533" s="99"/>
      <c r="E533" s="111"/>
      <c r="F533" s="97"/>
      <c r="G533" s="97"/>
      <c r="H533" s="101"/>
      <c r="I533" s="62"/>
      <c r="J533" s="62"/>
      <c r="K533" s="58"/>
      <c r="L533" s="102"/>
      <c r="M533" s="103"/>
      <c r="N533" s="62"/>
      <c r="O533" s="101"/>
      <c r="P533" s="58"/>
      <c r="Q533" s="112"/>
      <c r="R533" s="62"/>
      <c r="S533" s="62"/>
      <c r="T533" s="62"/>
      <c r="U533" s="62"/>
      <c r="V533" s="62"/>
      <c r="W533" s="62"/>
      <c r="X533" s="62"/>
      <c r="Y533" s="62"/>
      <c r="Z533" s="62"/>
      <c r="AA533" s="62"/>
    </row>
    <row r="534">
      <c r="A534" s="96"/>
      <c r="B534" s="98"/>
      <c r="C534" s="99"/>
      <c r="D534" s="99"/>
      <c r="E534" s="111"/>
      <c r="F534" s="97"/>
      <c r="G534" s="97"/>
      <c r="H534" s="101"/>
      <c r="I534" s="62"/>
      <c r="J534" s="62"/>
      <c r="K534" s="58"/>
      <c r="L534" s="102"/>
      <c r="M534" s="103"/>
      <c r="N534" s="62"/>
      <c r="O534" s="101"/>
      <c r="P534" s="58"/>
      <c r="Q534" s="112"/>
      <c r="R534" s="62"/>
      <c r="S534" s="62"/>
      <c r="T534" s="62"/>
      <c r="U534" s="62"/>
      <c r="V534" s="62"/>
      <c r="W534" s="62"/>
      <c r="X534" s="62"/>
      <c r="Y534" s="62"/>
      <c r="Z534" s="62"/>
      <c r="AA534" s="62"/>
    </row>
    <row r="535">
      <c r="A535" s="96"/>
      <c r="B535" s="98"/>
      <c r="C535" s="99"/>
      <c r="D535" s="99"/>
      <c r="E535" s="111"/>
      <c r="F535" s="97"/>
      <c r="G535" s="97"/>
      <c r="H535" s="101"/>
      <c r="I535" s="62"/>
      <c r="J535" s="62"/>
      <c r="K535" s="58"/>
      <c r="L535" s="102"/>
      <c r="M535" s="103"/>
      <c r="N535" s="62"/>
      <c r="O535" s="101"/>
      <c r="P535" s="58"/>
      <c r="Q535" s="112"/>
      <c r="R535" s="62"/>
      <c r="S535" s="62"/>
      <c r="T535" s="62"/>
      <c r="U535" s="62"/>
      <c r="V535" s="62"/>
      <c r="W535" s="62"/>
      <c r="X535" s="62"/>
      <c r="Y535" s="62"/>
      <c r="Z535" s="62"/>
      <c r="AA535" s="62"/>
    </row>
    <row r="536">
      <c r="A536" s="96"/>
      <c r="B536" s="98"/>
      <c r="C536" s="99"/>
      <c r="D536" s="99"/>
      <c r="E536" s="111"/>
      <c r="F536" s="97"/>
      <c r="G536" s="97"/>
      <c r="H536" s="101"/>
      <c r="I536" s="62"/>
      <c r="J536" s="62"/>
      <c r="K536" s="58"/>
      <c r="L536" s="102"/>
      <c r="M536" s="103"/>
      <c r="N536" s="62"/>
      <c r="O536" s="101"/>
      <c r="P536" s="58"/>
      <c r="Q536" s="112"/>
      <c r="R536" s="62"/>
      <c r="S536" s="62"/>
      <c r="T536" s="62"/>
      <c r="U536" s="62"/>
      <c r="V536" s="62"/>
      <c r="W536" s="62"/>
      <c r="X536" s="62"/>
      <c r="Y536" s="62"/>
      <c r="Z536" s="62"/>
      <c r="AA536" s="62"/>
    </row>
    <row r="537">
      <c r="A537" s="96"/>
      <c r="B537" s="98"/>
      <c r="C537" s="99"/>
      <c r="D537" s="99"/>
      <c r="E537" s="111"/>
      <c r="F537" s="97"/>
      <c r="G537" s="97"/>
      <c r="H537" s="101"/>
      <c r="I537" s="62"/>
      <c r="J537" s="62"/>
      <c r="K537" s="58"/>
      <c r="L537" s="102"/>
      <c r="M537" s="103"/>
      <c r="N537" s="62"/>
      <c r="O537" s="101"/>
      <c r="P537" s="58"/>
      <c r="Q537" s="112"/>
      <c r="R537" s="62"/>
      <c r="S537" s="62"/>
      <c r="T537" s="62"/>
      <c r="U537" s="62"/>
      <c r="V537" s="62"/>
      <c r="W537" s="62"/>
      <c r="X537" s="62"/>
      <c r="Y537" s="62"/>
      <c r="Z537" s="62"/>
      <c r="AA537" s="62"/>
    </row>
    <row r="538">
      <c r="A538" s="96"/>
      <c r="B538" s="98"/>
      <c r="C538" s="99"/>
      <c r="D538" s="99"/>
      <c r="E538" s="111"/>
      <c r="F538" s="97"/>
      <c r="G538" s="97"/>
      <c r="H538" s="101"/>
      <c r="I538" s="62"/>
      <c r="J538" s="62"/>
      <c r="K538" s="58"/>
      <c r="L538" s="102"/>
      <c r="M538" s="103"/>
      <c r="N538" s="62"/>
      <c r="O538" s="101"/>
      <c r="P538" s="58"/>
      <c r="Q538" s="11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</row>
    <row r="539">
      <c r="A539" s="96"/>
      <c r="B539" s="98"/>
      <c r="C539" s="99"/>
      <c r="D539" s="99"/>
      <c r="E539" s="111"/>
      <c r="F539" s="97"/>
      <c r="G539" s="97"/>
      <c r="H539" s="101"/>
      <c r="I539" s="62"/>
      <c r="J539" s="62"/>
      <c r="K539" s="58"/>
      <c r="L539" s="102"/>
      <c r="M539" s="103"/>
      <c r="N539" s="62"/>
      <c r="O539" s="101"/>
      <c r="P539" s="58"/>
      <c r="Q539" s="11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</row>
    <row r="540">
      <c r="A540" s="96"/>
      <c r="B540" s="98"/>
      <c r="C540" s="99"/>
      <c r="D540" s="99"/>
      <c r="E540" s="111"/>
      <c r="F540" s="97"/>
      <c r="G540" s="97"/>
      <c r="H540" s="101"/>
      <c r="I540" s="62"/>
      <c r="J540" s="62"/>
      <c r="K540" s="58"/>
      <c r="L540" s="102"/>
      <c r="M540" s="103"/>
      <c r="N540" s="62"/>
      <c r="O540" s="101"/>
      <c r="P540" s="58"/>
      <c r="Q540" s="112"/>
      <c r="R540" s="62"/>
      <c r="S540" s="62"/>
      <c r="T540" s="62"/>
      <c r="U540" s="62"/>
      <c r="V540" s="62"/>
      <c r="W540" s="62"/>
      <c r="X540" s="62"/>
      <c r="Y540" s="62"/>
      <c r="Z540" s="62"/>
      <c r="AA540" s="62"/>
    </row>
    <row r="541">
      <c r="A541" s="96"/>
      <c r="B541" s="98"/>
      <c r="C541" s="99"/>
      <c r="D541" s="99"/>
      <c r="E541" s="111"/>
      <c r="F541" s="97"/>
      <c r="G541" s="97"/>
      <c r="H541" s="101"/>
      <c r="I541" s="62"/>
      <c r="J541" s="62"/>
      <c r="K541" s="58"/>
      <c r="L541" s="102"/>
      <c r="M541" s="103"/>
      <c r="N541" s="62"/>
      <c r="O541" s="101"/>
      <c r="P541" s="58"/>
      <c r="Q541" s="11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</row>
    <row r="542">
      <c r="A542" s="96"/>
      <c r="B542" s="98"/>
      <c r="C542" s="99"/>
      <c r="D542" s="99"/>
      <c r="E542" s="111"/>
      <c r="F542" s="97"/>
      <c r="G542" s="97"/>
      <c r="H542" s="101"/>
      <c r="I542" s="62"/>
      <c r="J542" s="62"/>
      <c r="K542" s="58"/>
      <c r="L542" s="102"/>
      <c r="M542" s="103"/>
      <c r="N542" s="62"/>
      <c r="O542" s="101"/>
      <c r="P542" s="58"/>
      <c r="Q542" s="11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</row>
    <row r="543">
      <c r="A543" s="96"/>
      <c r="B543" s="98"/>
      <c r="C543" s="99"/>
      <c r="D543" s="99"/>
      <c r="E543" s="111"/>
      <c r="F543" s="97"/>
      <c r="G543" s="97"/>
      <c r="H543" s="101"/>
      <c r="I543" s="62"/>
      <c r="J543" s="62"/>
      <c r="K543" s="58"/>
      <c r="L543" s="102"/>
      <c r="M543" s="103"/>
      <c r="N543" s="62"/>
      <c r="O543" s="101"/>
      <c r="P543" s="58"/>
      <c r="Q543" s="11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</row>
    <row r="544">
      <c r="A544" s="96"/>
      <c r="B544" s="98"/>
      <c r="C544" s="99"/>
      <c r="D544" s="99"/>
      <c r="E544" s="111"/>
      <c r="F544" s="97"/>
      <c r="G544" s="97"/>
      <c r="H544" s="101"/>
      <c r="I544" s="62"/>
      <c r="J544" s="62"/>
      <c r="K544" s="58"/>
      <c r="L544" s="102"/>
      <c r="M544" s="103"/>
      <c r="N544" s="62"/>
      <c r="O544" s="101"/>
      <c r="P544" s="58"/>
      <c r="Q544" s="11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</row>
    <row r="545">
      <c r="A545" s="96"/>
      <c r="B545" s="98"/>
      <c r="C545" s="99"/>
      <c r="D545" s="99"/>
      <c r="E545" s="111"/>
      <c r="F545" s="97"/>
      <c r="G545" s="97"/>
      <c r="H545" s="101"/>
      <c r="I545" s="62"/>
      <c r="J545" s="62"/>
      <c r="K545" s="58"/>
      <c r="L545" s="102"/>
      <c r="M545" s="103"/>
      <c r="N545" s="62"/>
      <c r="O545" s="101"/>
      <c r="P545" s="58"/>
      <c r="Q545" s="11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</row>
    <row r="546">
      <c r="A546" s="96"/>
      <c r="B546" s="98"/>
      <c r="C546" s="99"/>
      <c r="D546" s="99"/>
      <c r="E546" s="111"/>
      <c r="F546" s="97"/>
      <c r="G546" s="97"/>
      <c r="H546" s="101"/>
      <c r="I546" s="62"/>
      <c r="J546" s="62"/>
      <c r="K546" s="58"/>
      <c r="L546" s="102"/>
      <c r="M546" s="103"/>
      <c r="N546" s="62"/>
      <c r="O546" s="101"/>
      <c r="P546" s="58"/>
      <c r="Q546" s="11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</row>
    <row r="547">
      <c r="A547" s="96"/>
      <c r="B547" s="98"/>
      <c r="C547" s="99"/>
      <c r="D547" s="99"/>
      <c r="E547" s="111"/>
      <c r="F547" s="97"/>
      <c r="G547" s="97"/>
      <c r="H547" s="101"/>
      <c r="I547" s="62"/>
      <c r="J547" s="62"/>
      <c r="K547" s="58"/>
      <c r="L547" s="102"/>
      <c r="M547" s="103"/>
      <c r="N547" s="62"/>
      <c r="O547" s="101"/>
      <c r="P547" s="58"/>
      <c r="Q547" s="11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</row>
    <row r="548">
      <c r="A548" s="96"/>
      <c r="B548" s="98"/>
      <c r="C548" s="99"/>
      <c r="D548" s="99"/>
      <c r="E548" s="111"/>
      <c r="F548" s="97"/>
      <c r="G548" s="97"/>
      <c r="H548" s="101"/>
      <c r="I548" s="62"/>
      <c r="J548" s="62"/>
      <c r="K548" s="58"/>
      <c r="L548" s="102"/>
      <c r="M548" s="103"/>
      <c r="N548" s="62"/>
      <c r="O548" s="101"/>
      <c r="P548" s="58"/>
      <c r="Q548" s="11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</row>
    <row r="549">
      <c r="A549" s="96"/>
      <c r="B549" s="98"/>
      <c r="C549" s="99"/>
      <c r="D549" s="99"/>
      <c r="E549" s="111"/>
      <c r="F549" s="97"/>
      <c r="G549" s="97"/>
      <c r="H549" s="101"/>
      <c r="I549" s="62"/>
      <c r="J549" s="62"/>
      <c r="K549" s="58"/>
      <c r="L549" s="102"/>
      <c r="M549" s="103"/>
      <c r="N549" s="62"/>
      <c r="O549" s="101"/>
      <c r="P549" s="58"/>
      <c r="Q549" s="11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</row>
    <row r="550">
      <c r="A550" s="96"/>
      <c r="B550" s="98"/>
      <c r="C550" s="99"/>
      <c r="D550" s="99"/>
      <c r="E550" s="111"/>
      <c r="F550" s="97"/>
      <c r="G550" s="97"/>
      <c r="H550" s="101"/>
      <c r="I550" s="62"/>
      <c r="J550" s="62"/>
      <c r="K550" s="58"/>
      <c r="L550" s="102"/>
      <c r="M550" s="103"/>
      <c r="N550" s="62"/>
      <c r="O550" s="101"/>
      <c r="P550" s="58"/>
      <c r="Q550" s="11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</row>
    <row r="551">
      <c r="A551" s="96"/>
      <c r="B551" s="98"/>
      <c r="C551" s="99"/>
      <c r="D551" s="99"/>
      <c r="E551" s="111"/>
      <c r="F551" s="97"/>
      <c r="G551" s="97"/>
      <c r="H551" s="101"/>
      <c r="I551" s="62"/>
      <c r="J551" s="62"/>
      <c r="K551" s="58"/>
      <c r="L551" s="102"/>
      <c r="M551" s="103"/>
      <c r="N551" s="62"/>
      <c r="O551" s="101"/>
      <c r="P551" s="58"/>
      <c r="Q551" s="11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</row>
    <row r="552">
      <c r="A552" s="96"/>
      <c r="B552" s="98"/>
      <c r="C552" s="99"/>
      <c r="D552" s="99"/>
      <c r="E552" s="111"/>
      <c r="F552" s="97"/>
      <c r="G552" s="97"/>
      <c r="H552" s="101"/>
      <c r="I552" s="62"/>
      <c r="J552" s="62"/>
      <c r="K552" s="58"/>
      <c r="L552" s="102"/>
      <c r="M552" s="103"/>
      <c r="N552" s="62"/>
      <c r="O552" s="101"/>
      <c r="P552" s="58"/>
      <c r="Q552" s="112"/>
      <c r="R552" s="62"/>
      <c r="S552" s="62"/>
      <c r="T552" s="62"/>
      <c r="U552" s="62"/>
      <c r="V552" s="62"/>
      <c r="W552" s="62"/>
      <c r="X552" s="62"/>
      <c r="Y552" s="62"/>
      <c r="Z552" s="62"/>
      <c r="AA552" s="62"/>
    </row>
    <row r="553">
      <c r="A553" s="96"/>
      <c r="B553" s="98"/>
      <c r="C553" s="99"/>
      <c r="D553" s="99"/>
      <c r="E553" s="111"/>
      <c r="F553" s="97"/>
      <c r="G553" s="97"/>
      <c r="H553" s="101"/>
      <c r="I553" s="62"/>
      <c r="J553" s="62"/>
      <c r="K553" s="58"/>
      <c r="L553" s="102"/>
      <c r="M553" s="103"/>
      <c r="N553" s="62"/>
      <c r="O553" s="101"/>
      <c r="P553" s="58"/>
      <c r="Q553" s="112"/>
      <c r="R553" s="62"/>
      <c r="S553" s="62"/>
      <c r="T553" s="62"/>
      <c r="U553" s="62"/>
      <c r="V553" s="62"/>
      <c r="W553" s="62"/>
      <c r="X553" s="62"/>
      <c r="Y553" s="62"/>
      <c r="Z553" s="62"/>
      <c r="AA553" s="62"/>
    </row>
    <row r="554">
      <c r="A554" s="96"/>
      <c r="B554" s="98"/>
      <c r="C554" s="99"/>
      <c r="D554" s="99"/>
      <c r="E554" s="111"/>
      <c r="F554" s="97"/>
      <c r="G554" s="97"/>
      <c r="H554" s="101"/>
      <c r="I554" s="62"/>
      <c r="J554" s="62"/>
      <c r="K554" s="58"/>
      <c r="L554" s="102"/>
      <c r="M554" s="103"/>
      <c r="N554" s="62"/>
      <c r="O554" s="101"/>
      <c r="P554" s="58"/>
      <c r="Q554" s="112"/>
      <c r="R554" s="62"/>
      <c r="S554" s="62"/>
      <c r="T554" s="62"/>
      <c r="U554" s="62"/>
      <c r="V554" s="62"/>
      <c r="W554" s="62"/>
      <c r="X554" s="62"/>
      <c r="Y554" s="62"/>
      <c r="Z554" s="62"/>
      <c r="AA554" s="62"/>
    </row>
    <row r="555">
      <c r="A555" s="96"/>
      <c r="B555" s="98"/>
      <c r="C555" s="99"/>
      <c r="D555" s="99"/>
      <c r="E555" s="111"/>
      <c r="F555" s="97"/>
      <c r="G555" s="97"/>
      <c r="H555" s="101"/>
      <c r="I555" s="62"/>
      <c r="J555" s="62"/>
      <c r="K555" s="58"/>
      <c r="L555" s="102"/>
      <c r="M555" s="103"/>
      <c r="N555" s="62"/>
      <c r="O555" s="101"/>
      <c r="P555" s="58"/>
      <c r="Q555" s="112"/>
      <c r="R555" s="62"/>
      <c r="S555" s="62"/>
      <c r="T555" s="62"/>
      <c r="U555" s="62"/>
      <c r="V555" s="62"/>
      <c r="W555" s="62"/>
      <c r="X555" s="62"/>
      <c r="Y555" s="62"/>
      <c r="Z555" s="62"/>
      <c r="AA555" s="62"/>
    </row>
    <row r="556">
      <c r="A556" s="96"/>
      <c r="B556" s="98"/>
      <c r="C556" s="99"/>
      <c r="D556" s="99"/>
      <c r="E556" s="111"/>
      <c r="F556" s="97"/>
      <c r="G556" s="97"/>
      <c r="H556" s="101"/>
      <c r="I556" s="62"/>
      <c r="J556" s="62"/>
      <c r="K556" s="58"/>
      <c r="L556" s="102"/>
      <c r="M556" s="103"/>
      <c r="N556" s="62"/>
      <c r="O556" s="101"/>
      <c r="P556" s="58"/>
      <c r="Q556" s="112"/>
      <c r="R556" s="62"/>
      <c r="S556" s="62"/>
      <c r="T556" s="62"/>
      <c r="U556" s="62"/>
      <c r="V556" s="62"/>
      <c r="W556" s="62"/>
      <c r="X556" s="62"/>
      <c r="Y556" s="62"/>
      <c r="Z556" s="62"/>
      <c r="AA556" s="62"/>
    </row>
    <row r="557">
      <c r="A557" s="96"/>
      <c r="B557" s="98"/>
      <c r="C557" s="99"/>
      <c r="D557" s="99"/>
      <c r="E557" s="111"/>
      <c r="F557" s="97"/>
      <c r="G557" s="97"/>
      <c r="H557" s="101"/>
      <c r="I557" s="62"/>
      <c r="J557" s="62"/>
      <c r="K557" s="58"/>
      <c r="L557" s="102"/>
      <c r="M557" s="103"/>
      <c r="N557" s="62"/>
      <c r="O557" s="101"/>
      <c r="P557" s="58"/>
      <c r="Q557" s="112"/>
      <c r="R557" s="62"/>
      <c r="S557" s="62"/>
      <c r="T557" s="62"/>
      <c r="U557" s="62"/>
      <c r="V557" s="62"/>
      <c r="W557" s="62"/>
      <c r="X557" s="62"/>
      <c r="Y557" s="62"/>
      <c r="Z557" s="62"/>
      <c r="AA557" s="62"/>
    </row>
    <row r="558">
      <c r="A558" s="96"/>
      <c r="B558" s="98"/>
      <c r="C558" s="99"/>
      <c r="D558" s="99"/>
      <c r="E558" s="111"/>
      <c r="F558" s="97"/>
      <c r="G558" s="97"/>
      <c r="H558" s="101"/>
      <c r="I558" s="62"/>
      <c r="J558" s="62"/>
      <c r="K558" s="58"/>
      <c r="L558" s="102"/>
      <c r="M558" s="103"/>
      <c r="N558" s="62"/>
      <c r="O558" s="101"/>
      <c r="P558" s="58"/>
      <c r="Q558" s="112"/>
      <c r="R558" s="62"/>
      <c r="S558" s="62"/>
      <c r="T558" s="62"/>
      <c r="U558" s="62"/>
      <c r="V558" s="62"/>
      <c r="W558" s="62"/>
      <c r="X558" s="62"/>
      <c r="Y558" s="62"/>
      <c r="Z558" s="62"/>
      <c r="AA558" s="62"/>
    </row>
    <row r="559">
      <c r="A559" s="96"/>
      <c r="B559" s="98"/>
      <c r="C559" s="99"/>
      <c r="D559" s="99"/>
      <c r="E559" s="111"/>
      <c r="F559" s="97"/>
      <c r="G559" s="97"/>
      <c r="H559" s="101"/>
      <c r="I559" s="62"/>
      <c r="J559" s="62"/>
      <c r="K559" s="58"/>
      <c r="L559" s="102"/>
      <c r="M559" s="103"/>
      <c r="N559" s="62"/>
      <c r="O559" s="101"/>
      <c r="P559" s="58"/>
      <c r="Q559" s="112"/>
      <c r="R559" s="62"/>
      <c r="S559" s="62"/>
      <c r="T559" s="62"/>
      <c r="U559" s="62"/>
      <c r="V559" s="62"/>
      <c r="W559" s="62"/>
      <c r="X559" s="62"/>
      <c r="Y559" s="62"/>
      <c r="Z559" s="62"/>
      <c r="AA559" s="62"/>
    </row>
    <row r="560">
      <c r="A560" s="96"/>
      <c r="B560" s="98"/>
      <c r="C560" s="99"/>
      <c r="D560" s="99"/>
      <c r="E560" s="111"/>
      <c r="F560" s="97"/>
      <c r="G560" s="97"/>
      <c r="H560" s="101"/>
      <c r="I560" s="62"/>
      <c r="J560" s="62"/>
      <c r="K560" s="58"/>
      <c r="L560" s="102"/>
      <c r="M560" s="103"/>
      <c r="N560" s="62"/>
      <c r="O560" s="101"/>
      <c r="P560" s="58"/>
      <c r="Q560" s="112"/>
      <c r="R560" s="62"/>
      <c r="S560" s="62"/>
      <c r="T560" s="62"/>
      <c r="U560" s="62"/>
      <c r="V560" s="62"/>
      <c r="W560" s="62"/>
      <c r="X560" s="62"/>
      <c r="Y560" s="62"/>
      <c r="Z560" s="62"/>
      <c r="AA560" s="62"/>
    </row>
    <row r="561">
      <c r="A561" s="96"/>
      <c r="B561" s="98"/>
      <c r="C561" s="99"/>
      <c r="D561" s="99"/>
      <c r="E561" s="111"/>
      <c r="F561" s="97"/>
      <c r="G561" s="97"/>
      <c r="H561" s="101"/>
      <c r="I561" s="62"/>
      <c r="J561" s="62"/>
      <c r="K561" s="58"/>
      <c r="L561" s="102"/>
      <c r="M561" s="103"/>
      <c r="N561" s="62"/>
      <c r="O561" s="101"/>
      <c r="P561" s="58"/>
      <c r="Q561" s="112"/>
      <c r="R561" s="62"/>
      <c r="S561" s="62"/>
      <c r="T561" s="62"/>
      <c r="U561" s="62"/>
      <c r="V561" s="62"/>
      <c r="W561" s="62"/>
      <c r="X561" s="62"/>
      <c r="Y561" s="62"/>
      <c r="Z561" s="62"/>
      <c r="AA561" s="62"/>
    </row>
    <row r="562">
      <c r="A562" s="96"/>
      <c r="B562" s="98"/>
      <c r="C562" s="99"/>
      <c r="D562" s="99"/>
      <c r="E562" s="111"/>
      <c r="F562" s="97"/>
      <c r="G562" s="97"/>
      <c r="H562" s="101"/>
      <c r="I562" s="62"/>
      <c r="J562" s="62"/>
      <c r="K562" s="58"/>
      <c r="L562" s="102"/>
      <c r="M562" s="103"/>
      <c r="N562" s="62"/>
      <c r="O562" s="101"/>
      <c r="P562" s="58"/>
      <c r="Q562" s="112"/>
      <c r="R562" s="62"/>
      <c r="S562" s="62"/>
      <c r="T562" s="62"/>
      <c r="U562" s="62"/>
      <c r="V562" s="62"/>
      <c r="W562" s="62"/>
      <c r="X562" s="62"/>
      <c r="Y562" s="62"/>
      <c r="Z562" s="62"/>
      <c r="AA562" s="62"/>
    </row>
    <row r="563">
      <c r="A563" s="96"/>
      <c r="B563" s="98"/>
      <c r="C563" s="99"/>
      <c r="D563" s="99"/>
      <c r="E563" s="111"/>
      <c r="F563" s="97"/>
      <c r="G563" s="97"/>
      <c r="H563" s="101"/>
      <c r="I563" s="62"/>
      <c r="J563" s="62"/>
      <c r="K563" s="58"/>
      <c r="L563" s="102"/>
      <c r="M563" s="103"/>
      <c r="N563" s="62"/>
      <c r="O563" s="101"/>
      <c r="P563" s="58"/>
      <c r="Q563" s="112"/>
      <c r="R563" s="62"/>
      <c r="S563" s="62"/>
      <c r="T563" s="62"/>
      <c r="U563" s="62"/>
      <c r="V563" s="62"/>
      <c r="W563" s="62"/>
      <c r="X563" s="62"/>
      <c r="Y563" s="62"/>
      <c r="Z563" s="62"/>
      <c r="AA563" s="62"/>
    </row>
    <row r="564">
      <c r="A564" s="96"/>
      <c r="B564" s="98"/>
      <c r="C564" s="99"/>
      <c r="D564" s="99"/>
      <c r="E564" s="111"/>
      <c r="F564" s="97"/>
      <c r="G564" s="97"/>
      <c r="H564" s="101"/>
      <c r="I564" s="62"/>
      <c r="J564" s="62"/>
      <c r="K564" s="58"/>
      <c r="L564" s="102"/>
      <c r="M564" s="103"/>
      <c r="N564" s="62"/>
      <c r="O564" s="101"/>
      <c r="P564" s="58"/>
      <c r="Q564" s="112"/>
      <c r="R564" s="62"/>
      <c r="S564" s="62"/>
      <c r="T564" s="62"/>
      <c r="U564" s="62"/>
      <c r="V564" s="62"/>
      <c r="W564" s="62"/>
      <c r="X564" s="62"/>
      <c r="Y564" s="62"/>
      <c r="Z564" s="62"/>
      <c r="AA564" s="62"/>
    </row>
    <row r="565">
      <c r="A565" s="96"/>
      <c r="B565" s="98"/>
      <c r="C565" s="99"/>
      <c r="D565" s="99"/>
      <c r="E565" s="111"/>
      <c r="F565" s="97"/>
      <c r="G565" s="97"/>
      <c r="H565" s="101"/>
      <c r="I565" s="62"/>
      <c r="J565" s="62"/>
      <c r="K565" s="58"/>
      <c r="L565" s="102"/>
      <c r="M565" s="103"/>
      <c r="N565" s="62"/>
      <c r="O565" s="101"/>
      <c r="P565" s="58"/>
      <c r="Q565" s="112"/>
      <c r="R565" s="62"/>
      <c r="S565" s="62"/>
      <c r="T565" s="62"/>
      <c r="U565" s="62"/>
      <c r="V565" s="62"/>
      <c r="W565" s="62"/>
      <c r="X565" s="62"/>
      <c r="Y565" s="62"/>
      <c r="Z565" s="62"/>
      <c r="AA565" s="62"/>
    </row>
    <row r="566">
      <c r="A566" s="96"/>
      <c r="B566" s="98"/>
      <c r="C566" s="99"/>
      <c r="D566" s="99"/>
      <c r="E566" s="111"/>
      <c r="F566" s="97"/>
      <c r="G566" s="97"/>
      <c r="H566" s="101"/>
      <c r="I566" s="62"/>
      <c r="J566" s="62"/>
      <c r="K566" s="58"/>
      <c r="L566" s="102"/>
      <c r="M566" s="103"/>
      <c r="N566" s="62"/>
      <c r="O566" s="101"/>
      <c r="P566" s="58"/>
      <c r="Q566" s="112"/>
      <c r="R566" s="62"/>
      <c r="S566" s="62"/>
      <c r="T566" s="62"/>
      <c r="U566" s="62"/>
      <c r="V566" s="62"/>
      <c r="W566" s="62"/>
      <c r="X566" s="62"/>
      <c r="Y566" s="62"/>
      <c r="Z566" s="62"/>
      <c r="AA566" s="62"/>
    </row>
    <row r="567">
      <c r="A567" s="96"/>
      <c r="B567" s="98"/>
      <c r="C567" s="99"/>
      <c r="D567" s="99"/>
      <c r="E567" s="111"/>
      <c r="F567" s="97"/>
      <c r="G567" s="97"/>
      <c r="H567" s="101"/>
      <c r="I567" s="62"/>
      <c r="J567" s="62"/>
      <c r="K567" s="58"/>
      <c r="L567" s="102"/>
      <c r="M567" s="103"/>
      <c r="N567" s="62"/>
      <c r="O567" s="101"/>
      <c r="P567" s="58"/>
      <c r="Q567" s="112"/>
      <c r="R567" s="62"/>
      <c r="S567" s="62"/>
      <c r="T567" s="62"/>
      <c r="U567" s="62"/>
      <c r="V567" s="62"/>
      <c r="W567" s="62"/>
      <c r="X567" s="62"/>
      <c r="Y567" s="62"/>
      <c r="Z567" s="62"/>
      <c r="AA567" s="62"/>
    </row>
    <row r="568">
      <c r="A568" s="96"/>
      <c r="B568" s="98"/>
      <c r="C568" s="99"/>
      <c r="D568" s="99"/>
      <c r="E568" s="111"/>
      <c r="F568" s="97"/>
      <c r="G568" s="97"/>
      <c r="H568" s="101"/>
      <c r="I568" s="62"/>
      <c r="J568" s="62"/>
      <c r="K568" s="58"/>
      <c r="L568" s="102"/>
      <c r="M568" s="103"/>
      <c r="N568" s="62"/>
      <c r="O568" s="101"/>
      <c r="P568" s="58"/>
      <c r="Q568" s="112"/>
      <c r="R568" s="62"/>
      <c r="S568" s="62"/>
      <c r="T568" s="62"/>
      <c r="U568" s="62"/>
      <c r="V568" s="62"/>
      <c r="W568" s="62"/>
      <c r="X568" s="62"/>
      <c r="Y568" s="62"/>
      <c r="Z568" s="62"/>
      <c r="AA568" s="62"/>
    </row>
    <row r="569">
      <c r="A569" s="96"/>
      <c r="B569" s="98"/>
      <c r="C569" s="99"/>
      <c r="D569" s="99"/>
      <c r="E569" s="111"/>
      <c r="F569" s="97"/>
      <c r="G569" s="97"/>
      <c r="H569" s="101"/>
      <c r="I569" s="62"/>
      <c r="J569" s="62"/>
      <c r="K569" s="58"/>
      <c r="L569" s="102"/>
      <c r="M569" s="103"/>
      <c r="N569" s="62"/>
      <c r="O569" s="101"/>
      <c r="P569" s="58"/>
      <c r="Q569" s="112"/>
      <c r="R569" s="62"/>
      <c r="S569" s="62"/>
      <c r="T569" s="62"/>
      <c r="U569" s="62"/>
      <c r="V569" s="62"/>
      <c r="W569" s="62"/>
      <c r="X569" s="62"/>
      <c r="Y569" s="62"/>
      <c r="Z569" s="62"/>
      <c r="AA569" s="62"/>
    </row>
    <row r="570">
      <c r="A570" s="96"/>
      <c r="B570" s="98"/>
      <c r="C570" s="99"/>
      <c r="D570" s="99"/>
      <c r="E570" s="111"/>
      <c r="F570" s="97"/>
      <c r="G570" s="97"/>
      <c r="H570" s="101"/>
      <c r="I570" s="62"/>
      <c r="J570" s="62"/>
      <c r="K570" s="58"/>
      <c r="L570" s="102"/>
      <c r="M570" s="103"/>
      <c r="N570" s="62"/>
      <c r="O570" s="101"/>
      <c r="P570" s="58"/>
      <c r="Q570" s="112"/>
      <c r="R570" s="62"/>
      <c r="S570" s="62"/>
      <c r="T570" s="62"/>
      <c r="U570" s="62"/>
      <c r="V570" s="62"/>
      <c r="W570" s="62"/>
      <c r="X570" s="62"/>
      <c r="Y570" s="62"/>
      <c r="Z570" s="62"/>
      <c r="AA570" s="62"/>
    </row>
    <row r="571">
      <c r="A571" s="96"/>
      <c r="B571" s="98"/>
      <c r="C571" s="99"/>
      <c r="D571" s="99"/>
      <c r="E571" s="111"/>
      <c r="F571" s="97"/>
      <c r="G571" s="97"/>
      <c r="H571" s="101"/>
      <c r="I571" s="62"/>
      <c r="J571" s="62"/>
      <c r="K571" s="58"/>
      <c r="L571" s="102"/>
      <c r="M571" s="103"/>
      <c r="N571" s="62"/>
      <c r="O571" s="101"/>
      <c r="P571" s="58"/>
      <c r="Q571" s="112"/>
      <c r="R571" s="62"/>
      <c r="S571" s="62"/>
      <c r="T571" s="62"/>
      <c r="U571" s="62"/>
      <c r="V571" s="62"/>
      <c r="W571" s="62"/>
      <c r="X571" s="62"/>
      <c r="Y571" s="62"/>
      <c r="Z571" s="62"/>
      <c r="AA571" s="62"/>
    </row>
    <row r="572">
      <c r="A572" s="96"/>
      <c r="B572" s="98"/>
      <c r="C572" s="99"/>
      <c r="D572" s="99"/>
      <c r="E572" s="111"/>
      <c r="F572" s="97"/>
      <c r="G572" s="97"/>
      <c r="H572" s="101"/>
      <c r="I572" s="62"/>
      <c r="J572" s="62"/>
      <c r="K572" s="58"/>
      <c r="L572" s="102"/>
      <c r="M572" s="103"/>
      <c r="N572" s="62"/>
      <c r="O572" s="101"/>
      <c r="P572" s="58"/>
      <c r="Q572" s="112"/>
      <c r="R572" s="62"/>
      <c r="S572" s="62"/>
      <c r="T572" s="62"/>
      <c r="U572" s="62"/>
      <c r="V572" s="62"/>
      <c r="W572" s="62"/>
      <c r="X572" s="62"/>
      <c r="Y572" s="62"/>
      <c r="Z572" s="62"/>
      <c r="AA572" s="62"/>
    </row>
    <row r="573">
      <c r="A573" s="96"/>
      <c r="B573" s="98"/>
      <c r="C573" s="99"/>
      <c r="D573" s="99"/>
      <c r="E573" s="111"/>
      <c r="F573" s="97"/>
      <c r="G573" s="97"/>
      <c r="H573" s="101"/>
      <c r="I573" s="62"/>
      <c r="J573" s="62"/>
      <c r="K573" s="58"/>
      <c r="L573" s="102"/>
      <c r="M573" s="103"/>
      <c r="N573" s="62"/>
      <c r="O573" s="101"/>
      <c r="P573" s="58"/>
      <c r="Q573" s="112"/>
      <c r="R573" s="62"/>
      <c r="S573" s="62"/>
      <c r="T573" s="62"/>
      <c r="U573" s="62"/>
      <c r="V573" s="62"/>
      <c r="W573" s="62"/>
      <c r="X573" s="62"/>
      <c r="Y573" s="62"/>
      <c r="Z573" s="62"/>
      <c r="AA573" s="62"/>
    </row>
    <row r="574">
      <c r="A574" s="96"/>
      <c r="B574" s="98"/>
      <c r="C574" s="99"/>
      <c r="D574" s="99"/>
      <c r="E574" s="111"/>
      <c r="F574" s="97"/>
      <c r="G574" s="97"/>
      <c r="H574" s="101"/>
      <c r="I574" s="62"/>
      <c r="J574" s="62"/>
      <c r="K574" s="58"/>
      <c r="L574" s="102"/>
      <c r="M574" s="103"/>
      <c r="N574" s="62"/>
      <c r="O574" s="101"/>
      <c r="P574" s="58"/>
      <c r="Q574" s="112"/>
      <c r="R574" s="62"/>
      <c r="S574" s="62"/>
      <c r="T574" s="62"/>
      <c r="U574" s="62"/>
      <c r="V574" s="62"/>
      <c r="W574" s="62"/>
      <c r="X574" s="62"/>
      <c r="Y574" s="62"/>
      <c r="Z574" s="62"/>
      <c r="AA574" s="62"/>
    </row>
    <row r="575">
      <c r="A575" s="96"/>
      <c r="B575" s="98"/>
      <c r="C575" s="99"/>
      <c r="D575" s="99"/>
      <c r="E575" s="111"/>
      <c r="F575" s="97"/>
      <c r="G575" s="97"/>
      <c r="H575" s="101"/>
      <c r="I575" s="62"/>
      <c r="J575" s="62"/>
      <c r="K575" s="58"/>
      <c r="L575" s="102"/>
      <c r="M575" s="103"/>
      <c r="N575" s="62"/>
      <c r="O575" s="101"/>
      <c r="P575" s="58"/>
      <c r="Q575" s="112"/>
      <c r="R575" s="62"/>
      <c r="S575" s="62"/>
      <c r="T575" s="62"/>
      <c r="U575" s="62"/>
      <c r="V575" s="62"/>
      <c r="W575" s="62"/>
      <c r="X575" s="62"/>
      <c r="Y575" s="62"/>
      <c r="Z575" s="62"/>
      <c r="AA575" s="62"/>
    </row>
    <row r="576">
      <c r="A576" s="96"/>
      <c r="B576" s="98"/>
      <c r="C576" s="99"/>
      <c r="D576" s="99"/>
      <c r="E576" s="111"/>
      <c r="F576" s="97"/>
      <c r="G576" s="97"/>
      <c r="H576" s="101"/>
      <c r="I576" s="62"/>
      <c r="J576" s="62"/>
      <c r="K576" s="58"/>
      <c r="L576" s="102"/>
      <c r="M576" s="103"/>
      <c r="N576" s="62"/>
      <c r="O576" s="101"/>
      <c r="P576" s="58"/>
      <c r="Q576" s="11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</row>
    <row r="577">
      <c r="A577" s="96"/>
      <c r="B577" s="98"/>
      <c r="C577" s="99"/>
      <c r="D577" s="99"/>
      <c r="E577" s="111"/>
      <c r="F577" s="97"/>
      <c r="G577" s="97"/>
      <c r="H577" s="101"/>
      <c r="I577" s="58"/>
      <c r="J577" s="62"/>
      <c r="K577" s="58"/>
      <c r="L577" s="102"/>
      <c r="M577" s="103"/>
      <c r="N577" s="62"/>
      <c r="O577" s="101"/>
      <c r="P577" s="58"/>
      <c r="Q577" s="62"/>
      <c r="R577" s="58"/>
      <c r="S577" s="62"/>
      <c r="T577" s="62"/>
      <c r="U577" s="62"/>
      <c r="V577" s="62"/>
      <c r="W577" s="62"/>
      <c r="X577" s="62"/>
      <c r="Y577" s="62"/>
      <c r="Z577" s="62"/>
      <c r="AA577" s="62"/>
    </row>
    <row r="578">
      <c r="A578" s="96"/>
      <c r="B578" s="98"/>
      <c r="C578" s="99"/>
      <c r="D578" s="99"/>
      <c r="E578" s="111"/>
      <c r="F578" s="97"/>
      <c r="G578" s="97"/>
      <c r="H578" s="101"/>
      <c r="I578" s="62"/>
      <c r="J578" s="62"/>
      <c r="K578" s="58"/>
      <c r="L578" s="102"/>
      <c r="M578" s="103"/>
      <c r="N578" s="62"/>
      <c r="O578" s="101"/>
      <c r="P578" s="58"/>
      <c r="Q578" s="112"/>
      <c r="R578" s="62"/>
      <c r="S578" s="62"/>
      <c r="T578" s="62"/>
      <c r="U578" s="62"/>
      <c r="V578" s="62"/>
      <c r="W578" s="62"/>
      <c r="X578" s="62"/>
      <c r="Y578" s="62"/>
      <c r="Z578" s="62"/>
      <c r="AA578" s="62"/>
    </row>
    <row r="579">
      <c r="A579" s="96"/>
      <c r="B579" s="98"/>
      <c r="C579" s="99"/>
      <c r="D579" s="99"/>
      <c r="E579" s="111"/>
      <c r="F579" s="97"/>
      <c r="G579" s="97"/>
      <c r="H579" s="101"/>
      <c r="I579" s="62"/>
      <c r="J579" s="62"/>
      <c r="K579" s="58"/>
      <c r="L579" s="102"/>
      <c r="M579" s="103"/>
      <c r="N579" s="62"/>
      <c r="O579" s="101"/>
      <c r="P579" s="58"/>
      <c r="Q579" s="11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</row>
    <row r="580">
      <c r="A580" s="96"/>
      <c r="B580" s="98"/>
      <c r="C580" s="99"/>
      <c r="D580" s="99"/>
      <c r="E580" s="111"/>
      <c r="F580" s="97"/>
      <c r="G580" s="97"/>
      <c r="H580" s="101"/>
      <c r="I580" s="62"/>
      <c r="J580" s="62"/>
      <c r="K580" s="58"/>
      <c r="L580" s="102"/>
      <c r="M580" s="103"/>
      <c r="N580" s="62"/>
      <c r="O580" s="101"/>
      <c r="P580" s="58"/>
      <c r="Q580" s="11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</row>
    <row r="581">
      <c r="A581" s="96"/>
      <c r="B581" s="98"/>
      <c r="C581" s="99"/>
      <c r="D581" s="99"/>
      <c r="E581" s="111"/>
      <c r="F581" s="97"/>
      <c r="G581" s="97"/>
      <c r="H581" s="101"/>
      <c r="I581" s="62"/>
      <c r="J581" s="62"/>
      <c r="K581" s="58"/>
      <c r="L581" s="102"/>
      <c r="M581" s="103"/>
      <c r="N581" s="62"/>
      <c r="O581" s="101"/>
      <c r="P581" s="58"/>
      <c r="Q581" s="11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</row>
    <row r="582">
      <c r="A582" s="96"/>
      <c r="B582" s="98"/>
      <c r="C582" s="99"/>
      <c r="D582" s="99"/>
      <c r="E582" s="111"/>
      <c r="F582" s="97"/>
      <c r="G582" s="97"/>
      <c r="H582" s="101"/>
      <c r="I582" s="62"/>
      <c r="J582" s="62"/>
      <c r="K582" s="58"/>
      <c r="L582" s="102"/>
      <c r="M582" s="103"/>
      <c r="N582" s="62"/>
      <c r="O582" s="101"/>
      <c r="P582" s="58"/>
      <c r="Q582" s="11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</row>
    <row r="583">
      <c r="A583" s="96"/>
      <c r="B583" s="98"/>
      <c r="C583" s="99"/>
      <c r="D583" s="99"/>
      <c r="E583" s="111"/>
      <c r="F583" s="97"/>
      <c r="G583" s="97"/>
      <c r="H583" s="101"/>
      <c r="I583" s="58"/>
      <c r="J583" s="62"/>
      <c r="K583" s="58"/>
      <c r="L583" s="102"/>
      <c r="M583" s="103"/>
      <c r="N583" s="62"/>
      <c r="O583" s="101"/>
      <c r="P583" s="58"/>
      <c r="Q583" s="112"/>
      <c r="R583" s="58"/>
      <c r="S583" s="62"/>
      <c r="T583" s="62"/>
      <c r="U583" s="62"/>
      <c r="V583" s="62"/>
      <c r="W583" s="62"/>
      <c r="X583" s="62"/>
      <c r="Y583" s="62"/>
      <c r="Z583" s="62"/>
      <c r="AA583" s="62"/>
    </row>
    <row r="584">
      <c r="A584" s="96"/>
      <c r="B584" s="98"/>
      <c r="C584" s="99"/>
      <c r="D584" s="99"/>
      <c r="E584" s="111"/>
      <c r="F584" s="97"/>
      <c r="G584" s="97"/>
      <c r="H584" s="101"/>
      <c r="I584" s="58"/>
      <c r="J584" s="62"/>
      <c r="K584" s="58"/>
      <c r="L584" s="102"/>
      <c r="M584" s="103"/>
      <c r="N584" s="62"/>
      <c r="O584" s="101"/>
      <c r="P584" s="58"/>
      <c r="Q584" s="112"/>
      <c r="R584" s="58"/>
      <c r="S584" s="62"/>
      <c r="T584" s="62"/>
      <c r="U584" s="62"/>
      <c r="V584" s="62"/>
      <c r="W584" s="62"/>
      <c r="X584" s="62"/>
      <c r="Y584" s="62"/>
      <c r="Z584" s="62"/>
      <c r="AA584" s="62"/>
    </row>
    <row r="585">
      <c r="A585" s="96"/>
      <c r="B585" s="98"/>
      <c r="C585" s="99"/>
      <c r="D585" s="99"/>
      <c r="E585" s="111"/>
      <c r="F585" s="97"/>
      <c r="G585" s="97"/>
      <c r="H585" s="101"/>
      <c r="I585" s="62"/>
      <c r="J585" s="62"/>
      <c r="K585" s="58"/>
      <c r="L585" s="102"/>
      <c r="M585" s="103"/>
      <c r="N585" s="62"/>
      <c r="O585" s="101"/>
      <c r="P585" s="58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</row>
    <row r="586">
      <c r="A586" s="96"/>
      <c r="B586" s="98"/>
      <c r="C586" s="99"/>
      <c r="D586" s="99"/>
      <c r="E586" s="111"/>
      <c r="F586" s="97"/>
      <c r="G586" s="97"/>
      <c r="H586" s="101"/>
      <c r="I586" s="62"/>
      <c r="J586" s="62"/>
      <c r="K586" s="58"/>
      <c r="L586" s="102"/>
      <c r="M586" s="103"/>
      <c r="N586" s="62"/>
      <c r="O586" s="101"/>
      <c r="P586" s="58"/>
      <c r="Q586" s="11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</row>
    <row r="587">
      <c r="A587" s="96"/>
      <c r="B587" s="98"/>
      <c r="C587" s="99"/>
      <c r="D587" s="99"/>
      <c r="E587" s="111"/>
      <c r="F587" s="97"/>
      <c r="G587" s="97"/>
      <c r="H587" s="101"/>
      <c r="I587" s="62"/>
      <c r="J587" s="62"/>
      <c r="K587" s="58"/>
      <c r="L587" s="102"/>
      <c r="M587" s="103"/>
      <c r="N587" s="62"/>
      <c r="O587" s="101"/>
      <c r="P587" s="58"/>
      <c r="Q587" s="11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</row>
    <row r="588">
      <c r="A588" s="96"/>
      <c r="B588" s="98"/>
      <c r="C588" s="99"/>
      <c r="D588" s="99"/>
      <c r="E588" s="111"/>
      <c r="F588" s="97"/>
      <c r="G588" s="97"/>
      <c r="H588" s="101"/>
      <c r="I588" s="62"/>
      <c r="J588" s="62"/>
      <c r="K588" s="58"/>
      <c r="L588" s="102"/>
      <c r="M588" s="103"/>
      <c r="N588" s="62"/>
      <c r="O588" s="101"/>
      <c r="P588" s="58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</row>
    <row r="589">
      <c r="A589" s="96"/>
      <c r="B589" s="98"/>
      <c r="C589" s="99"/>
      <c r="D589" s="99"/>
      <c r="E589" s="111"/>
      <c r="F589" s="97"/>
      <c r="G589" s="97"/>
      <c r="H589" s="101"/>
      <c r="I589" s="62"/>
      <c r="J589" s="62"/>
      <c r="K589" s="58"/>
      <c r="L589" s="102"/>
      <c r="M589" s="103"/>
      <c r="N589" s="62"/>
      <c r="O589" s="101"/>
      <c r="P589" s="58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</row>
    <row r="590">
      <c r="A590" s="96"/>
      <c r="B590" s="98"/>
      <c r="C590" s="99"/>
      <c r="D590" s="99"/>
      <c r="E590" s="111"/>
      <c r="F590" s="97"/>
      <c r="G590" s="97"/>
      <c r="H590" s="101"/>
      <c r="I590" s="62"/>
      <c r="J590" s="62"/>
      <c r="K590" s="58"/>
      <c r="L590" s="102"/>
      <c r="M590" s="103"/>
      <c r="N590" s="62"/>
      <c r="O590" s="101"/>
      <c r="P590" s="58"/>
      <c r="Q590" s="112"/>
      <c r="R590" s="62"/>
      <c r="S590" s="62"/>
      <c r="T590" s="62"/>
      <c r="U590" s="62"/>
      <c r="V590" s="62"/>
      <c r="W590" s="62"/>
      <c r="X590" s="62"/>
      <c r="Y590" s="62"/>
      <c r="Z590" s="62"/>
      <c r="AA590" s="62"/>
    </row>
    <row r="591">
      <c r="A591" s="96"/>
      <c r="B591" s="98"/>
      <c r="C591" s="99"/>
      <c r="D591" s="99"/>
      <c r="E591" s="111"/>
      <c r="F591" s="97"/>
      <c r="G591" s="97"/>
      <c r="H591" s="101"/>
      <c r="I591" s="58"/>
      <c r="J591" s="62"/>
      <c r="K591" s="58"/>
      <c r="L591" s="102"/>
      <c r="M591" s="103"/>
      <c r="N591" s="62"/>
      <c r="O591" s="101"/>
      <c r="P591" s="58"/>
      <c r="Q591" s="112"/>
      <c r="R591" s="58"/>
      <c r="S591" s="62"/>
      <c r="T591" s="62"/>
      <c r="U591" s="62"/>
      <c r="V591" s="62"/>
      <c r="W591" s="62"/>
      <c r="X591" s="62"/>
      <c r="Y591" s="62"/>
      <c r="Z591" s="62"/>
      <c r="AA591" s="62"/>
    </row>
    <row r="592">
      <c r="A592" s="96"/>
      <c r="B592" s="98"/>
      <c r="C592" s="99"/>
      <c r="D592" s="99"/>
      <c r="E592" s="111"/>
      <c r="F592" s="97"/>
      <c r="G592" s="97"/>
      <c r="H592" s="101"/>
      <c r="I592" s="62"/>
      <c r="J592" s="62"/>
      <c r="K592" s="58"/>
      <c r="L592" s="102"/>
      <c r="M592" s="103"/>
      <c r="N592" s="62"/>
      <c r="O592" s="101"/>
      <c r="P592" s="58"/>
      <c r="Q592" s="112"/>
      <c r="R592" s="62"/>
      <c r="S592" s="62"/>
      <c r="T592" s="62"/>
      <c r="U592" s="62"/>
      <c r="V592" s="62"/>
      <c r="W592" s="62"/>
      <c r="X592" s="62"/>
      <c r="Y592" s="62"/>
      <c r="Z592" s="62"/>
      <c r="AA592" s="62"/>
    </row>
    <row r="593">
      <c r="A593" s="96"/>
      <c r="B593" s="98"/>
      <c r="C593" s="99"/>
      <c r="D593" s="99"/>
      <c r="E593" s="111"/>
      <c r="F593" s="97"/>
      <c r="G593" s="97"/>
      <c r="H593" s="101"/>
      <c r="I593" s="62"/>
      <c r="J593" s="62"/>
      <c r="K593" s="58"/>
      <c r="L593" s="102"/>
      <c r="M593" s="103"/>
      <c r="N593" s="62"/>
      <c r="O593" s="101"/>
      <c r="P593" s="58"/>
      <c r="Q593" s="62"/>
      <c r="R593" s="62"/>
      <c r="S593" s="62"/>
      <c r="T593" s="62"/>
      <c r="U593" s="62"/>
      <c r="V593" s="62"/>
      <c r="W593" s="62"/>
      <c r="X593" s="62"/>
      <c r="Y593" s="62"/>
      <c r="Z593" s="62"/>
      <c r="AA593" s="62"/>
    </row>
    <row r="594">
      <c r="A594" s="96"/>
      <c r="B594" s="98"/>
      <c r="C594" s="99"/>
      <c r="D594" s="99"/>
      <c r="E594" s="111"/>
      <c r="F594" s="97"/>
      <c r="G594" s="97"/>
      <c r="H594" s="101"/>
      <c r="I594" s="62"/>
      <c r="J594" s="62"/>
      <c r="K594" s="58"/>
      <c r="L594" s="102"/>
      <c r="M594" s="103"/>
      <c r="N594" s="62"/>
      <c r="O594" s="101"/>
      <c r="P594" s="58"/>
      <c r="Q594" s="62"/>
      <c r="R594" s="62"/>
      <c r="S594" s="62"/>
      <c r="T594" s="62"/>
      <c r="U594" s="62"/>
      <c r="V594" s="62"/>
      <c r="W594" s="62"/>
      <c r="X594" s="62"/>
      <c r="Y594" s="62"/>
      <c r="Z594" s="62"/>
      <c r="AA594" s="62"/>
    </row>
    <row r="595">
      <c r="A595" s="96"/>
      <c r="B595" s="98"/>
      <c r="C595" s="99"/>
      <c r="D595" s="99"/>
      <c r="E595" s="111"/>
      <c r="F595" s="97"/>
      <c r="G595" s="97"/>
      <c r="H595" s="101"/>
      <c r="I595" s="62"/>
      <c r="J595" s="62"/>
      <c r="K595" s="58"/>
      <c r="L595" s="102"/>
      <c r="M595" s="103"/>
      <c r="N595" s="62"/>
      <c r="O595" s="101"/>
      <c r="P595" s="58"/>
      <c r="Q595" s="112"/>
      <c r="R595" s="62"/>
      <c r="S595" s="62"/>
      <c r="T595" s="62"/>
      <c r="U595" s="62"/>
      <c r="V595" s="62"/>
      <c r="W595" s="62"/>
      <c r="X595" s="62"/>
      <c r="Y595" s="62"/>
      <c r="Z595" s="62"/>
      <c r="AA595" s="62"/>
    </row>
    <row r="596">
      <c r="A596" s="96"/>
      <c r="B596" s="98"/>
      <c r="C596" s="99"/>
      <c r="D596" s="99"/>
      <c r="E596" s="111"/>
      <c r="F596" s="97"/>
      <c r="G596" s="97"/>
      <c r="H596" s="101"/>
      <c r="I596" s="62"/>
      <c r="J596" s="62"/>
      <c r="K596" s="58"/>
      <c r="L596" s="102"/>
      <c r="M596" s="103"/>
      <c r="N596" s="62"/>
      <c r="O596" s="101"/>
      <c r="P596" s="58"/>
      <c r="Q596" s="112"/>
      <c r="R596" s="62"/>
      <c r="S596" s="62"/>
      <c r="T596" s="62"/>
      <c r="U596" s="62"/>
      <c r="V596" s="62"/>
      <c r="W596" s="62"/>
      <c r="X596" s="62"/>
      <c r="Y596" s="62"/>
      <c r="Z596" s="62"/>
      <c r="AA596" s="62"/>
    </row>
    <row r="597">
      <c r="A597" s="96"/>
      <c r="B597" s="98"/>
      <c r="C597" s="99"/>
      <c r="D597" s="99"/>
      <c r="E597" s="111"/>
      <c r="F597" s="97"/>
      <c r="G597" s="97"/>
      <c r="H597" s="101"/>
      <c r="I597" s="62"/>
      <c r="J597" s="62"/>
      <c r="K597" s="58"/>
      <c r="L597" s="102"/>
      <c r="M597" s="103"/>
      <c r="N597" s="62"/>
      <c r="O597" s="101"/>
      <c r="P597" s="58"/>
      <c r="Q597" s="112"/>
      <c r="R597" s="62"/>
      <c r="S597" s="62"/>
      <c r="T597" s="62"/>
      <c r="U597" s="62"/>
      <c r="V597" s="62"/>
      <c r="W597" s="62"/>
      <c r="X597" s="62"/>
      <c r="Y597" s="62"/>
      <c r="Z597" s="62"/>
      <c r="AA597" s="62"/>
    </row>
    <row r="598">
      <c r="A598" s="96"/>
      <c r="B598" s="98"/>
      <c r="C598" s="99"/>
      <c r="D598" s="99"/>
      <c r="E598" s="111"/>
      <c r="F598" s="97"/>
      <c r="G598" s="97"/>
      <c r="H598" s="101"/>
      <c r="I598" s="62"/>
      <c r="J598" s="62"/>
      <c r="K598" s="58"/>
      <c r="L598" s="102"/>
      <c r="M598" s="103"/>
      <c r="N598" s="62"/>
      <c r="O598" s="101"/>
      <c r="P598" s="58"/>
      <c r="Q598" s="112"/>
      <c r="R598" s="62"/>
      <c r="S598" s="62"/>
      <c r="T598" s="62"/>
      <c r="U598" s="62"/>
      <c r="V598" s="62"/>
      <c r="W598" s="62"/>
      <c r="X598" s="62"/>
      <c r="Y598" s="62"/>
      <c r="Z598" s="62"/>
      <c r="AA598" s="62"/>
    </row>
    <row r="599">
      <c r="A599" s="96"/>
      <c r="B599" s="98"/>
      <c r="C599" s="99"/>
      <c r="D599" s="99"/>
      <c r="E599" s="111"/>
      <c r="F599" s="97"/>
      <c r="G599" s="97"/>
      <c r="H599" s="101"/>
      <c r="I599" s="62"/>
      <c r="J599" s="62"/>
      <c r="K599" s="58"/>
      <c r="L599" s="102"/>
      <c r="M599" s="103"/>
      <c r="N599" s="62"/>
      <c r="O599" s="101"/>
      <c r="P599" s="58"/>
      <c r="Q599" s="112"/>
      <c r="R599" s="62"/>
      <c r="S599" s="62"/>
      <c r="T599" s="62"/>
      <c r="U599" s="62"/>
      <c r="V599" s="62"/>
      <c r="W599" s="62"/>
      <c r="X599" s="62"/>
      <c r="Y599" s="62"/>
      <c r="Z599" s="62"/>
      <c r="AA599" s="62"/>
    </row>
    <row r="600">
      <c r="A600" s="96"/>
      <c r="B600" s="98"/>
      <c r="C600" s="99"/>
      <c r="D600" s="99"/>
      <c r="E600" s="111"/>
      <c r="F600" s="97"/>
      <c r="G600" s="97"/>
      <c r="H600" s="101"/>
      <c r="I600" s="62"/>
      <c r="J600" s="62"/>
      <c r="K600" s="58"/>
      <c r="L600" s="102"/>
      <c r="M600" s="103"/>
      <c r="N600" s="62"/>
      <c r="O600" s="101"/>
      <c r="P600" s="58"/>
      <c r="Q600" s="112"/>
      <c r="R600" s="62"/>
      <c r="S600" s="62"/>
      <c r="T600" s="62"/>
      <c r="U600" s="62"/>
      <c r="V600" s="62"/>
      <c r="W600" s="62"/>
      <c r="X600" s="62"/>
      <c r="Y600" s="62"/>
      <c r="Z600" s="62"/>
      <c r="AA600" s="62"/>
    </row>
    <row r="601">
      <c r="A601" s="96"/>
      <c r="B601" s="98"/>
      <c r="C601" s="99"/>
      <c r="D601" s="99"/>
      <c r="E601" s="111"/>
      <c r="F601" s="97"/>
      <c r="G601" s="97"/>
      <c r="H601" s="101"/>
      <c r="I601" s="62"/>
      <c r="J601" s="62"/>
      <c r="K601" s="58"/>
      <c r="L601" s="102"/>
      <c r="M601" s="103"/>
      <c r="N601" s="62"/>
      <c r="O601" s="101"/>
      <c r="P601" s="58"/>
      <c r="Q601" s="112"/>
      <c r="R601" s="62"/>
      <c r="S601" s="62"/>
      <c r="T601" s="62"/>
      <c r="U601" s="62"/>
      <c r="V601" s="62"/>
      <c r="W601" s="62"/>
      <c r="X601" s="62"/>
      <c r="Y601" s="62"/>
      <c r="Z601" s="62"/>
      <c r="AA601" s="62"/>
    </row>
    <row r="602">
      <c r="A602" s="96"/>
      <c r="B602" s="98"/>
      <c r="C602" s="99"/>
      <c r="D602" s="99"/>
      <c r="E602" s="111"/>
      <c r="F602" s="97"/>
      <c r="G602" s="97"/>
      <c r="H602" s="101"/>
      <c r="I602" s="62"/>
      <c r="J602" s="62"/>
      <c r="K602" s="58"/>
      <c r="L602" s="102"/>
      <c r="M602" s="103"/>
      <c r="N602" s="62"/>
      <c r="O602" s="101"/>
      <c r="P602" s="58"/>
      <c r="Q602" s="112"/>
      <c r="R602" s="62"/>
      <c r="S602" s="62"/>
      <c r="T602" s="62"/>
      <c r="U602" s="62"/>
      <c r="V602" s="62"/>
      <c r="W602" s="62"/>
      <c r="X602" s="62"/>
      <c r="Y602" s="62"/>
      <c r="Z602" s="62"/>
      <c r="AA602" s="62"/>
    </row>
    <row r="603">
      <c r="A603" s="96"/>
      <c r="B603" s="98"/>
      <c r="C603" s="99"/>
      <c r="D603" s="99"/>
      <c r="E603" s="111"/>
      <c r="F603" s="97"/>
      <c r="G603" s="97"/>
      <c r="H603" s="101"/>
      <c r="I603" s="62"/>
      <c r="J603" s="62"/>
      <c r="K603" s="58"/>
      <c r="L603" s="102"/>
      <c r="M603" s="103"/>
      <c r="N603" s="62"/>
      <c r="O603" s="101"/>
      <c r="P603" s="58"/>
      <c r="Q603" s="112"/>
      <c r="R603" s="62"/>
      <c r="S603" s="62"/>
      <c r="T603" s="62"/>
      <c r="U603" s="62"/>
      <c r="V603" s="62"/>
      <c r="W603" s="62"/>
      <c r="X603" s="62"/>
      <c r="Y603" s="62"/>
      <c r="Z603" s="62"/>
      <c r="AA603" s="62"/>
    </row>
    <row r="604">
      <c r="A604" s="96"/>
      <c r="B604" s="98"/>
      <c r="C604" s="99"/>
      <c r="D604" s="99"/>
      <c r="E604" s="111"/>
      <c r="F604" s="97"/>
      <c r="G604" s="97"/>
      <c r="H604" s="101"/>
      <c r="I604" s="62"/>
      <c r="J604" s="62"/>
      <c r="K604" s="58"/>
      <c r="L604" s="102"/>
      <c r="M604" s="103"/>
      <c r="N604" s="62"/>
      <c r="O604" s="101"/>
      <c r="P604" s="58"/>
      <c r="Q604" s="112"/>
      <c r="R604" s="62"/>
      <c r="S604" s="62"/>
      <c r="T604" s="62"/>
      <c r="U604" s="62"/>
      <c r="V604" s="62"/>
      <c r="W604" s="62"/>
      <c r="X604" s="62"/>
      <c r="Y604" s="62"/>
      <c r="Z604" s="62"/>
      <c r="AA604" s="62"/>
    </row>
    <row r="605">
      <c r="A605" s="96"/>
      <c r="B605" s="98"/>
      <c r="C605" s="99"/>
      <c r="D605" s="99"/>
      <c r="E605" s="111"/>
      <c r="F605" s="97"/>
      <c r="G605" s="97"/>
      <c r="H605" s="101"/>
      <c r="I605" s="62"/>
      <c r="J605" s="62"/>
      <c r="K605" s="58"/>
      <c r="L605" s="102"/>
      <c r="M605" s="103"/>
      <c r="N605" s="62"/>
      <c r="O605" s="101"/>
      <c r="P605" s="58"/>
      <c r="Q605" s="112"/>
      <c r="R605" s="62"/>
      <c r="S605" s="62"/>
      <c r="T605" s="62"/>
      <c r="U605" s="62"/>
      <c r="V605" s="62"/>
      <c r="W605" s="62"/>
      <c r="X605" s="62"/>
      <c r="Y605" s="62"/>
      <c r="Z605" s="62"/>
      <c r="AA605" s="62"/>
    </row>
    <row r="606">
      <c r="A606" s="96"/>
      <c r="B606" s="98"/>
      <c r="C606" s="99"/>
      <c r="D606" s="99"/>
      <c r="E606" s="111"/>
      <c r="F606" s="97"/>
      <c r="G606" s="97"/>
      <c r="H606" s="101"/>
      <c r="I606" s="62"/>
      <c r="J606" s="62"/>
      <c r="K606" s="58"/>
      <c r="L606" s="102"/>
      <c r="M606" s="103"/>
      <c r="N606" s="62"/>
      <c r="O606" s="101"/>
      <c r="P606" s="58"/>
      <c r="Q606" s="112"/>
      <c r="R606" s="62"/>
      <c r="S606" s="62"/>
      <c r="T606" s="62"/>
      <c r="U606" s="62"/>
      <c r="V606" s="62"/>
      <c r="W606" s="62"/>
      <c r="X606" s="62"/>
      <c r="Y606" s="62"/>
      <c r="Z606" s="62"/>
      <c r="AA606" s="62"/>
    </row>
    <row r="607">
      <c r="A607" s="96"/>
      <c r="B607" s="98"/>
      <c r="C607" s="99"/>
      <c r="D607" s="99"/>
      <c r="E607" s="111"/>
      <c r="F607" s="97"/>
      <c r="G607" s="97"/>
      <c r="H607" s="101"/>
      <c r="I607" s="62"/>
      <c r="J607" s="62"/>
      <c r="K607" s="58"/>
      <c r="L607" s="102"/>
      <c r="M607" s="103"/>
      <c r="N607" s="62"/>
      <c r="O607" s="101"/>
      <c r="P607" s="58"/>
      <c r="Q607" s="112"/>
      <c r="R607" s="62"/>
      <c r="S607" s="62"/>
      <c r="T607" s="62"/>
      <c r="U607" s="62"/>
      <c r="V607" s="62"/>
      <c r="W607" s="62"/>
      <c r="X607" s="62"/>
      <c r="Y607" s="62"/>
      <c r="Z607" s="62"/>
      <c r="AA607" s="62"/>
    </row>
    <row r="608">
      <c r="A608" s="96"/>
      <c r="B608" s="98"/>
      <c r="C608" s="99"/>
      <c r="D608" s="99"/>
      <c r="E608" s="111"/>
      <c r="F608" s="97"/>
      <c r="G608" s="97"/>
      <c r="H608" s="101"/>
      <c r="I608" s="62"/>
      <c r="J608" s="62"/>
      <c r="K608" s="58"/>
      <c r="L608" s="102"/>
      <c r="M608" s="103"/>
      <c r="N608" s="62"/>
      <c r="O608" s="101"/>
      <c r="P608" s="58"/>
      <c r="Q608" s="112"/>
      <c r="R608" s="62"/>
      <c r="S608" s="62"/>
      <c r="T608" s="62"/>
      <c r="U608" s="62"/>
      <c r="V608" s="62"/>
      <c r="W608" s="62"/>
      <c r="X608" s="62"/>
      <c r="Y608" s="62"/>
      <c r="Z608" s="62"/>
      <c r="AA608" s="62"/>
    </row>
    <row r="609">
      <c r="A609" s="96"/>
      <c r="B609" s="98"/>
      <c r="C609" s="99"/>
      <c r="D609" s="99"/>
      <c r="E609" s="111"/>
      <c r="F609" s="97"/>
      <c r="G609" s="97"/>
      <c r="H609" s="101"/>
      <c r="I609" s="62"/>
      <c r="J609" s="62"/>
      <c r="K609" s="58"/>
      <c r="L609" s="102"/>
      <c r="M609" s="103"/>
      <c r="N609" s="62"/>
      <c r="O609" s="101"/>
      <c r="P609" s="58"/>
      <c r="Q609" s="112"/>
      <c r="R609" s="62"/>
      <c r="S609" s="62"/>
      <c r="T609" s="62"/>
      <c r="U609" s="62"/>
      <c r="V609" s="62"/>
      <c r="W609" s="62"/>
      <c r="X609" s="62"/>
      <c r="Y609" s="62"/>
      <c r="Z609" s="62"/>
      <c r="AA609" s="62"/>
    </row>
    <row r="610">
      <c r="A610" s="96"/>
      <c r="B610" s="98"/>
      <c r="C610" s="99"/>
      <c r="D610" s="99"/>
      <c r="E610" s="111"/>
      <c r="F610" s="97"/>
      <c r="G610" s="97"/>
      <c r="H610" s="101"/>
      <c r="I610" s="62"/>
      <c r="J610" s="62"/>
      <c r="K610" s="58"/>
      <c r="L610" s="102"/>
      <c r="M610" s="103"/>
      <c r="N610" s="62"/>
      <c r="O610" s="101"/>
      <c r="P610" s="58"/>
      <c r="Q610" s="112"/>
      <c r="R610" s="62"/>
      <c r="S610" s="62"/>
      <c r="T610" s="62"/>
      <c r="U610" s="62"/>
      <c r="V610" s="62"/>
      <c r="W610" s="62"/>
      <c r="X610" s="62"/>
      <c r="Y610" s="62"/>
      <c r="Z610" s="62"/>
      <c r="AA610" s="62"/>
    </row>
    <row r="611">
      <c r="A611" s="96"/>
      <c r="B611" s="98"/>
      <c r="C611" s="99"/>
      <c r="D611" s="99"/>
      <c r="E611" s="111"/>
      <c r="F611" s="97"/>
      <c r="G611" s="97"/>
      <c r="H611" s="101"/>
      <c r="I611" s="62"/>
      <c r="J611" s="62"/>
      <c r="K611" s="58"/>
      <c r="L611" s="102"/>
      <c r="M611" s="103"/>
      <c r="N611" s="62"/>
      <c r="O611" s="101"/>
      <c r="P611" s="58"/>
      <c r="Q611" s="112"/>
      <c r="R611" s="62"/>
      <c r="S611" s="62"/>
      <c r="T611" s="62"/>
      <c r="U611" s="62"/>
      <c r="V611" s="62"/>
      <c r="W611" s="62"/>
      <c r="X611" s="62"/>
      <c r="Y611" s="62"/>
      <c r="Z611" s="62"/>
      <c r="AA611" s="62"/>
    </row>
    <row r="612">
      <c r="A612" s="96"/>
      <c r="B612" s="98"/>
      <c r="C612" s="99"/>
      <c r="D612" s="99"/>
      <c r="E612" s="111"/>
      <c r="F612" s="97"/>
      <c r="G612" s="97"/>
      <c r="H612" s="101"/>
      <c r="I612" s="62"/>
      <c r="J612" s="62"/>
      <c r="K612" s="58"/>
      <c r="L612" s="102"/>
      <c r="M612" s="103"/>
      <c r="N612" s="62"/>
      <c r="O612" s="101"/>
      <c r="P612" s="58"/>
      <c r="Q612" s="62"/>
      <c r="R612" s="62"/>
      <c r="S612" s="62"/>
      <c r="T612" s="62"/>
      <c r="U612" s="62"/>
      <c r="V612" s="62"/>
      <c r="W612" s="62"/>
      <c r="X612" s="62"/>
      <c r="Y612" s="62"/>
      <c r="Z612" s="62"/>
      <c r="AA612" s="62"/>
    </row>
    <row r="613">
      <c r="A613" s="96"/>
      <c r="B613" s="98"/>
      <c r="C613" s="99"/>
      <c r="D613" s="99"/>
      <c r="E613" s="111"/>
      <c r="F613" s="97"/>
      <c r="G613" s="97"/>
      <c r="H613" s="101"/>
      <c r="I613" s="62"/>
      <c r="J613" s="62"/>
      <c r="K613" s="58"/>
      <c r="L613" s="102"/>
      <c r="M613" s="103"/>
      <c r="N613" s="62"/>
      <c r="O613" s="101"/>
      <c r="P613" s="58"/>
      <c r="Q613" s="112"/>
      <c r="R613" s="62"/>
      <c r="S613" s="62"/>
      <c r="T613" s="62"/>
      <c r="U613" s="62"/>
      <c r="V613" s="62"/>
      <c r="W613" s="62"/>
      <c r="X613" s="62"/>
      <c r="Y613" s="62"/>
      <c r="Z613" s="62"/>
      <c r="AA613" s="62"/>
    </row>
    <row r="614">
      <c r="A614" s="96"/>
      <c r="B614" s="98"/>
      <c r="C614" s="99"/>
      <c r="D614" s="99"/>
      <c r="E614" s="111"/>
      <c r="F614" s="97"/>
      <c r="G614" s="97"/>
      <c r="H614" s="101"/>
      <c r="I614" s="62"/>
      <c r="J614" s="62"/>
      <c r="K614" s="58"/>
      <c r="L614" s="102"/>
      <c r="M614" s="103"/>
      <c r="N614" s="62"/>
      <c r="O614" s="101"/>
      <c r="P614" s="58"/>
      <c r="Q614" s="11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</row>
    <row r="615">
      <c r="A615" s="96"/>
      <c r="B615" s="98"/>
      <c r="C615" s="99"/>
      <c r="D615" s="99"/>
      <c r="E615" s="111"/>
      <c r="F615" s="97"/>
      <c r="G615" s="97"/>
      <c r="H615" s="101"/>
      <c r="I615" s="62"/>
      <c r="J615" s="62"/>
      <c r="K615" s="58"/>
      <c r="L615" s="102"/>
      <c r="M615" s="103"/>
      <c r="N615" s="62"/>
      <c r="O615" s="101"/>
      <c r="P615" s="58"/>
      <c r="Q615" s="11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</row>
    <row r="616">
      <c r="A616" s="96"/>
      <c r="B616" s="98"/>
      <c r="C616" s="99"/>
      <c r="D616" s="99"/>
      <c r="E616" s="111"/>
      <c r="F616" s="97"/>
      <c r="G616" s="97"/>
      <c r="H616" s="101"/>
      <c r="I616" s="62"/>
      <c r="J616" s="62"/>
      <c r="K616" s="58"/>
      <c r="L616" s="102"/>
      <c r="M616" s="103"/>
      <c r="N616" s="62"/>
      <c r="O616" s="101"/>
      <c r="P616" s="58"/>
      <c r="Q616" s="112"/>
      <c r="R616" s="62"/>
      <c r="S616" s="62"/>
      <c r="T616" s="62"/>
      <c r="U616" s="62"/>
      <c r="V616" s="62"/>
      <c r="W616" s="62"/>
      <c r="X616" s="62"/>
      <c r="Y616" s="62"/>
      <c r="Z616" s="62"/>
      <c r="AA616" s="62"/>
    </row>
    <row r="617">
      <c r="A617" s="96"/>
      <c r="B617" s="98"/>
      <c r="C617" s="99"/>
      <c r="D617" s="99"/>
      <c r="E617" s="111"/>
      <c r="F617" s="97"/>
      <c r="G617" s="97"/>
      <c r="H617" s="101"/>
      <c r="I617" s="62"/>
      <c r="J617" s="62"/>
      <c r="K617" s="58"/>
      <c r="L617" s="102"/>
      <c r="M617" s="103"/>
      <c r="N617" s="62"/>
      <c r="O617" s="101"/>
      <c r="P617" s="58"/>
      <c r="Q617" s="11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</row>
    <row r="618">
      <c r="A618" s="96"/>
      <c r="B618" s="98"/>
      <c r="C618" s="99"/>
      <c r="D618" s="99"/>
      <c r="E618" s="111"/>
      <c r="F618" s="97"/>
      <c r="G618" s="97"/>
      <c r="H618" s="101"/>
      <c r="I618" s="58"/>
      <c r="J618" s="62"/>
      <c r="K618" s="58"/>
      <c r="L618" s="102"/>
      <c r="M618" s="103"/>
      <c r="N618" s="62"/>
      <c r="O618" s="101"/>
      <c r="P618" s="58"/>
      <c r="Q618" s="112"/>
      <c r="R618" s="58"/>
      <c r="S618" s="62"/>
      <c r="T618" s="62"/>
      <c r="U618" s="62"/>
      <c r="V618" s="62"/>
      <c r="W618" s="62"/>
      <c r="X618" s="62"/>
      <c r="Y618" s="62"/>
      <c r="Z618" s="62"/>
      <c r="AA618" s="62"/>
    </row>
    <row r="619">
      <c r="A619" s="96"/>
      <c r="B619" s="98"/>
      <c r="C619" s="99"/>
      <c r="D619" s="99"/>
      <c r="E619" s="111"/>
      <c r="F619" s="97"/>
      <c r="G619" s="97"/>
      <c r="H619" s="101"/>
      <c r="I619" s="62"/>
      <c r="J619" s="62"/>
      <c r="K619" s="58"/>
      <c r="L619" s="102"/>
      <c r="M619" s="103"/>
      <c r="N619" s="62"/>
      <c r="O619" s="101"/>
      <c r="P619" s="58"/>
      <c r="Q619" s="11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</row>
    <row r="620">
      <c r="A620" s="96"/>
      <c r="B620" s="98"/>
      <c r="C620" s="99"/>
      <c r="D620" s="99"/>
      <c r="E620" s="111"/>
      <c r="F620" s="97"/>
      <c r="G620" s="97"/>
      <c r="H620" s="101"/>
      <c r="I620" s="62"/>
      <c r="J620" s="62"/>
      <c r="K620" s="58"/>
      <c r="L620" s="102"/>
      <c r="M620" s="103"/>
      <c r="N620" s="62"/>
      <c r="O620" s="101"/>
      <c r="P620" s="58"/>
      <c r="Q620" s="11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</row>
    <row r="621">
      <c r="A621" s="96"/>
      <c r="B621" s="98"/>
      <c r="C621" s="99"/>
      <c r="D621" s="99"/>
      <c r="E621" s="111"/>
      <c r="F621" s="97"/>
      <c r="G621" s="97"/>
      <c r="H621" s="101"/>
      <c r="I621" s="62"/>
      <c r="J621" s="62"/>
      <c r="K621" s="58"/>
      <c r="L621" s="102"/>
      <c r="M621" s="103"/>
      <c r="N621" s="62"/>
      <c r="O621" s="101"/>
      <c r="P621" s="58"/>
      <c r="Q621" s="11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</row>
    <row r="622">
      <c r="A622" s="96"/>
      <c r="B622" s="98"/>
      <c r="C622" s="99"/>
      <c r="D622" s="99"/>
      <c r="E622" s="111"/>
      <c r="F622" s="97"/>
      <c r="G622" s="97"/>
      <c r="H622" s="101"/>
      <c r="I622" s="62"/>
      <c r="J622" s="62"/>
      <c r="K622" s="58"/>
      <c r="L622" s="102"/>
      <c r="M622" s="103"/>
      <c r="N622" s="62"/>
      <c r="O622" s="101"/>
      <c r="P622" s="58"/>
      <c r="Q622" s="11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</row>
    <row r="623">
      <c r="A623" s="96"/>
      <c r="B623" s="98"/>
      <c r="C623" s="99"/>
      <c r="D623" s="99"/>
      <c r="E623" s="111"/>
      <c r="F623" s="97"/>
      <c r="G623" s="97"/>
      <c r="H623" s="101"/>
      <c r="I623" s="62"/>
      <c r="J623" s="62"/>
      <c r="K623" s="58"/>
      <c r="L623" s="102"/>
      <c r="M623" s="103"/>
      <c r="N623" s="62"/>
      <c r="O623" s="101"/>
      <c r="P623" s="58"/>
      <c r="Q623" s="11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</row>
    <row r="624">
      <c r="A624" s="96"/>
      <c r="B624" s="98"/>
      <c r="C624" s="99"/>
      <c r="D624" s="99"/>
      <c r="E624" s="111"/>
      <c r="F624" s="97"/>
      <c r="G624" s="97"/>
      <c r="H624" s="101"/>
      <c r="I624" s="62"/>
      <c r="J624" s="62"/>
      <c r="K624" s="58"/>
      <c r="L624" s="102"/>
      <c r="M624" s="103"/>
      <c r="N624" s="62"/>
      <c r="O624" s="101"/>
      <c r="P624" s="58"/>
      <c r="Q624" s="11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</row>
    <row r="625">
      <c r="A625" s="96"/>
      <c r="B625" s="98"/>
      <c r="C625" s="99"/>
      <c r="D625" s="99"/>
      <c r="E625" s="111"/>
      <c r="F625" s="97"/>
      <c r="G625" s="97"/>
      <c r="H625" s="101"/>
      <c r="I625" s="62"/>
      <c r="J625" s="62"/>
      <c r="K625" s="58"/>
      <c r="L625" s="102"/>
      <c r="M625" s="103"/>
      <c r="N625" s="62"/>
      <c r="O625" s="101"/>
      <c r="P625" s="58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</row>
    <row r="626">
      <c r="A626" s="96"/>
      <c r="B626" s="98"/>
      <c r="C626" s="99"/>
      <c r="D626" s="99"/>
      <c r="E626" s="111"/>
      <c r="F626" s="97"/>
      <c r="G626" s="97"/>
      <c r="H626" s="101"/>
      <c r="I626" s="62"/>
      <c r="J626" s="62"/>
      <c r="K626" s="58"/>
      <c r="L626" s="102"/>
      <c r="M626" s="103"/>
      <c r="N626" s="62"/>
      <c r="O626" s="101"/>
      <c r="P626" s="58"/>
      <c r="Q626" s="58"/>
      <c r="R626" s="62"/>
      <c r="S626" s="62"/>
      <c r="T626" s="62"/>
      <c r="U626" s="62"/>
      <c r="V626" s="62"/>
      <c r="W626" s="62"/>
      <c r="X626" s="62"/>
      <c r="Y626" s="62"/>
      <c r="Z626" s="62"/>
      <c r="AA626" s="62"/>
    </row>
    <row r="627">
      <c r="A627" s="96"/>
      <c r="B627" s="98"/>
      <c r="C627" s="99"/>
      <c r="D627" s="99"/>
      <c r="E627" s="111"/>
      <c r="F627" s="97"/>
      <c r="G627" s="97"/>
      <c r="H627" s="101"/>
      <c r="I627" s="62"/>
      <c r="J627" s="62"/>
      <c r="K627" s="58"/>
      <c r="L627" s="102"/>
      <c r="M627" s="103"/>
      <c r="N627" s="62"/>
      <c r="O627" s="101"/>
      <c r="P627" s="58"/>
      <c r="Q627" s="58"/>
      <c r="R627" s="62"/>
      <c r="S627" s="62"/>
      <c r="T627" s="62"/>
      <c r="U627" s="62"/>
      <c r="V627" s="62"/>
      <c r="W627" s="62"/>
      <c r="X627" s="62"/>
      <c r="Y627" s="62"/>
      <c r="Z627" s="62"/>
      <c r="AA627" s="62"/>
    </row>
    <row r="628">
      <c r="A628" s="96"/>
      <c r="B628" s="98"/>
      <c r="C628" s="99"/>
      <c r="D628" s="99"/>
      <c r="E628" s="111"/>
      <c r="F628" s="97"/>
      <c r="G628" s="97"/>
      <c r="H628" s="101"/>
      <c r="I628" s="62"/>
      <c r="J628" s="62"/>
      <c r="K628" s="58"/>
      <c r="L628" s="102"/>
      <c r="M628" s="103"/>
      <c r="N628" s="62"/>
      <c r="O628" s="101"/>
      <c r="P628" s="58"/>
      <c r="Q628" s="58"/>
      <c r="R628" s="62"/>
      <c r="S628" s="62"/>
      <c r="T628" s="62"/>
      <c r="U628" s="62"/>
      <c r="V628" s="62"/>
      <c r="W628" s="62"/>
      <c r="X628" s="62"/>
      <c r="Y628" s="62"/>
      <c r="Z628" s="62"/>
      <c r="AA628" s="62"/>
    </row>
    <row r="629">
      <c r="A629" s="96"/>
      <c r="B629" s="98"/>
      <c r="C629" s="99"/>
      <c r="D629" s="99"/>
      <c r="E629" s="111"/>
      <c r="F629" s="97"/>
      <c r="G629" s="97"/>
      <c r="H629" s="101"/>
      <c r="I629" s="62"/>
      <c r="J629" s="62"/>
      <c r="K629" s="58"/>
      <c r="L629" s="102"/>
      <c r="M629" s="103"/>
      <c r="N629" s="62"/>
      <c r="O629" s="101"/>
      <c r="P629" s="58"/>
      <c r="Q629" s="58"/>
      <c r="R629" s="62"/>
      <c r="S629" s="62"/>
      <c r="T629" s="62"/>
      <c r="U629" s="62"/>
      <c r="V629" s="62"/>
      <c r="W629" s="62"/>
      <c r="X629" s="62"/>
      <c r="Y629" s="62"/>
      <c r="Z629" s="62"/>
      <c r="AA629" s="62"/>
    </row>
    <row r="630">
      <c r="A630" s="96"/>
      <c r="B630" s="98"/>
      <c r="C630" s="99"/>
      <c r="D630" s="99"/>
      <c r="E630" s="111"/>
      <c r="F630" s="97"/>
      <c r="G630" s="97"/>
      <c r="H630" s="101"/>
      <c r="I630" s="62"/>
      <c r="J630" s="62"/>
      <c r="K630" s="58"/>
      <c r="L630" s="102"/>
      <c r="M630" s="103"/>
      <c r="N630" s="62"/>
      <c r="O630" s="101"/>
      <c r="P630" s="58"/>
      <c r="Q630" s="62"/>
      <c r="R630" s="62"/>
      <c r="S630" s="62"/>
      <c r="T630" s="62"/>
      <c r="U630" s="62"/>
      <c r="V630" s="62"/>
      <c r="W630" s="62"/>
      <c r="X630" s="62"/>
      <c r="Y630" s="62"/>
      <c r="Z630" s="62"/>
      <c r="AA630" s="62"/>
    </row>
    <row r="631">
      <c r="A631" s="96"/>
      <c r="B631" s="98"/>
      <c r="C631" s="99"/>
      <c r="D631" s="99"/>
      <c r="E631" s="111"/>
      <c r="F631" s="97"/>
      <c r="G631" s="97"/>
      <c r="H631" s="101"/>
      <c r="I631" s="62"/>
      <c r="J631" s="62"/>
      <c r="K631" s="58"/>
      <c r="L631" s="102"/>
      <c r="M631" s="103"/>
      <c r="N631" s="62"/>
      <c r="O631" s="101"/>
      <c r="P631" s="58"/>
      <c r="Q631" s="62"/>
      <c r="R631" s="62"/>
      <c r="S631" s="62"/>
      <c r="T631" s="62"/>
      <c r="U631" s="62"/>
      <c r="V631" s="62"/>
      <c r="W631" s="62"/>
      <c r="X631" s="62"/>
      <c r="Y631" s="62"/>
      <c r="Z631" s="62"/>
      <c r="AA631" s="62"/>
    </row>
    <row r="632">
      <c r="A632" s="96"/>
      <c r="B632" s="98"/>
      <c r="C632" s="99"/>
      <c r="D632" s="99"/>
      <c r="E632" s="111"/>
      <c r="F632" s="97"/>
      <c r="G632" s="97"/>
      <c r="H632" s="101"/>
      <c r="I632" s="62"/>
      <c r="J632" s="62"/>
      <c r="K632" s="58"/>
      <c r="L632" s="102"/>
      <c r="M632" s="103"/>
      <c r="N632" s="62"/>
      <c r="O632" s="101"/>
      <c r="P632" s="58"/>
      <c r="Q632" s="62"/>
      <c r="R632" s="62"/>
      <c r="S632" s="62"/>
      <c r="T632" s="62"/>
      <c r="U632" s="62"/>
      <c r="V632" s="62"/>
      <c r="W632" s="62"/>
      <c r="X632" s="62"/>
      <c r="Y632" s="62"/>
      <c r="Z632" s="62"/>
      <c r="AA632" s="62"/>
    </row>
    <row r="633">
      <c r="A633" s="96"/>
      <c r="B633" s="98"/>
      <c r="C633" s="99"/>
      <c r="D633" s="99"/>
      <c r="E633" s="111"/>
      <c r="F633" s="97"/>
      <c r="G633" s="97"/>
      <c r="H633" s="101"/>
      <c r="I633" s="62"/>
      <c r="J633" s="62"/>
      <c r="K633" s="58"/>
      <c r="L633" s="102"/>
      <c r="M633" s="103"/>
      <c r="N633" s="62"/>
      <c r="O633" s="101"/>
      <c r="P633" s="58"/>
      <c r="Q633" s="62"/>
      <c r="R633" s="62"/>
      <c r="S633" s="62"/>
      <c r="T633" s="62"/>
      <c r="U633" s="62"/>
      <c r="V633" s="62"/>
      <c r="W633" s="62"/>
      <c r="X633" s="62"/>
      <c r="Y633" s="62"/>
      <c r="Z633" s="62"/>
      <c r="AA633" s="62"/>
    </row>
    <row r="634">
      <c r="A634" s="96"/>
      <c r="B634" s="98"/>
      <c r="C634" s="99"/>
      <c r="D634" s="99"/>
      <c r="E634" s="111"/>
      <c r="F634" s="97"/>
      <c r="G634" s="97"/>
      <c r="H634" s="101"/>
      <c r="I634" s="62"/>
      <c r="J634" s="62"/>
      <c r="K634" s="58"/>
      <c r="L634" s="102"/>
      <c r="M634" s="103"/>
      <c r="N634" s="62"/>
      <c r="O634" s="101"/>
      <c r="P634" s="58"/>
      <c r="Q634" s="62"/>
      <c r="R634" s="62"/>
      <c r="S634" s="62"/>
      <c r="T634" s="62"/>
      <c r="U634" s="62"/>
      <c r="V634" s="62"/>
      <c r="W634" s="62"/>
      <c r="X634" s="62"/>
      <c r="Y634" s="62"/>
      <c r="Z634" s="62"/>
      <c r="AA634" s="62"/>
    </row>
    <row r="635">
      <c r="A635" s="96"/>
      <c r="B635" s="98"/>
      <c r="C635" s="99"/>
      <c r="D635" s="99"/>
      <c r="E635" s="111"/>
      <c r="F635" s="97"/>
      <c r="G635" s="97"/>
      <c r="H635" s="101"/>
      <c r="I635" s="62"/>
      <c r="J635" s="62"/>
      <c r="K635" s="58"/>
      <c r="L635" s="102"/>
      <c r="M635" s="103"/>
      <c r="N635" s="62"/>
      <c r="O635" s="101"/>
      <c r="P635" s="58"/>
      <c r="Q635" s="62"/>
      <c r="R635" s="62"/>
      <c r="S635" s="62"/>
      <c r="T635" s="62"/>
      <c r="U635" s="62"/>
      <c r="V635" s="62"/>
      <c r="W635" s="62"/>
      <c r="X635" s="62"/>
      <c r="Y635" s="62"/>
      <c r="Z635" s="62"/>
      <c r="AA635" s="62"/>
    </row>
    <row r="636">
      <c r="A636" s="96"/>
      <c r="B636" s="98"/>
      <c r="C636" s="99"/>
      <c r="D636" s="99"/>
      <c r="E636" s="111"/>
      <c r="F636" s="97"/>
      <c r="G636" s="97"/>
      <c r="H636" s="101"/>
      <c r="I636" s="62"/>
      <c r="J636" s="62"/>
      <c r="K636" s="58"/>
      <c r="L636" s="102"/>
      <c r="M636" s="103"/>
      <c r="N636" s="62"/>
      <c r="O636" s="101"/>
      <c r="P636" s="58"/>
      <c r="Q636" s="62"/>
      <c r="R636" s="62"/>
      <c r="S636" s="62"/>
      <c r="T636" s="62"/>
      <c r="U636" s="62"/>
      <c r="V636" s="62"/>
      <c r="W636" s="62"/>
      <c r="X636" s="62"/>
      <c r="Y636" s="62"/>
      <c r="Z636" s="62"/>
      <c r="AA636" s="62"/>
    </row>
    <row r="637">
      <c r="A637" s="96"/>
      <c r="B637" s="98"/>
      <c r="C637" s="99"/>
      <c r="D637" s="99"/>
      <c r="E637" s="111"/>
      <c r="F637" s="97"/>
      <c r="G637" s="97"/>
      <c r="H637" s="101"/>
      <c r="I637" s="62"/>
      <c r="J637" s="62"/>
      <c r="K637" s="58"/>
      <c r="L637" s="102"/>
      <c r="M637" s="103"/>
      <c r="N637" s="62"/>
      <c r="O637" s="101"/>
      <c r="P637" s="58"/>
      <c r="Q637" s="62"/>
      <c r="R637" s="62"/>
      <c r="S637" s="62"/>
      <c r="T637" s="62"/>
      <c r="U637" s="62"/>
      <c r="V637" s="62"/>
      <c r="W637" s="62"/>
      <c r="X637" s="62"/>
      <c r="Y637" s="62"/>
      <c r="Z637" s="62"/>
      <c r="AA637" s="62"/>
    </row>
    <row r="638">
      <c r="A638" s="96"/>
      <c r="B638" s="98"/>
      <c r="C638" s="99"/>
      <c r="D638" s="99"/>
      <c r="E638" s="111"/>
      <c r="F638" s="97"/>
      <c r="G638" s="97"/>
      <c r="H638" s="101"/>
      <c r="I638" s="62"/>
      <c r="J638" s="62"/>
      <c r="K638" s="58"/>
      <c r="L638" s="102"/>
      <c r="M638" s="103"/>
      <c r="N638" s="62"/>
      <c r="O638" s="101"/>
      <c r="P638" s="58"/>
      <c r="Q638" s="62"/>
      <c r="R638" s="62"/>
      <c r="S638" s="62"/>
      <c r="T638" s="62"/>
      <c r="U638" s="62"/>
      <c r="V638" s="62"/>
      <c r="W638" s="62"/>
      <c r="X638" s="62"/>
      <c r="Y638" s="62"/>
      <c r="Z638" s="62"/>
      <c r="AA638" s="62"/>
    </row>
    <row r="639">
      <c r="A639" s="96"/>
      <c r="B639" s="98"/>
      <c r="C639" s="99"/>
      <c r="D639" s="99"/>
      <c r="E639" s="111"/>
      <c r="F639" s="97"/>
      <c r="G639" s="97"/>
      <c r="H639" s="101"/>
      <c r="I639" s="62"/>
      <c r="J639" s="62"/>
      <c r="K639" s="58"/>
      <c r="L639" s="102"/>
      <c r="M639" s="103"/>
      <c r="N639" s="62"/>
      <c r="O639" s="101"/>
      <c r="P639" s="58"/>
      <c r="Q639" s="62"/>
      <c r="R639" s="62"/>
      <c r="S639" s="62"/>
      <c r="T639" s="62"/>
      <c r="U639" s="62"/>
      <c r="V639" s="62"/>
      <c r="W639" s="62"/>
      <c r="X639" s="62"/>
      <c r="Y639" s="62"/>
      <c r="Z639" s="62"/>
      <c r="AA639" s="62"/>
    </row>
    <row r="640">
      <c r="A640" s="96"/>
      <c r="B640" s="98"/>
      <c r="C640" s="99"/>
      <c r="D640" s="99"/>
      <c r="E640" s="111"/>
      <c r="F640" s="97"/>
      <c r="G640" s="97"/>
      <c r="H640" s="101"/>
      <c r="I640" s="62"/>
      <c r="J640" s="62"/>
      <c r="K640" s="58"/>
      <c r="L640" s="102"/>
      <c r="M640" s="103"/>
      <c r="N640" s="62"/>
      <c r="O640" s="101"/>
      <c r="P640" s="58"/>
      <c r="Q640" s="62"/>
      <c r="R640" s="62"/>
      <c r="S640" s="62"/>
      <c r="T640" s="62"/>
      <c r="U640" s="62"/>
      <c r="V640" s="62"/>
      <c r="W640" s="62"/>
      <c r="X640" s="62"/>
      <c r="Y640" s="62"/>
      <c r="Z640" s="62"/>
      <c r="AA640" s="62"/>
    </row>
    <row r="641">
      <c r="A641" s="96"/>
      <c r="B641" s="98"/>
      <c r="C641" s="99"/>
      <c r="D641" s="99"/>
      <c r="E641" s="111"/>
      <c r="F641" s="97"/>
      <c r="G641" s="97"/>
      <c r="H641" s="101"/>
      <c r="I641" s="62"/>
      <c r="J641" s="62"/>
      <c r="K641" s="58"/>
      <c r="L641" s="102"/>
      <c r="M641" s="103"/>
      <c r="N641" s="62"/>
      <c r="O641" s="101"/>
      <c r="P641" s="58"/>
      <c r="Q641" s="62"/>
      <c r="R641" s="62"/>
      <c r="S641" s="62"/>
      <c r="T641" s="62"/>
      <c r="U641" s="62"/>
      <c r="V641" s="62"/>
      <c r="W641" s="62"/>
      <c r="X641" s="62"/>
      <c r="Y641" s="62"/>
      <c r="Z641" s="62"/>
      <c r="AA641" s="62"/>
    </row>
    <row r="642">
      <c r="A642" s="96"/>
      <c r="B642" s="98"/>
      <c r="C642" s="99"/>
      <c r="D642" s="99"/>
      <c r="E642" s="111"/>
      <c r="F642" s="97"/>
      <c r="G642" s="97"/>
      <c r="H642" s="101"/>
      <c r="I642" s="62"/>
      <c r="J642" s="62"/>
      <c r="K642" s="58"/>
      <c r="L642" s="102"/>
      <c r="M642" s="103"/>
      <c r="N642" s="62"/>
      <c r="O642" s="101"/>
      <c r="P642" s="58"/>
      <c r="Q642" s="62"/>
      <c r="R642" s="62"/>
      <c r="S642" s="62"/>
      <c r="T642" s="62"/>
      <c r="U642" s="62"/>
      <c r="V642" s="62"/>
      <c r="W642" s="62"/>
      <c r="X642" s="62"/>
      <c r="Y642" s="62"/>
      <c r="Z642" s="62"/>
      <c r="AA642" s="62"/>
    </row>
    <row r="643">
      <c r="A643" s="96"/>
      <c r="B643" s="98"/>
      <c r="C643" s="99"/>
      <c r="D643" s="99"/>
      <c r="E643" s="111"/>
      <c r="F643" s="97"/>
      <c r="G643" s="97"/>
      <c r="H643" s="101"/>
      <c r="I643" s="58"/>
      <c r="J643" s="62"/>
      <c r="K643" s="58"/>
      <c r="L643" s="102"/>
      <c r="M643" s="103"/>
      <c r="N643" s="62"/>
      <c r="O643" s="101"/>
      <c r="P643" s="58"/>
      <c r="Q643" s="58"/>
      <c r="R643" s="58"/>
      <c r="S643" s="62"/>
      <c r="T643" s="62"/>
      <c r="U643" s="62"/>
      <c r="V643" s="62"/>
      <c r="W643" s="62"/>
      <c r="X643" s="62"/>
      <c r="Y643" s="62"/>
      <c r="Z643" s="62"/>
      <c r="AA643" s="62"/>
    </row>
    <row r="644">
      <c r="A644" s="96"/>
      <c r="B644" s="98"/>
      <c r="C644" s="99"/>
      <c r="D644" s="99"/>
      <c r="E644" s="111"/>
      <c r="F644" s="97"/>
      <c r="G644" s="97"/>
      <c r="H644" s="101"/>
      <c r="I644" s="62"/>
      <c r="J644" s="62"/>
      <c r="K644" s="58"/>
      <c r="L644" s="102"/>
      <c r="M644" s="103"/>
      <c r="N644" s="62"/>
      <c r="O644" s="101"/>
      <c r="P644" s="58"/>
      <c r="Q644" s="62"/>
      <c r="R644" s="62"/>
      <c r="S644" s="62"/>
      <c r="T644" s="62"/>
      <c r="U644" s="62"/>
      <c r="V644" s="62"/>
      <c r="W644" s="62"/>
      <c r="X644" s="62"/>
      <c r="Y644" s="62"/>
      <c r="Z644" s="62"/>
      <c r="AA644" s="62"/>
    </row>
    <row r="645">
      <c r="A645" s="96"/>
      <c r="B645" s="98"/>
      <c r="C645" s="99"/>
      <c r="D645" s="99"/>
      <c r="E645" s="111"/>
      <c r="F645" s="97"/>
      <c r="G645" s="97"/>
      <c r="H645" s="101"/>
      <c r="I645" s="62"/>
      <c r="J645" s="62"/>
      <c r="K645" s="58"/>
      <c r="L645" s="102"/>
      <c r="M645" s="103"/>
      <c r="N645" s="62"/>
      <c r="O645" s="101"/>
      <c r="P645" s="58"/>
      <c r="Q645" s="62"/>
      <c r="R645" s="62"/>
      <c r="S645" s="62"/>
      <c r="T645" s="62"/>
      <c r="U645" s="62"/>
      <c r="V645" s="62"/>
      <c r="W645" s="62"/>
      <c r="X645" s="62"/>
      <c r="Y645" s="62"/>
      <c r="Z645" s="62"/>
      <c r="AA645" s="62"/>
    </row>
    <row r="646">
      <c r="A646" s="96"/>
      <c r="B646" s="98"/>
      <c r="C646" s="99"/>
      <c r="D646" s="99"/>
      <c r="E646" s="111"/>
      <c r="F646" s="97"/>
      <c r="G646" s="97"/>
      <c r="H646" s="101"/>
      <c r="I646" s="62"/>
      <c r="J646" s="62"/>
      <c r="K646" s="58"/>
      <c r="L646" s="102"/>
      <c r="M646" s="103"/>
      <c r="N646" s="62"/>
      <c r="O646" s="101"/>
      <c r="P646" s="58"/>
      <c r="Q646" s="62"/>
      <c r="R646" s="62"/>
      <c r="S646" s="62"/>
      <c r="T646" s="62"/>
      <c r="U646" s="62"/>
      <c r="V646" s="62"/>
      <c r="W646" s="62"/>
      <c r="X646" s="62"/>
      <c r="Y646" s="62"/>
      <c r="Z646" s="62"/>
      <c r="AA646" s="62"/>
    </row>
    <row r="647">
      <c r="A647" s="96"/>
      <c r="B647" s="98"/>
      <c r="C647" s="99"/>
      <c r="D647" s="99"/>
      <c r="E647" s="111"/>
      <c r="F647" s="97"/>
      <c r="G647" s="97"/>
      <c r="H647" s="101"/>
      <c r="I647" s="62"/>
      <c r="J647" s="62"/>
      <c r="K647" s="58"/>
      <c r="L647" s="102"/>
      <c r="M647" s="103"/>
      <c r="N647" s="62"/>
      <c r="O647" s="101"/>
      <c r="P647" s="58"/>
      <c r="Q647" s="62"/>
      <c r="R647" s="62"/>
      <c r="S647" s="62"/>
      <c r="T647" s="62"/>
      <c r="U647" s="62"/>
      <c r="V647" s="62"/>
      <c r="W647" s="62"/>
      <c r="X647" s="62"/>
      <c r="Y647" s="62"/>
      <c r="Z647" s="62"/>
      <c r="AA647" s="62"/>
    </row>
    <row r="648">
      <c r="A648" s="96"/>
      <c r="B648" s="98"/>
      <c r="C648" s="99"/>
      <c r="D648" s="99"/>
      <c r="E648" s="111"/>
      <c r="F648" s="97"/>
      <c r="G648" s="97"/>
      <c r="H648" s="101"/>
      <c r="I648" s="62"/>
      <c r="J648" s="62"/>
      <c r="K648" s="58"/>
      <c r="L648" s="102"/>
      <c r="M648" s="103"/>
      <c r="N648" s="62"/>
      <c r="O648" s="101"/>
      <c r="P648" s="58"/>
      <c r="Q648" s="62"/>
      <c r="R648" s="62"/>
      <c r="S648" s="62"/>
      <c r="T648" s="62"/>
      <c r="U648" s="62"/>
      <c r="V648" s="62"/>
      <c r="W648" s="62"/>
      <c r="X648" s="62"/>
      <c r="Y648" s="62"/>
      <c r="Z648" s="62"/>
      <c r="AA648" s="62"/>
    </row>
    <row r="649">
      <c r="A649" s="96"/>
      <c r="B649" s="98"/>
      <c r="C649" s="99"/>
      <c r="D649" s="99"/>
      <c r="E649" s="111"/>
      <c r="F649" s="97"/>
      <c r="G649" s="97"/>
      <c r="H649" s="101"/>
      <c r="I649" s="62"/>
      <c r="J649" s="62"/>
      <c r="K649" s="58"/>
      <c r="L649" s="102"/>
      <c r="M649" s="103"/>
      <c r="N649" s="62"/>
      <c r="O649" s="101"/>
      <c r="P649" s="58"/>
      <c r="Q649" s="62"/>
      <c r="R649" s="62"/>
      <c r="S649" s="62"/>
      <c r="T649" s="62"/>
      <c r="U649" s="62"/>
      <c r="V649" s="62"/>
      <c r="W649" s="62"/>
      <c r="X649" s="62"/>
      <c r="Y649" s="62"/>
      <c r="Z649" s="62"/>
      <c r="AA649" s="62"/>
    </row>
    <row r="650">
      <c r="A650" s="96"/>
      <c r="B650" s="98"/>
      <c r="C650" s="99"/>
      <c r="D650" s="99"/>
      <c r="E650" s="111"/>
      <c r="F650" s="97"/>
      <c r="G650" s="97"/>
      <c r="H650" s="101"/>
      <c r="I650" s="62"/>
      <c r="J650" s="62"/>
      <c r="K650" s="58"/>
      <c r="L650" s="102"/>
      <c r="M650" s="103"/>
      <c r="N650" s="62"/>
      <c r="O650" s="101"/>
      <c r="P650" s="58"/>
      <c r="Q650" s="62"/>
      <c r="R650" s="62"/>
      <c r="S650" s="62"/>
      <c r="T650" s="62"/>
      <c r="U650" s="62"/>
      <c r="V650" s="62"/>
      <c r="W650" s="62"/>
      <c r="X650" s="62"/>
      <c r="Y650" s="62"/>
      <c r="Z650" s="62"/>
      <c r="AA650" s="62"/>
    </row>
    <row r="651">
      <c r="A651" s="96"/>
      <c r="B651" s="98"/>
      <c r="C651" s="99"/>
      <c r="D651" s="99"/>
      <c r="E651" s="111"/>
      <c r="F651" s="97"/>
      <c r="G651" s="97"/>
      <c r="H651" s="101"/>
      <c r="I651" s="62"/>
      <c r="J651" s="62"/>
      <c r="K651" s="58"/>
      <c r="L651" s="102"/>
      <c r="M651" s="103"/>
      <c r="N651" s="62"/>
      <c r="O651" s="101"/>
      <c r="P651" s="58"/>
      <c r="Q651" s="62"/>
      <c r="R651" s="62"/>
      <c r="S651" s="62"/>
      <c r="T651" s="62"/>
      <c r="U651" s="62"/>
      <c r="V651" s="62"/>
      <c r="W651" s="62"/>
      <c r="X651" s="62"/>
      <c r="Y651" s="62"/>
      <c r="Z651" s="62"/>
      <c r="AA651" s="62"/>
    </row>
    <row r="652">
      <c r="A652" s="96"/>
      <c r="B652" s="98"/>
      <c r="C652" s="99"/>
      <c r="D652" s="99"/>
      <c r="E652" s="111"/>
      <c r="F652" s="97"/>
      <c r="G652" s="97"/>
      <c r="H652" s="101"/>
      <c r="I652" s="62"/>
      <c r="J652" s="62"/>
      <c r="K652" s="58"/>
      <c r="L652" s="102"/>
      <c r="M652" s="103"/>
      <c r="N652" s="62"/>
      <c r="O652" s="101"/>
      <c r="P652" s="58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</row>
    <row r="653">
      <c r="A653" s="96"/>
      <c r="B653" s="98"/>
      <c r="C653" s="99"/>
      <c r="D653" s="99"/>
      <c r="E653" s="111"/>
      <c r="F653" s="97"/>
      <c r="G653" s="97"/>
      <c r="H653" s="101"/>
      <c r="I653" s="62"/>
      <c r="J653" s="62"/>
      <c r="K653" s="58"/>
      <c r="L653" s="102"/>
      <c r="M653" s="103"/>
      <c r="N653" s="62"/>
      <c r="O653" s="101"/>
      <c r="P653" s="58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</row>
    <row r="654">
      <c r="A654" s="96"/>
      <c r="B654" s="98"/>
      <c r="C654" s="99"/>
      <c r="D654" s="99"/>
      <c r="E654" s="111"/>
      <c r="F654" s="97"/>
      <c r="G654" s="97"/>
      <c r="H654" s="101"/>
      <c r="I654" s="62"/>
      <c r="J654" s="62"/>
      <c r="K654" s="58"/>
      <c r="L654" s="102"/>
      <c r="M654" s="103"/>
      <c r="N654" s="62"/>
      <c r="O654" s="101"/>
      <c r="P654" s="58"/>
      <c r="Q654" s="62"/>
      <c r="R654" s="62"/>
      <c r="S654" s="62"/>
      <c r="T654" s="62"/>
      <c r="U654" s="62"/>
      <c r="V654" s="62"/>
      <c r="W654" s="62"/>
      <c r="X654" s="62"/>
      <c r="Y654" s="62"/>
      <c r="Z654" s="62"/>
      <c r="AA654" s="62"/>
    </row>
    <row r="655">
      <c r="A655" s="96"/>
      <c r="B655" s="98"/>
      <c r="C655" s="99"/>
      <c r="D655" s="99"/>
      <c r="E655" s="111"/>
      <c r="F655" s="97"/>
      <c r="G655" s="97"/>
      <c r="H655" s="101"/>
      <c r="I655" s="62"/>
      <c r="J655" s="62"/>
      <c r="K655" s="58"/>
      <c r="L655" s="102"/>
      <c r="M655" s="103"/>
      <c r="N655" s="62"/>
      <c r="O655" s="101"/>
      <c r="P655" s="58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</row>
    <row r="656">
      <c r="A656" s="96"/>
      <c r="B656" s="98"/>
      <c r="C656" s="99"/>
      <c r="D656" s="99"/>
      <c r="E656" s="111"/>
      <c r="F656" s="97"/>
      <c r="G656" s="97"/>
      <c r="H656" s="101"/>
      <c r="I656" s="62"/>
      <c r="J656" s="62"/>
      <c r="K656" s="58"/>
      <c r="L656" s="102"/>
      <c r="M656" s="103"/>
      <c r="N656" s="62"/>
      <c r="O656" s="101"/>
      <c r="P656" s="58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</row>
    <row r="657">
      <c r="A657" s="96"/>
      <c r="B657" s="98"/>
      <c r="C657" s="99"/>
      <c r="D657" s="99"/>
      <c r="E657" s="111"/>
      <c r="F657" s="97"/>
      <c r="G657" s="97"/>
      <c r="H657" s="101"/>
      <c r="I657" s="62"/>
      <c r="J657" s="62"/>
      <c r="K657" s="58"/>
      <c r="L657" s="102"/>
      <c r="M657" s="103"/>
      <c r="N657" s="62"/>
      <c r="O657" s="101"/>
      <c r="P657" s="58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</row>
    <row r="658">
      <c r="A658" s="96"/>
      <c r="B658" s="98"/>
      <c r="C658" s="99"/>
      <c r="D658" s="99"/>
      <c r="E658" s="111"/>
      <c r="F658" s="97"/>
      <c r="G658" s="97"/>
      <c r="H658" s="101"/>
      <c r="I658" s="62"/>
      <c r="J658" s="62"/>
      <c r="K658" s="58"/>
      <c r="L658" s="102"/>
      <c r="M658" s="103"/>
      <c r="N658" s="62"/>
      <c r="O658" s="101"/>
      <c r="P658" s="58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</row>
    <row r="659">
      <c r="A659" s="96"/>
      <c r="B659" s="98"/>
      <c r="C659" s="99"/>
      <c r="D659" s="99"/>
      <c r="E659" s="111"/>
      <c r="F659" s="97"/>
      <c r="G659" s="97"/>
      <c r="H659" s="101"/>
      <c r="I659" s="62"/>
      <c r="J659" s="62"/>
      <c r="K659" s="58"/>
      <c r="L659" s="102"/>
      <c r="M659" s="103"/>
      <c r="N659" s="62"/>
      <c r="O659" s="101"/>
      <c r="P659" s="58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</row>
    <row r="660">
      <c r="A660" s="96"/>
      <c r="B660" s="98"/>
      <c r="C660" s="99"/>
      <c r="D660" s="99"/>
      <c r="E660" s="111"/>
      <c r="F660" s="97"/>
      <c r="G660" s="97"/>
      <c r="H660" s="101"/>
      <c r="I660" s="62"/>
      <c r="J660" s="62"/>
      <c r="K660" s="58"/>
      <c r="L660" s="102"/>
      <c r="M660" s="103"/>
      <c r="N660" s="62"/>
      <c r="O660" s="101"/>
      <c r="P660" s="58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</row>
    <row r="661">
      <c r="A661" s="96"/>
      <c r="B661" s="98"/>
      <c r="C661" s="99"/>
      <c r="D661" s="99"/>
      <c r="E661" s="111"/>
      <c r="F661" s="97"/>
      <c r="G661" s="97"/>
      <c r="H661" s="101"/>
      <c r="I661" s="62"/>
      <c r="J661" s="62"/>
      <c r="K661" s="58"/>
      <c r="L661" s="102"/>
      <c r="M661" s="103"/>
      <c r="N661" s="62"/>
      <c r="O661" s="101"/>
      <c r="P661" s="58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</row>
    <row r="662">
      <c r="A662" s="96"/>
      <c r="B662" s="98"/>
      <c r="C662" s="99"/>
      <c r="D662" s="99"/>
      <c r="E662" s="111"/>
      <c r="F662" s="97"/>
      <c r="G662" s="97"/>
      <c r="H662" s="101"/>
      <c r="I662" s="62"/>
      <c r="J662" s="62"/>
      <c r="K662" s="58"/>
      <c r="L662" s="102"/>
      <c r="M662" s="103"/>
      <c r="N662" s="62"/>
      <c r="O662" s="101"/>
      <c r="P662" s="58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</row>
    <row r="663">
      <c r="A663" s="96"/>
      <c r="B663" s="98"/>
      <c r="C663" s="99"/>
      <c r="D663" s="99"/>
      <c r="E663" s="111"/>
      <c r="F663" s="97"/>
      <c r="G663" s="97"/>
      <c r="H663" s="101"/>
      <c r="I663" s="62"/>
      <c r="J663" s="62"/>
      <c r="K663" s="58"/>
      <c r="L663" s="102"/>
      <c r="M663" s="103"/>
      <c r="N663" s="62"/>
      <c r="O663" s="101"/>
      <c r="P663" s="58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</row>
    <row r="664">
      <c r="A664" s="96"/>
      <c r="B664" s="98"/>
      <c r="C664" s="99"/>
      <c r="D664" s="99"/>
      <c r="E664" s="111"/>
      <c r="F664" s="97"/>
      <c r="G664" s="97"/>
      <c r="H664" s="101"/>
      <c r="I664" s="62"/>
      <c r="J664" s="62"/>
      <c r="K664" s="58"/>
      <c r="L664" s="102"/>
      <c r="M664" s="103"/>
      <c r="N664" s="62"/>
      <c r="O664" s="101"/>
      <c r="P664" s="58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</row>
    <row r="665">
      <c r="A665" s="96"/>
      <c r="B665" s="98"/>
      <c r="C665" s="99"/>
      <c r="D665" s="99"/>
      <c r="E665" s="111"/>
      <c r="F665" s="97"/>
      <c r="G665" s="97"/>
      <c r="H665" s="101"/>
      <c r="I665" s="62"/>
      <c r="J665" s="62"/>
      <c r="K665" s="58"/>
      <c r="L665" s="102"/>
      <c r="M665" s="103"/>
      <c r="N665" s="62"/>
      <c r="O665" s="101"/>
      <c r="P665" s="58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</row>
    <row r="666">
      <c r="A666" s="96"/>
      <c r="B666" s="98"/>
      <c r="C666" s="99"/>
      <c r="D666" s="99"/>
      <c r="E666" s="111"/>
      <c r="F666" s="97"/>
      <c r="G666" s="97"/>
      <c r="H666" s="101"/>
      <c r="I666" s="62"/>
      <c r="J666" s="62"/>
      <c r="K666" s="58"/>
      <c r="L666" s="102"/>
      <c r="M666" s="103"/>
      <c r="N666" s="62"/>
      <c r="O666" s="101"/>
      <c r="P666" s="58"/>
      <c r="Q666" s="62"/>
      <c r="R666" s="62"/>
      <c r="S666" s="62"/>
      <c r="T666" s="62"/>
      <c r="U666" s="62"/>
      <c r="V666" s="62"/>
      <c r="W666" s="62"/>
      <c r="X666" s="62"/>
      <c r="Y666" s="62"/>
      <c r="Z666" s="62"/>
      <c r="AA666" s="62"/>
    </row>
    <row r="667">
      <c r="A667" s="96"/>
      <c r="B667" s="98"/>
      <c r="C667" s="99"/>
      <c r="D667" s="99"/>
      <c r="E667" s="111"/>
      <c r="F667" s="97"/>
      <c r="G667" s="97"/>
      <c r="H667" s="101"/>
      <c r="I667" s="62"/>
      <c r="J667" s="62"/>
      <c r="K667" s="58"/>
      <c r="L667" s="102"/>
      <c r="M667" s="103"/>
      <c r="N667" s="62"/>
      <c r="O667" s="101"/>
      <c r="P667" s="58"/>
      <c r="Q667" s="62"/>
      <c r="R667" s="62"/>
      <c r="S667" s="62"/>
      <c r="T667" s="62"/>
      <c r="U667" s="62"/>
      <c r="V667" s="62"/>
      <c r="W667" s="62"/>
      <c r="X667" s="62"/>
      <c r="Y667" s="62"/>
      <c r="Z667" s="62"/>
      <c r="AA667" s="62"/>
    </row>
    <row r="668">
      <c r="A668" s="96"/>
      <c r="B668" s="98"/>
      <c r="C668" s="99"/>
      <c r="D668" s="99"/>
      <c r="E668" s="111"/>
      <c r="F668" s="97"/>
      <c r="G668" s="97"/>
      <c r="H668" s="101"/>
      <c r="I668" s="62"/>
      <c r="J668" s="62"/>
      <c r="K668" s="58"/>
      <c r="L668" s="102"/>
      <c r="M668" s="103"/>
      <c r="N668" s="62"/>
      <c r="O668" s="101"/>
      <c r="P668" s="58"/>
      <c r="Q668" s="62"/>
      <c r="R668" s="62"/>
      <c r="S668" s="62"/>
      <c r="T668" s="62"/>
      <c r="U668" s="62"/>
      <c r="V668" s="62"/>
      <c r="W668" s="62"/>
      <c r="X668" s="62"/>
      <c r="Y668" s="62"/>
      <c r="Z668" s="62"/>
      <c r="AA668" s="62"/>
    </row>
    <row r="669">
      <c r="A669" s="96"/>
      <c r="B669" s="98"/>
      <c r="C669" s="99"/>
      <c r="D669" s="99"/>
      <c r="E669" s="111"/>
      <c r="F669" s="97"/>
      <c r="G669" s="97"/>
      <c r="H669" s="101"/>
      <c r="I669" s="62"/>
      <c r="J669" s="62"/>
      <c r="K669" s="58"/>
      <c r="L669" s="102"/>
      <c r="M669" s="103"/>
      <c r="N669" s="62"/>
      <c r="O669" s="101"/>
      <c r="P669" s="58"/>
      <c r="Q669" s="62"/>
      <c r="R669" s="62"/>
      <c r="S669" s="62"/>
      <c r="T669" s="62"/>
      <c r="U669" s="62"/>
      <c r="V669" s="62"/>
      <c r="W669" s="62"/>
      <c r="X669" s="62"/>
      <c r="Y669" s="62"/>
      <c r="Z669" s="62"/>
      <c r="AA669" s="62"/>
    </row>
    <row r="670">
      <c r="A670" s="96"/>
      <c r="B670" s="98"/>
      <c r="C670" s="99"/>
      <c r="D670" s="99"/>
      <c r="E670" s="111"/>
      <c r="F670" s="97"/>
      <c r="G670" s="97"/>
      <c r="H670" s="101"/>
      <c r="I670" s="62"/>
      <c r="J670" s="62"/>
      <c r="K670" s="58"/>
      <c r="L670" s="102"/>
      <c r="M670" s="103"/>
      <c r="N670" s="62"/>
      <c r="O670" s="101"/>
      <c r="P670" s="58"/>
      <c r="Q670" s="62"/>
      <c r="R670" s="62"/>
      <c r="S670" s="62"/>
      <c r="T670" s="62"/>
      <c r="U670" s="62"/>
      <c r="V670" s="62"/>
      <c r="W670" s="62"/>
      <c r="X670" s="62"/>
      <c r="Y670" s="62"/>
      <c r="Z670" s="62"/>
      <c r="AA670" s="62"/>
    </row>
    <row r="671">
      <c r="A671" s="96"/>
      <c r="B671" s="98"/>
      <c r="C671" s="99"/>
      <c r="D671" s="99"/>
      <c r="E671" s="111"/>
      <c r="F671" s="97"/>
      <c r="G671" s="97"/>
      <c r="H671" s="101"/>
      <c r="I671" s="62"/>
      <c r="J671" s="62"/>
      <c r="K671" s="58"/>
      <c r="L671" s="102"/>
      <c r="M671" s="103"/>
      <c r="N671" s="62"/>
      <c r="O671" s="101"/>
      <c r="P671" s="58"/>
      <c r="Q671" s="62"/>
      <c r="R671" s="62"/>
      <c r="S671" s="62"/>
      <c r="T671" s="62"/>
      <c r="U671" s="62"/>
      <c r="V671" s="62"/>
      <c r="W671" s="62"/>
      <c r="X671" s="62"/>
      <c r="Y671" s="62"/>
      <c r="Z671" s="62"/>
      <c r="AA671" s="62"/>
    </row>
    <row r="672">
      <c r="A672" s="96"/>
      <c r="B672" s="98"/>
      <c r="C672" s="99"/>
      <c r="D672" s="99"/>
      <c r="E672" s="111"/>
      <c r="F672" s="97"/>
      <c r="G672" s="97"/>
      <c r="H672" s="101"/>
      <c r="I672" s="62"/>
      <c r="J672" s="62"/>
      <c r="K672" s="58"/>
      <c r="L672" s="102"/>
      <c r="M672" s="103"/>
      <c r="N672" s="62"/>
      <c r="O672" s="101"/>
      <c r="P672" s="58"/>
      <c r="Q672" s="62"/>
      <c r="R672" s="62"/>
      <c r="S672" s="62"/>
      <c r="T672" s="62"/>
      <c r="U672" s="62"/>
      <c r="V672" s="62"/>
      <c r="W672" s="62"/>
      <c r="X672" s="62"/>
      <c r="Y672" s="62"/>
      <c r="Z672" s="62"/>
      <c r="AA672" s="62"/>
    </row>
    <row r="673">
      <c r="A673" s="96"/>
      <c r="B673" s="98"/>
      <c r="C673" s="99"/>
      <c r="D673" s="99"/>
      <c r="E673" s="111"/>
      <c r="F673" s="97"/>
      <c r="G673" s="97"/>
      <c r="H673" s="101"/>
      <c r="I673" s="62"/>
      <c r="J673" s="62"/>
      <c r="K673" s="58"/>
      <c r="L673" s="102"/>
      <c r="M673" s="103"/>
      <c r="N673" s="62"/>
      <c r="O673" s="101"/>
      <c r="P673" s="58"/>
      <c r="Q673" s="62"/>
      <c r="R673" s="62"/>
      <c r="S673" s="62"/>
      <c r="T673" s="62"/>
      <c r="U673" s="62"/>
      <c r="V673" s="62"/>
      <c r="W673" s="62"/>
      <c r="X673" s="62"/>
      <c r="Y673" s="62"/>
      <c r="Z673" s="62"/>
      <c r="AA673" s="62"/>
    </row>
    <row r="674">
      <c r="A674" s="96"/>
      <c r="B674" s="98"/>
      <c r="C674" s="99"/>
      <c r="D674" s="99"/>
      <c r="E674" s="111"/>
      <c r="F674" s="97"/>
      <c r="G674" s="97"/>
      <c r="H674" s="101"/>
      <c r="I674" s="62"/>
      <c r="J674" s="62"/>
      <c r="K674" s="58"/>
      <c r="L674" s="102"/>
      <c r="M674" s="103"/>
      <c r="N674" s="62"/>
      <c r="O674" s="101"/>
      <c r="P674" s="58"/>
      <c r="Q674" s="62"/>
      <c r="R674" s="62"/>
      <c r="S674" s="62"/>
      <c r="T674" s="62"/>
      <c r="U674" s="62"/>
      <c r="V674" s="62"/>
      <c r="W674" s="62"/>
      <c r="X674" s="62"/>
      <c r="Y674" s="62"/>
      <c r="Z674" s="62"/>
      <c r="AA674" s="62"/>
    </row>
    <row r="675">
      <c r="A675" s="96"/>
      <c r="B675" s="98"/>
      <c r="C675" s="99"/>
      <c r="D675" s="99"/>
      <c r="E675" s="111"/>
      <c r="F675" s="97"/>
      <c r="G675" s="97"/>
      <c r="H675" s="101"/>
      <c r="I675" s="62"/>
      <c r="J675" s="62"/>
      <c r="K675" s="58"/>
      <c r="L675" s="102"/>
      <c r="M675" s="103"/>
      <c r="N675" s="62"/>
      <c r="O675" s="101"/>
      <c r="P675" s="58"/>
      <c r="Q675" s="62"/>
      <c r="R675" s="62"/>
      <c r="S675" s="62"/>
      <c r="T675" s="62"/>
      <c r="U675" s="62"/>
      <c r="V675" s="62"/>
      <c r="W675" s="62"/>
      <c r="X675" s="62"/>
      <c r="Y675" s="62"/>
      <c r="Z675" s="62"/>
      <c r="AA675" s="62"/>
    </row>
    <row r="676">
      <c r="A676" s="96"/>
      <c r="B676" s="98"/>
      <c r="C676" s="99"/>
      <c r="D676" s="99"/>
      <c r="E676" s="111"/>
      <c r="F676" s="97"/>
      <c r="G676" s="97"/>
      <c r="H676" s="101"/>
      <c r="I676" s="62"/>
      <c r="J676" s="62"/>
      <c r="K676" s="58"/>
      <c r="L676" s="102"/>
      <c r="M676" s="103"/>
      <c r="N676" s="62"/>
      <c r="O676" s="101"/>
      <c r="P676" s="58"/>
      <c r="Q676" s="62"/>
      <c r="R676" s="62"/>
      <c r="S676" s="62"/>
      <c r="T676" s="62"/>
      <c r="U676" s="62"/>
      <c r="V676" s="62"/>
      <c r="W676" s="62"/>
      <c r="X676" s="62"/>
      <c r="Y676" s="62"/>
      <c r="Z676" s="62"/>
      <c r="AA676" s="62"/>
    </row>
    <row r="677">
      <c r="A677" s="96"/>
      <c r="B677" s="98"/>
      <c r="C677" s="99"/>
      <c r="D677" s="99"/>
      <c r="E677" s="111"/>
      <c r="F677" s="97"/>
      <c r="G677" s="97"/>
      <c r="H677" s="101"/>
      <c r="I677" s="62"/>
      <c r="J677" s="62"/>
      <c r="K677" s="58"/>
      <c r="L677" s="102"/>
      <c r="M677" s="103"/>
      <c r="N677" s="62"/>
      <c r="O677" s="101"/>
      <c r="P677" s="58"/>
      <c r="Q677" s="62"/>
      <c r="R677" s="62"/>
      <c r="S677" s="62"/>
      <c r="T677" s="62"/>
      <c r="U677" s="62"/>
      <c r="V677" s="62"/>
      <c r="W677" s="62"/>
      <c r="X677" s="62"/>
      <c r="Y677" s="62"/>
      <c r="Z677" s="62"/>
      <c r="AA677" s="62"/>
    </row>
    <row r="678">
      <c r="A678" s="96"/>
      <c r="B678" s="98"/>
      <c r="C678" s="99"/>
      <c r="D678" s="99"/>
      <c r="E678" s="111"/>
      <c r="F678" s="97"/>
      <c r="G678" s="97"/>
      <c r="H678" s="101"/>
      <c r="I678" s="62"/>
      <c r="J678" s="62"/>
      <c r="K678" s="58"/>
      <c r="L678" s="102"/>
      <c r="M678" s="103"/>
      <c r="N678" s="62"/>
      <c r="O678" s="101"/>
      <c r="P678" s="58"/>
      <c r="Q678" s="62"/>
      <c r="R678" s="62"/>
      <c r="S678" s="62"/>
      <c r="T678" s="62"/>
      <c r="U678" s="62"/>
      <c r="V678" s="62"/>
      <c r="W678" s="62"/>
      <c r="X678" s="62"/>
      <c r="Y678" s="62"/>
      <c r="Z678" s="62"/>
      <c r="AA678" s="62"/>
    </row>
    <row r="679">
      <c r="A679" s="96"/>
      <c r="B679" s="98"/>
      <c r="C679" s="99"/>
      <c r="D679" s="99"/>
      <c r="E679" s="111"/>
      <c r="F679" s="97"/>
      <c r="G679" s="97"/>
      <c r="H679" s="101"/>
      <c r="I679" s="62"/>
      <c r="J679" s="62"/>
      <c r="K679" s="58"/>
      <c r="L679" s="102"/>
      <c r="M679" s="103"/>
      <c r="N679" s="62"/>
      <c r="O679" s="101"/>
      <c r="P679" s="58"/>
      <c r="Q679" s="62"/>
      <c r="R679" s="62"/>
      <c r="S679" s="62"/>
      <c r="T679" s="62"/>
      <c r="U679" s="62"/>
      <c r="V679" s="62"/>
      <c r="W679" s="62"/>
      <c r="X679" s="62"/>
      <c r="Y679" s="62"/>
      <c r="Z679" s="62"/>
      <c r="AA679" s="62"/>
    </row>
    <row r="680">
      <c r="A680" s="96"/>
      <c r="B680" s="98"/>
      <c r="C680" s="99"/>
      <c r="D680" s="99"/>
      <c r="E680" s="111"/>
      <c r="F680" s="97"/>
      <c r="G680" s="97"/>
      <c r="H680" s="101"/>
      <c r="I680" s="62"/>
      <c r="J680" s="62"/>
      <c r="K680" s="58"/>
      <c r="L680" s="102"/>
      <c r="M680" s="103"/>
      <c r="N680" s="62"/>
      <c r="O680" s="101"/>
      <c r="P680" s="58"/>
      <c r="Q680" s="62"/>
      <c r="R680" s="62"/>
      <c r="S680" s="62"/>
      <c r="T680" s="62"/>
      <c r="U680" s="62"/>
      <c r="V680" s="62"/>
      <c r="W680" s="62"/>
      <c r="X680" s="62"/>
      <c r="Y680" s="62"/>
      <c r="Z680" s="62"/>
      <c r="AA680" s="62"/>
    </row>
    <row r="681">
      <c r="A681" s="96"/>
      <c r="B681" s="98"/>
      <c r="C681" s="99"/>
      <c r="D681" s="99"/>
      <c r="E681" s="111"/>
      <c r="F681" s="97"/>
      <c r="G681" s="97"/>
      <c r="H681" s="101"/>
      <c r="I681" s="62"/>
      <c r="J681" s="62"/>
      <c r="K681" s="58"/>
      <c r="L681" s="102"/>
      <c r="M681" s="103"/>
      <c r="N681" s="62"/>
      <c r="O681" s="101"/>
      <c r="P681" s="58"/>
      <c r="Q681" s="62"/>
      <c r="R681" s="62"/>
      <c r="S681" s="62"/>
      <c r="T681" s="62"/>
      <c r="U681" s="62"/>
      <c r="V681" s="62"/>
      <c r="W681" s="62"/>
      <c r="X681" s="62"/>
      <c r="Y681" s="62"/>
      <c r="Z681" s="62"/>
      <c r="AA681" s="62"/>
    </row>
    <row r="682">
      <c r="A682" s="96"/>
      <c r="B682" s="98"/>
      <c r="C682" s="99"/>
      <c r="D682" s="99"/>
      <c r="E682" s="111"/>
      <c r="F682" s="97"/>
      <c r="G682" s="97"/>
      <c r="H682" s="101"/>
      <c r="I682" s="62"/>
      <c r="J682" s="62"/>
      <c r="K682" s="58"/>
      <c r="L682" s="102"/>
      <c r="M682" s="103"/>
      <c r="N682" s="62"/>
      <c r="O682" s="101"/>
      <c r="P682" s="58"/>
      <c r="Q682" s="62"/>
      <c r="R682" s="62"/>
      <c r="S682" s="62"/>
      <c r="T682" s="62"/>
      <c r="U682" s="62"/>
      <c r="V682" s="62"/>
      <c r="W682" s="62"/>
      <c r="X682" s="62"/>
      <c r="Y682" s="62"/>
      <c r="Z682" s="62"/>
      <c r="AA682" s="62"/>
    </row>
    <row r="683">
      <c r="A683" s="96"/>
      <c r="B683" s="98"/>
      <c r="C683" s="99"/>
      <c r="D683" s="99"/>
      <c r="E683" s="111"/>
      <c r="F683" s="97"/>
      <c r="G683" s="97"/>
      <c r="H683" s="101"/>
      <c r="I683" s="62"/>
      <c r="J683" s="62"/>
      <c r="K683" s="58"/>
      <c r="L683" s="102"/>
      <c r="M683" s="103"/>
      <c r="N683" s="62"/>
      <c r="O683" s="101"/>
      <c r="P683" s="58"/>
      <c r="Q683" s="62"/>
      <c r="R683" s="62"/>
      <c r="S683" s="62"/>
      <c r="T683" s="62"/>
      <c r="U683" s="62"/>
      <c r="V683" s="62"/>
      <c r="W683" s="62"/>
      <c r="X683" s="62"/>
      <c r="Y683" s="62"/>
      <c r="Z683" s="62"/>
      <c r="AA683" s="62"/>
    </row>
    <row r="684">
      <c r="A684" s="96"/>
      <c r="B684" s="98"/>
      <c r="C684" s="99"/>
      <c r="D684" s="99"/>
      <c r="E684" s="111"/>
      <c r="F684" s="97"/>
      <c r="G684" s="97"/>
      <c r="H684" s="101"/>
      <c r="I684" s="62"/>
      <c r="J684" s="62"/>
      <c r="K684" s="58"/>
      <c r="L684" s="102"/>
      <c r="M684" s="103"/>
      <c r="N684" s="62"/>
      <c r="O684" s="101"/>
      <c r="P684" s="58"/>
      <c r="Q684" s="62"/>
      <c r="R684" s="62"/>
      <c r="S684" s="62"/>
      <c r="T684" s="62"/>
      <c r="U684" s="62"/>
      <c r="V684" s="62"/>
      <c r="W684" s="62"/>
      <c r="X684" s="62"/>
      <c r="Y684" s="62"/>
      <c r="Z684" s="62"/>
      <c r="AA684" s="62"/>
    </row>
    <row r="685">
      <c r="A685" s="96"/>
      <c r="B685" s="98"/>
      <c r="C685" s="99"/>
      <c r="D685" s="99"/>
      <c r="E685" s="111"/>
      <c r="F685" s="97"/>
      <c r="G685" s="97"/>
      <c r="H685" s="101"/>
      <c r="I685" s="62"/>
      <c r="J685" s="62"/>
      <c r="K685" s="58"/>
      <c r="L685" s="102"/>
      <c r="M685" s="103"/>
      <c r="N685" s="62"/>
      <c r="O685" s="101"/>
      <c r="P685" s="58"/>
      <c r="Q685" s="62"/>
      <c r="R685" s="62"/>
      <c r="S685" s="62"/>
      <c r="T685" s="62"/>
      <c r="U685" s="62"/>
      <c r="V685" s="62"/>
      <c r="W685" s="62"/>
      <c r="X685" s="62"/>
      <c r="Y685" s="62"/>
      <c r="Z685" s="62"/>
      <c r="AA685" s="62"/>
    </row>
    <row r="686">
      <c r="A686" s="96"/>
      <c r="B686" s="98"/>
      <c r="C686" s="99"/>
      <c r="D686" s="99"/>
      <c r="E686" s="111"/>
      <c r="F686" s="97"/>
      <c r="G686" s="97"/>
      <c r="H686" s="101"/>
      <c r="I686" s="62"/>
      <c r="J686" s="62"/>
      <c r="K686" s="58"/>
      <c r="L686" s="102"/>
      <c r="M686" s="103"/>
      <c r="N686" s="62"/>
      <c r="O686" s="101"/>
      <c r="P686" s="58"/>
      <c r="Q686" s="62"/>
      <c r="R686" s="62"/>
      <c r="S686" s="62"/>
      <c r="T686" s="62"/>
      <c r="U686" s="62"/>
      <c r="V686" s="62"/>
      <c r="W686" s="62"/>
      <c r="X686" s="62"/>
      <c r="Y686" s="62"/>
      <c r="Z686" s="62"/>
      <c r="AA686" s="62"/>
    </row>
    <row r="687">
      <c r="A687" s="96"/>
      <c r="B687" s="98"/>
      <c r="C687" s="99"/>
      <c r="D687" s="99"/>
      <c r="E687" s="111"/>
      <c r="F687" s="97"/>
      <c r="G687" s="97"/>
      <c r="H687" s="101"/>
      <c r="I687" s="62"/>
      <c r="J687" s="62"/>
      <c r="K687" s="58"/>
      <c r="L687" s="102"/>
      <c r="M687" s="103"/>
      <c r="N687" s="62"/>
      <c r="O687" s="101"/>
      <c r="P687" s="58"/>
      <c r="Q687" s="62"/>
      <c r="R687" s="62"/>
      <c r="S687" s="62"/>
      <c r="T687" s="62"/>
      <c r="U687" s="62"/>
      <c r="V687" s="62"/>
      <c r="W687" s="62"/>
      <c r="X687" s="62"/>
      <c r="Y687" s="62"/>
      <c r="Z687" s="62"/>
      <c r="AA687" s="62"/>
    </row>
    <row r="688">
      <c r="A688" s="96"/>
      <c r="B688" s="98"/>
      <c r="C688" s="99"/>
      <c r="D688" s="99"/>
      <c r="E688" s="111"/>
      <c r="F688" s="97"/>
      <c r="G688" s="97"/>
      <c r="H688" s="101"/>
      <c r="I688" s="62"/>
      <c r="J688" s="62"/>
      <c r="K688" s="58"/>
      <c r="L688" s="102"/>
      <c r="M688" s="103"/>
      <c r="N688" s="62"/>
      <c r="O688" s="101"/>
      <c r="P688" s="58"/>
      <c r="Q688" s="62"/>
      <c r="R688" s="62"/>
      <c r="S688" s="62"/>
      <c r="T688" s="62"/>
      <c r="U688" s="62"/>
      <c r="V688" s="62"/>
      <c r="W688" s="62"/>
      <c r="X688" s="62"/>
      <c r="Y688" s="62"/>
      <c r="Z688" s="62"/>
      <c r="AA688" s="62"/>
    </row>
    <row r="689">
      <c r="A689" s="96"/>
      <c r="B689" s="98"/>
      <c r="C689" s="99"/>
      <c r="D689" s="99"/>
      <c r="E689" s="111"/>
      <c r="F689" s="97"/>
      <c r="G689" s="97"/>
      <c r="H689" s="101"/>
      <c r="I689" s="62"/>
      <c r="J689" s="62"/>
      <c r="K689" s="58"/>
      <c r="L689" s="102"/>
      <c r="M689" s="103"/>
      <c r="N689" s="62"/>
      <c r="O689" s="101"/>
      <c r="P689" s="58"/>
      <c r="Q689" s="62"/>
      <c r="R689" s="62"/>
      <c r="S689" s="62"/>
      <c r="T689" s="62"/>
      <c r="U689" s="62"/>
      <c r="V689" s="62"/>
      <c r="W689" s="62"/>
      <c r="X689" s="62"/>
      <c r="Y689" s="62"/>
      <c r="Z689" s="62"/>
      <c r="AA689" s="62"/>
    </row>
    <row r="690">
      <c r="A690" s="96"/>
      <c r="B690" s="98"/>
      <c r="C690" s="99"/>
      <c r="D690" s="99"/>
      <c r="E690" s="111"/>
      <c r="F690" s="97"/>
      <c r="G690" s="97"/>
      <c r="H690" s="101"/>
      <c r="I690" s="62"/>
      <c r="J690" s="62"/>
      <c r="K690" s="58"/>
      <c r="L690" s="102"/>
      <c r="M690" s="103"/>
      <c r="N690" s="62"/>
      <c r="O690" s="101"/>
      <c r="P690" s="58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</row>
    <row r="691">
      <c r="A691" s="96"/>
      <c r="B691" s="98"/>
      <c r="C691" s="99"/>
      <c r="D691" s="99"/>
      <c r="E691" s="111"/>
      <c r="F691" s="97"/>
      <c r="G691" s="97"/>
      <c r="H691" s="101"/>
      <c r="I691" s="62"/>
      <c r="J691" s="62"/>
      <c r="K691" s="58"/>
      <c r="L691" s="102"/>
      <c r="M691" s="103"/>
      <c r="N691" s="62"/>
      <c r="O691" s="101"/>
      <c r="P691" s="58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</row>
    <row r="692">
      <c r="A692" s="96"/>
      <c r="B692" s="98"/>
      <c r="C692" s="99"/>
      <c r="D692" s="99"/>
      <c r="E692" s="111"/>
      <c r="F692" s="97"/>
      <c r="G692" s="97"/>
      <c r="H692" s="101"/>
      <c r="I692" s="62"/>
      <c r="J692" s="62"/>
      <c r="K692" s="58"/>
      <c r="L692" s="102"/>
      <c r="M692" s="103"/>
      <c r="N692" s="62"/>
      <c r="O692" s="101"/>
      <c r="P692" s="58"/>
      <c r="Q692" s="62"/>
      <c r="R692" s="62"/>
      <c r="S692" s="62"/>
      <c r="T692" s="62"/>
      <c r="U692" s="62"/>
      <c r="V692" s="62"/>
      <c r="W692" s="62"/>
      <c r="X692" s="62"/>
      <c r="Y692" s="62"/>
      <c r="Z692" s="62"/>
      <c r="AA692" s="62"/>
    </row>
    <row r="693">
      <c r="A693" s="96"/>
      <c r="B693" s="98"/>
      <c r="C693" s="99"/>
      <c r="D693" s="99"/>
      <c r="E693" s="111"/>
      <c r="F693" s="97"/>
      <c r="G693" s="97"/>
      <c r="H693" s="101"/>
      <c r="I693" s="62"/>
      <c r="J693" s="62"/>
      <c r="K693" s="58"/>
      <c r="L693" s="102"/>
      <c r="M693" s="103"/>
      <c r="N693" s="62"/>
      <c r="O693" s="101"/>
      <c r="P693" s="58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</row>
    <row r="694">
      <c r="A694" s="96"/>
      <c r="B694" s="98"/>
      <c r="C694" s="99"/>
      <c r="D694" s="99"/>
      <c r="E694" s="111"/>
      <c r="F694" s="97"/>
      <c r="G694" s="97"/>
      <c r="H694" s="101"/>
      <c r="I694" s="62"/>
      <c r="J694" s="62"/>
      <c r="K694" s="58"/>
      <c r="L694" s="102"/>
      <c r="M694" s="103"/>
      <c r="N694" s="62"/>
      <c r="O694" s="101"/>
      <c r="P694" s="58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</row>
    <row r="695">
      <c r="A695" s="96"/>
      <c r="B695" s="98"/>
      <c r="C695" s="99"/>
      <c r="D695" s="99"/>
      <c r="E695" s="111"/>
      <c r="F695" s="97"/>
      <c r="G695" s="97"/>
      <c r="H695" s="101"/>
      <c r="I695" s="62"/>
      <c r="J695" s="62"/>
      <c r="K695" s="58"/>
      <c r="L695" s="102"/>
      <c r="M695" s="103"/>
      <c r="N695" s="62"/>
      <c r="O695" s="101"/>
      <c r="P695" s="58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</row>
    <row r="696">
      <c r="A696" s="96"/>
      <c r="B696" s="98"/>
      <c r="C696" s="99"/>
      <c r="D696" s="99"/>
      <c r="E696" s="111"/>
      <c r="F696" s="97"/>
      <c r="G696" s="97"/>
      <c r="H696" s="101"/>
      <c r="I696" s="62"/>
      <c r="J696" s="62"/>
      <c r="K696" s="58"/>
      <c r="L696" s="102"/>
      <c r="M696" s="103"/>
      <c r="N696" s="62"/>
      <c r="O696" s="101"/>
      <c r="P696" s="58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</row>
    <row r="697">
      <c r="A697" s="96"/>
      <c r="B697" s="98"/>
      <c r="C697" s="99"/>
      <c r="D697" s="99"/>
      <c r="E697" s="111"/>
      <c r="F697" s="97"/>
      <c r="G697" s="97"/>
      <c r="H697" s="101"/>
      <c r="I697" s="62"/>
      <c r="J697" s="62"/>
      <c r="K697" s="58"/>
      <c r="L697" s="102"/>
      <c r="M697" s="103"/>
      <c r="N697" s="62"/>
      <c r="O697" s="101"/>
      <c r="P697" s="58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</row>
    <row r="698">
      <c r="A698" s="96"/>
      <c r="B698" s="98"/>
      <c r="C698" s="99"/>
      <c r="D698" s="99"/>
      <c r="E698" s="111"/>
      <c r="F698" s="97"/>
      <c r="G698" s="97"/>
      <c r="H698" s="101"/>
      <c r="I698" s="62"/>
      <c r="J698" s="62"/>
      <c r="K698" s="58"/>
      <c r="L698" s="102"/>
      <c r="M698" s="103"/>
      <c r="N698" s="62"/>
      <c r="O698" s="101"/>
      <c r="P698" s="58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</row>
    <row r="699">
      <c r="A699" s="96"/>
      <c r="B699" s="98"/>
      <c r="C699" s="99"/>
      <c r="D699" s="99"/>
      <c r="E699" s="111"/>
      <c r="F699" s="97"/>
      <c r="G699" s="97"/>
      <c r="H699" s="101"/>
      <c r="I699" s="62"/>
      <c r="J699" s="62"/>
      <c r="K699" s="58"/>
      <c r="L699" s="102"/>
      <c r="M699" s="103"/>
      <c r="N699" s="62"/>
      <c r="O699" s="101"/>
      <c r="P699" s="58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</row>
    <row r="700">
      <c r="A700" s="96"/>
      <c r="B700" s="98"/>
      <c r="C700" s="99"/>
      <c r="D700" s="99"/>
      <c r="E700" s="111"/>
      <c r="F700" s="97"/>
      <c r="G700" s="97"/>
      <c r="H700" s="101"/>
      <c r="I700" s="62"/>
      <c r="J700" s="62"/>
      <c r="K700" s="58"/>
      <c r="L700" s="102"/>
      <c r="M700" s="103"/>
      <c r="N700" s="62"/>
      <c r="O700" s="101"/>
      <c r="P700" s="58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</row>
    <row r="701">
      <c r="A701" s="96"/>
      <c r="B701" s="98"/>
      <c r="C701" s="99"/>
      <c r="D701" s="99"/>
      <c r="E701" s="111"/>
      <c r="F701" s="97"/>
      <c r="G701" s="97"/>
      <c r="H701" s="101"/>
      <c r="I701" s="62"/>
      <c r="J701" s="62"/>
      <c r="K701" s="58"/>
      <c r="L701" s="102"/>
      <c r="M701" s="103"/>
      <c r="N701" s="62"/>
      <c r="O701" s="101"/>
      <c r="P701" s="58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</row>
    <row r="702">
      <c r="A702" s="96"/>
      <c r="B702" s="98"/>
      <c r="C702" s="99"/>
      <c r="D702" s="99"/>
      <c r="E702" s="111"/>
      <c r="F702" s="97"/>
      <c r="G702" s="97"/>
      <c r="H702" s="101"/>
      <c r="I702" s="62"/>
      <c r="J702" s="62"/>
      <c r="K702" s="58"/>
      <c r="L702" s="102"/>
      <c r="M702" s="103"/>
      <c r="N702" s="62"/>
      <c r="O702" s="101"/>
      <c r="P702" s="58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</row>
    <row r="703">
      <c r="A703" s="96"/>
      <c r="B703" s="98"/>
      <c r="C703" s="99"/>
      <c r="D703" s="99"/>
      <c r="E703" s="111"/>
      <c r="F703" s="97"/>
      <c r="G703" s="97"/>
      <c r="H703" s="101"/>
      <c r="I703" s="62"/>
      <c r="J703" s="62"/>
      <c r="K703" s="58"/>
      <c r="L703" s="102"/>
      <c r="M703" s="103"/>
      <c r="N703" s="62"/>
      <c r="O703" s="101"/>
      <c r="P703" s="58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</row>
    <row r="704">
      <c r="A704" s="96"/>
      <c r="B704" s="98"/>
      <c r="C704" s="99"/>
      <c r="D704" s="99"/>
      <c r="E704" s="111"/>
      <c r="F704" s="97"/>
      <c r="G704" s="97"/>
      <c r="H704" s="101"/>
      <c r="I704" s="62"/>
      <c r="J704" s="62"/>
      <c r="K704" s="58"/>
      <c r="L704" s="102"/>
      <c r="M704" s="103"/>
      <c r="N704" s="62"/>
      <c r="O704" s="101"/>
      <c r="P704" s="58"/>
      <c r="Q704" s="62"/>
      <c r="R704" s="62"/>
      <c r="S704" s="62"/>
      <c r="T704" s="62"/>
      <c r="U704" s="62"/>
      <c r="V704" s="62"/>
      <c r="W704" s="62"/>
      <c r="X704" s="62"/>
      <c r="Y704" s="62"/>
      <c r="Z704" s="62"/>
      <c r="AA704" s="62"/>
    </row>
    <row r="705">
      <c r="A705" s="96"/>
      <c r="B705" s="98"/>
      <c r="C705" s="99"/>
      <c r="D705" s="99"/>
      <c r="E705" s="111"/>
      <c r="F705" s="97"/>
      <c r="G705" s="97"/>
      <c r="H705" s="101"/>
      <c r="I705" s="62"/>
      <c r="J705" s="62"/>
      <c r="K705" s="58"/>
      <c r="L705" s="102"/>
      <c r="M705" s="103"/>
      <c r="N705" s="62"/>
      <c r="O705" s="101"/>
      <c r="P705" s="58"/>
      <c r="Q705" s="62"/>
      <c r="R705" s="62"/>
      <c r="S705" s="62"/>
      <c r="T705" s="62"/>
      <c r="U705" s="62"/>
      <c r="V705" s="62"/>
      <c r="W705" s="62"/>
      <c r="X705" s="62"/>
      <c r="Y705" s="62"/>
      <c r="Z705" s="62"/>
      <c r="AA705" s="62"/>
    </row>
    <row r="706">
      <c r="A706" s="96"/>
      <c r="B706" s="98"/>
      <c r="C706" s="99"/>
      <c r="D706" s="99"/>
      <c r="E706" s="111"/>
      <c r="F706" s="97"/>
      <c r="G706" s="97"/>
      <c r="H706" s="101"/>
      <c r="I706" s="62"/>
      <c r="J706" s="62"/>
      <c r="K706" s="58"/>
      <c r="L706" s="102"/>
      <c r="M706" s="103"/>
      <c r="N706" s="62"/>
      <c r="O706" s="101"/>
      <c r="P706" s="58"/>
      <c r="Q706" s="62"/>
      <c r="R706" s="62"/>
      <c r="S706" s="62"/>
      <c r="T706" s="62"/>
      <c r="U706" s="62"/>
      <c r="V706" s="62"/>
      <c r="W706" s="62"/>
      <c r="X706" s="62"/>
      <c r="Y706" s="62"/>
      <c r="Z706" s="62"/>
      <c r="AA706" s="62"/>
    </row>
    <row r="707">
      <c r="A707" s="96"/>
      <c r="B707" s="98"/>
      <c r="C707" s="99"/>
      <c r="D707" s="99"/>
      <c r="E707" s="111"/>
      <c r="F707" s="97"/>
      <c r="G707" s="97"/>
      <c r="H707" s="101"/>
      <c r="I707" s="62"/>
      <c r="J707" s="62"/>
      <c r="K707" s="58"/>
      <c r="L707" s="102"/>
      <c r="M707" s="103"/>
      <c r="N707" s="62"/>
      <c r="O707" s="101"/>
      <c r="P707" s="58"/>
      <c r="Q707" s="62"/>
      <c r="R707" s="62"/>
      <c r="S707" s="62"/>
      <c r="T707" s="62"/>
      <c r="U707" s="62"/>
      <c r="V707" s="62"/>
      <c r="W707" s="62"/>
      <c r="X707" s="62"/>
      <c r="Y707" s="62"/>
      <c r="Z707" s="62"/>
      <c r="AA707" s="62"/>
    </row>
    <row r="708">
      <c r="A708" s="96"/>
      <c r="B708" s="98"/>
      <c r="C708" s="99"/>
      <c r="D708" s="99"/>
      <c r="E708" s="111"/>
      <c r="F708" s="97"/>
      <c r="G708" s="97"/>
      <c r="H708" s="101"/>
      <c r="I708" s="62"/>
      <c r="J708" s="62"/>
      <c r="K708" s="58"/>
      <c r="L708" s="102"/>
      <c r="M708" s="103"/>
      <c r="N708" s="62"/>
      <c r="O708" s="101"/>
      <c r="P708" s="58"/>
      <c r="Q708" s="62"/>
      <c r="R708" s="62"/>
      <c r="S708" s="62"/>
      <c r="T708" s="62"/>
      <c r="U708" s="62"/>
      <c r="V708" s="62"/>
      <c r="W708" s="62"/>
      <c r="X708" s="62"/>
      <c r="Y708" s="62"/>
      <c r="Z708" s="62"/>
      <c r="AA708" s="62"/>
    </row>
    <row r="709">
      <c r="A709" s="96"/>
      <c r="B709" s="98"/>
      <c r="C709" s="99"/>
      <c r="D709" s="99"/>
      <c r="E709" s="111"/>
      <c r="F709" s="97"/>
      <c r="G709" s="97"/>
      <c r="H709" s="101"/>
      <c r="I709" s="62"/>
      <c r="J709" s="62"/>
      <c r="K709" s="58"/>
      <c r="L709" s="102"/>
      <c r="M709" s="103"/>
      <c r="N709" s="62"/>
      <c r="O709" s="101"/>
      <c r="P709" s="58"/>
      <c r="Q709" s="62"/>
      <c r="R709" s="62"/>
      <c r="S709" s="62"/>
      <c r="T709" s="62"/>
      <c r="U709" s="62"/>
      <c r="V709" s="62"/>
      <c r="W709" s="62"/>
      <c r="X709" s="62"/>
      <c r="Y709" s="62"/>
      <c r="Z709" s="62"/>
      <c r="AA709" s="62"/>
    </row>
    <row r="710">
      <c r="A710" s="96"/>
      <c r="B710" s="98"/>
      <c r="C710" s="99"/>
      <c r="D710" s="99"/>
      <c r="E710" s="111"/>
      <c r="F710" s="97"/>
      <c r="G710" s="97"/>
      <c r="H710" s="101"/>
      <c r="I710" s="58"/>
      <c r="J710" s="62"/>
      <c r="K710" s="58"/>
      <c r="L710" s="102"/>
      <c r="M710" s="103"/>
      <c r="N710" s="62"/>
      <c r="O710" s="101"/>
      <c r="P710" s="58"/>
      <c r="Q710" s="62"/>
      <c r="R710" s="58"/>
      <c r="S710" s="62"/>
      <c r="T710" s="62"/>
      <c r="U710" s="62"/>
      <c r="V710" s="62"/>
      <c r="W710" s="62"/>
      <c r="X710" s="62"/>
      <c r="Y710" s="62"/>
      <c r="Z710" s="62"/>
      <c r="AA710" s="62"/>
    </row>
    <row r="711">
      <c r="A711" s="96"/>
      <c r="B711" s="98"/>
      <c r="C711" s="99"/>
      <c r="D711" s="99"/>
      <c r="E711" s="111"/>
      <c r="F711" s="97"/>
      <c r="G711" s="97"/>
      <c r="H711" s="101"/>
      <c r="I711" s="58"/>
      <c r="J711" s="62"/>
      <c r="K711" s="58"/>
      <c r="L711" s="102"/>
      <c r="M711" s="103"/>
      <c r="N711" s="62"/>
      <c r="O711" s="101"/>
      <c r="P711" s="58"/>
      <c r="Q711" s="62"/>
      <c r="R711" s="58"/>
      <c r="S711" s="62"/>
      <c r="T711" s="62"/>
      <c r="U711" s="62"/>
      <c r="V711" s="62"/>
      <c r="W711" s="62"/>
      <c r="X711" s="62"/>
      <c r="Y711" s="62"/>
      <c r="Z711" s="62"/>
      <c r="AA711" s="62"/>
    </row>
    <row r="712">
      <c r="A712" s="96"/>
      <c r="B712" s="98"/>
      <c r="C712" s="99"/>
      <c r="D712" s="99"/>
      <c r="E712" s="111"/>
      <c r="F712" s="97"/>
      <c r="G712" s="97"/>
      <c r="H712" s="101"/>
      <c r="I712" s="58"/>
      <c r="J712" s="62"/>
      <c r="K712" s="58"/>
      <c r="L712" s="102"/>
      <c r="M712" s="103"/>
      <c r="N712" s="62"/>
      <c r="O712" s="101"/>
      <c r="P712" s="58"/>
      <c r="Q712" s="62"/>
      <c r="R712" s="58"/>
      <c r="S712" s="62"/>
      <c r="T712" s="62"/>
      <c r="U712" s="62"/>
      <c r="V712" s="62"/>
      <c r="W712" s="62"/>
      <c r="X712" s="62"/>
      <c r="Y712" s="62"/>
      <c r="Z712" s="62"/>
      <c r="AA712" s="62"/>
    </row>
    <row r="713">
      <c r="A713" s="96"/>
      <c r="B713" s="98"/>
      <c r="C713" s="99"/>
      <c r="D713" s="99"/>
      <c r="E713" s="111"/>
      <c r="F713" s="97"/>
      <c r="G713" s="97"/>
      <c r="H713" s="101"/>
      <c r="I713" s="58"/>
      <c r="J713" s="62"/>
      <c r="K713" s="58"/>
      <c r="L713" s="102"/>
      <c r="M713" s="103"/>
      <c r="N713" s="62"/>
      <c r="O713" s="101"/>
      <c r="P713" s="58"/>
      <c r="Q713" s="62"/>
      <c r="R713" s="58"/>
      <c r="S713" s="62"/>
      <c r="T713" s="62"/>
      <c r="U713" s="62"/>
      <c r="V713" s="62"/>
      <c r="W713" s="62"/>
      <c r="X713" s="62"/>
      <c r="Y713" s="62"/>
      <c r="Z713" s="62"/>
      <c r="AA713" s="62"/>
    </row>
    <row r="714">
      <c r="A714" s="96"/>
      <c r="B714" s="98"/>
      <c r="C714" s="99"/>
      <c r="D714" s="99"/>
      <c r="E714" s="111"/>
      <c r="F714" s="97"/>
      <c r="G714" s="97"/>
      <c r="H714" s="101"/>
      <c r="I714" s="58"/>
      <c r="J714" s="62"/>
      <c r="K714" s="58"/>
      <c r="L714" s="102"/>
      <c r="M714" s="103"/>
      <c r="N714" s="62"/>
      <c r="O714" s="101"/>
      <c r="P714" s="58"/>
      <c r="Q714" s="62"/>
      <c r="R714" s="58"/>
      <c r="S714" s="62"/>
      <c r="T714" s="62"/>
      <c r="U714" s="62"/>
      <c r="V714" s="62"/>
      <c r="W714" s="62"/>
      <c r="X714" s="62"/>
      <c r="Y714" s="62"/>
      <c r="Z714" s="62"/>
      <c r="AA714" s="62"/>
    </row>
    <row r="715">
      <c r="A715" s="96"/>
      <c r="B715" s="98"/>
      <c r="C715" s="99"/>
      <c r="D715" s="99"/>
      <c r="E715" s="111"/>
      <c r="F715" s="97"/>
      <c r="G715" s="97"/>
      <c r="H715" s="101"/>
      <c r="I715" s="58"/>
      <c r="J715" s="62"/>
      <c r="K715" s="58"/>
      <c r="L715" s="102"/>
      <c r="M715" s="103"/>
      <c r="N715" s="62"/>
      <c r="O715" s="101"/>
      <c r="P715" s="58"/>
      <c r="Q715" s="62"/>
      <c r="R715" s="58"/>
      <c r="S715" s="62"/>
      <c r="T715" s="62"/>
      <c r="U715" s="62"/>
      <c r="V715" s="62"/>
      <c r="W715" s="62"/>
      <c r="X715" s="62"/>
      <c r="Y715" s="62"/>
      <c r="Z715" s="62"/>
      <c r="AA715" s="62"/>
    </row>
    <row r="716">
      <c r="A716" s="96"/>
      <c r="B716" s="98"/>
      <c r="C716" s="99"/>
      <c r="D716" s="99"/>
      <c r="E716" s="111"/>
      <c r="F716" s="97"/>
      <c r="G716" s="97"/>
      <c r="H716" s="101"/>
      <c r="I716" s="58"/>
      <c r="J716" s="62"/>
      <c r="K716" s="58"/>
      <c r="L716" s="102"/>
      <c r="M716" s="103"/>
      <c r="N716" s="62"/>
      <c r="O716" s="101"/>
      <c r="P716" s="58"/>
      <c r="Q716" s="62"/>
      <c r="R716" s="58"/>
      <c r="S716" s="62"/>
      <c r="T716" s="62"/>
      <c r="U716" s="62"/>
      <c r="V716" s="62"/>
      <c r="W716" s="62"/>
      <c r="X716" s="62"/>
      <c r="Y716" s="62"/>
      <c r="Z716" s="62"/>
      <c r="AA716" s="62"/>
    </row>
    <row r="717">
      <c r="A717" s="96"/>
      <c r="B717" s="98"/>
      <c r="C717" s="99"/>
      <c r="D717" s="99"/>
      <c r="E717" s="111"/>
      <c r="F717" s="97"/>
      <c r="G717" s="97"/>
      <c r="H717" s="101"/>
      <c r="I717" s="62"/>
      <c r="J717" s="62"/>
      <c r="K717" s="58"/>
      <c r="L717" s="102"/>
      <c r="M717" s="103"/>
      <c r="N717" s="62"/>
      <c r="O717" s="101"/>
      <c r="P717" s="58"/>
      <c r="Q717" s="62"/>
      <c r="R717" s="62"/>
      <c r="S717" s="62"/>
      <c r="T717" s="62"/>
      <c r="U717" s="62"/>
      <c r="V717" s="62"/>
      <c r="W717" s="62"/>
      <c r="X717" s="62"/>
      <c r="Y717" s="62"/>
      <c r="Z717" s="62"/>
      <c r="AA717" s="62"/>
    </row>
    <row r="718">
      <c r="A718" s="96"/>
      <c r="B718" s="98"/>
      <c r="C718" s="99"/>
      <c r="D718" s="99"/>
      <c r="E718" s="111"/>
      <c r="F718" s="97"/>
      <c r="G718" s="97"/>
      <c r="H718" s="101"/>
      <c r="I718" s="62"/>
      <c r="J718" s="62"/>
      <c r="K718" s="58"/>
      <c r="L718" s="102"/>
      <c r="M718" s="103"/>
      <c r="N718" s="62"/>
      <c r="O718" s="101"/>
      <c r="P718" s="58"/>
      <c r="Q718" s="62"/>
      <c r="R718" s="62"/>
      <c r="S718" s="62"/>
      <c r="T718" s="62"/>
      <c r="U718" s="62"/>
      <c r="V718" s="62"/>
      <c r="W718" s="62"/>
      <c r="X718" s="62"/>
      <c r="Y718" s="62"/>
      <c r="Z718" s="62"/>
      <c r="AA718" s="62"/>
    </row>
    <row r="719">
      <c r="A719" s="96"/>
      <c r="B719" s="98"/>
      <c r="C719" s="99"/>
      <c r="D719" s="99"/>
      <c r="E719" s="111"/>
      <c r="F719" s="97"/>
      <c r="G719" s="97"/>
      <c r="H719" s="101"/>
      <c r="I719" s="62"/>
      <c r="J719" s="62"/>
      <c r="K719" s="58"/>
      <c r="L719" s="102"/>
      <c r="M719" s="103"/>
      <c r="N719" s="62"/>
      <c r="O719" s="101"/>
      <c r="P719" s="58"/>
      <c r="Q719" s="62"/>
      <c r="R719" s="62"/>
      <c r="S719" s="62"/>
      <c r="T719" s="62"/>
      <c r="U719" s="62"/>
      <c r="V719" s="62"/>
      <c r="W719" s="62"/>
      <c r="X719" s="62"/>
      <c r="Y719" s="62"/>
      <c r="Z719" s="62"/>
      <c r="AA719" s="62"/>
    </row>
    <row r="720">
      <c r="A720" s="96"/>
      <c r="B720" s="98"/>
      <c r="C720" s="99"/>
      <c r="D720" s="99"/>
      <c r="E720" s="111"/>
      <c r="F720" s="97"/>
      <c r="G720" s="97"/>
      <c r="H720" s="101"/>
      <c r="I720" s="62"/>
      <c r="J720" s="62"/>
      <c r="K720" s="58"/>
      <c r="L720" s="102"/>
      <c r="M720" s="103"/>
      <c r="N720" s="62"/>
      <c r="O720" s="101"/>
      <c r="P720" s="58"/>
      <c r="Q720" s="62"/>
      <c r="R720" s="62"/>
      <c r="S720" s="62"/>
      <c r="T720" s="62"/>
      <c r="U720" s="62"/>
      <c r="V720" s="62"/>
      <c r="W720" s="62"/>
      <c r="X720" s="62"/>
      <c r="Y720" s="62"/>
      <c r="Z720" s="62"/>
      <c r="AA720" s="62"/>
    </row>
    <row r="721">
      <c r="A721" s="96"/>
      <c r="B721" s="98"/>
      <c r="C721" s="99"/>
      <c r="D721" s="99"/>
      <c r="E721" s="111"/>
      <c r="F721" s="97"/>
      <c r="G721" s="97"/>
      <c r="H721" s="101"/>
      <c r="I721" s="62"/>
      <c r="J721" s="62"/>
      <c r="K721" s="58"/>
      <c r="L721" s="102"/>
      <c r="M721" s="103"/>
      <c r="N721" s="62"/>
      <c r="O721" s="101"/>
      <c r="P721" s="58"/>
      <c r="Q721" s="62"/>
      <c r="R721" s="62"/>
      <c r="S721" s="62"/>
      <c r="T721" s="62"/>
      <c r="U721" s="62"/>
      <c r="V721" s="62"/>
      <c r="W721" s="62"/>
      <c r="X721" s="62"/>
      <c r="Y721" s="62"/>
      <c r="Z721" s="62"/>
      <c r="AA721" s="62"/>
    </row>
    <row r="722">
      <c r="A722" s="96"/>
      <c r="B722" s="98"/>
      <c r="C722" s="99"/>
      <c r="D722" s="99"/>
      <c r="E722" s="111"/>
      <c r="F722" s="97"/>
      <c r="G722" s="97"/>
      <c r="H722" s="101"/>
      <c r="I722" s="62"/>
      <c r="J722" s="62"/>
      <c r="K722" s="58"/>
      <c r="L722" s="102"/>
      <c r="M722" s="103"/>
      <c r="N722" s="62"/>
      <c r="O722" s="101"/>
      <c r="P722" s="58"/>
      <c r="Q722" s="62"/>
      <c r="R722" s="62"/>
      <c r="S722" s="62"/>
      <c r="T722" s="62"/>
      <c r="U722" s="62"/>
      <c r="V722" s="62"/>
      <c r="W722" s="62"/>
      <c r="X722" s="62"/>
      <c r="Y722" s="62"/>
      <c r="Z722" s="62"/>
      <c r="AA722" s="62"/>
    </row>
    <row r="723">
      <c r="A723" s="96"/>
      <c r="B723" s="98"/>
      <c r="C723" s="99"/>
      <c r="D723" s="99"/>
      <c r="E723" s="111"/>
      <c r="F723" s="97"/>
      <c r="G723" s="97"/>
      <c r="H723" s="101"/>
      <c r="I723" s="62"/>
      <c r="J723" s="62"/>
      <c r="K723" s="58"/>
      <c r="L723" s="102"/>
      <c r="M723" s="103"/>
      <c r="N723" s="62"/>
      <c r="O723" s="101"/>
      <c r="P723" s="58"/>
      <c r="Q723" s="62"/>
      <c r="R723" s="62"/>
      <c r="S723" s="62"/>
      <c r="T723" s="62"/>
      <c r="U723" s="62"/>
      <c r="V723" s="62"/>
      <c r="W723" s="62"/>
      <c r="X723" s="62"/>
      <c r="Y723" s="62"/>
      <c r="Z723" s="62"/>
      <c r="AA723" s="62"/>
    </row>
    <row r="724">
      <c r="A724" s="96"/>
      <c r="B724" s="98"/>
      <c r="C724" s="99"/>
      <c r="D724" s="99"/>
      <c r="E724" s="111"/>
      <c r="F724" s="97"/>
      <c r="G724" s="97"/>
      <c r="H724" s="101"/>
      <c r="I724" s="62"/>
      <c r="J724" s="62"/>
      <c r="K724" s="58"/>
      <c r="L724" s="102"/>
      <c r="M724" s="103"/>
      <c r="N724" s="62"/>
      <c r="O724" s="101"/>
      <c r="P724" s="58"/>
      <c r="Q724" s="62"/>
      <c r="R724" s="62"/>
      <c r="S724" s="62"/>
      <c r="T724" s="62"/>
      <c r="U724" s="62"/>
      <c r="V724" s="62"/>
      <c r="W724" s="62"/>
      <c r="X724" s="62"/>
      <c r="Y724" s="62"/>
      <c r="Z724" s="62"/>
      <c r="AA724" s="62"/>
    </row>
    <row r="725">
      <c r="A725" s="96"/>
      <c r="B725" s="98"/>
      <c r="C725" s="99"/>
      <c r="D725" s="99"/>
      <c r="E725" s="111"/>
      <c r="F725" s="97"/>
      <c r="G725" s="97"/>
      <c r="H725" s="101"/>
      <c r="I725" s="62"/>
      <c r="J725" s="62"/>
      <c r="K725" s="58"/>
      <c r="L725" s="102"/>
      <c r="M725" s="103"/>
      <c r="N725" s="62"/>
      <c r="O725" s="101"/>
      <c r="P725" s="58"/>
      <c r="Q725" s="62"/>
      <c r="R725" s="62"/>
      <c r="S725" s="62"/>
      <c r="T725" s="62"/>
      <c r="U725" s="62"/>
      <c r="V725" s="62"/>
      <c r="W725" s="62"/>
      <c r="X725" s="62"/>
      <c r="Y725" s="62"/>
      <c r="Z725" s="62"/>
      <c r="AA725" s="62"/>
    </row>
    <row r="726">
      <c r="A726" s="96"/>
      <c r="B726" s="98"/>
      <c r="C726" s="99"/>
      <c r="D726" s="99"/>
      <c r="E726" s="111"/>
      <c r="F726" s="97"/>
      <c r="G726" s="97"/>
      <c r="H726" s="101"/>
      <c r="I726" s="62"/>
      <c r="J726" s="62"/>
      <c r="K726" s="58"/>
      <c r="L726" s="102"/>
      <c r="M726" s="103"/>
      <c r="N726" s="62"/>
      <c r="O726" s="101"/>
      <c r="P726" s="58"/>
      <c r="Q726" s="62"/>
      <c r="R726" s="62"/>
      <c r="S726" s="62"/>
      <c r="T726" s="62"/>
      <c r="U726" s="62"/>
      <c r="V726" s="62"/>
      <c r="W726" s="62"/>
      <c r="X726" s="62"/>
      <c r="Y726" s="62"/>
      <c r="Z726" s="62"/>
      <c r="AA726" s="62"/>
    </row>
    <row r="727">
      <c r="A727" s="96"/>
      <c r="B727" s="98"/>
      <c r="C727" s="99"/>
      <c r="D727" s="99"/>
      <c r="E727" s="111"/>
      <c r="F727" s="97"/>
      <c r="G727" s="97"/>
      <c r="H727" s="101"/>
      <c r="I727" s="62"/>
      <c r="J727" s="62"/>
      <c r="K727" s="58"/>
      <c r="L727" s="102"/>
      <c r="M727" s="103"/>
      <c r="N727" s="62"/>
      <c r="O727" s="101"/>
      <c r="P727" s="58"/>
      <c r="Q727" s="62"/>
      <c r="R727" s="62"/>
      <c r="S727" s="62"/>
      <c r="T727" s="62"/>
      <c r="U727" s="62"/>
      <c r="V727" s="62"/>
      <c r="W727" s="62"/>
      <c r="X727" s="62"/>
      <c r="Y727" s="62"/>
      <c r="Z727" s="62"/>
      <c r="AA727" s="62"/>
    </row>
    <row r="728">
      <c r="A728" s="96"/>
      <c r="B728" s="98"/>
      <c r="C728" s="99"/>
      <c r="D728" s="99"/>
      <c r="E728" s="111"/>
      <c r="F728" s="97"/>
      <c r="G728" s="97"/>
      <c r="H728" s="101"/>
      <c r="I728" s="62"/>
      <c r="J728" s="62"/>
      <c r="K728" s="58"/>
      <c r="L728" s="102"/>
      <c r="M728" s="103"/>
      <c r="N728" s="62"/>
      <c r="O728" s="101"/>
      <c r="P728" s="58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</row>
    <row r="729">
      <c r="A729" s="96"/>
      <c r="B729" s="98"/>
      <c r="C729" s="99"/>
      <c r="D729" s="99"/>
      <c r="E729" s="111"/>
      <c r="F729" s="97"/>
      <c r="G729" s="97"/>
      <c r="H729" s="101"/>
      <c r="I729" s="62"/>
      <c r="J729" s="62"/>
      <c r="K729" s="58"/>
      <c r="L729" s="102"/>
      <c r="M729" s="103"/>
      <c r="N729" s="62"/>
      <c r="O729" s="101"/>
      <c r="P729" s="58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</row>
    <row r="730">
      <c r="A730" s="96"/>
      <c r="B730" s="98"/>
      <c r="C730" s="99"/>
      <c r="D730" s="99"/>
      <c r="E730" s="111"/>
      <c r="F730" s="97"/>
      <c r="G730" s="97"/>
      <c r="H730" s="101"/>
      <c r="I730" s="62"/>
      <c r="J730" s="62"/>
      <c r="K730" s="58"/>
      <c r="L730" s="102"/>
      <c r="M730" s="103"/>
      <c r="N730" s="62"/>
      <c r="O730" s="101"/>
      <c r="P730" s="58"/>
      <c r="Q730" s="62"/>
      <c r="R730" s="62"/>
      <c r="S730" s="62"/>
      <c r="T730" s="62"/>
      <c r="U730" s="62"/>
      <c r="V730" s="62"/>
      <c r="W730" s="62"/>
      <c r="X730" s="62"/>
      <c r="Y730" s="62"/>
      <c r="Z730" s="62"/>
      <c r="AA730" s="62"/>
    </row>
    <row r="731">
      <c r="A731" s="96"/>
      <c r="B731" s="98"/>
      <c r="C731" s="99"/>
      <c r="D731" s="99"/>
      <c r="E731" s="111"/>
      <c r="F731" s="97"/>
      <c r="G731" s="97"/>
      <c r="H731" s="101"/>
      <c r="I731" s="62"/>
      <c r="J731" s="62"/>
      <c r="K731" s="58"/>
      <c r="L731" s="102"/>
      <c r="M731" s="103"/>
      <c r="N731" s="62"/>
      <c r="O731" s="101"/>
      <c r="P731" s="58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</row>
    <row r="732">
      <c r="A732" s="96"/>
      <c r="B732" s="98"/>
      <c r="C732" s="99"/>
      <c r="D732" s="99"/>
      <c r="E732" s="111"/>
      <c r="F732" s="97"/>
      <c r="G732" s="97"/>
      <c r="H732" s="101"/>
      <c r="I732" s="62"/>
      <c r="J732" s="62"/>
      <c r="K732" s="58"/>
      <c r="L732" s="102"/>
      <c r="M732" s="103"/>
      <c r="N732" s="62"/>
      <c r="O732" s="101"/>
      <c r="P732" s="58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</row>
    <row r="733">
      <c r="A733" s="96"/>
      <c r="B733" s="98"/>
      <c r="C733" s="99"/>
      <c r="D733" s="99"/>
      <c r="E733" s="111"/>
      <c r="F733" s="97"/>
      <c r="G733" s="97"/>
      <c r="H733" s="101"/>
      <c r="I733" s="62"/>
      <c r="J733" s="62"/>
      <c r="K733" s="58"/>
      <c r="L733" s="102"/>
      <c r="M733" s="103"/>
      <c r="N733" s="62"/>
      <c r="O733" s="101"/>
      <c r="P733" s="58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</row>
    <row r="734">
      <c r="A734" s="96"/>
      <c r="B734" s="98"/>
      <c r="C734" s="99"/>
      <c r="D734" s="99"/>
      <c r="E734" s="111"/>
      <c r="F734" s="97"/>
      <c r="G734" s="97"/>
      <c r="H734" s="101"/>
      <c r="I734" s="62"/>
      <c r="J734" s="62"/>
      <c r="K734" s="58"/>
      <c r="L734" s="102"/>
      <c r="M734" s="103"/>
      <c r="N734" s="62"/>
      <c r="O734" s="101"/>
      <c r="P734" s="58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</row>
    <row r="735">
      <c r="A735" s="96"/>
      <c r="B735" s="98"/>
      <c r="C735" s="99"/>
      <c r="D735" s="99"/>
      <c r="E735" s="111"/>
      <c r="F735" s="97"/>
      <c r="G735" s="97"/>
      <c r="H735" s="101"/>
      <c r="I735" s="62"/>
      <c r="J735" s="62"/>
      <c r="K735" s="58"/>
      <c r="L735" s="102"/>
      <c r="M735" s="103"/>
      <c r="N735" s="62"/>
      <c r="O735" s="101"/>
      <c r="P735" s="58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</row>
    <row r="736">
      <c r="A736" s="96"/>
      <c r="B736" s="98"/>
      <c r="C736" s="99"/>
      <c r="D736" s="99"/>
      <c r="E736" s="111"/>
      <c r="F736" s="97"/>
      <c r="G736" s="97"/>
      <c r="H736" s="101"/>
      <c r="I736" s="62"/>
      <c r="J736" s="62"/>
      <c r="K736" s="58"/>
      <c r="L736" s="102"/>
      <c r="M736" s="103"/>
      <c r="N736" s="62"/>
      <c r="O736" s="101"/>
      <c r="P736" s="58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</row>
    <row r="737">
      <c r="A737" s="96"/>
      <c r="B737" s="98"/>
      <c r="C737" s="99"/>
      <c r="D737" s="99"/>
      <c r="E737" s="111"/>
      <c r="F737" s="97"/>
      <c r="G737" s="97"/>
      <c r="H737" s="101"/>
      <c r="I737" s="62"/>
      <c r="J737" s="62"/>
      <c r="K737" s="58"/>
      <c r="L737" s="102"/>
      <c r="M737" s="103"/>
      <c r="N737" s="62"/>
      <c r="O737" s="101"/>
      <c r="P737" s="58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</row>
    <row r="738">
      <c r="A738" s="96"/>
      <c r="B738" s="98"/>
      <c r="C738" s="99"/>
      <c r="D738" s="99"/>
      <c r="E738" s="111"/>
      <c r="F738" s="97"/>
      <c r="G738" s="97"/>
      <c r="H738" s="101"/>
      <c r="I738" s="62"/>
      <c r="J738" s="62"/>
      <c r="K738" s="58"/>
      <c r="L738" s="102"/>
      <c r="M738" s="103"/>
      <c r="N738" s="62"/>
      <c r="O738" s="101"/>
      <c r="P738" s="58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</row>
    <row r="739">
      <c r="A739" s="96"/>
      <c r="B739" s="98"/>
      <c r="C739" s="99"/>
      <c r="D739" s="99"/>
      <c r="E739" s="111"/>
      <c r="F739" s="97"/>
      <c r="G739" s="97"/>
      <c r="H739" s="101"/>
      <c r="I739" s="62"/>
      <c r="J739" s="62"/>
      <c r="K739" s="58"/>
      <c r="L739" s="102"/>
      <c r="M739" s="103"/>
      <c r="N739" s="62"/>
      <c r="O739" s="101"/>
      <c r="P739" s="58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</row>
    <row r="740">
      <c r="A740" s="96"/>
      <c r="B740" s="98"/>
      <c r="C740" s="99"/>
      <c r="D740" s="99"/>
      <c r="E740" s="111"/>
      <c r="F740" s="97"/>
      <c r="G740" s="97"/>
      <c r="H740" s="101"/>
      <c r="I740" s="62"/>
      <c r="J740" s="62"/>
      <c r="K740" s="58"/>
      <c r="L740" s="102"/>
      <c r="M740" s="103"/>
      <c r="N740" s="62"/>
      <c r="O740" s="101"/>
      <c r="P740" s="58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</row>
    <row r="741">
      <c r="A741" s="96"/>
      <c r="B741" s="98"/>
      <c r="C741" s="99"/>
      <c r="D741" s="99"/>
      <c r="E741" s="111"/>
      <c r="F741" s="97"/>
      <c r="G741" s="97"/>
      <c r="H741" s="101"/>
      <c r="I741" s="62"/>
      <c r="J741" s="62"/>
      <c r="K741" s="58"/>
      <c r="L741" s="102"/>
      <c r="M741" s="103"/>
      <c r="N741" s="62"/>
      <c r="O741" s="101"/>
      <c r="P741" s="58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</row>
    <row r="742">
      <c r="A742" s="96"/>
      <c r="B742" s="98"/>
      <c r="C742" s="99"/>
      <c r="D742" s="99"/>
      <c r="E742" s="111"/>
      <c r="F742" s="97"/>
      <c r="G742" s="97"/>
      <c r="H742" s="101"/>
      <c r="I742" s="62"/>
      <c r="J742" s="62"/>
      <c r="K742" s="58"/>
      <c r="L742" s="102"/>
      <c r="M742" s="103"/>
      <c r="N742" s="62"/>
      <c r="O742" s="101"/>
      <c r="P742" s="58"/>
      <c r="Q742" s="62"/>
      <c r="R742" s="62"/>
      <c r="S742" s="62"/>
      <c r="T742" s="62"/>
      <c r="U742" s="62"/>
      <c r="V742" s="62"/>
      <c r="W742" s="62"/>
      <c r="X742" s="62"/>
      <c r="Y742" s="62"/>
      <c r="Z742" s="62"/>
      <c r="AA742" s="62"/>
    </row>
    <row r="743">
      <c r="A743" s="96"/>
      <c r="B743" s="98"/>
      <c r="C743" s="99"/>
      <c r="D743" s="99"/>
      <c r="E743" s="111"/>
      <c r="F743" s="97"/>
      <c r="G743" s="97"/>
      <c r="H743" s="101"/>
      <c r="I743" s="62"/>
      <c r="J743" s="62"/>
      <c r="K743" s="58"/>
      <c r="L743" s="102"/>
      <c r="M743" s="103"/>
      <c r="N743" s="62"/>
      <c r="O743" s="101"/>
      <c r="P743" s="58"/>
      <c r="Q743" s="62"/>
      <c r="R743" s="62"/>
      <c r="S743" s="62"/>
      <c r="T743" s="62"/>
      <c r="U743" s="62"/>
      <c r="V743" s="62"/>
      <c r="W743" s="62"/>
      <c r="X743" s="62"/>
      <c r="Y743" s="62"/>
      <c r="Z743" s="62"/>
      <c r="AA743" s="62"/>
    </row>
    <row r="744">
      <c r="A744" s="96"/>
      <c r="B744" s="98"/>
      <c r="C744" s="99"/>
      <c r="D744" s="99"/>
      <c r="E744" s="111"/>
      <c r="F744" s="97"/>
      <c r="G744" s="97"/>
      <c r="H744" s="101"/>
      <c r="I744" s="62"/>
      <c r="J744" s="62"/>
      <c r="K744" s="58"/>
      <c r="L744" s="102"/>
      <c r="M744" s="103"/>
      <c r="N744" s="62"/>
      <c r="O744" s="101"/>
      <c r="P744" s="58"/>
      <c r="Q744" s="62"/>
      <c r="R744" s="62"/>
      <c r="S744" s="62"/>
      <c r="T744" s="62"/>
      <c r="U744" s="62"/>
      <c r="V744" s="62"/>
      <c r="W744" s="62"/>
      <c r="X744" s="62"/>
      <c r="Y744" s="62"/>
      <c r="Z744" s="62"/>
      <c r="AA744" s="62"/>
    </row>
    <row r="745">
      <c r="A745" s="96"/>
      <c r="B745" s="98"/>
      <c r="C745" s="99"/>
      <c r="D745" s="99"/>
      <c r="E745" s="111"/>
      <c r="F745" s="97"/>
      <c r="G745" s="97"/>
      <c r="H745" s="101"/>
      <c r="I745" s="62"/>
      <c r="J745" s="62"/>
      <c r="K745" s="58"/>
      <c r="L745" s="102"/>
      <c r="M745" s="103"/>
      <c r="N745" s="62"/>
      <c r="O745" s="101"/>
      <c r="P745" s="58"/>
      <c r="Q745" s="62"/>
      <c r="R745" s="62"/>
      <c r="S745" s="62"/>
      <c r="T745" s="62"/>
      <c r="U745" s="62"/>
      <c r="V745" s="62"/>
      <c r="W745" s="62"/>
      <c r="X745" s="62"/>
      <c r="Y745" s="62"/>
      <c r="Z745" s="62"/>
      <c r="AA745" s="62"/>
    </row>
    <row r="746">
      <c r="A746" s="96"/>
      <c r="B746" s="98"/>
      <c r="C746" s="99"/>
      <c r="D746" s="99"/>
      <c r="E746" s="111"/>
      <c r="F746" s="97"/>
      <c r="G746" s="97"/>
      <c r="H746" s="101"/>
      <c r="I746" s="62"/>
      <c r="J746" s="62"/>
      <c r="K746" s="58"/>
      <c r="L746" s="102"/>
      <c r="M746" s="103"/>
      <c r="N746" s="62"/>
      <c r="O746" s="101"/>
      <c r="P746" s="58"/>
      <c r="Q746" s="62"/>
      <c r="R746" s="62"/>
      <c r="S746" s="62"/>
      <c r="T746" s="62"/>
      <c r="U746" s="62"/>
      <c r="V746" s="62"/>
      <c r="W746" s="62"/>
      <c r="X746" s="62"/>
      <c r="Y746" s="62"/>
      <c r="Z746" s="62"/>
      <c r="AA746" s="62"/>
    </row>
    <row r="747">
      <c r="A747" s="96"/>
      <c r="B747" s="98"/>
      <c r="C747" s="99"/>
      <c r="D747" s="99"/>
      <c r="E747" s="111"/>
      <c r="F747" s="97"/>
      <c r="G747" s="97"/>
      <c r="H747" s="101"/>
      <c r="I747" s="62"/>
      <c r="J747" s="62"/>
      <c r="K747" s="58"/>
      <c r="L747" s="102"/>
      <c r="M747" s="103"/>
      <c r="N747" s="62"/>
      <c r="O747" s="101"/>
      <c r="P747" s="58"/>
      <c r="Q747" s="62"/>
      <c r="R747" s="62"/>
      <c r="S747" s="62"/>
      <c r="T747" s="62"/>
      <c r="U747" s="62"/>
      <c r="V747" s="62"/>
      <c r="W747" s="62"/>
      <c r="X747" s="62"/>
      <c r="Y747" s="62"/>
      <c r="Z747" s="62"/>
      <c r="AA747" s="62"/>
    </row>
    <row r="748">
      <c r="A748" s="96"/>
      <c r="B748" s="98"/>
      <c r="C748" s="99"/>
      <c r="D748" s="99"/>
      <c r="E748" s="111"/>
      <c r="F748" s="97"/>
      <c r="G748" s="97"/>
      <c r="H748" s="101"/>
      <c r="I748" s="62"/>
      <c r="J748" s="62"/>
      <c r="K748" s="58"/>
      <c r="L748" s="102"/>
      <c r="M748" s="103"/>
      <c r="N748" s="62"/>
      <c r="O748" s="101"/>
      <c r="P748" s="58"/>
      <c r="Q748" s="62"/>
      <c r="R748" s="62"/>
      <c r="S748" s="62"/>
      <c r="T748" s="62"/>
      <c r="U748" s="62"/>
      <c r="V748" s="62"/>
      <c r="W748" s="62"/>
      <c r="X748" s="62"/>
      <c r="Y748" s="62"/>
      <c r="Z748" s="62"/>
      <c r="AA748" s="62"/>
    </row>
    <row r="749">
      <c r="A749" s="96"/>
      <c r="B749" s="98"/>
      <c r="C749" s="99"/>
      <c r="D749" s="99"/>
      <c r="E749" s="111"/>
      <c r="F749" s="97"/>
      <c r="G749" s="97"/>
      <c r="H749" s="101"/>
      <c r="I749" s="62"/>
      <c r="J749" s="62"/>
      <c r="K749" s="58"/>
      <c r="L749" s="102"/>
      <c r="M749" s="103"/>
      <c r="N749" s="62"/>
      <c r="O749" s="101"/>
      <c r="P749" s="58"/>
      <c r="Q749" s="62"/>
      <c r="R749" s="62"/>
      <c r="S749" s="62"/>
      <c r="T749" s="62"/>
      <c r="U749" s="62"/>
      <c r="V749" s="62"/>
      <c r="W749" s="62"/>
      <c r="X749" s="62"/>
      <c r="Y749" s="62"/>
      <c r="Z749" s="62"/>
      <c r="AA749" s="62"/>
    </row>
    <row r="750">
      <c r="A750" s="96"/>
      <c r="B750" s="98"/>
      <c r="C750" s="99"/>
      <c r="D750" s="99"/>
      <c r="E750" s="111"/>
      <c r="F750" s="97"/>
      <c r="G750" s="97"/>
      <c r="H750" s="101"/>
      <c r="I750" s="62"/>
      <c r="J750" s="62"/>
      <c r="K750" s="58"/>
      <c r="L750" s="102"/>
      <c r="M750" s="103"/>
      <c r="N750" s="62"/>
      <c r="O750" s="101"/>
      <c r="P750" s="58"/>
      <c r="Q750" s="62"/>
      <c r="R750" s="62"/>
      <c r="S750" s="62"/>
      <c r="T750" s="62"/>
      <c r="U750" s="62"/>
      <c r="V750" s="62"/>
      <c r="W750" s="62"/>
      <c r="X750" s="62"/>
      <c r="Y750" s="62"/>
      <c r="Z750" s="62"/>
      <c r="AA750" s="62"/>
    </row>
    <row r="751">
      <c r="A751" s="96"/>
      <c r="B751" s="98"/>
      <c r="C751" s="99"/>
      <c r="D751" s="99"/>
      <c r="E751" s="111"/>
      <c r="F751" s="97"/>
      <c r="G751" s="97"/>
      <c r="H751" s="101"/>
      <c r="I751" s="62"/>
      <c r="J751" s="62"/>
      <c r="K751" s="58"/>
      <c r="L751" s="102"/>
      <c r="M751" s="103"/>
      <c r="N751" s="62"/>
      <c r="O751" s="101"/>
      <c r="P751" s="58"/>
      <c r="Q751" s="62"/>
      <c r="R751" s="62"/>
      <c r="S751" s="62"/>
      <c r="T751" s="62"/>
      <c r="U751" s="62"/>
      <c r="V751" s="62"/>
      <c r="W751" s="62"/>
      <c r="X751" s="62"/>
      <c r="Y751" s="62"/>
      <c r="Z751" s="62"/>
      <c r="AA751" s="62"/>
    </row>
    <row r="752">
      <c r="A752" s="96"/>
      <c r="B752" s="98"/>
      <c r="C752" s="99"/>
      <c r="D752" s="99"/>
      <c r="E752" s="111"/>
      <c r="F752" s="97"/>
      <c r="G752" s="97"/>
      <c r="H752" s="101"/>
      <c r="I752" s="62"/>
      <c r="J752" s="62"/>
      <c r="K752" s="58"/>
      <c r="L752" s="102"/>
      <c r="M752" s="103"/>
      <c r="N752" s="62"/>
      <c r="O752" s="101"/>
      <c r="P752" s="58"/>
      <c r="Q752" s="62"/>
      <c r="R752" s="62"/>
      <c r="S752" s="62"/>
      <c r="T752" s="62"/>
      <c r="U752" s="62"/>
      <c r="V752" s="62"/>
      <c r="W752" s="62"/>
      <c r="X752" s="62"/>
      <c r="Y752" s="62"/>
      <c r="Z752" s="62"/>
      <c r="AA752" s="62"/>
    </row>
    <row r="753">
      <c r="A753" s="96"/>
      <c r="B753" s="98"/>
      <c r="C753" s="99"/>
      <c r="D753" s="99"/>
      <c r="E753" s="111"/>
      <c r="F753" s="97"/>
      <c r="G753" s="97"/>
      <c r="H753" s="101"/>
      <c r="I753" s="62"/>
      <c r="J753" s="62"/>
      <c r="K753" s="58"/>
      <c r="L753" s="102"/>
      <c r="M753" s="103"/>
      <c r="N753" s="62"/>
      <c r="O753" s="101"/>
      <c r="P753" s="58"/>
      <c r="Q753" s="62"/>
      <c r="R753" s="62"/>
      <c r="S753" s="62"/>
      <c r="T753" s="62"/>
      <c r="U753" s="62"/>
      <c r="V753" s="62"/>
      <c r="W753" s="62"/>
      <c r="X753" s="62"/>
      <c r="Y753" s="62"/>
      <c r="Z753" s="62"/>
      <c r="AA753" s="62"/>
    </row>
    <row r="754">
      <c r="A754" s="96"/>
      <c r="B754" s="98"/>
      <c r="C754" s="99"/>
      <c r="D754" s="99"/>
      <c r="E754" s="111"/>
      <c r="F754" s="97"/>
      <c r="G754" s="97"/>
      <c r="H754" s="101"/>
      <c r="I754" s="62"/>
      <c r="J754" s="62"/>
      <c r="K754" s="58"/>
      <c r="L754" s="102"/>
      <c r="M754" s="103"/>
      <c r="N754" s="62"/>
      <c r="O754" s="101"/>
      <c r="P754" s="58"/>
      <c r="Q754" s="62"/>
      <c r="R754" s="62"/>
      <c r="S754" s="62"/>
      <c r="T754" s="62"/>
      <c r="U754" s="62"/>
      <c r="V754" s="62"/>
      <c r="W754" s="62"/>
      <c r="X754" s="62"/>
      <c r="Y754" s="62"/>
      <c r="Z754" s="62"/>
      <c r="AA754" s="62"/>
    </row>
    <row r="755">
      <c r="A755" s="96"/>
      <c r="B755" s="98"/>
      <c r="C755" s="99"/>
      <c r="D755" s="99"/>
      <c r="E755" s="111"/>
      <c r="F755" s="97"/>
      <c r="G755" s="97"/>
      <c r="H755" s="101"/>
      <c r="I755" s="62"/>
      <c r="J755" s="62"/>
      <c r="K755" s="58"/>
      <c r="L755" s="102"/>
      <c r="M755" s="103"/>
      <c r="N755" s="62"/>
      <c r="O755" s="101"/>
      <c r="P755" s="58"/>
      <c r="Q755" s="62"/>
      <c r="R755" s="62"/>
      <c r="S755" s="62"/>
      <c r="T755" s="62"/>
      <c r="U755" s="62"/>
      <c r="V755" s="62"/>
      <c r="W755" s="62"/>
      <c r="X755" s="62"/>
      <c r="Y755" s="62"/>
      <c r="Z755" s="62"/>
      <c r="AA755" s="62"/>
    </row>
    <row r="756">
      <c r="A756" s="96"/>
      <c r="B756" s="98"/>
      <c r="C756" s="99"/>
      <c r="D756" s="99"/>
      <c r="E756" s="111"/>
      <c r="F756" s="97"/>
      <c r="G756" s="97"/>
      <c r="H756" s="101"/>
      <c r="I756" s="62"/>
      <c r="J756" s="62"/>
      <c r="K756" s="58"/>
      <c r="L756" s="102"/>
      <c r="M756" s="103"/>
      <c r="N756" s="62"/>
      <c r="O756" s="101"/>
      <c r="P756" s="58"/>
      <c r="Q756" s="62"/>
      <c r="R756" s="62"/>
      <c r="S756" s="62"/>
      <c r="T756" s="62"/>
      <c r="U756" s="62"/>
      <c r="V756" s="62"/>
      <c r="W756" s="62"/>
      <c r="X756" s="62"/>
      <c r="Y756" s="62"/>
      <c r="Z756" s="62"/>
      <c r="AA756" s="62"/>
    </row>
    <row r="757">
      <c r="A757" s="96"/>
      <c r="B757" s="98"/>
      <c r="C757" s="99"/>
      <c r="D757" s="99"/>
      <c r="E757" s="111"/>
      <c r="F757" s="97"/>
      <c r="G757" s="97"/>
      <c r="H757" s="101"/>
      <c r="I757" s="62"/>
      <c r="J757" s="62"/>
      <c r="K757" s="58"/>
      <c r="L757" s="102"/>
      <c r="M757" s="103"/>
      <c r="N757" s="62"/>
      <c r="O757" s="101"/>
      <c r="P757" s="58"/>
      <c r="Q757" s="62"/>
      <c r="R757" s="62"/>
      <c r="S757" s="62"/>
      <c r="T757" s="62"/>
      <c r="U757" s="62"/>
      <c r="V757" s="62"/>
      <c r="W757" s="62"/>
      <c r="X757" s="62"/>
      <c r="Y757" s="62"/>
      <c r="Z757" s="62"/>
      <c r="AA757" s="62"/>
    </row>
    <row r="758">
      <c r="A758" s="96"/>
      <c r="B758" s="98"/>
      <c r="C758" s="99"/>
      <c r="D758" s="99"/>
      <c r="E758" s="111"/>
      <c r="F758" s="97"/>
      <c r="G758" s="97"/>
      <c r="H758" s="101"/>
      <c r="I758" s="62"/>
      <c r="J758" s="62"/>
      <c r="K758" s="58"/>
      <c r="L758" s="102"/>
      <c r="M758" s="103"/>
      <c r="N758" s="62"/>
      <c r="O758" s="101"/>
      <c r="P758" s="58"/>
      <c r="Q758" s="62"/>
      <c r="R758" s="62"/>
      <c r="S758" s="62"/>
      <c r="T758" s="62"/>
      <c r="U758" s="62"/>
      <c r="V758" s="62"/>
      <c r="W758" s="62"/>
      <c r="X758" s="62"/>
      <c r="Y758" s="62"/>
      <c r="Z758" s="62"/>
      <c r="AA758" s="62"/>
    </row>
    <row r="759">
      <c r="A759" s="96"/>
      <c r="B759" s="98"/>
      <c r="C759" s="99"/>
      <c r="D759" s="99"/>
      <c r="E759" s="111"/>
      <c r="F759" s="97"/>
      <c r="G759" s="97"/>
      <c r="H759" s="101"/>
      <c r="I759" s="62"/>
      <c r="J759" s="62"/>
      <c r="K759" s="58"/>
      <c r="L759" s="102"/>
      <c r="M759" s="103"/>
      <c r="N759" s="62"/>
      <c r="O759" s="101"/>
      <c r="P759" s="58"/>
      <c r="Q759" s="62"/>
      <c r="R759" s="62"/>
      <c r="S759" s="62"/>
      <c r="T759" s="62"/>
      <c r="U759" s="62"/>
      <c r="V759" s="62"/>
      <c r="W759" s="62"/>
      <c r="X759" s="62"/>
      <c r="Y759" s="62"/>
      <c r="Z759" s="62"/>
      <c r="AA759" s="62"/>
    </row>
    <row r="760">
      <c r="A760" s="96"/>
      <c r="B760" s="98"/>
      <c r="C760" s="99"/>
      <c r="D760" s="99"/>
      <c r="E760" s="111"/>
      <c r="F760" s="97"/>
      <c r="G760" s="97"/>
      <c r="H760" s="101"/>
      <c r="I760" s="62"/>
      <c r="J760" s="62"/>
      <c r="K760" s="58"/>
      <c r="L760" s="102"/>
      <c r="M760" s="103"/>
      <c r="N760" s="62"/>
      <c r="O760" s="101"/>
      <c r="P760" s="58"/>
      <c r="Q760" s="62"/>
      <c r="R760" s="62"/>
      <c r="S760" s="62"/>
      <c r="T760" s="62"/>
      <c r="U760" s="62"/>
      <c r="V760" s="62"/>
      <c r="W760" s="62"/>
      <c r="X760" s="62"/>
      <c r="Y760" s="62"/>
      <c r="Z760" s="62"/>
      <c r="AA760" s="62"/>
    </row>
    <row r="761">
      <c r="A761" s="96"/>
      <c r="B761" s="98"/>
      <c r="C761" s="99"/>
      <c r="D761" s="99"/>
      <c r="E761" s="111"/>
      <c r="F761" s="97"/>
      <c r="G761" s="97"/>
      <c r="H761" s="101"/>
      <c r="I761" s="62"/>
      <c r="J761" s="62"/>
      <c r="K761" s="58"/>
      <c r="L761" s="102"/>
      <c r="M761" s="103"/>
      <c r="N761" s="62"/>
      <c r="O761" s="101"/>
      <c r="P761" s="58"/>
      <c r="Q761" s="62"/>
      <c r="R761" s="62"/>
      <c r="S761" s="62"/>
      <c r="T761" s="62"/>
      <c r="U761" s="62"/>
      <c r="V761" s="62"/>
      <c r="W761" s="62"/>
      <c r="X761" s="62"/>
      <c r="Y761" s="62"/>
      <c r="Z761" s="62"/>
      <c r="AA761" s="62"/>
    </row>
    <row r="762">
      <c r="A762" s="96"/>
      <c r="B762" s="98"/>
      <c r="C762" s="99"/>
      <c r="D762" s="99"/>
      <c r="E762" s="111"/>
      <c r="F762" s="97"/>
      <c r="G762" s="97"/>
      <c r="H762" s="101"/>
      <c r="I762" s="62"/>
      <c r="J762" s="62"/>
      <c r="K762" s="58"/>
      <c r="L762" s="102"/>
      <c r="M762" s="103"/>
      <c r="N762" s="62"/>
      <c r="O762" s="101"/>
      <c r="P762" s="58"/>
      <c r="Q762" s="62"/>
      <c r="R762" s="62"/>
      <c r="S762" s="62"/>
      <c r="T762" s="62"/>
      <c r="U762" s="62"/>
      <c r="V762" s="62"/>
      <c r="W762" s="62"/>
      <c r="X762" s="62"/>
      <c r="Y762" s="62"/>
      <c r="Z762" s="62"/>
      <c r="AA762" s="62"/>
    </row>
    <row r="763">
      <c r="A763" s="96"/>
      <c r="B763" s="98"/>
      <c r="C763" s="99"/>
      <c r="D763" s="99"/>
      <c r="E763" s="111"/>
      <c r="F763" s="97"/>
      <c r="G763" s="97"/>
      <c r="H763" s="101"/>
      <c r="I763" s="62"/>
      <c r="J763" s="62"/>
      <c r="K763" s="58"/>
      <c r="L763" s="102"/>
      <c r="M763" s="103"/>
      <c r="N763" s="62"/>
      <c r="O763" s="101"/>
      <c r="P763" s="58"/>
      <c r="Q763" s="62"/>
      <c r="R763" s="62"/>
      <c r="S763" s="62"/>
      <c r="T763" s="62"/>
      <c r="U763" s="62"/>
      <c r="V763" s="62"/>
      <c r="W763" s="62"/>
      <c r="X763" s="62"/>
      <c r="Y763" s="62"/>
      <c r="Z763" s="62"/>
      <c r="AA763" s="62"/>
    </row>
    <row r="764">
      <c r="A764" s="96"/>
      <c r="B764" s="98"/>
      <c r="C764" s="99"/>
      <c r="D764" s="99"/>
      <c r="E764" s="111"/>
      <c r="F764" s="97"/>
      <c r="G764" s="97"/>
      <c r="H764" s="101"/>
      <c r="I764" s="62"/>
      <c r="J764" s="62"/>
      <c r="K764" s="58"/>
      <c r="L764" s="102"/>
      <c r="M764" s="103"/>
      <c r="N764" s="62"/>
      <c r="O764" s="101"/>
      <c r="P764" s="58"/>
      <c r="Q764" s="62"/>
      <c r="R764" s="62"/>
      <c r="S764" s="62"/>
      <c r="T764" s="62"/>
      <c r="U764" s="62"/>
      <c r="V764" s="62"/>
      <c r="W764" s="62"/>
      <c r="X764" s="62"/>
      <c r="Y764" s="62"/>
      <c r="Z764" s="62"/>
      <c r="AA764" s="62"/>
    </row>
    <row r="765">
      <c r="A765" s="96"/>
      <c r="B765" s="98"/>
      <c r="C765" s="99"/>
      <c r="D765" s="99"/>
      <c r="E765" s="111"/>
      <c r="F765" s="97"/>
      <c r="G765" s="97"/>
      <c r="H765" s="101"/>
      <c r="I765" s="62"/>
      <c r="J765" s="62"/>
      <c r="K765" s="58"/>
      <c r="L765" s="102"/>
      <c r="M765" s="103"/>
      <c r="N765" s="62"/>
      <c r="O765" s="101"/>
      <c r="P765" s="58"/>
      <c r="Q765" s="62"/>
      <c r="R765" s="62"/>
      <c r="S765" s="62"/>
      <c r="T765" s="62"/>
      <c r="U765" s="62"/>
      <c r="V765" s="62"/>
      <c r="W765" s="62"/>
      <c r="X765" s="62"/>
      <c r="Y765" s="62"/>
      <c r="Z765" s="62"/>
      <c r="AA765" s="62"/>
    </row>
    <row r="766">
      <c r="A766" s="96"/>
      <c r="B766" s="98"/>
      <c r="C766" s="99"/>
      <c r="D766" s="99"/>
      <c r="E766" s="111"/>
      <c r="F766" s="97"/>
      <c r="G766" s="97"/>
      <c r="H766" s="101"/>
      <c r="I766" s="62"/>
      <c r="J766" s="62"/>
      <c r="K766" s="58"/>
      <c r="L766" s="102"/>
      <c r="M766" s="103"/>
      <c r="N766" s="62"/>
      <c r="O766" s="101"/>
      <c r="P766" s="58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</row>
    <row r="767">
      <c r="A767" s="96"/>
      <c r="B767" s="98"/>
      <c r="C767" s="99"/>
      <c r="D767" s="99"/>
      <c r="E767" s="111"/>
      <c r="F767" s="97"/>
      <c r="G767" s="97"/>
      <c r="H767" s="101"/>
      <c r="I767" s="62"/>
      <c r="J767" s="62"/>
      <c r="K767" s="58"/>
      <c r="L767" s="102"/>
      <c r="M767" s="103"/>
      <c r="N767" s="62"/>
      <c r="O767" s="101"/>
      <c r="P767" s="58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</row>
    <row r="768">
      <c r="A768" s="96"/>
      <c r="B768" s="98"/>
      <c r="C768" s="99"/>
      <c r="D768" s="99"/>
      <c r="E768" s="111"/>
      <c r="F768" s="97"/>
      <c r="G768" s="97"/>
      <c r="H768" s="101"/>
      <c r="I768" s="62"/>
      <c r="J768" s="62"/>
      <c r="K768" s="58"/>
      <c r="L768" s="102"/>
      <c r="M768" s="103"/>
      <c r="N768" s="62"/>
      <c r="O768" s="101"/>
      <c r="P768" s="58"/>
      <c r="Q768" s="62"/>
      <c r="R768" s="62"/>
      <c r="S768" s="62"/>
      <c r="T768" s="62"/>
      <c r="U768" s="62"/>
      <c r="V768" s="62"/>
      <c r="W768" s="62"/>
      <c r="X768" s="62"/>
      <c r="Y768" s="62"/>
      <c r="Z768" s="62"/>
      <c r="AA768" s="62"/>
    </row>
    <row r="769">
      <c r="A769" s="96"/>
      <c r="B769" s="98"/>
      <c r="C769" s="99"/>
      <c r="D769" s="99"/>
      <c r="E769" s="111"/>
      <c r="F769" s="97"/>
      <c r="G769" s="97"/>
      <c r="H769" s="101"/>
      <c r="I769" s="62"/>
      <c r="J769" s="62"/>
      <c r="K769" s="58"/>
      <c r="L769" s="102"/>
      <c r="M769" s="103"/>
      <c r="N769" s="62"/>
      <c r="O769" s="101"/>
      <c r="P769" s="58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</row>
    <row r="770">
      <c r="A770" s="96"/>
      <c r="B770" s="98"/>
      <c r="C770" s="99"/>
      <c r="D770" s="99"/>
      <c r="E770" s="111"/>
      <c r="F770" s="97"/>
      <c r="G770" s="97"/>
      <c r="H770" s="101"/>
      <c r="I770" s="62"/>
      <c r="J770" s="62"/>
      <c r="K770" s="58"/>
      <c r="L770" s="102"/>
      <c r="M770" s="103"/>
      <c r="N770" s="62"/>
      <c r="O770" s="101"/>
      <c r="P770" s="58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</row>
    <row r="771">
      <c r="A771" s="96"/>
      <c r="B771" s="98"/>
      <c r="C771" s="99"/>
      <c r="D771" s="99"/>
      <c r="E771" s="111"/>
      <c r="F771" s="97"/>
      <c r="G771" s="97"/>
      <c r="H771" s="101"/>
      <c r="I771" s="62"/>
      <c r="J771" s="62"/>
      <c r="K771" s="58"/>
      <c r="L771" s="102"/>
      <c r="M771" s="103"/>
      <c r="N771" s="62"/>
      <c r="O771" s="101"/>
      <c r="P771" s="58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</row>
    <row r="772">
      <c r="A772" s="96"/>
      <c r="B772" s="98"/>
      <c r="C772" s="99"/>
      <c r="D772" s="99"/>
      <c r="E772" s="111"/>
      <c r="F772" s="97"/>
      <c r="G772" s="97"/>
      <c r="H772" s="101"/>
      <c r="I772" s="62"/>
      <c r="J772" s="62"/>
      <c r="K772" s="58"/>
      <c r="L772" s="102"/>
      <c r="M772" s="103"/>
      <c r="N772" s="62"/>
      <c r="O772" s="101"/>
      <c r="P772" s="58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</row>
    <row r="773">
      <c r="A773" s="96"/>
      <c r="B773" s="98"/>
      <c r="C773" s="99"/>
      <c r="D773" s="99"/>
      <c r="E773" s="111"/>
      <c r="F773" s="97"/>
      <c r="G773" s="97"/>
      <c r="H773" s="101"/>
      <c r="I773" s="62"/>
      <c r="J773" s="62"/>
      <c r="K773" s="58"/>
      <c r="L773" s="102"/>
      <c r="M773" s="103"/>
      <c r="N773" s="62"/>
      <c r="O773" s="101"/>
      <c r="P773" s="58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</row>
    <row r="774">
      <c r="A774" s="96"/>
      <c r="B774" s="98"/>
      <c r="C774" s="99"/>
      <c r="D774" s="99"/>
      <c r="E774" s="111"/>
      <c r="F774" s="97"/>
      <c r="G774" s="97"/>
      <c r="H774" s="101"/>
      <c r="I774" s="62"/>
      <c r="J774" s="62"/>
      <c r="K774" s="58"/>
      <c r="L774" s="102"/>
      <c r="M774" s="103"/>
      <c r="N774" s="62"/>
      <c r="O774" s="101"/>
      <c r="P774" s="58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</row>
    <row r="775">
      <c r="A775" s="96"/>
      <c r="B775" s="98"/>
      <c r="C775" s="99"/>
      <c r="D775" s="99"/>
      <c r="E775" s="111"/>
      <c r="F775" s="97"/>
      <c r="G775" s="97"/>
      <c r="H775" s="101"/>
      <c r="I775" s="62"/>
      <c r="J775" s="62"/>
      <c r="K775" s="58"/>
      <c r="L775" s="102"/>
      <c r="M775" s="103"/>
      <c r="N775" s="62"/>
      <c r="O775" s="101"/>
      <c r="P775" s="58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</row>
    <row r="776">
      <c r="A776" s="96"/>
      <c r="B776" s="98"/>
      <c r="C776" s="99"/>
      <c r="D776" s="99"/>
      <c r="E776" s="111"/>
      <c r="F776" s="97"/>
      <c r="G776" s="97"/>
      <c r="H776" s="101"/>
      <c r="I776" s="62"/>
      <c r="J776" s="62"/>
      <c r="K776" s="58"/>
      <c r="L776" s="102"/>
      <c r="M776" s="103"/>
      <c r="N776" s="62"/>
      <c r="O776" s="101"/>
      <c r="P776" s="58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</row>
    <row r="777">
      <c r="A777" s="96"/>
      <c r="B777" s="98"/>
      <c r="C777" s="99"/>
      <c r="D777" s="99"/>
      <c r="E777" s="111"/>
      <c r="F777" s="97"/>
      <c r="G777" s="97"/>
      <c r="H777" s="101"/>
      <c r="I777" s="62"/>
      <c r="J777" s="62"/>
      <c r="K777" s="58"/>
      <c r="L777" s="102"/>
      <c r="M777" s="103"/>
      <c r="N777" s="62"/>
      <c r="O777" s="101"/>
      <c r="P777" s="58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</row>
    <row r="778">
      <c r="A778" s="96"/>
      <c r="B778" s="98"/>
      <c r="C778" s="99"/>
      <c r="D778" s="99"/>
      <c r="E778" s="111"/>
      <c r="F778" s="97"/>
      <c r="G778" s="97"/>
      <c r="H778" s="101"/>
      <c r="I778" s="62"/>
      <c r="J778" s="62"/>
      <c r="K778" s="58"/>
      <c r="L778" s="102"/>
      <c r="M778" s="103"/>
      <c r="N778" s="62"/>
      <c r="O778" s="101"/>
      <c r="P778" s="58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</row>
    <row r="779">
      <c r="A779" s="96"/>
      <c r="B779" s="98"/>
      <c r="C779" s="99"/>
      <c r="D779" s="99"/>
      <c r="E779" s="111"/>
      <c r="F779" s="97"/>
      <c r="G779" s="97"/>
      <c r="H779" s="101"/>
      <c r="I779" s="62"/>
      <c r="J779" s="62"/>
      <c r="K779" s="58"/>
      <c r="L779" s="102"/>
      <c r="M779" s="103"/>
      <c r="N779" s="62"/>
      <c r="O779" s="101"/>
      <c r="P779" s="58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</row>
    <row r="780">
      <c r="A780" s="96"/>
      <c r="B780" s="98"/>
      <c r="C780" s="99"/>
      <c r="D780" s="99"/>
      <c r="E780" s="111"/>
      <c r="F780" s="97"/>
      <c r="G780" s="97"/>
      <c r="H780" s="101"/>
      <c r="I780" s="62"/>
      <c r="J780" s="62"/>
      <c r="K780" s="58"/>
      <c r="L780" s="102"/>
      <c r="M780" s="103"/>
      <c r="N780" s="62"/>
      <c r="O780" s="101"/>
      <c r="P780" s="58"/>
      <c r="Q780" s="62"/>
      <c r="R780" s="62"/>
      <c r="S780" s="62"/>
      <c r="T780" s="62"/>
      <c r="U780" s="62"/>
      <c r="V780" s="62"/>
      <c r="W780" s="62"/>
      <c r="X780" s="62"/>
      <c r="Y780" s="62"/>
      <c r="Z780" s="62"/>
      <c r="AA780" s="62"/>
    </row>
    <row r="781">
      <c r="A781" s="96"/>
      <c r="B781" s="98"/>
      <c r="C781" s="99"/>
      <c r="D781" s="99"/>
      <c r="E781" s="111"/>
      <c r="F781" s="97"/>
      <c r="G781" s="97"/>
      <c r="H781" s="101"/>
      <c r="I781" s="62"/>
      <c r="J781" s="62"/>
      <c r="K781" s="58"/>
      <c r="L781" s="102"/>
      <c r="M781" s="103"/>
      <c r="N781" s="62"/>
      <c r="O781" s="101"/>
      <c r="P781" s="58"/>
      <c r="Q781" s="62"/>
      <c r="R781" s="62"/>
      <c r="S781" s="62"/>
      <c r="T781" s="62"/>
      <c r="U781" s="62"/>
      <c r="V781" s="62"/>
      <c r="W781" s="62"/>
      <c r="X781" s="62"/>
      <c r="Y781" s="62"/>
      <c r="Z781" s="62"/>
      <c r="AA781" s="62"/>
    </row>
    <row r="782">
      <c r="A782" s="96"/>
      <c r="B782" s="98"/>
      <c r="C782" s="99"/>
      <c r="D782" s="99"/>
      <c r="E782" s="111"/>
      <c r="F782" s="97"/>
      <c r="G782" s="97"/>
      <c r="H782" s="101"/>
      <c r="I782" s="62"/>
      <c r="J782" s="62"/>
      <c r="K782" s="58"/>
      <c r="L782" s="102"/>
      <c r="M782" s="103"/>
      <c r="N782" s="62"/>
      <c r="O782" s="101"/>
      <c r="P782" s="58"/>
      <c r="Q782" s="62"/>
      <c r="R782" s="62"/>
      <c r="S782" s="62"/>
      <c r="T782" s="62"/>
      <c r="U782" s="62"/>
      <c r="V782" s="62"/>
      <c r="W782" s="62"/>
      <c r="X782" s="62"/>
      <c r="Y782" s="62"/>
      <c r="Z782" s="62"/>
      <c r="AA782" s="62"/>
    </row>
    <row r="783">
      <c r="A783" s="96"/>
      <c r="B783" s="98"/>
      <c r="C783" s="99"/>
      <c r="D783" s="99"/>
      <c r="E783" s="111"/>
      <c r="F783" s="97"/>
      <c r="G783" s="97"/>
      <c r="H783" s="101"/>
      <c r="I783" s="62"/>
      <c r="J783" s="62"/>
      <c r="K783" s="58"/>
      <c r="L783" s="102"/>
      <c r="M783" s="103"/>
      <c r="N783" s="62"/>
      <c r="O783" s="101"/>
      <c r="P783" s="58"/>
      <c r="Q783" s="62"/>
      <c r="R783" s="62"/>
      <c r="S783" s="62"/>
      <c r="T783" s="62"/>
      <c r="U783" s="62"/>
      <c r="V783" s="62"/>
      <c r="W783" s="62"/>
      <c r="X783" s="62"/>
      <c r="Y783" s="62"/>
      <c r="Z783" s="62"/>
      <c r="AA783" s="62"/>
    </row>
    <row r="784">
      <c r="A784" s="96"/>
      <c r="B784" s="98"/>
      <c r="C784" s="99"/>
      <c r="D784" s="99"/>
      <c r="E784" s="111"/>
      <c r="F784" s="97"/>
      <c r="G784" s="97"/>
      <c r="H784" s="101"/>
      <c r="I784" s="62"/>
      <c r="J784" s="62"/>
      <c r="K784" s="58"/>
      <c r="L784" s="102"/>
      <c r="M784" s="103"/>
      <c r="N784" s="62"/>
      <c r="O784" s="101"/>
      <c r="P784" s="58"/>
      <c r="Q784" s="62"/>
      <c r="R784" s="62"/>
      <c r="S784" s="62"/>
      <c r="T784" s="62"/>
      <c r="U784" s="62"/>
      <c r="V784" s="62"/>
      <c r="W784" s="62"/>
      <c r="X784" s="62"/>
      <c r="Y784" s="62"/>
      <c r="Z784" s="62"/>
      <c r="AA784" s="62"/>
    </row>
    <row r="785">
      <c r="A785" s="96"/>
      <c r="B785" s="98"/>
      <c r="C785" s="99"/>
      <c r="D785" s="99"/>
      <c r="E785" s="111"/>
      <c r="F785" s="97"/>
      <c r="G785" s="97"/>
      <c r="H785" s="101"/>
      <c r="I785" s="62"/>
      <c r="J785" s="62"/>
      <c r="K785" s="58"/>
      <c r="L785" s="102"/>
      <c r="M785" s="103"/>
      <c r="N785" s="62"/>
      <c r="O785" s="101"/>
      <c r="P785" s="58"/>
      <c r="Q785" s="62"/>
      <c r="R785" s="62"/>
      <c r="S785" s="62"/>
      <c r="T785" s="62"/>
      <c r="U785" s="62"/>
      <c r="V785" s="62"/>
      <c r="W785" s="62"/>
      <c r="X785" s="62"/>
      <c r="Y785" s="62"/>
      <c r="Z785" s="62"/>
      <c r="AA785" s="62"/>
    </row>
    <row r="786">
      <c r="A786" s="96"/>
      <c r="B786" s="98"/>
      <c r="C786" s="99"/>
      <c r="D786" s="99"/>
      <c r="E786" s="111"/>
      <c r="F786" s="97"/>
      <c r="G786" s="97"/>
      <c r="H786" s="101"/>
      <c r="I786" s="62"/>
      <c r="J786" s="62"/>
      <c r="K786" s="58"/>
      <c r="L786" s="102"/>
      <c r="M786" s="103"/>
      <c r="N786" s="62"/>
      <c r="O786" s="101"/>
      <c r="P786" s="58"/>
      <c r="Q786" s="62"/>
      <c r="R786" s="62"/>
      <c r="S786" s="62"/>
      <c r="T786" s="62"/>
      <c r="U786" s="62"/>
      <c r="V786" s="62"/>
      <c r="W786" s="62"/>
      <c r="X786" s="62"/>
      <c r="Y786" s="62"/>
      <c r="Z786" s="62"/>
      <c r="AA786" s="62"/>
    </row>
    <row r="787">
      <c r="A787" s="96"/>
      <c r="B787" s="98"/>
      <c r="C787" s="99"/>
      <c r="D787" s="99"/>
      <c r="E787" s="111"/>
      <c r="F787" s="97"/>
      <c r="G787" s="97"/>
      <c r="H787" s="101"/>
      <c r="I787" s="62"/>
      <c r="J787" s="62"/>
      <c r="K787" s="58"/>
      <c r="L787" s="102"/>
      <c r="M787" s="103"/>
      <c r="N787" s="62"/>
      <c r="O787" s="101"/>
      <c r="P787" s="58"/>
      <c r="Q787" s="62"/>
      <c r="R787" s="62"/>
      <c r="S787" s="62"/>
      <c r="T787" s="62"/>
      <c r="U787" s="62"/>
      <c r="V787" s="62"/>
      <c r="W787" s="62"/>
      <c r="X787" s="62"/>
      <c r="Y787" s="62"/>
      <c r="Z787" s="62"/>
      <c r="AA787" s="62"/>
    </row>
    <row r="788">
      <c r="A788" s="96"/>
      <c r="B788" s="98"/>
      <c r="C788" s="99"/>
      <c r="D788" s="99"/>
      <c r="E788" s="111"/>
      <c r="F788" s="97"/>
      <c r="G788" s="97"/>
      <c r="H788" s="101"/>
      <c r="I788" s="62"/>
      <c r="J788" s="62"/>
      <c r="K788" s="58"/>
      <c r="L788" s="102"/>
      <c r="M788" s="103"/>
      <c r="N788" s="62"/>
      <c r="O788" s="101"/>
      <c r="P788" s="58"/>
      <c r="Q788" s="62"/>
      <c r="R788" s="62"/>
      <c r="S788" s="62"/>
      <c r="T788" s="62"/>
      <c r="U788" s="62"/>
      <c r="V788" s="62"/>
      <c r="W788" s="62"/>
      <c r="X788" s="62"/>
      <c r="Y788" s="62"/>
      <c r="Z788" s="62"/>
      <c r="AA788" s="62"/>
    </row>
    <row r="789">
      <c r="A789" s="96"/>
      <c r="B789" s="98"/>
      <c r="C789" s="99"/>
      <c r="D789" s="99"/>
      <c r="E789" s="111"/>
      <c r="F789" s="97"/>
      <c r="G789" s="97"/>
      <c r="H789" s="101"/>
      <c r="I789" s="62"/>
      <c r="J789" s="62"/>
      <c r="K789" s="58"/>
      <c r="L789" s="102"/>
      <c r="M789" s="103"/>
      <c r="N789" s="62"/>
      <c r="O789" s="101"/>
      <c r="P789" s="58"/>
      <c r="Q789" s="62"/>
      <c r="R789" s="62"/>
      <c r="S789" s="62"/>
      <c r="T789" s="62"/>
      <c r="U789" s="62"/>
      <c r="V789" s="62"/>
      <c r="W789" s="62"/>
      <c r="X789" s="62"/>
      <c r="Y789" s="62"/>
      <c r="Z789" s="62"/>
      <c r="AA789" s="62"/>
    </row>
    <row r="790">
      <c r="A790" s="96"/>
      <c r="B790" s="98"/>
      <c r="C790" s="99"/>
      <c r="D790" s="99"/>
      <c r="E790" s="111"/>
      <c r="F790" s="97"/>
      <c r="G790" s="97"/>
      <c r="H790" s="101"/>
      <c r="I790" s="62"/>
      <c r="J790" s="62"/>
      <c r="K790" s="58"/>
      <c r="L790" s="102"/>
      <c r="M790" s="103"/>
      <c r="N790" s="62"/>
      <c r="O790" s="101"/>
      <c r="P790" s="58"/>
      <c r="Q790" s="62"/>
      <c r="R790" s="62"/>
      <c r="S790" s="62"/>
      <c r="T790" s="62"/>
      <c r="U790" s="62"/>
      <c r="V790" s="62"/>
      <c r="W790" s="62"/>
      <c r="X790" s="62"/>
      <c r="Y790" s="62"/>
      <c r="Z790" s="62"/>
      <c r="AA790" s="62"/>
    </row>
    <row r="791">
      <c r="A791" s="96"/>
      <c r="B791" s="98"/>
      <c r="C791" s="99"/>
      <c r="D791" s="99"/>
      <c r="E791" s="111"/>
      <c r="F791" s="97"/>
      <c r="G791" s="97"/>
      <c r="H791" s="101"/>
      <c r="I791" s="62"/>
      <c r="J791" s="62"/>
      <c r="K791" s="58"/>
      <c r="L791" s="102"/>
      <c r="M791" s="103"/>
      <c r="N791" s="62"/>
      <c r="O791" s="101"/>
      <c r="P791" s="58"/>
      <c r="Q791" s="62"/>
      <c r="R791" s="62"/>
      <c r="S791" s="62"/>
      <c r="T791" s="62"/>
      <c r="U791" s="62"/>
      <c r="V791" s="62"/>
      <c r="W791" s="62"/>
      <c r="X791" s="62"/>
      <c r="Y791" s="62"/>
      <c r="Z791" s="62"/>
      <c r="AA791" s="62"/>
    </row>
    <row r="792">
      <c r="A792" s="96"/>
      <c r="B792" s="98"/>
      <c r="C792" s="99"/>
      <c r="D792" s="99"/>
      <c r="E792" s="111"/>
      <c r="F792" s="97"/>
      <c r="G792" s="97"/>
      <c r="H792" s="101"/>
      <c r="I792" s="62"/>
      <c r="J792" s="62"/>
      <c r="K792" s="58"/>
      <c r="L792" s="102"/>
      <c r="M792" s="103"/>
      <c r="N792" s="62"/>
      <c r="O792" s="101"/>
      <c r="P792" s="58"/>
      <c r="Q792" s="62"/>
      <c r="R792" s="62"/>
      <c r="S792" s="62"/>
      <c r="T792" s="62"/>
      <c r="U792" s="62"/>
      <c r="V792" s="62"/>
      <c r="W792" s="62"/>
      <c r="X792" s="62"/>
      <c r="Y792" s="62"/>
      <c r="Z792" s="62"/>
      <c r="AA792" s="62"/>
    </row>
    <row r="793">
      <c r="A793" s="96"/>
      <c r="B793" s="98"/>
      <c r="C793" s="99"/>
      <c r="D793" s="99"/>
      <c r="E793" s="111"/>
      <c r="F793" s="97"/>
      <c r="G793" s="97"/>
      <c r="H793" s="101"/>
      <c r="I793" s="62"/>
      <c r="J793" s="62"/>
      <c r="K793" s="58"/>
      <c r="L793" s="102"/>
      <c r="M793" s="103"/>
      <c r="N793" s="62"/>
      <c r="O793" s="101"/>
      <c r="P793" s="58"/>
      <c r="Q793" s="62"/>
      <c r="R793" s="62"/>
      <c r="S793" s="62"/>
      <c r="T793" s="62"/>
      <c r="U793" s="62"/>
      <c r="V793" s="62"/>
      <c r="W793" s="62"/>
      <c r="X793" s="62"/>
      <c r="Y793" s="62"/>
      <c r="Z793" s="62"/>
      <c r="AA793" s="62"/>
    </row>
    <row r="794">
      <c r="A794" s="96"/>
      <c r="B794" s="98"/>
      <c r="C794" s="99"/>
      <c r="D794" s="99"/>
      <c r="E794" s="111"/>
      <c r="F794" s="97"/>
      <c r="G794" s="97"/>
      <c r="H794" s="101"/>
      <c r="I794" s="62"/>
      <c r="J794" s="62"/>
      <c r="K794" s="58"/>
      <c r="L794" s="102"/>
      <c r="M794" s="103"/>
      <c r="N794" s="62"/>
      <c r="O794" s="101"/>
      <c r="P794" s="58"/>
      <c r="Q794" s="62"/>
      <c r="R794" s="62"/>
      <c r="S794" s="62"/>
      <c r="T794" s="62"/>
      <c r="U794" s="62"/>
      <c r="V794" s="62"/>
      <c r="W794" s="62"/>
      <c r="X794" s="62"/>
      <c r="Y794" s="62"/>
      <c r="Z794" s="62"/>
      <c r="AA794" s="62"/>
    </row>
    <row r="795">
      <c r="A795" s="96"/>
      <c r="B795" s="98"/>
      <c r="C795" s="99"/>
      <c r="D795" s="99"/>
      <c r="E795" s="111"/>
      <c r="F795" s="97"/>
      <c r="G795" s="97"/>
      <c r="H795" s="101"/>
      <c r="I795" s="62"/>
      <c r="J795" s="62"/>
      <c r="K795" s="58"/>
      <c r="L795" s="102"/>
      <c r="M795" s="103"/>
      <c r="N795" s="62"/>
      <c r="O795" s="101"/>
      <c r="P795" s="58"/>
      <c r="Q795" s="62"/>
      <c r="R795" s="62"/>
      <c r="S795" s="62"/>
      <c r="T795" s="62"/>
      <c r="U795" s="62"/>
      <c r="V795" s="62"/>
      <c r="W795" s="62"/>
      <c r="X795" s="62"/>
      <c r="Y795" s="62"/>
      <c r="Z795" s="62"/>
      <c r="AA795" s="62"/>
    </row>
    <row r="796">
      <c r="A796" s="96"/>
      <c r="B796" s="98"/>
      <c r="C796" s="99"/>
      <c r="D796" s="99"/>
      <c r="E796" s="111"/>
      <c r="F796" s="97"/>
      <c r="G796" s="97"/>
      <c r="H796" s="101"/>
      <c r="I796" s="62"/>
      <c r="J796" s="62"/>
      <c r="K796" s="58"/>
      <c r="L796" s="102"/>
      <c r="M796" s="103"/>
      <c r="N796" s="62"/>
      <c r="O796" s="101"/>
      <c r="P796" s="58"/>
      <c r="Q796" s="62"/>
      <c r="R796" s="62"/>
      <c r="S796" s="62"/>
      <c r="T796" s="62"/>
      <c r="U796" s="62"/>
      <c r="V796" s="62"/>
      <c r="W796" s="62"/>
      <c r="X796" s="62"/>
      <c r="Y796" s="62"/>
      <c r="Z796" s="62"/>
      <c r="AA796" s="62"/>
    </row>
    <row r="797">
      <c r="A797" s="96"/>
      <c r="B797" s="98"/>
      <c r="C797" s="99"/>
      <c r="D797" s="99"/>
      <c r="E797" s="111"/>
      <c r="F797" s="97"/>
      <c r="G797" s="97"/>
      <c r="H797" s="101"/>
      <c r="I797" s="62"/>
      <c r="J797" s="62"/>
      <c r="K797" s="58"/>
      <c r="L797" s="102"/>
      <c r="M797" s="103"/>
      <c r="N797" s="62"/>
      <c r="O797" s="101"/>
      <c r="P797" s="58"/>
      <c r="Q797" s="62"/>
      <c r="R797" s="62"/>
      <c r="S797" s="62"/>
      <c r="T797" s="62"/>
      <c r="U797" s="62"/>
      <c r="V797" s="62"/>
      <c r="W797" s="62"/>
      <c r="X797" s="62"/>
      <c r="Y797" s="62"/>
      <c r="Z797" s="62"/>
      <c r="AA797" s="62"/>
    </row>
    <row r="798">
      <c r="A798" s="96"/>
      <c r="B798" s="98"/>
      <c r="C798" s="99"/>
      <c r="D798" s="99"/>
      <c r="E798" s="111"/>
      <c r="F798" s="97"/>
      <c r="G798" s="97"/>
      <c r="H798" s="101"/>
      <c r="I798" s="62"/>
      <c r="J798" s="62"/>
      <c r="K798" s="58"/>
      <c r="L798" s="102"/>
      <c r="M798" s="103"/>
      <c r="N798" s="62"/>
      <c r="O798" s="101"/>
      <c r="P798" s="58"/>
      <c r="Q798" s="62"/>
      <c r="R798" s="62"/>
      <c r="S798" s="62"/>
      <c r="T798" s="62"/>
      <c r="U798" s="62"/>
      <c r="V798" s="62"/>
      <c r="W798" s="62"/>
      <c r="X798" s="62"/>
      <c r="Y798" s="62"/>
      <c r="Z798" s="62"/>
      <c r="AA798" s="62"/>
    </row>
    <row r="799">
      <c r="A799" s="96"/>
      <c r="B799" s="98"/>
      <c r="C799" s="99"/>
      <c r="D799" s="99"/>
      <c r="E799" s="111"/>
      <c r="F799" s="97"/>
      <c r="G799" s="97"/>
      <c r="H799" s="101"/>
      <c r="I799" s="62"/>
      <c r="J799" s="62"/>
      <c r="K799" s="58"/>
      <c r="L799" s="102"/>
      <c r="M799" s="103"/>
      <c r="N799" s="62"/>
      <c r="O799" s="101"/>
      <c r="P799" s="58"/>
      <c r="Q799" s="62"/>
      <c r="R799" s="62"/>
      <c r="S799" s="62"/>
      <c r="T799" s="62"/>
      <c r="U799" s="62"/>
      <c r="V799" s="62"/>
      <c r="W799" s="62"/>
      <c r="X799" s="62"/>
      <c r="Y799" s="62"/>
      <c r="Z799" s="62"/>
      <c r="AA799" s="62"/>
    </row>
    <row r="800">
      <c r="A800" s="96"/>
      <c r="B800" s="98"/>
      <c r="C800" s="99"/>
      <c r="D800" s="99"/>
      <c r="E800" s="111"/>
      <c r="F800" s="97"/>
      <c r="G800" s="97"/>
      <c r="H800" s="101"/>
      <c r="I800" s="62"/>
      <c r="J800" s="62"/>
      <c r="K800" s="58"/>
      <c r="L800" s="102"/>
      <c r="M800" s="103"/>
      <c r="N800" s="62"/>
      <c r="O800" s="101"/>
      <c r="P800" s="58"/>
      <c r="Q800" s="62"/>
      <c r="R800" s="62"/>
      <c r="S800" s="62"/>
      <c r="T800" s="62"/>
      <c r="U800" s="62"/>
      <c r="V800" s="62"/>
      <c r="W800" s="62"/>
      <c r="X800" s="62"/>
      <c r="Y800" s="62"/>
      <c r="Z800" s="62"/>
      <c r="AA800" s="62"/>
    </row>
    <row r="801">
      <c r="A801" s="96"/>
      <c r="B801" s="98"/>
      <c r="C801" s="99"/>
      <c r="D801" s="99"/>
      <c r="E801" s="111"/>
      <c r="F801" s="97"/>
      <c r="G801" s="97"/>
      <c r="H801" s="101"/>
      <c r="I801" s="62"/>
      <c r="J801" s="62"/>
      <c r="K801" s="58"/>
      <c r="L801" s="102"/>
      <c r="M801" s="103"/>
      <c r="N801" s="62"/>
      <c r="O801" s="101"/>
      <c r="P801" s="58"/>
      <c r="Q801" s="62"/>
      <c r="R801" s="62"/>
      <c r="S801" s="62"/>
      <c r="T801" s="62"/>
      <c r="U801" s="62"/>
      <c r="V801" s="62"/>
      <c r="W801" s="62"/>
      <c r="X801" s="62"/>
      <c r="Y801" s="62"/>
      <c r="Z801" s="62"/>
      <c r="AA801" s="62"/>
    </row>
    <row r="802">
      <c r="A802" s="96"/>
      <c r="B802" s="98"/>
      <c r="C802" s="99"/>
      <c r="D802" s="99"/>
      <c r="E802" s="111"/>
      <c r="F802" s="97"/>
      <c r="G802" s="97"/>
      <c r="H802" s="101"/>
      <c r="I802" s="62"/>
      <c r="J802" s="62"/>
      <c r="K802" s="58"/>
      <c r="L802" s="102"/>
      <c r="M802" s="103"/>
      <c r="N802" s="62"/>
      <c r="O802" s="101"/>
      <c r="P802" s="58"/>
      <c r="Q802" s="62"/>
      <c r="R802" s="62"/>
      <c r="S802" s="62"/>
      <c r="T802" s="62"/>
      <c r="U802" s="62"/>
      <c r="V802" s="62"/>
      <c r="W802" s="62"/>
      <c r="X802" s="62"/>
      <c r="Y802" s="62"/>
      <c r="Z802" s="62"/>
      <c r="AA802" s="62"/>
    </row>
    <row r="803">
      <c r="A803" s="96"/>
      <c r="B803" s="98"/>
      <c r="C803" s="99"/>
      <c r="D803" s="99"/>
      <c r="E803" s="111"/>
      <c r="F803" s="111"/>
      <c r="G803" s="111"/>
      <c r="H803" s="113"/>
      <c r="I803" s="62"/>
      <c r="J803" s="62"/>
      <c r="K803" s="58"/>
      <c r="L803" s="102"/>
      <c r="M803" s="103"/>
      <c r="N803" s="62"/>
      <c r="O803" s="113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  <c r="AA803" s="62"/>
    </row>
    <row r="804">
      <c r="A804" s="96"/>
      <c r="B804" s="98"/>
      <c r="C804" s="99"/>
      <c r="D804" s="99"/>
      <c r="E804" s="111"/>
      <c r="F804" s="111"/>
      <c r="G804" s="111"/>
      <c r="H804" s="113"/>
      <c r="I804" s="62"/>
      <c r="J804" s="62"/>
      <c r="K804" s="58"/>
      <c r="L804" s="102"/>
      <c r="M804" s="103"/>
      <c r="N804" s="62"/>
      <c r="O804" s="113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</row>
    <row r="805">
      <c r="A805" s="96"/>
      <c r="B805" s="98"/>
      <c r="C805" s="99"/>
      <c r="D805" s="99"/>
      <c r="E805" s="111"/>
      <c r="F805" s="111"/>
      <c r="G805" s="111"/>
      <c r="H805" s="113"/>
      <c r="I805" s="62"/>
      <c r="J805" s="62"/>
      <c r="K805" s="58"/>
      <c r="L805" s="102"/>
      <c r="M805" s="103"/>
      <c r="N805" s="62"/>
      <c r="O805" s="113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</row>
    <row r="806">
      <c r="A806" s="96"/>
      <c r="B806" s="98"/>
      <c r="C806" s="99"/>
      <c r="D806" s="99"/>
      <c r="E806" s="111"/>
      <c r="F806" s="111"/>
      <c r="G806" s="111"/>
      <c r="H806" s="113"/>
      <c r="I806" s="62"/>
      <c r="J806" s="62"/>
      <c r="K806" s="58"/>
      <c r="L806" s="102"/>
      <c r="M806" s="103"/>
      <c r="N806" s="62"/>
      <c r="O806" s="113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  <c r="AA806" s="62"/>
    </row>
    <row r="807">
      <c r="A807" s="114"/>
      <c r="B807" s="111"/>
      <c r="C807" s="111"/>
      <c r="D807" s="111"/>
      <c r="E807" s="111"/>
      <c r="F807" s="111"/>
      <c r="G807" s="111"/>
      <c r="H807" s="113"/>
      <c r="I807" s="62"/>
      <c r="J807" s="62"/>
      <c r="K807" s="62"/>
      <c r="L807" s="62"/>
      <c r="M807" s="62"/>
      <c r="N807" s="62"/>
      <c r="O807" s="113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</row>
    <row r="808">
      <c r="A808" s="114"/>
      <c r="B808" s="111"/>
      <c r="C808" s="111"/>
      <c r="D808" s="111"/>
      <c r="E808" s="111"/>
      <c r="F808" s="111"/>
      <c r="G808" s="111"/>
      <c r="H808" s="113"/>
      <c r="I808" s="62"/>
      <c r="J808" s="62"/>
      <c r="K808" s="62"/>
      <c r="L808" s="62"/>
      <c r="M808" s="62"/>
      <c r="N808" s="62"/>
      <c r="O808" s="113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</row>
    <row r="809">
      <c r="A809" s="114"/>
      <c r="B809" s="111"/>
      <c r="C809" s="111"/>
      <c r="D809" s="111"/>
      <c r="E809" s="111"/>
      <c r="F809" s="111"/>
      <c r="G809" s="111"/>
      <c r="H809" s="113"/>
      <c r="I809" s="62"/>
      <c r="J809" s="62"/>
      <c r="K809" s="62"/>
      <c r="L809" s="62"/>
      <c r="M809" s="62"/>
      <c r="N809" s="62"/>
      <c r="O809" s="113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</row>
    <row r="810">
      <c r="A810" s="114"/>
      <c r="B810" s="111"/>
      <c r="C810" s="111"/>
      <c r="D810" s="111"/>
      <c r="E810" s="111"/>
      <c r="F810" s="111"/>
      <c r="G810" s="111"/>
      <c r="H810" s="113"/>
      <c r="I810" s="62"/>
      <c r="J810" s="62"/>
      <c r="K810" s="62"/>
      <c r="L810" s="62"/>
      <c r="M810" s="62"/>
      <c r="N810" s="62"/>
      <c r="O810" s="113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</row>
    <row r="811">
      <c r="A811" s="114"/>
      <c r="B811" s="111"/>
      <c r="C811" s="111"/>
      <c r="D811" s="111"/>
      <c r="E811" s="111"/>
      <c r="F811" s="111"/>
      <c r="G811" s="111"/>
      <c r="H811" s="113"/>
      <c r="I811" s="62"/>
      <c r="J811" s="62"/>
      <c r="K811" s="62"/>
      <c r="L811" s="62"/>
      <c r="M811" s="62"/>
      <c r="N811" s="62"/>
      <c r="O811" s="113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</row>
    <row r="812">
      <c r="A812" s="114"/>
      <c r="B812" s="111"/>
      <c r="C812" s="111"/>
      <c r="D812" s="111"/>
      <c r="E812" s="111"/>
      <c r="F812" s="111"/>
      <c r="G812" s="111"/>
      <c r="H812" s="113"/>
      <c r="I812" s="62"/>
      <c r="J812" s="62"/>
      <c r="K812" s="62"/>
      <c r="L812" s="62"/>
      <c r="M812" s="62"/>
      <c r="N812" s="62"/>
      <c r="O812" s="113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</row>
    <row r="813">
      <c r="A813" s="114"/>
      <c r="B813" s="111"/>
      <c r="C813" s="111"/>
      <c r="D813" s="111"/>
      <c r="E813" s="111"/>
      <c r="F813" s="111"/>
      <c r="G813" s="111"/>
      <c r="H813" s="113"/>
      <c r="I813" s="62"/>
      <c r="J813" s="62"/>
      <c r="K813" s="62"/>
      <c r="L813" s="62"/>
      <c r="M813" s="62"/>
      <c r="N813" s="62"/>
      <c r="O813" s="113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</row>
    <row r="814">
      <c r="A814" s="114"/>
      <c r="B814" s="111"/>
      <c r="C814" s="111"/>
      <c r="D814" s="111"/>
      <c r="E814" s="111"/>
      <c r="F814" s="111"/>
      <c r="G814" s="111"/>
      <c r="H814" s="113"/>
      <c r="I814" s="62"/>
      <c r="J814" s="62"/>
      <c r="K814" s="62"/>
      <c r="L814" s="62"/>
      <c r="M814" s="62"/>
      <c r="N814" s="62"/>
      <c r="O814" s="113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</row>
    <row r="815">
      <c r="A815" s="114"/>
      <c r="B815" s="111"/>
      <c r="C815" s="111"/>
      <c r="D815" s="111"/>
      <c r="E815" s="111"/>
      <c r="F815" s="111"/>
      <c r="G815" s="111"/>
      <c r="H815" s="113"/>
      <c r="I815" s="62"/>
      <c r="J815" s="62"/>
      <c r="K815" s="62"/>
      <c r="L815" s="62"/>
      <c r="M815" s="62"/>
      <c r="N815" s="62"/>
      <c r="O815" s="113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</row>
    <row r="816">
      <c r="A816" s="114"/>
      <c r="B816" s="111"/>
      <c r="C816" s="111"/>
      <c r="D816" s="111"/>
      <c r="E816" s="111"/>
      <c r="F816" s="111"/>
      <c r="G816" s="111"/>
      <c r="H816" s="113"/>
      <c r="I816" s="62"/>
      <c r="J816" s="62"/>
      <c r="K816" s="62"/>
      <c r="L816" s="62"/>
      <c r="M816" s="62"/>
      <c r="N816" s="62"/>
      <c r="O816" s="113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</row>
    <row r="817">
      <c r="A817" s="114"/>
      <c r="B817" s="111"/>
      <c r="C817" s="111"/>
      <c r="D817" s="111"/>
      <c r="E817" s="111"/>
      <c r="F817" s="111"/>
      <c r="G817" s="111"/>
      <c r="H817" s="113"/>
      <c r="I817" s="62"/>
      <c r="J817" s="62"/>
      <c r="K817" s="62"/>
      <c r="L817" s="62"/>
      <c r="M817" s="62"/>
      <c r="N817" s="62"/>
      <c r="O817" s="113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</row>
    <row r="818">
      <c r="A818" s="114"/>
      <c r="B818" s="111"/>
      <c r="C818" s="111"/>
      <c r="D818" s="111"/>
      <c r="E818" s="111"/>
      <c r="F818" s="111"/>
      <c r="G818" s="111"/>
      <c r="H818" s="113"/>
      <c r="I818" s="62"/>
      <c r="J818" s="62"/>
      <c r="K818" s="62"/>
      <c r="L818" s="62"/>
      <c r="M818" s="62"/>
      <c r="N818" s="62"/>
      <c r="O818" s="113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  <c r="AA818" s="62"/>
    </row>
    <row r="819">
      <c r="A819" s="114"/>
      <c r="B819" s="111"/>
      <c r="C819" s="111"/>
      <c r="D819" s="111"/>
      <c r="E819" s="111"/>
      <c r="F819" s="111"/>
      <c r="G819" s="111"/>
      <c r="H819" s="113"/>
      <c r="I819" s="62"/>
      <c r="J819" s="62"/>
      <c r="K819" s="62"/>
      <c r="L819" s="62"/>
      <c r="M819" s="62"/>
      <c r="N819" s="62"/>
      <c r="O819" s="113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  <c r="AA819" s="62"/>
    </row>
    <row r="820">
      <c r="A820" s="114"/>
      <c r="B820" s="111"/>
      <c r="C820" s="111"/>
      <c r="D820" s="111"/>
      <c r="E820" s="111"/>
      <c r="F820" s="111"/>
      <c r="G820" s="111"/>
      <c r="H820" s="113"/>
      <c r="I820" s="62"/>
      <c r="J820" s="62"/>
      <c r="K820" s="62"/>
      <c r="L820" s="62"/>
      <c r="M820" s="62"/>
      <c r="N820" s="62"/>
      <c r="O820" s="113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  <c r="AA820" s="62"/>
    </row>
    <row r="821">
      <c r="A821" s="114"/>
      <c r="B821" s="111"/>
      <c r="C821" s="111"/>
      <c r="D821" s="111"/>
      <c r="E821" s="111"/>
      <c r="F821" s="111"/>
      <c r="G821" s="111"/>
      <c r="H821" s="113"/>
      <c r="I821" s="62"/>
      <c r="J821" s="62"/>
      <c r="K821" s="62"/>
      <c r="L821" s="62"/>
      <c r="M821" s="62"/>
      <c r="N821" s="62"/>
      <c r="O821" s="113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  <c r="AA821" s="62"/>
    </row>
    <row r="822">
      <c r="A822" s="114"/>
      <c r="B822" s="111"/>
      <c r="C822" s="111"/>
      <c r="D822" s="111"/>
      <c r="E822" s="111"/>
      <c r="F822" s="111"/>
      <c r="G822" s="111"/>
      <c r="H822" s="113"/>
      <c r="I822" s="62"/>
      <c r="J822" s="62"/>
      <c r="K822" s="62"/>
      <c r="L822" s="62"/>
      <c r="M822" s="62"/>
      <c r="N822" s="62"/>
      <c r="O822" s="113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  <c r="AA822" s="62"/>
    </row>
    <row r="823">
      <c r="A823" s="114"/>
      <c r="B823" s="111"/>
      <c r="C823" s="111"/>
      <c r="D823" s="111"/>
      <c r="E823" s="111"/>
      <c r="F823" s="111"/>
      <c r="G823" s="111"/>
      <c r="H823" s="113"/>
      <c r="I823" s="62"/>
      <c r="J823" s="62"/>
      <c r="K823" s="62"/>
      <c r="L823" s="62"/>
      <c r="M823" s="62"/>
      <c r="N823" s="62"/>
      <c r="O823" s="113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  <c r="AA823" s="62"/>
    </row>
    <row r="824">
      <c r="A824" s="114"/>
      <c r="B824" s="111"/>
      <c r="C824" s="111"/>
      <c r="D824" s="111"/>
      <c r="E824" s="111"/>
      <c r="F824" s="111"/>
      <c r="G824" s="111"/>
      <c r="H824" s="113"/>
      <c r="I824" s="62"/>
      <c r="J824" s="62"/>
      <c r="K824" s="62"/>
      <c r="L824" s="62"/>
      <c r="M824" s="62"/>
      <c r="N824" s="62"/>
      <c r="O824" s="113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  <c r="AA824" s="62"/>
    </row>
    <row r="825">
      <c r="A825" s="114"/>
      <c r="B825" s="111"/>
      <c r="C825" s="111"/>
      <c r="D825" s="111"/>
      <c r="E825" s="111"/>
      <c r="F825" s="111"/>
      <c r="G825" s="111"/>
      <c r="H825" s="113"/>
      <c r="I825" s="62"/>
      <c r="J825" s="62"/>
      <c r="K825" s="62"/>
      <c r="L825" s="62"/>
      <c r="M825" s="62"/>
      <c r="N825" s="62"/>
      <c r="O825" s="113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  <c r="AA825" s="62"/>
    </row>
    <row r="826">
      <c r="A826" s="114"/>
      <c r="B826" s="111"/>
      <c r="C826" s="111"/>
      <c r="D826" s="111"/>
      <c r="E826" s="111"/>
      <c r="F826" s="111"/>
      <c r="G826" s="111"/>
      <c r="H826" s="113"/>
      <c r="I826" s="62"/>
      <c r="J826" s="62"/>
      <c r="K826" s="62"/>
      <c r="L826" s="62"/>
      <c r="M826" s="62"/>
      <c r="N826" s="62"/>
      <c r="O826" s="113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  <c r="AA826" s="62"/>
    </row>
    <row r="827">
      <c r="A827" s="114"/>
      <c r="B827" s="111"/>
      <c r="C827" s="111"/>
      <c r="D827" s="111"/>
      <c r="E827" s="111"/>
      <c r="F827" s="111"/>
      <c r="G827" s="111"/>
      <c r="H827" s="113"/>
      <c r="I827" s="62"/>
      <c r="J827" s="62"/>
      <c r="K827" s="62"/>
      <c r="L827" s="62"/>
      <c r="M827" s="62"/>
      <c r="N827" s="62"/>
      <c r="O827" s="113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  <c r="AA827" s="62"/>
    </row>
    <row r="828">
      <c r="A828" s="114"/>
      <c r="B828" s="111"/>
      <c r="C828" s="111"/>
      <c r="D828" s="111"/>
      <c r="E828" s="111"/>
      <c r="F828" s="111"/>
      <c r="G828" s="111"/>
      <c r="H828" s="113"/>
      <c r="I828" s="62"/>
      <c r="J828" s="62"/>
      <c r="K828" s="62"/>
      <c r="L828" s="62"/>
      <c r="M828" s="62"/>
      <c r="N828" s="62"/>
      <c r="O828" s="113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  <c r="AA828" s="62"/>
    </row>
    <row r="829">
      <c r="A829" s="114"/>
      <c r="B829" s="111"/>
      <c r="C829" s="111"/>
      <c r="D829" s="111"/>
      <c r="E829" s="111"/>
      <c r="F829" s="111"/>
      <c r="G829" s="111"/>
      <c r="H829" s="113"/>
      <c r="I829" s="62"/>
      <c r="J829" s="62"/>
      <c r="K829" s="62"/>
      <c r="L829" s="62"/>
      <c r="M829" s="62"/>
      <c r="N829" s="62"/>
      <c r="O829" s="113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  <c r="AA829" s="62"/>
    </row>
    <row r="830">
      <c r="A830" s="114"/>
      <c r="B830" s="111"/>
      <c r="C830" s="111"/>
      <c r="D830" s="111"/>
      <c r="E830" s="111"/>
      <c r="F830" s="111"/>
      <c r="G830" s="111"/>
      <c r="H830" s="113"/>
      <c r="I830" s="62"/>
      <c r="J830" s="62"/>
      <c r="K830" s="62"/>
      <c r="L830" s="62"/>
      <c r="M830" s="62"/>
      <c r="N830" s="62"/>
      <c r="O830" s="113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  <c r="AA830" s="62"/>
    </row>
    <row r="831">
      <c r="A831" s="114"/>
      <c r="B831" s="111"/>
      <c r="C831" s="111"/>
      <c r="D831" s="111"/>
      <c r="E831" s="111"/>
      <c r="F831" s="111"/>
      <c r="G831" s="111"/>
      <c r="H831" s="113"/>
      <c r="I831" s="62"/>
      <c r="J831" s="62"/>
      <c r="K831" s="62"/>
      <c r="L831" s="62"/>
      <c r="M831" s="62"/>
      <c r="N831" s="62"/>
      <c r="O831" s="113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  <c r="AA831" s="62"/>
    </row>
    <row r="832">
      <c r="A832" s="114"/>
      <c r="B832" s="111"/>
      <c r="C832" s="111"/>
      <c r="D832" s="111"/>
      <c r="E832" s="111"/>
      <c r="F832" s="111"/>
      <c r="G832" s="111"/>
      <c r="H832" s="113"/>
      <c r="I832" s="62"/>
      <c r="J832" s="62"/>
      <c r="K832" s="62"/>
      <c r="L832" s="62"/>
      <c r="M832" s="62"/>
      <c r="N832" s="62"/>
      <c r="O832" s="113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  <c r="AA832" s="62"/>
    </row>
    <row r="833">
      <c r="A833" s="114"/>
      <c r="B833" s="111"/>
      <c r="C833" s="111"/>
      <c r="D833" s="111"/>
      <c r="E833" s="111"/>
      <c r="F833" s="111"/>
      <c r="G833" s="111"/>
      <c r="H833" s="113"/>
      <c r="I833" s="62"/>
      <c r="J833" s="62"/>
      <c r="K833" s="62"/>
      <c r="L833" s="62"/>
      <c r="M833" s="62"/>
      <c r="N833" s="62"/>
      <c r="O833" s="113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  <c r="AA833" s="62"/>
    </row>
    <row r="834">
      <c r="A834" s="114"/>
      <c r="B834" s="111"/>
      <c r="C834" s="111"/>
      <c r="D834" s="111"/>
      <c r="E834" s="111"/>
      <c r="F834" s="111"/>
      <c r="G834" s="111"/>
      <c r="H834" s="113"/>
      <c r="I834" s="62"/>
      <c r="J834" s="62"/>
      <c r="K834" s="62"/>
      <c r="L834" s="62"/>
      <c r="M834" s="62"/>
      <c r="N834" s="62"/>
      <c r="O834" s="113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  <c r="AA834" s="62"/>
    </row>
    <row r="835">
      <c r="A835" s="114"/>
      <c r="B835" s="111"/>
      <c r="C835" s="111"/>
      <c r="D835" s="111"/>
      <c r="E835" s="111"/>
      <c r="F835" s="111"/>
      <c r="G835" s="111"/>
      <c r="H835" s="113"/>
      <c r="I835" s="62"/>
      <c r="J835" s="62"/>
      <c r="K835" s="62"/>
      <c r="L835" s="62"/>
      <c r="M835" s="62"/>
      <c r="N835" s="62"/>
      <c r="O835" s="113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  <c r="AA835" s="62"/>
    </row>
    <row r="836">
      <c r="A836" s="114"/>
      <c r="B836" s="111"/>
      <c r="C836" s="111"/>
      <c r="D836" s="111"/>
      <c r="E836" s="111"/>
      <c r="F836" s="111"/>
      <c r="G836" s="111"/>
      <c r="H836" s="113"/>
      <c r="I836" s="62"/>
      <c r="J836" s="62"/>
      <c r="K836" s="62"/>
      <c r="L836" s="62"/>
      <c r="M836" s="62"/>
      <c r="N836" s="62"/>
      <c r="O836" s="113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  <c r="AA836" s="62"/>
    </row>
    <row r="837">
      <c r="A837" s="114"/>
      <c r="B837" s="111"/>
      <c r="C837" s="111"/>
      <c r="D837" s="111"/>
      <c r="E837" s="111"/>
      <c r="F837" s="111"/>
      <c r="G837" s="111"/>
      <c r="H837" s="113"/>
      <c r="I837" s="62"/>
      <c r="J837" s="62"/>
      <c r="K837" s="62"/>
      <c r="L837" s="62"/>
      <c r="M837" s="62"/>
      <c r="N837" s="62"/>
      <c r="O837" s="113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  <c r="AA837" s="62"/>
    </row>
    <row r="838">
      <c r="A838" s="114"/>
      <c r="B838" s="111"/>
      <c r="C838" s="111"/>
      <c r="D838" s="111"/>
      <c r="E838" s="111"/>
      <c r="F838" s="111"/>
      <c r="G838" s="111"/>
      <c r="H838" s="113"/>
      <c r="I838" s="62"/>
      <c r="J838" s="62"/>
      <c r="K838" s="62"/>
      <c r="L838" s="62"/>
      <c r="M838" s="62"/>
      <c r="N838" s="62"/>
      <c r="O838" s="113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  <c r="AA838" s="62"/>
    </row>
    <row r="839">
      <c r="A839" s="114"/>
      <c r="B839" s="111"/>
      <c r="C839" s="111"/>
      <c r="D839" s="111"/>
      <c r="E839" s="111"/>
      <c r="F839" s="111"/>
      <c r="G839" s="111"/>
      <c r="H839" s="113"/>
      <c r="I839" s="62"/>
      <c r="J839" s="62"/>
      <c r="K839" s="62"/>
      <c r="L839" s="62"/>
      <c r="M839" s="62"/>
      <c r="N839" s="62"/>
      <c r="O839" s="113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  <c r="AA839" s="62"/>
    </row>
    <row r="840">
      <c r="A840" s="114"/>
      <c r="B840" s="111"/>
      <c r="C840" s="111"/>
      <c r="D840" s="111"/>
      <c r="E840" s="111"/>
      <c r="F840" s="111"/>
      <c r="G840" s="111"/>
      <c r="H840" s="113"/>
      <c r="I840" s="62"/>
      <c r="J840" s="62"/>
      <c r="K840" s="62"/>
      <c r="L840" s="62"/>
      <c r="M840" s="62"/>
      <c r="N840" s="62"/>
      <c r="O840" s="113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  <c r="AA840" s="62"/>
    </row>
    <row r="841">
      <c r="A841" s="114"/>
      <c r="B841" s="111"/>
      <c r="C841" s="111"/>
      <c r="D841" s="111"/>
      <c r="E841" s="111"/>
      <c r="F841" s="111"/>
      <c r="G841" s="111"/>
      <c r="H841" s="113"/>
      <c r="I841" s="62"/>
      <c r="J841" s="62"/>
      <c r="K841" s="62"/>
      <c r="L841" s="62"/>
      <c r="M841" s="62"/>
      <c r="N841" s="62"/>
      <c r="O841" s="113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  <c r="AA841" s="62"/>
    </row>
    <row r="842">
      <c r="A842" s="114"/>
      <c r="B842" s="111"/>
      <c r="C842" s="111"/>
      <c r="D842" s="111"/>
      <c r="E842" s="111"/>
      <c r="F842" s="111"/>
      <c r="G842" s="111"/>
      <c r="H842" s="113"/>
      <c r="I842" s="62"/>
      <c r="J842" s="62"/>
      <c r="K842" s="62"/>
      <c r="L842" s="62"/>
      <c r="M842" s="62"/>
      <c r="N842" s="62"/>
      <c r="O842" s="113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</row>
    <row r="843">
      <c r="A843" s="114"/>
      <c r="B843" s="111"/>
      <c r="C843" s="111"/>
      <c r="D843" s="111"/>
      <c r="E843" s="111"/>
      <c r="F843" s="111"/>
      <c r="G843" s="111"/>
      <c r="H843" s="113"/>
      <c r="I843" s="62"/>
      <c r="J843" s="62"/>
      <c r="K843" s="62"/>
      <c r="L843" s="62"/>
      <c r="M843" s="62"/>
      <c r="N843" s="62"/>
      <c r="O843" s="113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</row>
    <row r="844">
      <c r="A844" s="114"/>
      <c r="B844" s="111"/>
      <c r="C844" s="111"/>
      <c r="D844" s="111"/>
      <c r="E844" s="111"/>
      <c r="F844" s="111"/>
      <c r="G844" s="111"/>
      <c r="H844" s="113"/>
      <c r="I844" s="62"/>
      <c r="J844" s="62"/>
      <c r="K844" s="62"/>
      <c r="L844" s="62"/>
      <c r="M844" s="62"/>
      <c r="N844" s="62"/>
      <c r="O844" s="113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  <c r="AA844" s="62"/>
    </row>
    <row r="845">
      <c r="A845" s="114"/>
      <c r="B845" s="111"/>
      <c r="C845" s="111"/>
      <c r="D845" s="111"/>
      <c r="E845" s="111"/>
      <c r="F845" s="111"/>
      <c r="G845" s="111"/>
      <c r="H845" s="113"/>
      <c r="I845" s="62"/>
      <c r="J845" s="62"/>
      <c r="K845" s="62"/>
      <c r="L845" s="62"/>
      <c r="M845" s="62"/>
      <c r="N845" s="62"/>
      <c r="O845" s="113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</row>
    <row r="846">
      <c r="A846" s="114"/>
      <c r="B846" s="111"/>
      <c r="C846" s="111"/>
      <c r="D846" s="111"/>
      <c r="E846" s="111"/>
      <c r="F846" s="111"/>
      <c r="G846" s="111"/>
      <c r="H846" s="113"/>
      <c r="I846" s="62"/>
      <c r="J846" s="62"/>
      <c r="K846" s="62"/>
      <c r="L846" s="62"/>
      <c r="M846" s="62"/>
      <c r="N846" s="62"/>
      <c r="O846" s="113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</row>
    <row r="847">
      <c r="A847" s="114"/>
      <c r="B847" s="111"/>
      <c r="C847" s="111"/>
      <c r="D847" s="111"/>
      <c r="E847" s="111"/>
      <c r="F847" s="111"/>
      <c r="G847" s="111"/>
      <c r="H847" s="113"/>
      <c r="I847" s="62"/>
      <c r="J847" s="62"/>
      <c r="K847" s="62"/>
      <c r="L847" s="62"/>
      <c r="M847" s="62"/>
      <c r="N847" s="62"/>
      <c r="O847" s="113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</row>
    <row r="848">
      <c r="A848" s="114"/>
      <c r="B848" s="111"/>
      <c r="C848" s="111"/>
      <c r="D848" s="111"/>
      <c r="E848" s="111"/>
      <c r="F848" s="111"/>
      <c r="G848" s="111"/>
      <c r="H848" s="113"/>
      <c r="I848" s="62"/>
      <c r="J848" s="62"/>
      <c r="K848" s="62"/>
      <c r="L848" s="62"/>
      <c r="M848" s="62"/>
      <c r="N848" s="62"/>
      <c r="O848" s="113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</row>
    <row r="849">
      <c r="A849" s="114"/>
      <c r="B849" s="111"/>
      <c r="C849" s="111"/>
      <c r="D849" s="111"/>
      <c r="E849" s="111"/>
      <c r="F849" s="111"/>
      <c r="G849" s="111"/>
      <c r="H849" s="113"/>
      <c r="I849" s="62"/>
      <c r="J849" s="62"/>
      <c r="K849" s="62"/>
      <c r="L849" s="62"/>
      <c r="M849" s="62"/>
      <c r="N849" s="62"/>
      <c r="O849" s="113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</row>
    <row r="850">
      <c r="A850" s="114"/>
      <c r="B850" s="111"/>
      <c r="C850" s="111"/>
      <c r="D850" s="111"/>
      <c r="E850" s="111"/>
      <c r="F850" s="111"/>
      <c r="G850" s="111"/>
      <c r="H850" s="113"/>
      <c r="I850" s="62"/>
      <c r="J850" s="62"/>
      <c r="K850" s="62"/>
      <c r="L850" s="62"/>
      <c r="M850" s="62"/>
      <c r="N850" s="62"/>
      <c r="O850" s="113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</row>
    <row r="851">
      <c r="A851" s="114"/>
      <c r="B851" s="111"/>
      <c r="C851" s="111"/>
      <c r="D851" s="111"/>
      <c r="E851" s="111"/>
      <c r="F851" s="111"/>
      <c r="G851" s="111"/>
      <c r="H851" s="113"/>
      <c r="I851" s="62"/>
      <c r="J851" s="62"/>
      <c r="K851" s="62"/>
      <c r="L851" s="62"/>
      <c r="M851" s="62"/>
      <c r="N851" s="62"/>
      <c r="O851" s="113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</row>
    <row r="852">
      <c r="A852" s="114"/>
      <c r="B852" s="111"/>
      <c r="C852" s="111"/>
      <c r="D852" s="111"/>
      <c r="E852" s="111"/>
      <c r="F852" s="111"/>
      <c r="G852" s="111"/>
      <c r="H852" s="113"/>
      <c r="I852" s="62"/>
      <c r="J852" s="62"/>
      <c r="K852" s="62"/>
      <c r="L852" s="62"/>
      <c r="M852" s="62"/>
      <c r="N852" s="62"/>
      <c r="O852" s="113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</row>
    <row r="853">
      <c r="A853" s="114"/>
      <c r="B853" s="111"/>
      <c r="C853" s="111"/>
      <c r="D853" s="111"/>
      <c r="E853" s="111"/>
      <c r="F853" s="111"/>
      <c r="G853" s="111"/>
      <c r="H853" s="113"/>
      <c r="I853" s="62"/>
      <c r="J853" s="62"/>
      <c r="K853" s="62"/>
      <c r="L853" s="62"/>
      <c r="M853" s="62"/>
      <c r="N853" s="62"/>
      <c r="O853" s="113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</row>
    <row r="854">
      <c r="A854" s="114"/>
      <c r="B854" s="111"/>
      <c r="C854" s="111"/>
      <c r="D854" s="111"/>
      <c r="E854" s="111"/>
      <c r="F854" s="111"/>
      <c r="G854" s="111"/>
      <c r="H854" s="113"/>
      <c r="I854" s="62"/>
      <c r="J854" s="62"/>
      <c r="K854" s="62"/>
      <c r="L854" s="62"/>
      <c r="M854" s="62"/>
      <c r="N854" s="62"/>
      <c r="O854" s="113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</row>
    <row r="855">
      <c r="A855" s="114"/>
      <c r="B855" s="111"/>
      <c r="C855" s="111"/>
      <c r="D855" s="111"/>
      <c r="E855" s="111"/>
      <c r="F855" s="111"/>
      <c r="G855" s="111"/>
      <c r="H855" s="113"/>
      <c r="I855" s="62"/>
      <c r="J855" s="62"/>
      <c r="K855" s="62"/>
      <c r="L855" s="62"/>
      <c r="M855" s="62"/>
      <c r="N855" s="62"/>
      <c r="O855" s="113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</row>
    <row r="856">
      <c r="A856" s="114"/>
      <c r="B856" s="111"/>
      <c r="C856" s="111"/>
      <c r="D856" s="111"/>
      <c r="E856" s="111"/>
      <c r="F856" s="111"/>
      <c r="G856" s="111"/>
      <c r="H856" s="113"/>
      <c r="I856" s="62"/>
      <c r="J856" s="62"/>
      <c r="K856" s="62"/>
      <c r="L856" s="62"/>
      <c r="M856" s="62"/>
      <c r="N856" s="62"/>
      <c r="O856" s="113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  <c r="AA856" s="62"/>
    </row>
    <row r="857">
      <c r="A857" s="114"/>
      <c r="B857" s="111"/>
      <c r="C857" s="111"/>
      <c r="D857" s="111"/>
      <c r="E857" s="111"/>
      <c r="F857" s="111"/>
      <c r="G857" s="111"/>
      <c r="H857" s="113"/>
      <c r="I857" s="62"/>
      <c r="J857" s="62"/>
      <c r="K857" s="62"/>
      <c r="L857" s="62"/>
      <c r="M857" s="62"/>
      <c r="N857" s="62"/>
      <c r="O857" s="113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  <c r="AA857" s="62"/>
    </row>
    <row r="858">
      <c r="A858" s="114"/>
      <c r="B858" s="111"/>
      <c r="C858" s="111"/>
      <c r="D858" s="111"/>
      <c r="E858" s="111"/>
      <c r="F858" s="111"/>
      <c r="G858" s="111"/>
      <c r="H858" s="113"/>
      <c r="I858" s="62"/>
      <c r="J858" s="62"/>
      <c r="K858" s="62"/>
      <c r="L858" s="62"/>
      <c r="M858" s="62"/>
      <c r="N858" s="62"/>
      <c r="O858" s="113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  <c r="AA858" s="62"/>
    </row>
    <row r="859">
      <c r="A859" s="114"/>
      <c r="B859" s="111"/>
      <c r="C859" s="111"/>
      <c r="D859" s="111"/>
      <c r="E859" s="111"/>
      <c r="F859" s="111"/>
      <c r="G859" s="111"/>
      <c r="H859" s="113"/>
      <c r="I859" s="62"/>
      <c r="J859" s="62"/>
      <c r="K859" s="62"/>
      <c r="L859" s="62"/>
      <c r="M859" s="62"/>
      <c r="N859" s="62"/>
      <c r="O859" s="113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  <c r="AA859" s="62"/>
    </row>
    <row r="860">
      <c r="A860" s="114"/>
      <c r="B860" s="111"/>
      <c r="C860" s="111"/>
      <c r="D860" s="111"/>
      <c r="E860" s="111"/>
      <c r="F860" s="111"/>
      <c r="G860" s="111"/>
      <c r="H860" s="113"/>
      <c r="I860" s="62"/>
      <c r="J860" s="62"/>
      <c r="K860" s="62"/>
      <c r="L860" s="62"/>
      <c r="M860" s="62"/>
      <c r="N860" s="62"/>
      <c r="O860" s="113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  <c r="AA860" s="62"/>
    </row>
    <row r="861">
      <c r="A861" s="114"/>
      <c r="B861" s="111"/>
      <c r="C861" s="111"/>
      <c r="D861" s="111"/>
      <c r="E861" s="111"/>
      <c r="F861" s="111"/>
      <c r="G861" s="111"/>
      <c r="H861" s="113"/>
      <c r="I861" s="62"/>
      <c r="J861" s="62"/>
      <c r="K861" s="62"/>
      <c r="L861" s="62"/>
      <c r="M861" s="62"/>
      <c r="N861" s="62"/>
      <c r="O861" s="113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  <c r="AA861" s="62"/>
    </row>
    <row r="862">
      <c r="A862" s="114"/>
      <c r="B862" s="111"/>
      <c r="C862" s="111"/>
      <c r="D862" s="111"/>
      <c r="E862" s="111"/>
      <c r="F862" s="111"/>
      <c r="G862" s="111"/>
      <c r="H862" s="113"/>
      <c r="I862" s="62"/>
      <c r="J862" s="62"/>
      <c r="K862" s="62"/>
      <c r="L862" s="62"/>
      <c r="M862" s="62"/>
      <c r="N862" s="62"/>
      <c r="O862" s="113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  <c r="AA862" s="62"/>
    </row>
    <row r="863">
      <c r="A863" s="114"/>
      <c r="B863" s="111"/>
      <c r="C863" s="111"/>
      <c r="D863" s="111"/>
      <c r="E863" s="111"/>
      <c r="F863" s="111"/>
      <c r="G863" s="111"/>
      <c r="H863" s="113"/>
      <c r="I863" s="62"/>
      <c r="J863" s="62"/>
      <c r="K863" s="62"/>
      <c r="L863" s="62"/>
      <c r="M863" s="62"/>
      <c r="N863" s="62"/>
      <c r="O863" s="113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  <c r="AA863" s="62"/>
    </row>
    <row r="864">
      <c r="A864" s="114"/>
      <c r="B864" s="111"/>
      <c r="C864" s="111"/>
      <c r="D864" s="111"/>
      <c r="E864" s="111"/>
      <c r="F864" s="111"/>
      <c r="G864" s="111"/>
      <c r="H864" s="113"/>
      <c r="I864" s="62"/>
      <c r="J864" s="62"/>
      <c r="K864" s="62"/>
      <c r="L864" s="62"/>
      <c r="M864" s="62"/>
      <c r="N864" s="62"/>
      <c r="O864" s="113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  <c r="AA864" s="62"/>
    </row>
    <row r="865">
      <c r="A865" s="114"/>
      <c r="B865" s="111"/>
      <c r="C865" s="111"/>
      <c r="D865" s="111"/>
      <c r="E865" s="111"/>
      <c r="F865" s="111"/>
      <c r="G865" s="111"/>
      <c r="H865" s="113"/>
      <c r="I865" s="62"/>
      <c r="J865" s="62"/>
      <c r="K865" s="62"/>
      <c r="L865" s="62"/>
      <c r="M865" s="62"/>
      <c r="N865" s="62"/>
      <c r="O865" s="113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  <c r="AA865" s="62"/>
    </row>
    <row r="866">
      <c r="A866" s="114"/>
      <c r="B866" s="111"/>
      <c r="C866" s="111"/>
      <c r="D866" s="111"/>
      <c r="E866" s="111"/>
      <c r="F866" s="111"/>
      <c r="G866" s="111"/>
      <c r="H866" s="113"/>
      <c r="I866" s="62"/>
      <c r="J866" s="62"/>
      <c r="K866" s="62"/>
      <c r="L866" s="62"/>
      <c r="M866" s="62"/>
      <c r="N866" s="62"/>
      <c r="O866" s="113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  <c r="AA866" s="62"/>
    </row>
    <row r="867">
      <c r="A867" s="114"/>
      <c r="B867" s="111"/>
      <c r="C867" s="111"/>
      <c r="D867" s="111"/>
      <c r="E867" s="111"/>
      <c r="F867" s="111"/>
      <c r="G867" s="111"/>
      <c r="H867" s="113"/>
      <c r="I867" s="62"/>
      <c r="J867" s="62"/>
      <c r="K867" s="62"/>
      <c r="L867" s="62"/>
      <c r="M867" s="62"/>
      <c r="N867" s="62"/>
      <c r="O867" s="113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  <c r="AA867" s="62"/>
    </row>
    <row r="868">
      <c r="A868" s="114"/>
      <c r="B868" s="111"/>
      <c r="C868" s="111"/>
      <c r="D868" s="111"/>
      <c r="E868" s="111"/>
      <c r="F868" s="111"/>
      <c r="G868" s="111"/>
      <c r="H868" s="113"/>
      <c r="I868" s="62"/>
      <c r="J868" s="62"/>
      <c r="K868" s="62"/>
      <c r="L868" s="62"/>
      <c r="M868" s="62"/>
      <c r="N868" s="62"/>
      <c r="O868" s="113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  <c r="AA868" s="62"/>
    </row>
    <row r="869">
      <c r="A869" s="114"/>
      <c r="B869" s="111"/>
      <c r="C869" s="111"/>
      <c r="D869" s="111"/>
      <c r="E869" s="111"/>
      <c r="F869" s="111"/>
      <c r="G869" s="111"/>
      <c r="H869" s="113"/>
      <c r="I869" s="62"/>
      <c r="J869" s="62"/>
      <c r="K869" s="62"/>
      <c r="L869" s="62"/>
      <c r="M869" s="62"/>
      <c r="N869" s="62"/>
      <c r="O869" s="113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  <c r="AA869" s="62"/>
    </row>
    <row r="870">
      <c r="A870" s="114"/>
      <c r="B870" s="111"/>
      <c r="C870" s="111"/>
      <c r="D870" s="111"/>
      <c r="E870" s="111"/>
      <c r="F870" s="111"/>
      <c r="G870" s="111"/>
      <c r="H870" s="113"/>
      <c r="I870" s="62"/>
      <c r="J870" s="62"/>
      <c r="K870" s="62"/>
      <c r="L870" s="62"/>
      <c r="M870" s="62"/>
      <c r="N870" s="62"/>
      <c r="O870" s="113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  <c r="AA870" s="62"/>
    </row>
    <row r="871">
      <c r="A871" s="114"/>
      <c r="B871" s="111"/>
      <c r="C871" s="111"/>
      <c r="D871" s="111"/>
      <c r="E871" s="111"/>
      <c r="F871" s="111"/>
      <c r="G871" s="111"/>
      <c r="H871" s="113"/>
      <c r="I871" s="62"/>
      <c r="J871" s="62"/>
      <c r="K871" s="62"/>
      <c r="L871" s="62"/>
      <c r="M871" s="62"/>
      <c r="N871" s="62"/>
      <c r="O871" s="113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  <c r="AA871" s="62"/>
    </row>
    <row r="872">
      <c r="A872" s="114"/>
      <c r="B872" s="111"/>
      <c r="C872" s="111"/>
      <c r="D872" s="111"/>
      <c r="E872" s="111"/>
      <c r="F872" s="111"/>
      <c r="G872" s="111"/>
      <c r="H872" s="113"/>
      <c r="I872" s="62"/>
      <c r="J872" s="62"/>
      <c r="K872" s="62"/>
      <c r="L872" s="62"/>
      <c r="M872" s="62"/>
      <c r="N872" s="62"/>
      <c r="O872" s="113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  <c r="AA872" s="62"/>
    </row>
    <row r="873">
      <c r="A873" s="114"/>
      <c r="B873" s="111"/>
      <c r="C873" s="111"/>
      <c r="D873" s="111"/>
      <c r="E873" s="111"/>
      <c r="F873" s="111"/>
      <c r="G873" s="111"/>
      <c r="H873" s="113"/>
      <c r="I873" s="62"/>
      <c r="J873" s="62"/>
      <c r="K873" s="62"/>
      <c r="L873" s="62"/>
      <c r="M873" s="62"/>
      <c r="N873" s="62"/>
      <c r="O873" s="113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  <c r="AA873" s="62"/>
    </row>
    <row r="874">
      <c r="A874" s="114"/>
      <c r="B874" s="111"/>
      <c r="C874" s="111"/>
      <c r="D874" s="111"/>
      <c r="E874" s="111"/>
      <c r="F874" s="111"/>
      <c r="G874" s="111"/>
      <c r="H874" s="113"/>
      <c r="I874" s="62"/>
      <c r="J874" s="62"/>
      <c r="K874" s="62"/>
      <c r="L874" s="62"/>
      <c r="M874" s="62"/>
      <c r="N874" s="62"/>
      <c r="O874" s="113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  <c r="AA874" s="62"/>
    </row>
    <row r="875">
      <c r="A875" s="114"/>
      <c r="B875" s="111"/>
      <c r="C875" s="111"/>
      <c r="D875" s="111"/>
      <c r="E875" s="111"/>
      <c r="F875" s="111"/>
      <c r="G875" s="111"/>
      <c r="H875" s="113"/>
      <c r="I875" s="62"/>
      <c r="J875" s="62"/>
      <c r="K875" s="62"/>
      <c r="L875" s="62"/>
      <c r="M875" s="62"/>
      <c r="N875" s="62"/>
      <c r="O875" s="113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  <c r="AA875" s="62"/>
    </row>
    <row r="876">
      <c r="A876" s="114"/>
      <c r="B876" s="111"/>
      <c r="C876" s="111"/>
      <c r="D876" s="111"/>
      <c r="E876" s="111"/>
      <c r="F876" s="111"/>
      <c r="G876" s="111"/>
      <c r="H876" s="113"/>
      <c r="I876" s="62"/>
      <c r="J876" s="62"/>
      <c r="K876" s="62"/>
      <c r="L876" s="62"/>
      <c r="M876" s="62"/>
      <c r="N876" s="62"/>
      <c r="O876" s="113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  <c r="AA876" s="62"/>
    </row>
    <row r="877">
      <c r="A877" s="114"/>
      <c r="B877" s="111"/>
      <c r="C877" s="111"/>
      <c r="D877" s="111"/>
      <c r="E877" s="111"/>
      <c r="F877" s="111"/>
      <c r="G877" s="111"/>
      <c r="H877" s="113"/>
      <c r="I877" s="62"/>
      <c r="J877" s="62"/>
      <c r="K877" s="62"/>
      <c r="L877" s="62"/>
      <c r="M877" s="62"/>
      <c r="N877" s="62"/>
      <c r="O877" s="113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  <c r="AA877" s="62"/>
    </row>
    <row r="878">
      <c r="A878" s="114"/>
      <c r="B878" s="111"/>
      <c r="C878" s="111"/>
      <c r="D878" s="111"/>
      <c r="E878" s="111"/>
      <c r="F878" s="111"/>
      <c r="G878" s="111"/>
      <c r="H878" s="113"/>
      <c r="I878" s="62"/>
      <c r="J878" s="62"/>
      <c r="K878" s="62"/>
      <c r="L878" s="62"/>
      <c r="M878" s="62"/>
      <c r="N878" s="62"/>
      <c r="O878" s="113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  <c r="AA878" s="62"/>
    </row>
    <row r="879">
      <c r="A879" s="114"/>
      <c r="B879" s="111"/>
      <c r="C879" s="111"/>
      <c r="D879" s="111"/>
      <c r="E879" s="111"/>
      <c r="F879" s="111"/>
      <c r="G879" s="111"/>
      <c r="H879" s="113"/>
      <c r="I879" s="62"/>
      <c r="J879" s="62"/>
      <c r="K879" s="62"/>
      <c r="L879" s="62"/>
      <c r="M879" s="62"/>
      <c r="N879" s="62"/>
      <c r="O879" s="113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  <c r="AA879" s="62"/>
    </row>
    <row r="880">
      <c r="A880" s="114"/>
      <c r="B880" s="111"/>
      <c r="C880" s="111"/>
      <c r="D880" s="111"/>
      <c r="E880" s="111"/>
      <c r="F880" s="111"/>
      <c r="G880" s="111"/>
      <c r="H880" s="113"/>
      <c r="I880" s="62"/>
      <c r="J880" s="62"/>
      <c r="K880" s="62"/>
      <c r="L880" s="62"/>
      <c r="M880" s="62"/>
      <c r="N880" s="62"/>
      <c r="O880" s="113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</row>
    <row r="881">
      <c r="A881" s="114"/>
      <c r="B881" s="111"/>
      <c r="C881" s="111"/>
      <c r="D881" s="111"/>
      <c r="E881" s="111"/>
      <c r="F881" s="111"/>
      <c r="G881" s="111"/>
      <c r="H881" s="113"/>
      <c r="I881" s="62"/>
      <c r="J881" s="62"/>
      <c r="K881" s="62"/>
      <c r="L881" s="62"/>
      <c r="M881" s="62"/>
      <c r="N881" s="62"/>
      <c r="O881" s="113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</row>
    <row r="882">
      <c r="A882" s="114"/>
      <c r="B882" s="111"/>
      <c r="C882" s="111"/>
      <c r="D882" s="111"/>
      <c r="E882" s="111"/>
      <c r="F882" s="111"/>
      <c r="G882" s="111"/>
      <c r="H882" s="113"/>
      <c r="I882" s="62"/>
      <c r="J882" s="62"/>
      <c r="K882" s="62"/>
      <c r="L882" s="62"/>
      <c r="M882" s="62"/>
      <c r="N882" s="62"/>
      <c r="O882" s="113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  <c r="AA882" s="62"/>
    </row>
    <row r="883">
      <c r="A883" s="114"/>
      <c r="B883" s="111"/>
      <c r="C883" s="111"/>
      <c r="D883" s="111"/>
      <c r="E883" s="111"/>
      <c r="F883" s="111"/>
      <c r="G883" s="111"/>
      <c r="H883" s="113"/>
      <c r="I883" s="62"/>
      <c r="J883" s="62"/>
      <c r="K883" s="62"/>
      <c r="L883" s="62"/>
      <c r="M883" s="62"/>
      <c r="N883" s="62"/>
      <c r="O883" s="113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</row>
    <row r="884">
      <c r="A884" s="114"/>
      <c r="B884" s="111"/>
      <c r="C884" s="111"/>
      <c r="D884" s="111"/>
      <c r="E884" s="111"/>
      <c r="F884" s="111"/>
      <c r="G884" s="111"/>
      <c r="H884" s="113"/>
      <c r="I884" s="62"/>
      <c r="J884" s="62"/>
      <c r="K884" s="62"/>
      <c r="L884" s="62"/>
      <c r="M884" s="62"/>
      <c r="N884" s="62"/>
      <c r="O884" s="113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</row>
    <row r="885">
      <c r="A885" s="114"/>
      <c r="B885" s="111"/>
      <c r="C885" s="111"/>
      <c r="D885" s="111"/>
      <c r="E885" s="111"/>
      <c r="F885" s="111"/>
      <c r="G885" s="111"/>
      <c r="H885" s="113"/>
      <c r="I885" s="62"/>
      <c r="J885" s="62"/>
      <c r="K885" s="62"/>
      <c r="L885" s="62"/>
      <c r="M885" s="62"/>
      <c r="N885" s="62"/>
      <c r="O885" s="113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</row>
    <row r="886">
      <c r="A886" s="114"/>
      <c r="B886" s="111"/>
      <c r="C886" s="111"/>
      <c r="D886" s="111"/>
      <c r="E886" s="111"/>
      <c r="F886" s="111"/>
      <c r="G886" s="111"/>
      <c r="H886" s="113"/>
      <c r="I886" s="62"/>
      <c r="J886" s="62"/>
      <c r="K886" s="62"/>
      <c r="L886" s="62"/>
      <c r="M886" s="62"/>
      <c r="N886" s="62"/>
      <c r="O886" s="113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</row>
    <row r="887">
      <c r="A887" s="114"/>
      <c r="B887" s="111"/>
      <c r="C887" s="111"/>
      <c r="D887" s="111"/>
      <c r="E887" s="111"/>
      <c r="F887" s="111"/>
      <c r="G887" s="111"/>
      <c r="H887" s="113"/>
      <c r="I887" s="62"/>
      <c r="J887" s="62"/>
      <c r="K887" s="62"/>
      <c r="L887" s="62"/>
      <c r="M887" s="62"/>
      <c r="N887" s="62"/>
      <c r="O887" s="113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</row>
    <row r="888">
      <c r="A888" s="114"/>
      <c r="B888" s="111"/>
      <c r="C888" s="111"/>
      <c r="D888" s="111"/>
      <c r="E888" s="111"/>
      <c r="F888" s="111"/>
      <c r="G888" s="111"/>
      <c r="H888" s="113"/>
      <c r="I888" s="62"/>
      <c r="J888" s="62"/>
      <c r="K888" s="62"/>
      <c r="L888" s="62"/>
      <c r="M888" s="62"/>
      <c r="N888" s="62"/>
      <c r="O888" s="113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</row>
    <row r="889">
      <c r="A889" s="114"/>
      <c r="B889" s="111"/>
      <c r="C889" s="111"/>
      <c r="D889" s="111"/>
      <c r="E889" s="111"/>
      <c r="F889" s="111"/>
      <c r="G889" s="111"/>
      <c r="H889" s="113"/>
      <c r="I889" s="62"/>
      <c r="J889" s="62"/>
      <c r="K889" s="62"/>
      <c r="L889" s="62"/>
      <c r="M889" s="62"/>
      <c r="N889" s="62"/>
      <c r="O889" s="113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</row>
    <row r="890">
      <c r="A890" s="114"/>
      <c r="B890" s="111"/>
      <c r="C890" s="111"/>
      <c r="D890" s="111"/>
      <c r="E890" s="111"/>
      <c r="F890" s="111"/>
      <c r="G890" s="111"/>
      <c r="H890" s="113"/>
      <c r="I890" s="62"/>
      <c r="J890" s="62"/>
      <c r="K890" s="62"/>
      <c r="L890" s="62"/>
      <c r="M890" s="62"/>
      <c r="N890" s="62"/>
      <c r="O890" s="113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</row>
    <row r="891">
      <c r="A891" s="114"/>
      <c r="B891" s="111"/>
      <c r="C891" s="111"/>
      <c r="D891" s="111"/>
      <c r="E891" s="111"/>
      <c r="F891" s="111"/>
      <c r="G891" s="111"/>
      <c r="H891" s="113"/>
      <c r="I891" s="62"/>
      <c r="J891" s="62"/>
      <c r="K891" s="62"/>
      <c r="L891" s="62"/>
      <c r="M891" s="62"/>
      <c r="N891" s="62"/>
      <c r="O891" s="113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</row>
    <row r="892">
      <c r="A892" s="114"/>
      <c r="B892" s="111"/>
      <c r="C892" s="111"/>
      <c r="D892" s="111"/>
      <c r="E892" s="111"/>
      <c r="F892" s="111"/>
      <c r="G892" s="111"/>
      <c r="H892" s="113"/>
      <c r="I892" s="62"/>
      <c r="J892" s="62"/>
      <c r="K892" s="62"/>
      <c r="L892" s="62"/>
      <c r="M892" s="62"/>
      <c r="N892" s="62"/>
      <c r="O892" s="113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</row>
    <row r="893">
      <c r="A893" s="114"/>
      <c r="B893" s="111"/>
      <c r="C893" s="111"/>
      <c r="D893" s="111"/>
      <c r="E893" s="111"/>
      <c r="F893" s="111"/>
      <c r="G893" s="111"/>
      <c r="H893" s="113"/>
      <c r="I893" s="62"/>
      <c r="J893" s="62"/>
      <c r="K893" s="62"/>
      <c r="L893" s="62"/>
      <c r="M893" s="62"/>
      <c r="N893" s="62"/>
      <c r="O893" s="113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</row>
    <row r="894">
      <c r="A894" s="114"/>
      <c r="B894" s="111"/>
      <c r="C894" s="111"/>
      <c r="D894" s="111"/>
      <c r="E894" s="111"/>
      <c r="F894" s="111"/>
      <c r="G894" s="111"/>
      <c r="H894" s="113"/>
      <c r="I894" s="62"/>
      <c r="J894" s="62"/>
      <c r="K894" s="62"/>
      <c r="L894" s="62"/>
      <c r="M894" s="62"/>
      <c r="N894" s="62"/>
      <c r="O894" s="113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  <c r="AA894" s="62"/>
    </row>
    <row r="895">
      <c r="A895" s="114"/>
      <c r="B895" s="111"/>
      <c r="C895" s="111"/>
      <c r="D895" s="111"/>
      <c r="E895" s="111"/>
      <c r="F895" s="111"/>
      <c r="G895" s="111"/>
      <c r="H895" s="113"/>
      <c r="I895" s="62"/>
      <c r="J895" s="62"/>
      <c r="K895" s="62"/>
      <c r="L895" s="62"/>
      <c r="M895" s="62"/>
      <c r="N895" s="62"/>
      <c r="O895" s="113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  <c r="AA895" s="62"/>
    </row>
    <row r="896">
      <c r="A896" s="114"/>
      <c r="B896" s="111"/>
      <c r="C896" s="111"/>
      <c r="D896" s="111"/>
      <c r="E896" s="111"/>
      <c r="F896" s="111"/>
      <c r="G896" s="111"/>
      <c r="H896" s="113"/>
      <c r="I896" s="62"/>
      <c r="J896" s="62"/>
      <c r="K896" s="62"/>
      <c r="L896" s="62"/>
      <c r="M896" s="62"/>
      <c r="N896" s="62"/>
      <c r="O896" s="113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  <c r="AA896" s="62"/>
    </row>
    <row r="897">
      <c r="A897" s="114"/>
      <c r="B897" s="111"/>
      <c r="C897" s="111"/>
      <c r="D897" s="111"/>
      <c r="E897" s="111"/>
      <c r="F897" s="111"/>
      <c r="G897" s="111"/>
      <c r="H897" s="113"/>
      <c r="I897" s="62"/>
      <c r="J897" s="62"/>
      <c r="K897" s="62"/>
      <c r="L897" s="62"/>
      <c r="M897" s="62"/>
      <c r="N897" s="62"/>
      <c r="O897" s="113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  <c r="AA897" s="62"/>
    </row>
    <row r="898">
      <c r="A898" s="114"/>
      <c r="B898" s="111"/>
      <c r="C898" s="111"/>
      <c r="D898" s="111"/>
      <c r="E898" s="111"/>
      <c r="F898" s="111"/>
      <c r="G898" s="111"/>
      <c r="H898" s="113"/>
      <c r="I898" s="62"/>
      <c r="J898" s="62"/>
      <c r="K898" s="62"/>
      <c r="L898" s="62"/>
      <c r="M898" s="62"/>
      <c r="N898" s="62"/>
      <c r="O898" s="113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  <c r="AA898" s="62"/>
    </row>
    <row r="899">
      <c r="A899" s="114"/>
      <c r="B899" s="111"/>
      <c r="C899" s="111"/>
      <c r="D899" s="111"/>
      <c r="E899" s="111"/>
      <c r="F899" s="111"/>
      <c r="G899" s="111"/>
      <c r="H899" s="113"/>
      <c r="I899" s="62"/>
      <c r="J899" s="62"/>
      <c r="K899" s="62"/>
      <c r="L899" s="62"/>
      <c r="M899" s="62"/>
      <c r="N899" s="62"/>
      <c r="O899" s="113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  <c r="AA899" s="62"/>
    </row>
    <row r="900">
      <c r="A900" s="114"/>
      <c r="B900" s="111"/>
      <c r="C900" s="111"/>
      <c r="D900" s="111"/>
      <c r="E900" s="111"/>
      <c r="F900" s="111"/>
      <c r="G900" s="111"/>
      <c r="H900" s="113"/>
      <c r="I900" s="62"/>
      <c r="J900" s="62"/>
      <c r="K900" s="62"/>
      <c r="L900" s="62"/>
      <c r="M900" s="62"/>
      <c r="N900" s="62"/>
      <c r="O900" s="113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  <c r="AA900" s="62"/>
    </row>
    <row r="901">
      <c r="A901" s="114"/>
      <c r="B901" s="111"/>
      <c r="C901" s="111"/>
      <c r="D901" s="111"/>
      <c r="E901" s="111"/>
      <c r="F901" s="111"/>
      <c r="G901" s="111"/>
      <c r="H901" s="113"/>
      <c r="I901" s="62"/>
      <c r="J901" s="62"/>
      <c r="K901" s="62"/>
      <c r="L901" s="62"/>
      <c r="M901" s="62"/>
      <c r="N901" s="62"/>
      <c r="O901" s="113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  <c r="AA901" s="62"/>
    </row>
    <row r="902">
      <c r="A902" s="114"/>
      <c r="B902" s="111"/>
      <c r="C902" s="111"/>
      <c r="D902" s="111"/>
      <c r="E902" s="111"/>
      <c r="F902" s="111"/>
      <c r="G902" s="111"/>
      <c r="H902" s="113"/>
      <c r="I902" s="62"/>
      <c r="J902" s="62"/>
      <c r="K902" s="62"/>
      <c r="L902" s="62"/>
      <c r="M902" s="62"/>
      <c r="N902" s="62"/>
      <c r="O902" s="113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  <c r="AA902" s="62"/>
    </row>
    <row r="903">
      <c r="A903" s="114"/>
      <c r="B903" s="111"/>
      <c r="C903" s="111"/>
      <c r="D903" s="111"/>
      <c r="E903" s="111"/>
      <c r="F903" s="111"/>
      <c r="G903" s="111"/>
      <c r="H903" s="113"/>
      <c r="I903" s="62"/>
      <c r="J903" s="62"/>
      <c r="K903" s="62"/>
      <c r="L903" s="62"/>
      <c r="M903" s="62"/>
      <c r="N903" s="62"/>
      <c r="O903" s="113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  <c r="AA903" s="62"/>
    </row>
    <row r="904">
      <c r="A904" s="114"/>
      <c r="B904" s="111"/>
      <c r="C904" s="111"/>
      <c r="D904" s="111"/>
      <c r="E904" s="111"/>
      <c r="F904" s="111"/>
      <c r="G904" s="111"/>
      <c r="H904" s="113"/>
      <c r="I904" s="62"/>
      <c r="J904" s="62"/>
      <c r="K904" s="62"/>
      <c r="L904" s="62"/>
      <c r="M904" s="62"/>
      <c r="N904" s="62"/>
      <c r="O904" s="113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  <c r="AA904" s="62"/>
    </row>
    <row r="905">
      <c r="A905" s="114"/>
      <c r="B905" s="111"/>
      <c r="C905" s="111"/>
      <c r="D905" s="111"/>
      <c r="E905" s="111"/>
      <c r="F905" s="111"/>
      <c r="G905" s="111"/>
      <c r="H905" s="113"/>
      <c r="I905" s="62"/>
      <c r="J905" s="62"/>
      <c r="K905" s="62"/>
      <c r="L905" s="62"/>
      <c r="M905" s="62"/>
      <c r="N905" s="62"/>
      <c r="O905" s="113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  <c r="AA905" s="62"/>
    </row>
    <row r="906">
      <c r="A906" s="114"/>
      <c r="B906" s="111"/>
      <c r="C906" s="111"/>
      <c r="D906" s="111"/>
      <c r="E906" s="111"/>
      <c r="F906" s="111"/>
      <c r="G906" s="111"/>
      <c r="H906" s="113"/>
      <c r="I906" s="62"/>
      <c r="J906" s="62"/>
      <c r="K906" s="62"/>
      <c r="L906" s="62"/>
      <c r="M906" s="62"/>
      <c r="N906" s="62"/>
      <c r="O906" s="113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  <c r="AA906" s="62"/>
    </row>
    <row r="907">
      <c r="A907" s="114"/>
      <c r="B907" s="111"/>
      <c r="C907" s="111"/>
      <c r="D907" s="111"/>
      <c r="E907" s="111"/>
      <c r="F907" s="111"/>
      <c r="G907" s="111"/>
      <c r="H907" s="113"/>
      <c r="I907" s="62"/>
      <c r="J907" s="62"/>
      <c r="K907" s="62"/>
      <c r="L907" s="62"/>
      <c r="M907" s="62"/>
      <c r="N907" s="62"/>
      <c r="O907" s="113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  <c r="AA907" s="62"/>
    </row>
    <row r="908">
      <c r="A908" s="114"/>
      <c r="B908" s="111"/>
      <c r="C908" s="111"/>
      <c r="D908" s="111"/>
      <c r="E908" s="111"/>
      <c r="F908" s="111"/>
      <c r="G908" s="111"/>
      <c r="H908" s="113"/>
      <c r="I908" s="62"/>
      <c r="J908" s="62"/>
      <c r="K908" s="62"/>
      <c r="L908" s="62"/>
      <c r="M908" s="62"/>
      <c r="N908" s="62"/>
      <c r="O908" s="113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  <c r="AA908" s="62"/>
    </row>
    <row r="909">
      <c r="A909" s="114"/>
      <c r="B909" s="111"/>
      <c r="C909" s="111"/>
      <c r="D909" s="111"/>
      <c r="E909" s="111"/>
      <c r="F909" s="111"/>
      <c r="G909" s="111"/>
      <c r="H909" s="113"/>
      <c r="I909" s="62"/>
      <c r="J909" s="62"/>
      <c r="K909" s="62"/>
      <c r="L909" s="62"/>
      <c r="M909" s="62"/>
      <c r="N909" s="62"/>
      <c r="O909" s="113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  <c r="AA909" s="62"/>
    </row>
    <row r="910">
      <c r="A910" s="114"/>
      <c r="B910" s="111"/>
      <c r="C910" s="111"/>
      <c r="D910" s="111"/>
      <c r="E910" s="111"/>
      <c r="F910" s="111"/>
      <c r="G910" s="111"/>
      <c r="H910" s="113"/>
      <c r="I910" s="62"/>
      <c r="J910" s="62"/>
      <c r="K910" s="62"/>
      <c r="L910" s="62"/>
      <c r="M910" s="62"/>
      <c r="N910" s="62"/>
      <c r="O910" s="113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  <c r="AA910" s="62"/>
    </row>
    <row r="911">
      <c r="A911" s="114"/>
      <c r="B911" s="111"/>
      <c r="C911" s="111"/>
      <c r="D911" s="111"/>
      <c r="E911" s="111"/>
      <c r="F911" s="111"/>
      <c r="G911" s="111"/>
      <c r="H911" s="113"/>
      <c r="I911" s="62"/>
      <c r="J911" s="62"/>
      <c r="K911" s="62"/>
      <c r="L911" s="62"/>
      <c r="M911" s="62"/>
      <c r="N911" s="62"/>
      <c r="O911" s="113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  <c r="AA911" s="62"/>
    </row>
    <row r="912">
      <c r="A912" s="114"/>
      <c r="B912" s="111"/>
      <c r="C912" s="111"/>
      <c r="D912" s="111"/>
      <c r="E912" s="111"/>
      <c r="F912" s="111"/>
      <c r="G912" s="111"/>
      <c r="H912" s="113"/>
      <c r="I912" s="62"/>
      <c r="J912" s="62"/>
      <c r="K912" s="62"/>
      <c r="L912" s="62"/>
      <c r="M912" s="62"/>
      <c r="N912" s="62"/>
      <c r="O912" s="113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  <c r="AA912" s="62"/>
    </row>
    <row r="913">
      <c r="A913" s="114"/>
      <c r="B913" s="111"/>
      <c r="C913" s="111"/>
      <c r="D913" s="111"/>
      <c r="E913" s="111"/>
      <c r="F913" s="111"/>
      <c r="G913" s="111"/>
      <c r="H913" s="113"/>
      <c r="I913" s="62"/>
      <c r="J913" s="62"/>
      <c r="K913" s="62"/>
      <c r="L913" s="62"/>
      <c r="M913" s="62"/>
      <c r="N913" s="62"/>
      <c r="O913" s="113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  <c r="AA913" s="62"/>
    </row>
    <row r="914">
      <c r="A914" s="114"/>
      <c r="B914" s="111"/>
      <c r="C914" s="111"/>
      <c r="D914" s="111"/>
      <c r="E914" s="111"/>
      <c r="F914" s="111"/>
      <c r="G914" s="111"/>
      <c r="H914" s="113"/>
      <c r="I914" s="62"/>
      <c r="J914" s="62"/>
      <c r="K914" s="62"/>
      <c r="L914" s="62"/>
      <c r="M914" s="62"/>
      <c r="N914" s="62"/>
      <c r="O914" s="113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  <c r="AA914" s="62"/>
    </row>
    <row r="915">
      <c r="A915" s="114"/>
      <c r="B915" s="111"/>
      <c r="C915" s="111"/>
      <c r="D915" s="111"/>
      <c r="E915" s="111"/>
      <c r="F915" s="111"/>
      <c r="G915" s="111"/>
      <c r="H915" s="113"/>
      <c r="I915" s="62"/>
      <c r="J915" s="62"/>
      <c r="K915" s="62"/>
      <c r="L915" s="62"/>
      <c r="M915" s="62"/>
      <c r="N915" s="62"/>
      <c r="O915" s="113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  <c r="AA915" s="62"/>
    </row>
    <row r="916">
      <c r="A916" s="114"/>
      <c r="B916" s="111"/>
      <c r="C916" s="111"/>
      <c r="D916" s="111"/>
      <c r="E916" s="111"/>
      <c r="F916" s="111"/>
      <c r="G916" s="111"/>
      <c r="H916" s="113"/>
      <c r="I916" s="62"/>
      <c r="J916" s="62"/>
      <c r="K916" s="62"/>
      <c r="L916" s="62"/>
      <c r="M916" s="62"/>
      <c r="N916" s="62"/>
      <c r="O916" s="113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  <c r="AA916" s="62"/>
    </row>
    <row r="917">
      <c r="A917" s="114"/>
      <c r="B917" s="111"/>
      <c r="C917" s="111"/>
      <c r="D917" s="111"/>
      <c r="E917" s="111"/>
      <c r="F917" s="111"/>
      <c r="G917" s="111"/>
      <c r="H917" s="113"/>
      <c r="I917" s="62"/>
      <c r="J917" s="62"/>
      <c r="K917" s="62"/>
      <c r="L917" s="62"/>
      <c r="M917" s="62"/>
      <c r="N917" s="62"/>
      <c r="O917" s="113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  <c r="AA917" s="62"/>
    </row>
    <row r="918">
      <c r="A918" s="114"/>
      <c r="B918" s="111"/>
      <c r="C918" s="111"/>
      <c r="D918" s="111"/>
      <c r="E918" s="111"/>
      <c r="F918" s="111"/>
      <c r="G918" s="111"/>
      <c r="H918" s="113"/>
      <c r="I918" s="62"/>
      <c r="J918" s="62"/>
      <c r="K918" s="62"/>
      <c r="L918" s="62"/>
      <c r="M918" s="62"/>
      <c r="N918" s="62"/>
      <c r="O918" s="113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</row>
    <row r="919">
      <c r="A919" s="114"/>
      <c r="B919" s="111"/>
      <c r="C919" s="111"/>
      <c r="D919" s="111"/>
      <c r="E919" s="111"/>
      <c r="F919" s="111"/>
      <c r="G919" s="111"/>
      <c r="H919" s="113"/>
      <c r="I919" s="62"/>
      <c r="J919" s="62"/>
      <c r="K919" s="62"/>
      <c r="L919" s="62"/>
      <c r="M919" s="62"/>
      <c r="N919" s="62"/>
      <c r="O919" s="113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</row>
    <row r="920">
      <c r="A920" s="114"/>
      <c r="B920" s="111"/>
      <c r="C920" s="111"/>
      <c r="D920" s="111"/>
      <c r="E920" s="111"/>
      <c r="F920" s="111"/>
      <c r="G920" s="111"/>
      <c r="H920" s="113"/>
      <c r="I920" s="62"/>
      <c r="J920" s="62"/>
      <c r="K920" s="62"/>
      <c r="L920" s="62"/>
      <c r="M920" s="62"/>
      <c r="N920" s="62"/>
      <c r="O920" s="113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  <c r="AA920" s="62"/>
    </row>
    <row r="921">
      <c r="A921" s="114"/>
      <c r="B921" s="111"/>
      <c r="C921" s="111"/>
      <c r="D921" s="111"/>
      <c r="E921" s="111"/>
      <c r="F921" s="111"/>
      <c r="G921" s="111"/>
      <c r="H921" s="113"/>
      <c r="I921" s="62"/>
      <c r="J921" s="62"/>
      <c r="K921" s="62"/>
      <c r="L921" s="62"/>
      <c r="M921" s="62"/>
      <c r="N921" s="62"/>
      <c r="O921" s="113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</row>
    <row r="922">
      <c r="A922" s="114"/>
      <c r="B922" s="111"/>
      <c r="C922" s="111"/>
      <c r="D922" s="111"/>
      <c r="E922" s="111"/>
      <c r="F922" s="111"/>
      <c r="G922" s="111"/>
      <c r="H922" s="113"/>
      <c r="I922" s="62"/>
      <c r="J922" s="62"/>
      <c r="K922" s="62"/>
      <c r="L922" s="62"/>
      <c r="M922" s="62"/>
      <c r="N922" s="62"/>
      <c r="O922" s="113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</row>
    <row r="923">
      <c r="A923" s="114"/>
      <c r="B923" s="111"/>
      <c r="C923" s="111"/>
      <c r="D923" s="111"/>
      <c r="E923" s="111"/>
      <c r="F923" s="111"/>
      <c r="G923" s="111"/>
      <c r="H923" s="113"/>
      <c r="I923" s="62"/>
      <c r="J923" s="62"/>
      <c r="K923" s="62"/>
      <c r="L923" s="62"/>
      <c r="M923" s="62"/>
      <c r="N923" s="62"/>
      <c r="O923" s="113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</row>
    <row r="924">
      <c r="A924" s="114"/>
      <c r="B924" s="111"/>
      <c r="C924" s="111"/>
      <c r="D924" s="111"/>
      <c r="E924" s="111"/>
      <c r="F924" s="111"/>
      <c r="G924" s="111"/>
      <c r="H924" s="113"/>
      <c r="I924" s="62"/>
      <c r="J924" s="62"/>
      <c r="K924" s="62"/>
      <c r="L924" s="62"/>
      <c r="M924" s="62"/>
      <c r="N924" s="62"/>
      <c r="O924" s="113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</row>
    <row r="925">
      <c r="A925" s="114"/>
      <c r="B925" s="111"/>
      <c r="C925" s="111"/>
      <c r="D925" s="111"/>
      <c r="E925" s="111"/>
      <c r="F925" s="111"/>
      <c r="G925" s="111"/>
      <c r="H925" s="113"/>
      <c r="I925" s="62"/>
      <c r="J925" s="62"/>
      <c r="K925" s="62"/>
      <c r="L925" s="62"/>
      <c r="M925" s="62"/>
      <c r="N925" s="62"/>
      <c r="O925" s="113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</row>
    <row r="926">
      <c r="A926" s="114"/>
      <c r="B926" s="111"/>
      <c r="C926" s="111"/>
      <c r="D926" s="111"/>
      <c r="E926" s="111"/>
      <c r="F926" s="111"/>
      <c r="G926" s="111"/>
      <c r="H926" s="113"/>
      <c r="I926" s="62"/>
      <c r="J926" s="62"/>
      <c r="K926" s="62"/>
      <c r="L926" s="62"/>
      <c r="M926" s="62"/>
      <c r="N926" s="62"/>
      <c r="O926" s="113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</row>
    <row r="927">
      <c r="A927" s="114"/>
      <c r="B927" s="111"/>
      <c r="C927" s="111"/>
      <c r="D927" s="111"/>
      <c r="E927" s="111"/>
      <c r="F927" s="111"/>
      <c r="G927" s="111"/>
      <c r="H927" s="113"/>
      <c r="I927" s="62"/>
      <c r="J927" s="62"/>
      <c r="K927" s="62"/>
      <c r="L927" s="62"/>
      <c r="M927" s="62"/>
      <c r="N927" s="62"/>
      <c r="O927" s="113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</row>
    <row r="928">
      <c r="A928" s="114"/>
      <c r="B928" s="111"/>
      <c r="C928" s="111"/>
      <c r="D928" s="111"/>
      <c r="E928" s="111"/>
      <c r="F928" s="111"/>
      <c r="G928" s="111"/>
      <c r="H928" s="113"/>
      <c r="I928" s="62"/>
      <c r="J928" s="62"/>
      <c r="K928" s="62"/>
      <c r="L928" s="62"/>
      <c r="M928" s="62"/>
      <c r="N928" s="62"/>
      <c r="O928" s="113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</row>
    <row r="929">
      <c r="A929" s="114"/>
      <c r="B929" s="111"/>
      <c r="C929" s="111"/>
      <c r="D929" s="111"/>
      <c r="E929" s="111"/>
      <c r="F929" s="111"/>
      <c r="G929" s="111"/>
      <c r="H929" s="113"/>
      <c r="I929" s="62"/>
      <c r="J929" s="62"/>
      <c r="K929" s="62"/>
      <c r="L929" s="62"/>
      <c r="M929" s="62"/>
      <c r="N929" s="62"/>
      <c r="O929" s="113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</row>
    <row r="930">
      <c r="A930" s="114"/>
      <c r="B930" s="111"/>
      <c r="C930" s="111"/>
      <c r="D930" s="111"/>
      <c r="E930" s="111"/>
      <c r="F930" s="111"/>
      <c r="G930" s="111"/>
      <c r="H930" s="113"/>
      <c r="I930" s="62"/>
      <c r="J930" s="62"/>
      <c r="K930" s="62"/>
      <c r="L930" s="62"/>
      <c r="M930" s="62"/>
      <c r="N930" s="62"/>
      <c r="O930" s="113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</row>
    <row r="931">
      <c r="A931" s="114"/>
      <c r="B931" s="111"/>
      <c r="C931" s="111"/>
      <c r="D931" s="111"/>
      <c r="E931" s="111"/>
      <c r="F931" s="111"/>
      <c r="G931" s="111"/>
      <c r="H931" s="113"/>
      <c r="I931" s="62"/>
      <c r="J931" s="62"/>
      <c r="K931" s="62"/>
      <c r="L931" s="62"/>
      <c r="M931" s="62"/>
      <c r="N931" s="62"/>
      <c r="O931" s="113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</row>
    <row r="932">
      <c r="A932" s="114"/>
      <c r="B932" s="111"/>
      <c r="C932" s="111"/>
      <c r="D932" s="111"/>
      <c r="E932" s="111"/>
      <c r="F932" s="111"/>
      <c r="G932" s="111"/>
      <c r="H932" s="113"/>
      <c r="I932" s="62"/>
      <c r="J932" s="62"/>
      <c r="K932" s="62"/>
      <c r="L932" s="62"/>
      <c r="M932" s="62"/>
      <c r="N932" s="62"/>
      <c r="O932" s="113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  <c r="AA932" s="62"/>
    </row>
    <row r="933">
      <c r="A933" s="114"/>
      <c r="B933" s="111"/>
      <c r="C933" s="111"/>
      <c r="D933" s="111"/>
      <c r="E933" s="111"/>
      <c r="F933" s="111"/>
      <c r="G933" s="111"/>
      <c r="H933" s="113"/>
      <c r="I933" s="62"/>
      <c r="J933" s="62"/>
      <c r="K933" s="62"/>
      <c r="L933" s="62"/>
      <c r="M933" s="62"/>
      <c r="N933" s="62"/>
      <c r="O933" s="113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  <c r="AA933" s="62"/>
    </row>
    <row r="934">
      <c r="A934" s="114"/>
      <c r="B934" s="111"/>
      <c r="C934" s="111"/>
      <c r="D934" s="111"/>
      <c r="E934" s="111"/>
      <c r="F934" s="111"/>
      <c r="G934" s="111"/>
      <c r="H934" s="113"/>
      <c r="I934" s="62"/>
      <c r="J934" s="62"/>
      <c r="K934" s="62"/>
      <c r="L934" s="62"/>
      <c r="M934" s="62"/>
      <c r="N934" s="62"/>
      <c r="O934" s="113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  <c r="AA934" s="62"/>
    </row>
    <row r="935">
      <c r="A935" s="114"/>
      <c r="B935" s="111"/>
      <c r="C935" s="111"/>
      <c r="D935" s="111"/>
      <c r="E935" s="111"/>
      <c r="F935" s="111"/>
      <c r="G935" s="111"/>
      <c r="H935" s="113"/>
      <c r="I935" s="62"/>
      <c r="J935" s="62"/>
      <c r="K935" s="62"/>
      <c r="L935" s="62"/>
      <c r="M935" s="62"/>
      <c r="N935" s="62"/>
      <c r="O935" s="113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  <c r="AA935" s="62"/>
    </row>
    <row r="936">
      <c r="A936" s="114"/>
      <c r="B936" s="111"/>
      <c r="C936" s="111"/>
      <c r="D936" s="111"/>
      <c r="E936" s="111"/>
      <c r="F936" s="111"/>
      <c r="G936" s="111"/>
      <c r="H936" s="113"/>
      <c r="I936" s="62"/>
      <c r="J936" s="62"/>
      <c r="K936" s="62"/>
      <c r="L936" s="62"/>
      <c r="M936" s="62"/>
      <c r="N936" s="62"/>
      <c r="O936" s="113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  <c r="AA936" s="62"/>
    </row>
    <row r="937">
      <c r="A937" s="114"/>
      <c r="B937" s="111"/>
      <c r="C937" s="111"/>
      <c r="D937" s="111"/>
      <c r="E937" s="111"/>
      <c r="F937" s="111"/>
      <c r="G937" s="111"/>
      <c r="H937" s="113"/>
      <c r="I937" s="62"/>
      <c r="J937" s="62"/>
      <c r="K937" s="62"/>
      <c r="L937" s="62"/>
      <c r="M937" s="62"/>
      <c r="N937" s="62"/>
      <c r="O937" s="113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  <c r="AA937" s="62"/>
    </row>
    <row r="938">
      <c r="A938" s="114"/>
      <c r="B938" s="111"/>
      <c r="C938" s="111"/>
      <c r="D938" s="111"/>
      <c r="E938" s="111"/>
      <c r="F938" s="111"/>
      <c r="G938" s="111"/>
      <c r="H938" s="113"/>
      <c r="I938" s="62"/>
      <c r="J938" s="62"/>
      <c r="K938" s="62"/>
      <c r="L938" s="62"/>
      <c r="M938" s="62"/>
      <c r="N938" s="62"/>
      <c r="O938" s="113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  <c r="AA938" s="62"/>
    </row>
    <row r="939">
      <c r="A939" s="114"/>
      <c r="B939" s="111"/>
      <c r="C939" s="111"/>
      <c r="D939" s="111"/>
      <c r="E939" s="111"/>
      <c r="F939" s="111"/>
      <c r="G939" s="111"/>
      <c r="H939" s="113"/>
      <c r="I939" s="62"/>
      <c r="J939" s="62"/>
      <c r="K939" s="62"/>
      <c r="L939" s="62"/>
      <c r="M939" s="62"/>
      <c r="N939" s="62"/>
      <c r="O939" s="113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  <c r="AA939" s="62"/>
    </row>
    <row r="940">
      <c r="A940" s="114"/>
      <c r="B940" s="111"/>
      <c r="C940" s="111"/>
      <c r="D940" s="111"/>
      <c r="E940" s="111"/>
      <c r="F940" s="111"/>
      <c r="G940" s="111"/>
      <c r="H940" s="113"/>
      <c r="I940" s="62"/>
      <c r="J940" s="62"/>
      <c r="K940" s="62"/>
      <c r="L940" s="62"/>
      <c r="M940" s="62"/>
      <c r="N940" s="62"/>
      <c r="O940" s="113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  <c r="AA940" s="62"/>
    </row>
    <row r="941">
      <c r="A941" s="114"/>
      <c r="B941" s="111"/>
      <c r="C941" s="111"/>
      <c r="D941" s="111"/>
      <c r="E941" s="111"/>
      <c r="F941" s="111"/>
      <c r="G941" s="111"/>
      <c r="H941" s="113"/>
      <c r="I941" s="62"/>
      <c r="J941" s="62"/>
      <c r="K941" s="62"/>
      <c r="L941" s="62"/>
      <c r="M941" s="62"/>
      <c r="N941" s="62"/>
      <c r="O941" s="113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  <c r="AA941" s="62"/>
    </row>
    <row r="942">
      <c r="A942" s="114"/>
      <c r="B942" s="111"/>
      <c r="C942" s="111"/>
      <c r="D942" s="111"/>
      <c r="E942" s="111"/>
      <c r="F942" s="111"/>
      <c r="G942" s="111"/>
      <c r="H942" s="113"/>
      <c r="I942" s="62"/>
      <c r="J942" s="62"/>
      <c r="K942" s="62"/>
      <c r="L942" s="62"/>
      <c r="M942" s="62"/>
      <c r="N942" s="62"/>
      <c r="O942" s="113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  <c r="AA942" s="62"/>
    </row>
    <row r="943">
      <c r="A943" s="114"/>
      <c r="B943" s="111"/>
      <c r="C943" s="111"/>
      <c r="D943" s="111"/>
      <c r="E943" s="111"/>
      <c r="F943" s="111"/>
      <c r="G943" s="111"/>
      <c r="H943" s="113"/>
      <c r="I943" s="62"/>
      <c r="J943" s="62"/>
      <c r="K943" s="62"/>
      <c r="L943" s="62"/>
      <c r="M943" s="62"/>
      <c r="N943" s="62"/>
      <c r="O943" s="113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  <c r="AA943" s="62"/>
    </row>
    <row r="944">
      <c r="A944" s="114"/>
      <c r="B944" s="111"/>
      <c r="C944" s="111"/>
      <c r="D944" s="111"/>
      <c r="E944" s="111"/>
      <c r="F944" s="111"/>
      <c r="G944" s="111"/>
      <c r="H944" s="113"/>
      <c r="I944" s="62"/>
      <c r="J944" s="62"/>
      <c r="K944" s="62"/>
      <c r="L944" s="62"/>
      <c r="M944" s="62"/>
      <c r="N944" s="62"/>
      <c r="O944" s="113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  <c r="AA944" s="62"/>
    </row>
    <row r="945">
      <c r="A945" s="114"/>
      <c r="B945" s="111"/>
      <c r="C945" s="111"/>
      <c r="D945" s="111"/>
      <c r="E945" s="111"/>
      <c r="F945" s="111"/>
      <c r="G945" s="111"/>
      <c r="H945" s="113"/>
      <c r="I945" s="62"/>
      <c r="J945" s="62"/>
      <c r="K945" s="62"/>
      <c r="L945" s="62"/>
      <c r="M945" s="62"/>
      <c r="N945" s="62"/>
      <c r="O945" s="113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  <c r="AA945" s="62"/>
    </row>
    <row r="946">
      <c r="A946" s="114"/>
      <c r="B946" s="111"/>
      <c r="C946" s="111"/>
      <c r="D946" s="111"/>
      <c r="E946" s="111"/>
      <c r="F946" s="111"/>
      <c r="G946" s="111"/>
      <c r="H946" s="113"/>
      <c r="I946" s="62"/>
      <c r="J946" s="62"/>
      <c r="K946" s="62"/>
      <c r="L946" s="62"/>
      <c r="M946" s="62"/>
      <c r="N946" s="62"/>
      <c r="O946" s="113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  <c r="AA946" s="62"/>
    </row>
    <row r="947">
      <c r="A947" s="114"/>
      <c r="B947" s="111"/>
      <c r="C947" s="111"/>
      <c r="D947" s="111"/>
      <c r="E947" s="111"/>
      <c r="F947" s="111"/>
      <c r="G947" s="111"/>
      <c r="H947" s="113"/>
      <c r="I947" s="62"/>
      <c r="J947" s="62"/>
      <c r="K947" s="62"/>
      <c r="L947" s="62"/>
      <c r="M947" s="62"/>
      <c r="N947" s="62"/>
      <c r="O947" s="113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  <c r="AA947" s="62"/>
    </row>
    <row r="948">
      <c r="A948" s="114"/>
      <c r="B948" s="111"/>
      <c r="C948" s="111"/>
      <c r="D948" s="111"/>
      <c r="E948" s="111"/>
      <c r="F948" s="111"/>
      <c r="G948" s="111"/>
      <c r="H948" s="113"/>
      <c r="I948" s="62"/>
      <c r="J948" s="62"/>
      <c r="K948" s="62"/>
      <c r="L948" s="62"/>
      <c r="M948" s="62"/>
      <c r="N948" s="62"/>
      <c r="O948" s="113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  <c r="AA948" s="62"/>
    </row>
    <row r="949">
      <c r="A949" s="114"/>
      <c r="B949" s="111"/>
      <c r="C949" s="111"/>
      <c r="D949" s="111"/>
      <c r="E949" s="111"/>
      <c r="F949" s="111"/>
      <c r="G949" s="111"/>
      <c r="H949" s="113"/>
      <c r="I949" s="62"/>
      <c r="J949" s="62"/>
      <c r="K949" s="62"/>
      <c r="L949" s="62"/>
      <c r="M949" s="62"/>
      <c r="N949" s="62"/>
      <c r="O949" s="113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  <c r="AA949" s="62"/>
    </row>
    <row r="950">
      <c r="A950" s="114"/>
      <c r="B950" s="111"/>
      <c r="C950" s="111"/>
      <c r="D950" s="111"/>
      <c r="E950" s="111"/>
      <c r="F950" s="111"/>
      <c r="G950" s="111"/>
      <c r="H950" s="113"/>
      <c r="I950" s="62"/>
      <c r="J950" s="62"/>
      <c r="K950" s="62"/>
      <c r="L950" s="62"/>
      <c r="M950" s="62"/>
      <c r="N950" s="62"/>
      <c r="O950" s="113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  <c r="AA950" s="62"/>
    </row>
    <row r="951">
      <c r="A951" s="114"/>
      <c r="B951" s="111"/>
      <c r="C951" s="111"/>
      <c r="D951" s="111"/>
      <c r="E951" s="111"/>
      <c r="F951" s="111"/>
      <c r="G951" s="111"/>
      <c r="H951" s="113"/>
      <c r="I951" s="62"/>
      <c r="J951" s="62"/>
      <c r="K951" s="62"/>
      <c r="L951" s="62"/>
      <c r="M951" s="62"/>
      <c r="N951" s="62"/>
      <c r="O951" s="113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  <c r="AA951" s="62"/>
    </row>
    <row r="952">
      <c r="A952" s="114"/>
      <c r="B952" s="111"/>
      <c r="C952" s="111"/>
      <c r="D952" s="111"/>
      <c r="E952" s="111"/>
      <c r="F952" s="111"/>
      <c r="G952" s="111"/>
      <c r="H952" s="113"/>
      <c r="I952" s="62"/>
      <c r="J952" s="62"/>
      <c r="K952" s="62"/>
      <c r="L952" s="62"/>
      <c r="M952" s="62"/>
      <c r="N952" s="62"/>
      <c r="O952" s="113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  <c r="AA952" s="62"/>
    </row>
    <row r="953">
      <c r="A953" s="114"/>
      <c r="B953" s="111"/>
      <c r="C953" s="111"/>
      <c r="D953" s="111"/>
      <c r="E953" s="111"/>
      <c r="F953" s="111"/>
      <c r="G953" s="111"/>
      <c r="H953" s="113"/>
      <c r="I953" s="62"/>
      <c r="J953" s="62"/>
      <c r="K953" s="62"/>
      <c r="L953" s="62"/>
      <c r="M953" s="62"/>
      <c r="N953" s="62"/>
      <c r="O953" s="113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  <c r="AA953" s="62"/>
    </row>
    <row r="954">
      <c r="A954" s="114"/>
      <c r="B954" s="111"/>
      <c r="C954" s="111"/>
      <c r="D954" s="111"/>
      <c r="E954" s="111"/>
      <c r="F954" s="111"/>
      <c r="G954" s="111"/>
      <c r="H954" s="113"/>
      <c r="I954" s="62"/>
      <c r="J954" s="62"/>
      <c r="K954" s="62"/>
      <c r="L954" s="62"/>
      <c r="M954" s="62"/>
      <c r="N954" s="62"/>
      <c r="O954" s="113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  <c r="AA954" s="62"/>
    </row>
    <row r="955">
      <c r="A955" s="114"/>
      <c r="B955" s="111"/>
      <c r="C955" s="111"/>
      <c r="D955" s="111"/>
      <c r="E955" s="111"/>
      <c r="F955" s="111"/>
      <c r="G955" s="111"/>
      <c r="H955" s="113"/>
      <c r="I955" s="62"/>
      <c r="J955" s="62"/>
      <c r="K955" s="62"/>
      <c r="L955" s="62"/>
      <c r="M955" s="62"/>
      <c r="N955" s="62"/>
      <c r="O955" s="113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  <c r="AA955" s="62"/>
    </row>
    <row r="956">
      <c r="A956" s="114"/>
      <c r="B956" s="111"/>
      <c r="C956" s="111"/>
      <c r="D956" s="111"/>
      <c r="E956" s="111"/>
      <c r="F956" s="111"/>
      <c r="G956" s="111"/>
      <c r="H956" s="113"/>
      <c r="I956" s="62"/>
      <c r="J956" s="62"/>
      <c r="K956" s="62"/>
      <c r="L956" s="62"/>
      <c r="M956" s="62"/>
      <c r="N956" s="62"/>
      <c r="O956" s="113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</row>
    <row r="957">
      <c r="A957" s="114"/>
      <c r="B957" s="111"/>
      <c r="C957" s="111"/>
      <c r="D957" s="111"/>
      <c r="E957" s="111"/>
      <c r="F957" s="111"/>
      <c r="G957" s="111"/>
      <c r="H957" s="113"/>
      <c r="I957" s="62"/>
      <c r="J957" s="62"/>
      <c r="K957" s="62"/>
      <c r="L957" s="62"/>
      <c r="M957" s="62"/>
      <c r="N957" s="62"/>
      <c r="O957" s="113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</row>
    <row r="958">
      <c r="A958" s="114"/>
      <c r="B958" s="111"/>
      <c r="C958" s="111"/>
      <c r="D958" s="111"/>
      <c r="E958" s="111"/>
      <c r="F958" s="111"/>
      <c r="G958" s="111"/>
      <c r="H958" s="113"/>
      <c r="I958" s="62"/>
      <c r="J958" s="62"/>
      <c r="K958" s="62"/>
      <c r="L958" s="62"/>
      <c r="M958" s="62"/>
      <c r="N958" s="62"/>
      <c r="O958" s="113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  <c r="AA958" s="62"/>
    </row>
    <row r="959">
      <c r="A959" s="114"/>
      <c r="B959" s="111"/>
      <c r="C959" s="111"/>
      <c r="D959" s="111"/>
      <c r="E959" s="111"/>
      <c r="F959" s="111"/>
      <c r="G959" s="111"/>
      <c r="H959" s="113"/>
      <c r="I959" s="62"/>
      <c r="J959" s="62"/>
      <c r="K959" s="62"/>
      <c r="L959" s="62"/>
      <c r="M959" s="62"/>
      <c r="N959" s="62"/>
      <c r="O959" s="113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</row>
    <row r="960">
      <c r="A960" s="114"/>
      <c r="B960" s="111"/>
      <c r="C960" s="111"/>
      <c r="D960" s="111"/>
      <c r="E960" s="111"/>
      <c r="F960" s="111"/>
      <c r="G960" s="111"/>
      <c r="H960" s="113"/>
      <c r="I960" s="62"/>
      <c r="J960" s="62"/>
      <c r="K960" s="62"/>
      <c r="L960" s="62"/>
      <c r="M960" s="62"/>
      <c r="N960" s="62"/>
      <c r="O960" s="113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</row>
    <row r="961">
      <c r="A961" s="114"/>
      <c r="B961" s="111"/>
      <c r="C961" s="111"/>
      <c r="D961" s="111"/>
      <c r="E961" s="111"/>
      <c r="F961" s="111"/>
      <c r="G961" s="111"/>
      <c r="H961" s="113"/>
      <c r="I961" s="62"/>
      <c r="J961" s="62"/>
      <c r="K961" s="62"/>
      <c r="L961" s="62"/>
      <c r="M961" s="62"/>
      <c r="N961" s="62"/>
      <c r="O961" s="113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</row>
    <row r="962">
      <c r="A962" s="114"/>
      <c r="B962" s="111"/>
      <c r="C962" s="111"/>
      <c r="D962" s="111"/>
      <c r="E962" s="111"/>
      <c r="F962" s="111"/>
      <c r="G962" s="111"/>
      <c r="H962" s="113"/>
      <c r="I962" s="62"/>
      <c r="J962" s="62"/>
      <c r="K962" s="62"/>
      <c r="L962" s="62"/>
      <c r="M962" s="62"/>
      <c r="N962" s="62"/>
      <c r="O962" s="113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</row>
    <row r="963">
      <c r="A963" s="114"/>
      <c r="B963" s="111"/>
      <c r="C963" s="111"/>
      <c r="D963" s="111"/>
      <c r="E963" s="111"/>
      <c r="F963" s="111"/>
      <c r="G963" s="111"/>
      <c r="H963" s="113"/>
      <c r="I963" s="62"/>
      <c r="J963" s="62"/>
      <c r="K963" s="62"/>
      <c r="L963" s="62"/>
      <c r="M963" s="62"/>
      <c r="N963" s="62"/>
      <c r="O963" s="113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</row>
    <row r="964">
      <c r="A964" s="114"/>
      <c r="B964" s="111"/>
      <c r="C964" s="111"/>
      <c r="D964" s="111"/>
      <c r="E964" s="111"/>
      <c r="F964" s="111"/>
      <c r="G964" s="111"/>
      <c r="H964" s="113"/>
      <c r="I964" s="62"/>
      <c r="J964" s="62"/>
      <c r="K964" s="62"/>
      <c r="L964" s="62"/>
      <c r="M964" s="62"/>
      <c r="N964" s="62"/>
      <c r="O964" s="113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</row>
    <row r="965">
      <c r="A965" s="114"/>
      <c r="B965" s="111"/>
      <c r="C965" s="111"/>
      <c r="D965" s="111"/>
      <c r="E965" s="111"/>
      <c r="F965" s="111"/>
      <c r="G965" s="111"/>
      <c r="H965" s="113"/>
      <c r="I965" s="62"/>
      <c r="J965" s="62"/>
      <c r="K965" s="62"/>
      <c r="L965" s="62"/>
      <c r="M965" s="62"/>
      <c r="N965" s="62"/>
      <c r="O965" s="113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</row>
    <row r="966">
      <c r="A966" s="114"/>
      <c r="B966" s="111"/>
      <c r="C966" s="111"/>
      <c r="D966" s="111"/>
      <c r="E966" s="111"/>
      <c r="F966" s="111"/>
      <c r="G966" s="111"/>
      <c r="H966" s="113"/>
      <c r="I966" s="62"/>
      <c r="J966" s="62"/>
      <c r="K966" s="62"/>
      <c r="L966" s="62"/>
      <c r="M966" s="62"/>
      <c r="N966" s="62"/>
      <c r="O966" s="113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</row>
    <row r="967">
      <c r="A967" s="114"/>
      <c r="B967" s="111"/>
      <c r="C967" s="111"/>
      <c r="D967" s="111"/>
      <c r="E967" s="111"/>
      <c r="F967" s="111"/>
      <c r="G967" s="111"/>
      <c r="H967" s="113"/>
      <c r="I967" s="62"/>
      <c r="J967" s="62"/>
      <c r="K967" s="62"/>
      <c r="L967" s="62"/>
      <c r="M967" s="62"/>
      <c r="N967" s="62"/>
      <c r="O967" s="113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</row>
    <row r="968">
      <c r="A968" s="114"/>
      <c r="B968" s="111"/>
      <c r="C968" s="111"/>
      <c r="D968" s="111"/>
      <c r="E968" s="111"/>
      <c r="F968" s="111"/>
      <c r="G968" s="111"/>
      <c r="H968" s="113"/>
      <c r="I968" s="62"/>
      <c r="J968" s="62"/>
      <c r="K968" s="62"/>
      <c r="L968" s="62"/>
      <c r="M968" s="62"/>
      <c r="N968" s="62"/>
      <c r="O968" s="113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</row>
    <row r="969">
      <c r="A969" s="114"/>
      <c r="B969" s="111"/>
      <c r="C969" s="111"/>
      <c r="D969" s="111"/>
      <c r="E969" s="111"/>
      <c r="F969" s="111"/>
      <c r="G969" s="111"/>
      <c r="H969" s="113"/>
      <c r="I969" s="62"/>
      <c r="J969" s="62"/>
      <c r="K969" s="62"/>
      <c r="L969" s="62"/>
      <c r="M969" s="62"/>
      <c r="N969" s="62"/>
      <c r="O969" s="113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</row>
    <row r="970">
      <c r="A970" s="114"/>
      <c r="B970" s="111"/>
      <c r="C970" s="111"/>
      <c r="D970" s="111"/>
      <c r="E970" s="111"/>
      <c r="F970" s="111"/>
      <c r="G970" s="111"/>
      <c r="H970" s="113"/>
      <c r="I970" s="62"/>
      <c r="J970" s="62"/>
      <c r="K970" s="62"/>
      <c r="L970" s="62"/>
      <c r="M970" s="62"/>
      <c r="N970" s="62"/>
      <c r="O970" s="113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  <c r="AA970" s="62"/>
    </row>
    <row r="971">
      <c r="A971" s="114"/>
      <c r="B971" s="111"/>
      <c r="C971" s="111"/>
      <c r="D971" s="111"/>
      <c r="E971" s="111"/>
      <c r="F971" s="111"/>
      <c r="G971" s="111"/>
      <c r="H971" s="113"/>
      <c r="I971" s="62"/>
      <c r="J971" s="62"/>
      <c r="K971" s="62"/>
      <c r="L971" s="62"/>
      <c r="M971" s="62"/>
      <c r="N971" s="62"/>
      <c r="O971" s="113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  <c r="AA971" s="62"/>
    </row>
    <row r="972">
      <c r="A972" s="114"/>
      <c r="B972" s="111"/>
      <c r="C972" s="111"/>
      <c r="D972" s="111"/>
      <c r="E972" s="111"/>
      <c r="F972" s="111"/>
      <c r="G972" s="111"/>
      <c r="H972" s="113"/>
      <c r="I972" s="62"/>
      <c r="J972" s="62"/>
      <c r="K972" s="62"/>
      <c r="L972" s="62"/>
      <c r="M972" s="62"/>
      <c r="N972" s="62"/>
      <c r="O972" s="113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  <c r="AA972" s="62"/>
    </row>
    <row r="973">
      <c r="A973" s="114"/>
      <c r="B973" s="111"/>
      <c r="C973" s="111"/>
      <c r="D973" s="111"/>
      <c r="E973" s="111"/>
      <c r="F973" s="111"/>
      <c r="G973" s="111"/>
      <c r="H973" s="113"/>
      <c r="I973" s="62"/>
      <c r="J973" s="62"/>
      <c r="K973" s="62"/>
      <c r="L973" s="62"/>
      <c r="M973" s="62"/>
      <c r="N973" s="62"/>
      <c r="O973" s="113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  <c r="AA973" s="62"/>
    </row>
    <row r="974">
      <c r="A974" s="114"/>
      <c r="B974" s="111"/>
      <c r="C974" s="111"/>
      <c r="D974" s="111"/>
      <c r="E974" s="111"/>
      <c r="F974" s="111"/>
      <c r="G974" s="111"/>
      <c r="H974" s="113"/>
      <c r="I974" s="62"/>
      <c r="J974" s="62"/>
      <c r="K974" s="62"/>
      <c r="L974" s="62"/>
      <c r="M974" s="62"/>
      <c r="N974" s="62"/>
      <c r="O974" s="113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  <c r="AA974" s="62"/>
    </row>
    <row r="975">
      <c r="A975" s="114"/>
      <c r="B975" s="111"/>
      <c r="C975" s="111"/>
      <c r="D975" s="111"/>
      <c r="E975" s="111"/>
      <c r="F975" s="111"/>
      <c r="G975" s="111"/>
      <c r="H975" s="113"/>
      <c r="I975" s="62"/>
      <c r="J975" s="62"/>
      <c r="K975" s="62"/>
      <c r="L975" s="62"/>
      <c r="M975" s="62"/>
      <c r="N975" s="62"/>
      <c r="O975" s="113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  <c r="AA975" s="62"/>
    </row>
    <row r="976">
      <c r="A976" s="114"/>
      <c r="B976" s="111"/>
      <c r="C976" s="111"/>
      <c r="D976" s="111"/>
      <c r="E976" s="111"/>
      <c r="F976" s="111"/>
      <c r="G976" s="111"/>
      <c r="H976" s="113"/>
      <c r="I976" s="62"/>
      <c r="J976" s="62"/>
      <c r="K976" s="62"/>
      <c r="L976" s="62"/>
      <c r="M976" s="62"/>
      <c r="N976" s="62"/>
      <c r="O976" s="113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  <c r="AA976" s="62"/>
    </row>
    <row r="977">
      <c r="A977" s="114"/>
      <c r="B977" s="111"/>
      <c r="C977" s="111"/>
      <c r="D977" s="111"/>
      <c r="E977" s="111"/>
      <c r="F977" s="111"/>
      <c r="G977" s="111"/>
      <c r="H977" s="113"/>
      <c r="I977" s="62"/>
      <c r="J977" s="62"/>
      <c r="K977" s="62"/>
      <c r="L977" s="62"/>
      <c r="M977" s="62"/>
      <c r="N977" s="62"/>
      <c r="O977" s="113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  <c r="AA977" s="62"/>
    </row>
    <row r="978">
      <c r="A978" s="114"/>
      <c r="B978" s="111"/>
      <c r="C978" s="111"/>
      <c r="D978" s="111"/>
      <c r="E978" s="111"/>
      <c r="F978" s="111"/>
      <c r="G978" s="111"/>
      <c r="H978" s="113"/>
      <c r="I978" s="62"/>
      <c r="J978" s="62"/>
      <c r="K978" s="62"/>
      <c r="L978" s="62"/>
      <c r="M978" s="62"/>
      <c r="N978" s="62"/>
      <c r="O978" s="113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  <c r="AA978" s="62"/>
    </row>
    <row r="979">
      <c r="A979" s="114"/>
      <c r="B979" s="111"/>
      <c r="C979" s="111"/>
      <c r="D979" s="111"/>
      <c r="E979" s="111"/>
      <c r="F979" s="111"/>
      <c r="G979" s="111"/>
      <c r="H979" s="113"/>
      <c r="I979" s="62"/>
      <c r="J979" s="62"/>
      <c r="K979" s="62"/>
      <c r="L979" s="62"/>
      <c r="M979" s="62"/>
      <c r="N979" s="62"/>
      <c r="O979" s="113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  <c r="AA979" s="62"/>
    </row>
    <row r="980">
      <c r="A980" s="114"/>
      <c r="B980" s="111"/>
      <c r="C980" s="111"/>
      <c r="D980" s="111"/>
      <c r="E980" s="111"/>
      <c r="F980" s="111"/>
      <c r="G980" s="111"/>
      <c r="H980" s="113"/>
      <c r="I980" s="62"/>
      <c r="J980" s="62"/>
      <c r="K980" s="62"/>
      <c r="L980" s="62"/>
      <c r="M980" s="62"/>
      <c r="N980" s="62"/>
      <c r="O980" s="113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  <c r="AA980" s="62"/>
    </row>
    <row r="981">
      <c r="A981" s="114"/>
      <c r="B981" s="111"/>
      <c r="C981" s="111"/>
      <c r="D981" s="111"/>
      <c r="E981" s="111"/>
      <c r="F981" s="111"/>
      <c r="G981" s="111"/>
      <c r="H981" s="113"/>
      <c r="I981" s="62"/>
      <c r="J981" s="62"/>
      <c r="K981" s="62"/>
      <c r="L981" s="62"/>
      <c r="M981" s="62"/>
      <c r="N981" s="62"/>
      <c r="O981" s="113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  <c r="AA981" s="62"/>
    </row>
    <row r="982">
      <c r="A982" s="114"/>
      <c r="B982" s="111"/>
      <c r="C982" s="111"/>
      <c r="D982" s="111"/>
      <c r="E982" s="111"/>
      <c r="F982" s="111"/>
      <c r="G982" s="111"/>
      <c r="H982" s="113"/>
      <c r="I982" s="62"/>
      <c r="J982" s="62"/>
      <c r="K982" s="62"/>
      <c r="L982" s="62"/>
      <c r="M982" s="62"/>
      <c r="N982" s="62"/>
      <c r="O982" s="113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  <c r="AA982" s="62"/>
    </row>
    <row r="983">
      <c r="A983" s="114"/>
      <c r="B983" s="111"/>
      <c r="C983" s="111"/>
      <c r="D983" s="111"/>
      <c r="E983" s="111"/>
      <c r="F983" s="111"/>
      <c r="G983" s="111"/>
      <c r="H983" s="113"/>
      <c r="I983" s="62"/>
      <c r="J983" s="62"/>
      <c r="K983" s="62"/>
      <c r="L983" s="62"/>
      <c r="M983" s="62"/>
      <c r="N983" s="62"/>
      <c r="O983" s="113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  <c r="AA983" s="62"/>
    </row>
    <row r="984">
      <c r="A984" s="114"/>
      <c r="B984" s="111"/>
      <c r="C984" s="111"/>
      <c r="D984" s="111"/>
      <c r="E984" s="111"/>
      <c r="F984" s="111"/>
      <c r="G984" s="111"/>
      <c r="H984" s="113"/>
      <c r="I984" s="62"/>
      <c r="J984" s="62"/>
      <c r="K984" s="62"/>
      <c r="L984" s="62"/>
      <c r="M984" s="62"/>
      <c r="N984" s="62"/>
      <c r="O984" s="113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  <c r="AA984" s="62"/>
    </row>
    <row r="985">
      <c r="A985" s="114"/>
      <c r="B985" s="111"/>
      <c r="C985" s="111"/>
      <c r="D985" s="111"/>
      <c r="E985" s="111"/>
      <c r="F985" s="111"/>
      <c r="G985" s="111"/>
      <c r="H985" s="113"/>
      <c r="I985" s="62"/>
      <c r="J985" s="62"/>
      <c r="K985" s="62"/>
      <c r="L985" s="62"/>
      <c r="M985" s="62"/>
      <c r="N985" s="62"/>
      <c r="O985" s="113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  <c r="AA985" s="62"/>
    </row>
    <row r="986">
      <c r="A986" s="114"/>
      <c r="B986" s="111"/>
      <c r="C986" s="111"/>
      <c r="D986" s="111"/>
      <c r="E986" s="111"/>
      <c r="F986" s="111"/>
      <c r="G986" s="111"/>
      <c r="H986" s="113"/>
      <c r="I986" s="62"/>
      <c r="J986" s="62"/>
      <c r="K986" s="62"/>
      <c r="L986" s="62"/>
      <c r="M986" s="62"/>
      <c r="N986" s="62"/>
      <c r="O986" s="113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  <c r="AA986" s="62"/>
    </row>
    <row r="987">
      <c r="A987" s="114"/>
      <c r="B987" s="111"/>
      <c r="C987" s="111"/>
      <c r="D987" s="111"/>
      <c r="E987" s="111"/>
      <c r="F987" s="111"/>
      <c r="G987" s="111"/>
      <c r="H987" s="113"/>
      <c r="I987" s="62"/>
      <c r="J987" s="62"/>
      <c r="K987" s="62"/>
      <c r="L987" s="62"/>
      <c r="M987" s="62"/>
      <c r="N987" s="62"/>
      <c r="O987" s="113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  <c r="AA987" s="62"/>
    </row>
    <row r="988">
      <c r="A988" s="114"/>
      <c r="B988" s="111"/>
      <c r="C988" s="111"/>
      <c r="D988" s="111"/>
      <c r="E988" s="111"/>
      <c r="F988" s="111"/>
      <c r="G988" s="111"/>
      <c r="H988" s="113"/>
      <c r="I988" s="62"/>
      <c r="J988" s="62"/>
      <c r="K988" s="62"/>
      <c r="L988" s="62"/>
      <c r="M988" s="62"/>
      <c r="N988" s="62"/>
      <c r="O988" s="113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  <c r="AA988" s="62"/>
    </row>
    <row r="989">
      <c r="A989" s="114"/>
      <c r="B989" s="111"/>
      <c r="C989" s="111"/>
      <c r="D989" s="111"/>
      <c r="E989" s="111"/>
      <c r="F989" s="111"/>
      <c r="G989" s="111"/>
      <c r="H989" s="113"/>
      <c r="I989" s="62"/>
      <c r="J989" s="62"/>
      <c r="K989" s="62"/>
      <c r="L989" s="62"/>
      <c r="M989" s="62"/>
      <c r="N989" s="62"/>
      <c r="O989" s="113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  <c r="AA989" s="62"/>
    </row>
    <row r="990">
      <c r="A990" s="114"/>
      <c r="B990" s="111"/>
      <c r="C990" s="111"/>
      <c r="D990" s="111"/>
      <c r="E990" s="111"/>
      <c r="F990" s="111"/>
      <c r="G990" s="111"/>
      <c r="H990" s="113"/>
      <c r="I990" s="62"/>
      <c r="J990" s="62"/>
      <c r="K990" s="62"/>
      <c r="L990" s="62"/>
      <c r="M990" s="62"/>
      <c r="N990" s="62"/>
      <c r="O990" s="113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  <c r="AA990" s="62"/>
    </row>
    <row r="991">
      <c r="A991" s="114"/>
      <c r="B991" s="111"/>
      <c r="C991" s="111"/>
      <c r="D991" s="111"/>
      <c r="E991" s="111"/>
      <c r="F991" s="111"/>
      <c r="G991" s="111"/>
      <c r="H991" s="113"/>
      <c r="I991" s="62"/>
      <c r="J991" s="62"/>
      <c r="K991" s="62"/>
      <c r="L991" s="62"/>
      <c r="M991" s="62"/>
      <c r="N991" s="62"/>
      <c r="O991" s="113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  <c r="AA991" s="62"/>
    </row>
    <row r="992">
      <c r="A992" s="114"/>
      <c r="B992" s="111"/>
      <c r="C992" s="111"/>
      <c r="D992" s="111"/>
      <c r="E992" s="111"/>
      <c r="F992" s="111"/>
      <c r="G992" s="111"/>
      <c r="H992" s="113"/>
      <c r="I992" s="62"/>
      <c r="J992" s="62"/>
      <c r="K992" s="62"/>
      <c r="L992" s="62"/>
      <c r="M992" s="62"/>
      <c r="N992" s="62"/>
      <c r="O992" s="113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  <c r="AA992" s="62"/>
    </row>
    <row r="993">
      <c r="A993" s="114"/>
      <c r="B993" s="111"/>
      <c r="C993" s="111"/>
      <c r="D993" s="111"/>
      <c r="E993" s="111"/>
      <c r="F993" s="111"/>
      <c r="G993" s="111"/>
      <c r="H993" s="113"/>
      <c r="I993" s="62"/>
      <c r="J993" s="62"/>
      <c r="K993" s="62"/>
      <c r="L993" s="62"/>
      <c r="M993" s="62"/>
      <c r="N993" s="62"/>
      <c r="O993" s="113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  <c r="AA993" s="62"/>
    </row>
    <row r="994">
      <c r="A994" s="114"/>
      <c r="B994" s="111"/>
      <c r="C994" s="111"/>
      <c r="D994" s="111"/>
      <c r="E994" s="111"/>
      <c r="F994" s="111"/>
      <c r="G994" s="111"/>
      <c r="H994" s="113"/>
      <c r="I994" s="62"/>
      <c r="J994" s="62"/>
      <c r="K994" s="62"/>
      <c r="L994" s="62"/>
      <c r="M994" s="62"/>
      <c r="N994" s="62"/>
      <c r="O994" s="113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</row>
    <row r="995">
      <c r="A995" s="114"/>
      <c r="B995" s="111"/>
      <c r="C995" s="111"/>
      <c r="D995" s="111"/>
      <c r="E995" s="111"/>
      <c r="F995" s="111"/>
      <c r="G995" s="111"/>
      <c r="H995" s="113"/>
      <c r="I995" s="62"/>
      <c r="J995" s="62"/>
      <c r="K995" s="62"/>
      <c r="L995" s="62"/>
      <c r="M995" s="62"/>
      <c r="N995" s="62"/>
      <c r="O995" s="113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</row>
    <row r="996">
      <c r="A996" s="114"/>
      <c r="B996" s="111"/>
      <c r="C996" s="111"/>
      <c r="D996" s="111"/>
      <c r="E996" s="111"/>
      <c r="F996" s="111"/>
      <c r="G996" s="111"/>
      <c r="H996" s="113"/>
      <c r="I996" s="62"/>
      <c r="J996" s="62"/>
      <c r="K996" s="62"/>
      <c r="L996" s="62"/>
      <c r="M996" s="62"/>
      <c r="N996" s="62"/>
      <c r="O996" s="113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  <c r="AA996" s="62"/>
    </row>
    <row r="997">
      <c r="A997" s="114"/>
      <c r="B997" s="111"/>
      <c r="C997" s="111"/>
      <c r="D997" s="111"/>
      <c r="E997" s="111"/>
      <c r="F997" s="111"/>
      <c r="G997" s="111"/>
      <c r="H997" s="113"/>
      <c r="I997" s="62"/>
      <c r="J997" s="62"/>
      <c r="K997" s="62"/>
      <c r="L997" s="62"/>
      <c r="M997" s="62"/>
      <c r="N997" s="62"/>
      <c r="O997" s="113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</row>
    <row r="998">
      <c r="A998" s="114"/>
      <c r="B998" s="111"/>
      <c r="C998" s="111"/>
      <c r="D998" s="111"/>
      <c r="E998" s="111"/>
      <c r="F998" s="111"/>
      <c r="G998" s="111"/>
      <c r="H998" s="113"/>
      <c r="I998" s="62"/>
      <c r="J998" s="62"/>
      <c r="K998" s="62"/>
      <c r="L998" s="62"/>
      <c r="M998" s="62"/>
      <c r="N998" s="62"/>
      <c r="O998" s="113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</row>
    <row r="999">
      <c r="A999" s="114"/>
      <c r="B999" s="111"/>
      <c r="C999" s="111"/>
      <c r="D999" s="111"/>
      <c r="E999" s="111"/>
      <c r="F999" s="111"/>
      <c r="G999" s="111"/>
      <c r="H999" s="113"/>
      <c r="I999" s="62"/>
      <c r="J999" s="62"/>
      <c r="K999" s="62"/>
      <c r="L999" s="62"/>
      <c r="M999" s="62"/>
      <c r="N999" s="62"/>
      <c r="O999" s="113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</row>
    <row r="1000">
      <c r="A1000" s="114"/>
      <c r="B1000" s="111"/>
      <c r="C1000" s="111"/>
      <c r="D1000" s="111"/>
      <c r="E1000" s="111"/>
      <c r="F1000" s="111"/>
      <c r="G1000" s="111"/>
      <c r="H1000" s="113"/>
      <c r="I1000" s="62"/>
      <c r="J1000" s="62"/>
      <c r="K1000" s="62"/>
      <c r="L1000" s="62"/>
      <c r="M1000" s="62"/>
      <c r="N1000" s="62"/>
      <c r="O1000" s="113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</row>
    <row r="1001">
      <c r="A1001" s="114"/>
      <c r="B1001" s="111"/>
      <c r="C1001" s="111"/>
      <c r="D1001" s="111"/>
      <c r="E1001" s="111"/>
      <c r="F1001" s="111"/>
      <c r="G1001" s="111"/>
      <c r="H1001" s="113"/>
      <c r="I1001" s="62"/>
      <c r="J1001" s="62"/>
      <c r="K1001" s="62"/>
      <c r="L1001" s="62"/>
      <c r="M1001" s="62"/>
      <c r="N1001" s="62"/>
      <c r="O1001" s="113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</row>
  </sheetData>
  <mergeCells count="4">
    <mergeCell ref="A1:A2"/>
    <mergeCell ref="B1:C1"/>
    <mergeCell ref="D1:E1"/>
    <mergeCell ref="F1:G1"/>
  </mergeCells>
  <conditionalFormatting sqref="F2:F3 G2 H2:H1001 O2:P1001 I3:I6 F258:F1001 G259:G1001">
    <cfRule type="expression" dxfId="4" priority="1">
      <formula>"ADDRES"</formula>
    </cfRule>
  </conditionalFormatting>
  <drawing r:id="rId1"/>
  <tableParts count="3">
    <tablePart r:id="rId5"/>
    <tablePart r:id="rId6"/>
    <tablePart r:id="rId7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5.0"/>
    <col customWidth="1" min="3" max="3" width="9.5"/>
    <col customWidth="1" min="4" max="4" width="16.63"/>
    <col customWidth="1" min="5" max="5" width="16.75"/>
    <col customWidth="1" min="6" max="6" width="18.25"/>
    <col customWidth="1" min="7" max="7" width="20.75"/>
    <col customWidth="1" min="8" max="8" width="20.25"/>
    <col customWidth="1" min="10" max="10" width="29.63"/>
  </cols>
  <sheetData>
    <row r="1">
      <c r="A1" s="115" t="s">
        <v>0</v>
      </c>
      <c r="B1" s="116" t="s">
        <v>1367</v>
      </c>
      <c r="C1" s="117" t="s">
        <v>1368</v>
      </c>
      <c r="D1" s="118" t="s">
        <v>1369</v>
      </c>
      <c r="E1" s="118" t="s">
        <v>1369</v>
      </c>
      <c r="F1" s="118" t="s">
        <v>1369</v>
      </c>
      <c r="G1" s="118" t="s">
        <v>1369</v>
      </c>
      <c r="H1" s="119" t="s">
        <v>1369</v>
      </c>
      <c r="I1" s="118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</row>
    <row r="2">
      <c r="A2" s="121"/>
      <c r="B2" s="122"/>
      <c r="C2" s="121"/>
      <c r="D2" s="123" t="s">
        <v>1370</v>
      </c>
      <c r="E2" s="123" t="s">
        <v>1371</v>
      </c>
      <c r="F2" s="123" t="s">
        <v>1372</v>
      </c>
      <c r="G2" s="124" t="s">
        <v>1373</v>
      </c>
      <c r="H2" s="125" t="s">
        <v>1374</v>
      </c>
      <c r="I2" s="10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</row>
    <row r="3">
      <c r="A3" s="126" t="s">
        <v>1375</v>
      </c>
      <c r="B3" s="127" t="s">
        <v>834</v>
      </c>
      <c r="C3" s="128" t="s">
        <v>1376</v>
      </c>
      <c r="D3" s="129" t="s">
        <v>1096</v>
      </c>
      <c r="E3" s="128" t="s">
        <v>1376</v>
      </c>
      <c r="F3" s="129" t="s">
        <v>1096</v>
      </c>
      <c r="G3" s="128" t="s">
        <v>1376</v>
      </c>
      <c r="H3" s="130" t="s">
        <v>1376</v>
      </c>
      <c r="I3" s="99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131"/>
    </row>
    <row r="4">
      <c r="A4" s="126" t="s">
        <v>1377</v>
      </c>
      <c r="B4" s="127" t="s">
        <v>853</v>
      </c>
      <c r="C4" s="132" t="s">
        <v>1378</v>
      </c>
      <c r="D4" s="129" t="s">
        <v>1096</v>
      </c>
      <c r="E4" s="129" t="s">
        <v>1096</v>
      </c>
      <c r="F4" s="129" t="s">
        <v>1096</v>
      </c>
      <c r="G4" s="128" t="s">
        <v>1376</v>
      </c>
      <c r="H4" s="133" t="s">
        <v>1096</v>
      </c>
      <c r="I4" s="99"/>
      <c r="J4" s="134" t="s">
        <v>1379</v>
      </c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1"/>
      <c r="Z4" s="131"/>
    </row>
    <row r="5">
      <c r="A5" s="126" t="s">
        <v>1380</v>
      </c>
      <c r="B5" s="127" t="s">
        <v>793</v>
      </c>
      <c r="C5" s="132" t="s">
        <v>1378</v>
      </c>
      <c r="D5" s="128" t="s">
        <v>1376</v>
      </c>
      <c r="E5" s="129" t="s">
        <v>1096</v>
      </c>
      <c r="F5" s="129" t="s">
        <v>1096</v>
      </c>
      <c r="G5" s="128" t="s">
        <v>1376</v>
      </c>
      <c r="H5" s="130" t="s">
        <v>1376</v>
      </c>
      <c r="I5" s="99"/>
      <c r="J5" s="135" t="s">
        <v>1381</v>
      </c>
      <c r="K5" s="131"/>
      <c r="L5" s="131"/>
      <c r="M5" s="131"/>
      <c r="N5" s="131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1"/>
      <c r="Z5" s="131"/>
    </row>
    <row r="6">
      <c r="A6" s="126" t="s">
        <v>1382</v>
      </c>
      <c r="B6" s="127" t="s">
        <v>804</v>
      </c>
      <c r="C6" s="132" t="s">
        <v>1378</v>
      </c>
      <c r="D6" s="128" t="s">
        <v>1376</v>
      </c>
      <c r="E6" s="128" t="s">
        <v>1376</v>
      </c>
      <c r="F6" s="128" t="s">
        <v>1376</v>
      </c>
      <c r="G6" s="128" t="s">
        <v>1376</v>
      </c>
      <c r="H6" s="127"/>
      <c r="I6" s="99"/>
      <c r="J6" s="135" t="s">
        <v>1383</v>
      </c>
      <c r="K6" s="131"/>
      <c r="L6" s="131"/>
      <c r="M6" s="131"/>
      <c r="N6" s="131"/>
      <c r="O6" s="131"/>
      <c r="P6" s="131"/>
      <c r="Q6" s="131"/>
      <c r="R6" s="131"/>
      <c r="S6" s="131"/>
      <c r="T6" s="131"/>
      <c r="U6" s="131"/>
      <c r="V6" s="131"/>
      <c r="W6" s="131"/>
      <c r="X6" s="131"/>
      <c r="Y6" s="131"/>
      <c r="Z6" s="131"/>
    </row>
    <row r="7">
      <c r="A7" s="126" t="s">
        <v>1384</v>
      </c>
      <c r="B7" s="127" t="s">
        <v>788</v>
      </c>
      <c r="C7" s="128" t="s">
        <v>1376</v>
      </c>
      <c r="D7" s="129" t="s">
        <v>1096</v>
      </c>
      <c r="E7" s="129" t="s">
        <v>1096</v>
      </c>
      <c r="F7" s="128" t="s">
        <v>1376</v>
      </c>
      <c r="G7" s="128" t="s">
        <v>1376</v>
      </c>
      <c r="H7" s="127"/>
      <c r="I7" s="99"/>
      <c r="J7" s="135" t="s">
        <v>1385</v>
      </c>
      <c r="K7" s="131"/>
      <c r="L7" s="131"/>
      <c r="M7" s="131"/>
      <c r="N7" s="131"/>
      <c r="O7" s="131"/>
      <c r="P7" s="131"/>
      <c r="Q7" s="131"/>
      <c r="R7" s="131"/>
      <c r="S7" s="131"/>
      <c r="T7" s="131"/>
      <c r="U7" s="131"/>
      <c r="V7" s="131"/>
      <c r="W7" s="131"/>
      <c r="X7" s="131"/>
      <c r="Y7" s="131"/>
      <c r="Z7" s="131"/>
    </row>
    <row r="8">
      <c r="A8" s="126" t="s">
        <v>1386</v>
      </c>
      <c r="B8" s="127" t="s">
        <v>845</v>
      </c>
      <c r="C8" s="132" t="s">
        <v>1378</v>
      </c>
      <c r="D8" s="129" t="s">
        <v>1096</v>
      </c>
      <c r="E8" s="128" t="s">
        <v>1376</v>
      </c>
      <c r="F8" s="136" t="s">
        <v>1387</v>
      </c>
      <c r="G8" s="129" t="s">
        <v>1096</v>
      </c>
      <c r="H8" s="127"/>
      <c r="I8" s="99"/>
      <c r="J8" s="137" t="s">
        <v>1388</v>
      </c>
      <c r="K8" s="131"/>
      <c r="L8" s="131"/>
      <c r="M8" s="131"/>
      <c r="N8" s="131"/>
      <c r="O8" s="131"/>
      <c r="P8" s="131"/>
      <c r="Q8" s="131"/>
      <c r="R8" s="131"/>
      <c r="S8" s="131"/>
      <c r="T8" s="131"/>
      <c r="U8" s="131"/>
      <c r="V8" s="131"/>
      <c r="W8" s="131"/>
      <c r="X8" s="131"/>
      <c r="Y8" s="131"/>
      <c r="Z8" s="131"/>
    </row>
    <row r="9">
      <c r="A9" s="126" t="s">
        <v>1389</v>
      </c>
      <c r="B9" s="127" t="s">
        <v>1390</v>
      </c>
      <c r="C9" s="132" t="s">
        <v>1378</v>
      </c>
      <c r="D9" s="129" t="s">
        <v>1096</v>
      </c>
      <c r="E9" s="129" t="s">
        <v>1096</v>
      </c>
      <c r="F9" s="129" t="s">
        <v>1096</v>
      </c>
      <c r="G9" s="129" t="s">
        <v>1096</v>
      </c>
      <c r="H9" s="127"/>
      <c r="I9" s="99"/>
      <c r="J9" s="137" t="s">
        <v>1391</v>
      </c>
      <c r="K9" s="131"/>
      <c r="L9" s="131"/>
      <c r="M9" s="131"/>
      <c r="N9" s="131"/>
      <c r="O9" s="131"/>
      <c r="P9" s="131"/>
      <c r="Q9" s="131"/>
      <c r="R9" s="131"/>
      <c r="S9" s="131"/>
      <c r="T9" s="131"/>
      <c r="U9" s="131"/>
      <c r="V9" s="131"/>
      <c r="W9" s="131"/>
      <c r="X9" s="131"/>
      <c r="Y9" s="131"/>
      <c r="Z9" s="131"/>
    </row>
    <row r="10">
      <c r="A10" s="126" t="s">
        <v>1392</v>
      </c>
      <c r="B10" s="127" t="s">
        <v>819</v>
      </c>
      <c r="C10" s="132" t="s">
        <v>1378</v>
      </c>
      <c r="D10" s="129" t="s">
        <v>1096</v>
      </c>
      <c r="E10" s="128" t="s">
        <v>1376</v>
      </c>
      <c r="F10" s="129" t="s">
        <v>1096</v>
      </c>
      <c r="G10" s="129" t="s">
        <v>1096</v>
      </c>
      <c r="H10" s="127"/>
      <c r="I10" s="99"/>
      <c r="J10" s="138" t="s">
        <v>1393</v>
      </c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1"/>
    </row>
    <row r="11">
      <c r="A11" s="126" t="s">
        <v>1394</v>
      </c>
      <c r="B11" s="127" t="s">
        <v>796</v>
      </c>
      <c r="C11" s="128" t="s">
        <v>1376</v>
      </c>
      <c r="D11" s="129" t="s">
        <v>1096</v>
      </c>
      <c r="E11" s="129" t="s">
        <v>1096</v>
      </c>
      <c r="F11" s="129" t="s">
        <v>1096</v>
      </c>
      <c r="G11" s="129" t="s">
        <v>1096</v>
      </c>
      <c r="H11" s="127"/>
      <c r="I11" s="99"/>
      <c r="J11" s="139" t="s">
        <v>1395</v>
      </c>
      <c r="K11" s="131"/>
      <c r="L11" s="131"/>
      <c r="M11" s="131"/>
      <c r="N11" s="131"/>
      <c r="O11" s="131"/>
      <c r="P11" s="131"/>
      <c r="Q11" s="131"/>
      <c r="R11" s="131"/>
      <c r="S11" s="131"/>
      <c r="T11" s="131"/>
      <c r="U11" s="131"/>
      <c r="V11" s="131"/>
      <c r="W11" s="131"/>
      <c r="X11" s="131"/>
      <c r="Y11" s="131"/>
      <c r="Z11" s="131"/>
    </row>
    <row r="12">
      <c r="A12" s="126" t="s">
        <v>1396</v>
      </c>
      <c r="B12" s="127" t="s">
        <v>1397</v>
      </c>
      <c r="C12" s="132" t="s">
        <v>1378</v>
      </c>
      <c r="D12" s="129" t="s">
        <v>1096</v>
      </c>
      <c r="E12" s="129" t="s">
        <v>1096</v>
      </c>
      <c r="F12" s="129" t="s">
        <v>1096</v>
      </c>
      <c r="G12" s="129" t="s">
        <v>1096</v>
      </c>
      <c r="H12" s="127"/>
      <c r="I12" s="99"/>
      <c r="J12" s="62"/>
      <c r="K12" s="131"/>
      <c r="L12" s="131"/>
      <c r="M12" s="131"/>
      <c r="N12" s="131"/>
      <c r="O12" s="131"/>
      <c r="P12" s="131"/>
      <c r="Q12" s="131"/>
      <c r="R12" s="131"/>
      <c r="S12" s="131"/>
      <c r="T12" s="131"/>
      <c r="U12" s="131"/>
      <c r="V12" s="131"/>
      <c r="W12" s="131"/>
      <c r="X12" s="131"/>
      <c r="Y12" s="131"/>
      <c r="Z12" s="131"/>
    </row>
    <row r="13">
      <c r="A13" s="126" t="s">
        <v>1398</v>
      </c>
      <c r="B13" s="127" t="s">
        <v>815</v>
      </c>
      <c r="C13" s="132" t="s">
        <v>1378</v>
      </c>
      <c r="D13" s="129" t="s">
        <v>1096</v>
      </c>
      <c r="E13" s="129" t="s">
        <v>1096</v>
      </c>
      <c r="F13" s="128" t="s">
        <v>1376</v>
      </c>
      <c r="G13" s="129" t="s">
        <v>1096</v>
      </c>
      <c r="H13" s="127"/>
      <c r="I13" s="99"/>
      <c r="J13" s="62"/>
      <c r="K13" s="131"/>
      <c r="L13" s="131"/>
      <c r="M13" s="131"/>
      <c r="N13" s="131"/>
      <c r="O13" s="131"/>
      <c r="P13" s="131"/>
      <c r="Q13" s="131"/>
      <c r="R13" s="131"/>
      <c r="S13" s="131"/>
      <c r="T13" s="131"/>
      <c r="U13" s="131"/>
      <c r="V13" s="131"/>
      <c r="W13" s="131"/>
      <c r="X13" s="131"/>
      <c r="Y13" s="131"/>
      <c r="Z13" s="131"/>
    </row>
    <row r="14">
      <c r="A14" s="126" t="s">
        <v>1399</v>
      </c>
      <c r="B14" s="127" t="s">
        <v>1400</v>
      </c>
      <c r="C14" s="132" t="s">
        <v>1378</v>
      </c>
      <c r="D14" s="129" t="s">
        <v>1096</v>
      </c>
      <c r="E14" s="129" t="s">
        <v>1096</v>
      </c>
      <c r="F14" s="129" t="s">
        <v>1096</v>
      </c>
      <c r="G14" s="129" t="s">
        <v>1096</v>
      </c>
      <c r="H14" s="127"/>
      <c r="I14" s="99"/>
      <c r="J14" s="104" t="s">
        <v>1401</v>
      </c>
      <c r="K14" s="131"/>
      <c r="L14" s="131"/>
      <c r="M14" s="131"/>
      <c r="N14" s="131"/>
      <c r="O14" s="131"/>
      <c r="P14" s="131"/>
      <c r="Q14" s="131"/>
      <c r="R14" s="131"/>
      <c r="S14" s="131"/>
      <c r="T14" s="131"/>
      <c r="U14" s="131"/>
      <c r="V14" s="131"/>
      <c r="W14" s="131"/>
      <c r="X14" s="131"/>
      <c r="Y14" s="131"/>
      <c r="Z14" s="131"/>
    </row>
    <row r="15">
      <c r="A15" s="126" t="s">
        <v>1402</v>
      </c>
      <c r="B15" s="127" t="s">
        <v>792</v>
      </c>
      <c r="C15" s="128" t="s">
        <v>1376</v>
      </c>
      <c r="D15" s="129" t="s">
        <v>1096</v>
      </c>
      <c r="E15" s="129" t="s">
        <v>1096</v>
      </c>
      <c r="F15" s="128" t="s">
        <v>1376</v>
      </c>
      <c r="G15" s="129" t="s">
        <v>1096</v>
      </c>
      <c r="H15" s="127"/>
      <c r="I15" s="99"/>
      <c r="J15" s="140" t="s">
        <v>1403</v>
      </c>
      <c r="K15" s="131"/>
      <c r="L15" s="131"/>
      <c r="M15" s="131"/>
      <c r="N15" s="131"/>
      <c r="O15" s="131"/>
      <c r="P15" s="131"/>
      <c r="Q15" s="131"/>
      <c r="R15" s="131"/>
      <c r="S15" s="131"/>
      <c r="T15" s="131"/>
      <c r="U15" s="131"/>
      <c r="V15" s="131"/>
      <c r="W15" s="131"/>
      <c r="X15" s="131"/>
      <c r="Y15" s="131"/>
      <c r="Z15" s="131"/>
    </row>
    <row r="16">
      <c r="A16" s="126" t="s">
        <v>1404</v>
      </c>
      <c r="B16" s="127" t="s">
        <v>830</v>
      </c>
      <c r="C16" s="132" t="s">
        <v>1378</v>
      </c>
      <c r="D16" s="129" t="s">
        <v>1096</v>
      </c>
      <c r="E16" s="129" t="s">
        <v>1096</v>
      </c>
      <c r="F16" s="128" t="s">
        <v>1376</v>
      </c>
      <c r="G16" s="129" t="s">
        <v>1096</v>
      </c>
      <c r="H16" s="127"/>
      <c r="I16" s="99"/>
      <c r="J16" s="141" t="s">
        <v>1405</v>
      </c>
      <c r="K16" s="131"/>
      <c r="L16" s="131"/>
      <c r="M16" s="131"/>
      <c r="N16" s="131"/>
      <c r="O16" s="131"/>
      <c r="P16" s="131"/>
      <c r="Q16" s="131"/>
      <c r="R16" s="131"/>
      <c r="S16" s="131"/>
      <c r="T16" s="131"/>
      <c r="U16" s="131"/>
      <c r="V16" s="131"/>
      <c r="W16" s="131"/>
      <c r="X16" s="131"/>
      <c r="Y16" s="131"/>
      <c r="Z16" s="131"/>
    </row>
    <row r="17">
      <c r="A17" s="126" t="s">
        <v>1406</v>
      </c>
      <c r="B17" s="127" t="s">
        <v>860</v>
      </c>
      <c r="C17" s="132" t="s">
        <v>1378</v>
      </c>
      <c r="D17" s="129" t="s">
        <v>1096</v>
      </c>
      <c r="E17" s="129" t="s">
        <v>1096</v>
      </c>
      <c r="F17" s="136" t="s">
        <v>1387</v>
      </c>
      <c r="G17" s="129" t="s">
        <v>1096</v>
      </c>
      <c r="H17" s="127"/>
      <c r="I17" s="99"/>
      <c r="J17" s="142" t="s">
        <v>1407</v>
      </c>
      <c r="K17" s="131"/>
      <c r="L17" s="131"/>
      <c r="M17" s="131"/>
      <c r="N17" s="131"/>
      <c r="O17" s="131"/>
      <c r="P17" s="131"/>
      <c r="Q17" s="131"/>
      <c r="R17" s="131"/>
      <c r="S17" s="131"/>
      <c r="T17" s="131"/>
      <c r="U17" s="131"/>
      <c r="V17" s="131"/>
      <c r="W17" s="131"/>
      <c r="X17" s="131"/>
      <c r="Y17" s="131"/>
      <c r="Z17" s="131"/>
    </row>
    <row r="18">
      <c r="A18" s="126" t="s">
        <v>1408</v>
      </c>
      <c r="B18" s="127" t="s">
        <v>1409</v>
      </c>
      <c r="C18" s="132" t="s">
        <v>1378</v>
      </c>
      <c r="D18" s="129" t="s">
        <v>1096</v>
      </c>
      <c r="E18" s="129" t="s">
        <v>1096</v>
      </c>
      <c r="F18" s="129" t="s">
        <v>1096</v>
      </c>
      <c r="G18" s="129" t="s">
        <v>1096</v>
      </c>
      <c r="H18" s="127"/>
      <c r="I18" s="99"/>
      <c r="J18" s="135" t="s">
        <v>1410</v>
      </c>
      <c r="K18" s="131"/>
      <c r="L18" s="131"/>
      <c r="M18" s="131"/>
      <c r="N18" s="131"/>
      <c r="O18" s="131"/>
      <c r="P18" s="131"/>
      <c r="Q18" s="131"/>
      <c r="R18" s="131"/>
      <c r="S18" s="131"/>
      <c r="T18" s="131"/>
      <c r="U18" s="131"/>
      <c r="V18" s="131"/>
      <c r="W18" s="131"/>
      <c r="X18" s="131"/>
      <c r="Y18" s="131"/>
      <c r="Z18" s="131"/>
    </row>
    <row r="19">
      <c r="A19" s="126" t="s">
        <v>1411</v>
      </c>
      <c r="B19" s="127" t="s">
        <v>846</v>
      </c>
      <c r="C19" s="128" t="s">
        <v>1376</v>
      </c>
      <c r="D19" s="129" t="s">
        <v>1096</v>
      </c>
      <c r="E19" s="129" t="s">
        <v>1096</v>
      </c>
      <c r="F19" s="128" t="s">
        <v>1376</v>
      </c>
      <c r="G19" s="128" t="s">
        <v>1376</v>
      </c>
      <c r="H19" s="127"/>
      <c r="I19" s="99"/>
      <c r="J19" s="135" t="s">
        <v>1412</v>
      </c>
      <c r="K19" s="131"/>
      <c r="L19" s="131"/>
      <c r="M19" s="131"/>
      <c r="N19" s="131"/>
      <c r="O19" s="131"/>
      <c r="P19" s="131"/>
      <c r="Q19" s="131"/>
      <c r="R19" s="131"/>
      <c r="S19" s="131"/>
      <c r="T19" s="131"/>
      <c r="U19" s="131"/>
      <c r="V19" s="131"/>
      <c r="W19" s="131"/>
      <c r="X19" s="131"/>
      <c r="Y19" s="131"/>
      <c r="Z19" s="131"/>
    </row>
    <row r="20">
      <c r="A20" s="126" t="s">
        <v>1413</v>
      </c>
      <c r="B20" s="127" t="s">
        <v>1414</v>
      </c>
      <c r="C20" s="132" t="s">
        <v>1378</v>
      </c>
      <c r="D20" s="129" t="s">
        <v>1096</v>
      </c>
      <c r="E20" s="129" t="s">
        <v>1096</v>
      </c>
      <c r="F20" s="129" t="s">
        <v>1096</v>
      </c>
      <c r="G20" s="129" t="s">
        <v>1096</v>
      </c>
      <c r="H20" s="127"/>
      <c r="I20" s="99"/>
      <c r="J20" s="143" t="s">
        <v>1415</v>
      </c>
      <c r="K20" s="131"/>
      <c r="L20" s="131"/>
      <c r="M20" s="131"/>
      <c r="N20" s="131"/>
      <c r="O20" s="131"/>
      <c r="P20" s="131"/>
      <c r="Q20" s="131"/>
      <c r="R20" s="131"/>
      <c r="S20" s="131"/>
      <c r="T20" s="131"/>
      <c r="U20" s="131"/>
      <c r="V20" s="131"/>
      <c r="W20" s="131"/>
      <c r="X20" s="131"/>
      <c r="Y20" s="131"/>
      <c r="Z20" s="131"/>
    </row>
    <row r="21">
      <c r="A21" s="126" t="s">
        <v>1416</v>
      </c>
      <c r="B21" s="127" t="s">
        <v>835</v>
      </c>
      <c r="C21" s="132" t="s">
        <v>1378</v>
      </c>
      <c r="D21" s="129" t="s">
        <v>1096</v>
      </c>
      <c r="E21" s="129" t="s">
        <v>1096</v>
      </c>
      <c r="F21" s="128" t="s">
        <v>1376</v>
      </c>
      <c r="G21" s="128" t="s">
        <v>1376</v>
      </c>
      <c r="H21" s="127"/>
      <c r="I21" s="99"/>
      <c r="J21" s="143" t="s">
        <v>1417</v>
      </c>
      <c r="K21" s="131"/>
      <c r="L21" s="131"/>
      <c r="M21" s="131"/>
      <c r="N21" s="131"/>
      <c r="O21" s="131"/>
      <c r="P21" s="131"/>
      <c r="Q21" s="131"/>
      <c r="R21" s="131"/>
      <c r="S21" s="131"/>
      <c r="T21" s="131"/>
      <c r="U21" s="131"/>
      <c r="V21" s="131"/>
      <c r="W21" s="131"/>
      <c r="X21" s="131"/>
      <c r="Y21" s="131"/>
      <c r="Z21" s="131"/>
    </row>
    <row r="22">
      <c r="A22" s="126" t="s">
        <v>1418</v>
      </c>
      <c r="B22" s="127" t="s">
        <v>868</v>
      </c>
      <c r="C22" s="132" t="s">
        <v>1378</v>
      </c>
      <c r="D22" s="129" t="s">
        <v>1096</v>
      </c>
      <c r="E22" s="129" t="s">
        <v>1096</v>
      </c>
      <c r="F22" s="129" t="s">
        <v>1096</v>
      </c>
      <c r="G22" s="129" t="s">
        <v>1096</v>
      </c>
      <c r="H22" s="127"/>
      <c r="I22" s="99"/>
      <c r="J22" s="135" t="s">
        <v>1419</v>
      </c>
      <c r="K22" s="131"/>
      <c r="L22" s="131"/>
      <c r="M22" s="131"/>
      <c r="N22" s="131"/>
      <c r="O22" s="131"/>
      <c r="P22" s="131"/>
      <c r="Q22" s="131"/>
      <c r="R22" s="131"/>
      <c r="S22" s="131"/>
      <c r="T22" s="131"/>
      <c r="U22" s="131"/>
      <c r="V22" s="131"/>
      <c r="W22" s="131"/>
      <c r="X22" s="131"/>
      <c r="Y22" s="131"/>
      <c r="Z22" s="131"/>
    </row>
    <row r="23">
      <c r="A23" s="126" t="s">
        <v>1420</v>
      </c>
      <c r="B23" s="127" t="s">
        <v>1421</v>
      </c>
      <c r="C23" s="128" t="s">
        <v>1376</v>
      </c>
      <c r="D23" s="129" t="s">
        <v>1096</v>
      </c>
      <c r="E23" s="129" t="s">
        <v>1096</v>
      </c>
      <c r="F23" s="129" t="s">
        <v>1096</v>
      </c>
      <c r="G23" s="129" t="s">
        <v>1096</v>
      </c>
      <c r="H23" s="127"/>
      <c r="I23" s="99"/>
      <c r="J23" s="144" t="s">
        <v>1422</v>
      </c>
      <c r="K23" s="131"/>
      <c r="L23" s="131"/>
      <c r="M23" s="131"/>
      <c r="N23" s="131"/>
      <c r="O23" s="131"/>
      <c r="P23" s="131"/>
      <c r="Q23" s="131"/>
      <c r="R23" s="131"/>
      <c r="S23" s="131"/>
      <c r="T23" s="131"/>
      <c r="U23" s="131"/>
      <c r="V23" s="131"/>
      <c r="W23" s="131"/>
      <c r="X23" s="131"/>
      <c r="Y23" s="131"/>
      <c r="Z23" s="131"/>
    </row>
    <row r="24">
      <c r="A24" s="126" t="s">
        <v>1423</v>
      </c>
      <c r="B24" s="127" t="s">
        <v>825</v>
      </c>
      <c r="C24" s="132" t="s">
        <v>1378</v>
      </c>
      <c r="D24" s="128" t="s">
        <v>1376</v>
      </c>
      <c r="E24" s="129" t="s">
        <v>1096</v>
      </c>
      <c r="F24" s="129" t="s">
        <v>1096</v>
      </c>
      <c r="G24" s="129" t="s">
        <v>1096</v>
      </c>
      <c r="H24" s="127"/>
      <c r="I24" s="99"/>
      <c r="J24" s="131"/>
      <c r="K24" s="131"/>
      <c r="L24" s="131"/>
      <c r="M24" s="131"/>
      <c r="N24" s="131"/>
      <c r="O24" s="131"/>
      <c r="P24" s="131"/>
      <c r="Q24" s="131"/>
      <c r="R24" s="131"/>
      <c r="S24" s="131"/>
      <c r="T24" s="131"/>
      <c r="U24" s="131"/>
      <c r="V24" s="131"/>
      <c r="W24" s="131"/>
      <c r="X24" s="131"/>
      <c r="Y24" s="131"/>
      <c r="Z24" s="131"/>
    </row>
    <row r="25">
      <c r="A25" s="126" t="s">
        <v>1424</v>
      </c>
      <c r="B25" s="127" t="s">
        <v>778</v>
      </c>
      <c r="C25" s="132" t="s">
        <v>1378</v>
      </c>
      <c r="D25" s="128" t="s">
        <v>1376</v>
      </c>
      <c r="E25" s="128" t="s">
        <v>1376</v>
      </c>
      <c r="F25" s="129" t="s">
        <v>1096</v>
      </c>
      <c r="G25" s="129" t="s">
        <v>1096</v>
      </c>
      <c r="H25" s="127"/>
      <c r="I25" s="99"/>
      <c r="J25" s="131"/>
      <c r="K25" s="131"/>
      <c r="L25" s="131"/>
      <c r="M25" s="131"/>
      <c r="N25" s="131"/>
      <c r="O25" s="131"/>
      <c r="P25" s="131"/>
      <c r="Q25" s="131"/>
      <c r="R25" s="131"/>
      <c r="S25" s="131"/>
      <c r="T25" s="131"/>
      <c r="U25" s="131"/>
      <c r="V25" s="131"/>
      <c r="W25" s="131"/>
      <c r="X25" s="131"/>
      <c r="Y25" s="131"/>
      <c r="Z25" s="131"/>
    </row>
    <row r="26">
      <c r="A26" s="126" t="s">
        <v>1425</v>
      </c>
      <c r="B26" s="127" t="s">
        <v>1426</v>
      </c>
      <c r="C26" s="132" t="s">
        <v>1378</v>
      </c>
      <c r="D26" s="129" t="s">
        <v>1096</v>
      </c>
      <c r="E26" s="129" t="s">
        <v>1096</v>
      </c>
      <c r="F26" s="129" t="s">
        <v>1096</v>
      </c>
      <c r="G26" s="129" t="s">
        <v>1096</v>
      </c>
      <c r="H26" s="127"/>
      <c r="I26" s="99"/>
      <c r="J26" s="131"/>
      <c r="K26" s="131"/>
      <c r="L26" s="131"/>
      <c r="M26" s="131"/>
      <c r="N26" s="131"/>
      <c r="O26" s="131"/>
      <c r="P26" s="131"/>
      <c r="Q26" s="131"/>
      <c r="R26" s="131"/>
      <c r="S26" s="131"/>
      <c r="T26" s="131"/>
      <c r="U26" s="131"/>
      <c r="V26" s="131"/>
      <c r="W26" s="131"/>
      <c r="X26" s="131"/>
      <c r="Y26" s="131"/>
      <c r="Z26" s="131"/>
    </row>
    <row r="27">
      <c r="A27" s="126" t="s">
        <v>1427</v>
      </c>
      <c r="B27" s="127" t="s">
        <v>1428</v>
      </c>
      <c r="C27" s="128" t="s">
        <v>1376</v>
      </c>
      <c r="D27" s="129" t="s">
        <v>1096</v>
      </c>
      <c r="E27" s="129" t="s">
        <v>1096</v>
      </c>
      <c r="F27" s="129" t="s">
        <v>1096</v>
      </c>
      <c r="G27" s="129" t="s">
        <v>1096</v>
      </c>
      <c r="H27" s="127"/>
      <c r="I27" s="99"/>
      <c r="J27" s="131"/>
      <c r="K27" s="131"/>
      <c r="L27" s="131"/>
      <c r="M27" s="131"/>
      <c r="N27" s="131"/>
      <c r="O27" s="131"/>
      <c r="P27" s="131"/>
      <c r="Q27" s="131"/>
      <c r="R27" s="131"/>
      <c r="S27" s="131"/>
      <c r="T27" s="131"/>
      <c r="U27" s="131"/>
      <c r="V27" s="131"/>
      <c r="W27" s="131"/>
      <c r="X27" s="131"/>
      <c r="Y27" s="131"/>
      <c r="Z27" s="131"/>
    </row>
    <row r="28">
      <c r="A28" s="126" t="s">
        <v>1429</v>
      </c>
      <c r="B28" s="127" t="s">
        <v>829</v>
      </c>
      <c r="C28" s="132" t="s">
        <v>1378</v>
      </c>
      <c r="D28" s="128" t="s">
        <v>1376</v>
      </c>
      <c r="E28" s="128" t="s">
        <v>1376</v>
      </c>
      <c r="F28" s="128" t="s">
        <v>1376</v>
      </c>
      <c r="G28" s="128" t="s">
        <v>1376</v>
      </c>
      <c r="H28" s="127"/>
      <c r="I28" s="99"/>
      <c r="J28" s="131"/>
      <c r="K28" s="131"/>
      <c r="L28" s="131"/>
      <c r="M28" s="131"/>
      <c r="N28" s="131"/>
      <c r="O28" s="131"/>
      <c r="P28" s="131"/>
      <c r="Q28" s="131"/>
      <c r="R28" s="131"/>
      <c r="S28" s="131"/>
      <c r="T28" s="131"/>
      <c r="U28" s="131"/>
      <c r="V28" s="131"/>
      <c r="W28" s="131"/>
      <c r="X28" s="131"/>
      <c r="Y28" s="131"/>
      <c r="Z28" s="131"/>
    </row>
    <row r="29">
      <c r="A29" s="126" t="s">
        <v>1430</v>
      </c>
      <c r="B29" s="127" t="s">
        <v>842</v>
      </c>
      <c r="C29" s="132" t="s">
        <v>1378</v>
      </c>
      <c r="D29" s="129" t="s">
        <v>1096</v>
      </c>
      <c r="E29" s="129" t="s">
        <v>1096</v>
      </c>
      <c r="F29" s="128" t="s">
        <v>1376</v>
      </c>
      <c r="G29" s="129" t="s">
        <v>1096</v>
      </c>
      <c r="H29" s="127"/>
      <c r="I29" s="99"/>
      <c r="J29" s="131"/>
      <c r="K29" s="131"/>
      <c r="L29" s="131"/>
      <c r="M29" s="131"/>
      <c r="N29" s="131"/>
      <c r="O29" s="131"/>
      <c r="P29" s="131"/>
      <c r="Q29" s="131"/>
      <c r="R29" s="131"/>
      <c r="S29" s="131"/>
      <c r="T29" s="131"/>
      <c r="U29" s="131"/>
      <c r="V29" s="131"/>
      <c r="W29" s="131"/>
      <c r="X29" s="131"/>
      <c r="Y29" s="131"/>
      <c r="Z29" s="131"/>
    </row>
    <row r="30">
      <c r="A30" s="126" t="s">
        <v>1431</v>
      </c>
      <c r="B30" s="127" t="s">
        <v>1432</v>
      </c>
      <c r="C30" s="132" t="s">
        <v>1378</v>
      </c>
      <c r="D30" s="129" t="s">
        <v>1096</v>
      </c>
      <c r="E30" s="129" t="s">
        <v>1096</v>
      </c>
      <c r="F30" s="129" t="s">
        <v>1096</v>
      </c>
      <c r="G30" s="129" t="s">
        <v>1096</v>
      </c>
      <c r="H30" s="127"/>
      <c r="I30" s="99"/>
      <c r="J30" s="131"/>
      <c r="K30" s="131"/>
      <c r="L30" s="131"/>
      <c r="M30" s="131"/>
      <c r="N30" s="131"/>
      <c r="O30" s="131"/>
      <c r="P30" s="131"/>
      <c r="Q30" s="131"/>
      <c r="R30" s="131"/>
      <c r="S30" s="131"/>
      <c r="T30" s="131"/>
      <c r="U30" s="131"/>
      <c r="V30" s="131"/>
      <c r="W30" s="131"/>
      <c r="X30" s="131"/>
      <c r="Y30" s="131"/>
      <c r="Z30" s="131"/>
    </row>
    <row r="31">
      <c r="A31" s="126" t="s">
        <v>1433</v>
      </c>
      <c r="B31" s="127" t="s">
        <v>820</v>
      </c>
      <c r="C31" s="128" t="s">
        <v>1376</v>
      </c>
      <c r="D31" s="128" t="s">
        <v>1376</v>
      </c>
      <c r="E31" s="128" t="s">
        <v>1376</v>
      </c>
      <c r="F31" s="129" t="s">
        <v>1096</v>
      </c>
      <c r="G31" s="128" t="s">
        <v>1376</v>
      </c>
      <c r="H31" s="127"/>
      <c r="I31" s="99"/>
      <c r="J31" s="131"/>
      <c r="K31" s="131"/>
      <c r="L31" s="131"/>
      <c r="M31" s="131"/>
      <c r="N31" s="131"/>
      <c r="O31" s="131"/>
      <c r="P31" s="131"/>
      <c r="Q31" s="131"/>
      <c r="R31" s="131"/>
      <c r="S31" s="131"/>
      <c r="T31" s="131"/>
      <c r="U31" s="131"/>
      <c r="V31" s="131"/>
      <c r="W31" s="131"/>
      <c r="X31" s="131"/>
      <c r="Y31" s="131"/>
      <c r="Z31" s="131"/>
    </row>
    <row r="32">
      <c r="A32" s="126" t="s">
        <v>1434</v>
      </c>
      <c r="B32" s="127" t="s">
        <v>862</v>
      </c>
      <c r="C32" s="132" t="s">
        <v>1378</v>
      </c>
      <c r="D32" s="129" t="s">
        <v>1096</v>
      </c>
      <c r="E32" s="129" t="s">
        <v>1096</v>
      </c>
      <c r="F32" s="136" t="s">
        <v>1387</v>
      </c>
      <c r="G32" s="132" t="s">
        <v>1435</v>
      </c>
      <c r="H32" s="127"/>
      <c r="I32" s="99"/>
      <c r="J32" s="131"/>
      <c r="K32" s="131"/>
      <c r="L32" s="131"/>
      <c r="M32" s="131"/>
      <c r="N32" s="131"/>
      <c r="O32" s="131"/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31"/>
    </row>
    <row r="33">
      <c r="A33" s="126" t="s">
        <v>1436</v>
      </c>
      <c r="B33" s="127" t="s">
        <v>1437</v>
      </c>
      <c r="C33" s="132" t="s">
        <v>1378</v>
      </c>
      <c r="D33" s="129" t="s">
        <v>1096</v>
      </c>
      <c r="E33" s="129" t="s">
        <v>1096</v>
      </c>
      <c r="F33" s="129" t="s">
        <v>1096</v>
      </c>
      <c r="G33" s="129" t="s">
        <v>1096</v>
      </c>
      <c r="H33" s="127"/>
      <c r="I33" s="99"/>
      <c r="J33" s="131"/>
      <c r="K33" s="131"/>
      <c r="L33" s="131"/>
      <c r="M33" s="131"/>
      <c r="N33" s="131"/>
      <c r="O33" s="131"/>
      <c r="P33" s="131"/>
      <c r="Q33" s="131"/>
      <c r="R33" s="131"/>
      <c r="S33" s="131"/>
      <c r="T33" s="131"/>
      <c r="U33" s="131"/>
      <c r="V33" s="131"/>
      <c r="W33" s="131"/>
      <c r="X33" s="131"/>
      <c r="Y33" s="131"/>
      <c r="Z33" s="131"/>
    </row>
    <row r="34">
      <c r="A34" s="126" t="s">
        <v>1438</v>
      </c>
      <c r="B34" s="127" t="s">
        <v>1439</v>
      </c>
      <c r="C34" s="132" t="s">
        <v>1378</v>
      </c>
      <c r="D34" s="129" t="s">
        <v>1096</v>
      </c>
      <c r="E34" s="129" t="s">
        <v>1096</v>
      </c>
      <c r="F34" s="129" t="s">
        <v>1096</v>
      </c>
      <c r="G34" s="129" t="s">
        <v>1096</v>
      </c>
      <c r="H34" s="127"/>
      <c r="I34" s="99"/>
      <c r="J34" s="131"/>
      <c r="K34" s="131"/>
      <c r="L34" s="131"/>
      <c r="M34" s="131"/>
      <c r="N34" s="131"/>
      <c r="O34" s="131"/>
      <c r="P34" s="131"/>
      <c r="Q34" s="131"/>
      <c r="R34" s="131"/>
      <c r="S34" s="131"/>
      <c r="T34" s="131"/>
      <c r="U34" s="131"/>
      <c r="V34" s="131"/>
      <c r="W34" s="131"/>
      <c r="X34" s="131"/>
      <c r="Y34" s="131"/>
      <c r="Z34" s="131"/>
    </row>
    <row r="35">
      <c r="A35" s="126" t="s">
        <v>1440</v>
      </c>
      <c r="B35" s="127" t="s">
        <v>1441</v>
      </c>
      <c r="C35" s="128" t="s">
        <v>1376</v>
      </c>
      <c r="D35" s="100"/>
      <c r="E35" s="100"/>
      <c r="F35" s="100"/>
      <c r="G35" s="100"/>
      <c r="H35" s="127"/>
      <c r="I35" s="99"/>
      <c r="J35" s="131"/>
      <c r="K35" s="131"/>
      <c r="L35" s="131"/>
      <c r="M35" s="131"/>
      <c r="N35" s="131"/>
      <c r="O35" s="131"/>
      <c r="P35" s="131"/>
      <c r="Q35" s="131"/>
      <c r="R35" s="131"/>
      <c r="S35" s="131"/>
      <c r="T35" s="131"/>
      <c r="U35" s="131"/>
      <c r="V35" s="131"/>
      <c r="W35" s="131"/>
      <c r="X35" s="131"/>
      <c r="Y35" s="131"/>
      <c r="Z35" s="131"/>
    </row>
    <row r="36">
      <c r="A36" s="126" t="s">
        <v>1442</v>
      </c>
      <c r="B36" s="127" t="s">
        <v>1443</v>
      </c>
      <c r="C36" s="132" t="s">
        <v>1378</v>
      </c>
      <c r="D36" s="100"/>
      <c r="E36" s="100"/>
      <c r="F36" s="100"/>
      <c r="G36" s="100"/>
      <c r="H36" s="127"/>
      <c r="I36" s="99"/>
      <c r="J36" s="131"/>
      <c r="K36" s="131"/>
      <c r="L36" s="131"/>
      <c r="M36" s="131"/>
      <c r="N36" s="131"/>
      <c r="O36" s="131"/>
      <c r="P36" s="131"/>
      <c r="Q36" s="131"/>
      <c r="R36" s="131"/>
      <c r="S36" s="131"/>
      <c r="T36" s="131"/>
      <c r="U36" s="131"/>
      <c r="V36" s="131"/>
      <c r="W36" s="131"/>
      <c r="X36" s="131"/>
      <c r="Y36" s="131"/>
      <c r="Z36" s="131"/>
    </row>
    <row r="37">
      <c r="A37" s="126" t="s">
        <v>1444</v>
      </c>
      <c r="B37" s="127" t="s">
        <v>783</v>
      </c>
      <c r="C37" s="132" t="s">
        <v>1378</v>
      </c>
      <c r="D37" s="100"/>
      <c r="E37" s="100"/>
      <c r="F37" s="100"/>
      <c r="G37" s="100"/>
      <c r="H37" s="127"/>
      <c r="I37" s="99"/>
      <c r="J37" s="131"/>
      <c r="K37" s="131"/>
      <c r="L37" s="131"/>
      <c r="M37" s="131"/>
      <c r="N37" s="131"/>
      <c r="O37" s="131"/>
      <c r="P37" s="131"/>
      <c r="Q37" s="131"/>
      <c r="R37" s="131"/>
      <c r="S37" s="131"/>
      <c r="T37" s="131"/>
      <c r="U37" s="131"/>
      <c r="V37" s="131"/>
      <c r="W37" s="131"/>
      <c r="X37" s="131"/>
      <c r="Y37" s="131"/>
      <c r="Z37" s="131"/>
    </row>
    <row r="38">
      <c r="A38" s="126" t="s">
        <v>1445</v>
      </c>
      <c r="B38" s="127" t="s">
        <v>799</v>
      </c>
      <c r="C38" s="132" t="s">
        <v>1378</v>
      </c>
      <c r="D38" s="100"/>
      <c r="E38" s="100"/>
      <c r="F38" s="100"/>
      <c r="G38" s="100"/>
      <c r="H38" s="127"/>
      <c r="I38" s="99"/>
      <c r="J38" s="131"/>
      <c r="K38" s="131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</row>
    <row r="39">
      <c r="A39" s="126" t="s">
        <v>1446</v>
      </c>
      <c r="B39" s="127" t="s">
        <v>816</v>
      </c>
      <c r="C39" s="128" t="s">
        <v>1376</v>
      </c>
      <c r="D39" s="100"/>
      <c r="E39" s="100"/>
      <c r="F39" s="100"/>
      <c r="G39" s="100"/>
      <c r="H39" s="127"/>
      <c r="I39" s="99"/>
      <c r="J39" s="131"/>
      <c r="K39" s="131"/>
      <c r="L39" s="131"/>
      <c r="M39" s="131"/>
      <c r="N39" s="131"/>
      <c r="O39" s="131"/>
      <c r="P39" s="131"/>
      <c r="Q39" s="131"/>
      <c r="R39" s="131"/>
      <c r="S39" s="131"/>
      <c r="T39" s="131"/>
      <c r="U39" s="131"/>
      <c r="V39" s="131"/>
      <c r="W39" s="131"/>
      <c r="X39" s="131"/>
      <c r="Y39" s="131"/>
      <c r="Z39" s="131"/>
    </row>
    <row r="40">
      <c r="A40" s="126" t="s">
        <v>1447</v>
      </c>
      <c r="B40" s="127" t="s">
        <v>836</v>
      </c>
      <c r="C40" s="132" t="s">
        <v>1378</v>
      </c>
      <c r="D40" s="100"/>
      <c r="E40" s="100"/>
      <c r="F40" s="100"/>
      <c r="G40" s="100"/>
      <c r="H40" s="127"/>
      <c r="I40" s="99"/>
      <c r="J40" s="131"/>
      <c r="K40" s="131"/>
      <c r="L40" s="131"/>
      <c r="M40" s="131"/>
      <c r="N40" s="131"/>
      <c r="O40" s="131"/>
      <c r="P40" s="131"/>
      <c r="Q40" s="131"/>
      <c r="R40" s="131"/>
      <c r="S40" s="131"/>
      <c r="T40" s="131"/>
      <c r="U40" s="131"/>
      <c r="V40" s="131"/>
      <c r="W40" s="131"/>
      <c r="X40" s="131"/>
      <c r="Y40" s="131"/>
      <c r="Z40" s="131"/>
    </row>
    <row r="41">
      <c r="A41" s="126" t="s">
        <v>1448</v>
      </c>
      <c r="B41" s="127" t="s">
        <v>782</v>
      </c>
      <c r="C41" s="132" t="s">
        <v>1378</v>
      </c>
      <c r="D41" s="100"/>
      <c r="E41" s="100"/>
      <c r="F41" s="100"/>
      <c r="G41" s="100"/>
      <c r="H41" s="127"/>
      <c r="I41" s="99"/>
      <c r="J41" s="131"/>
      <c r="K41" s="131"/>
      <c r="L41" s="131"/>
      <c r="M41" s="131"/>
      <c r="N41" s="131"/>
      <c r="O41" s="131"/>
      <c r="P41" s="131"/>
      <c r="Q41" s="131"/>
      <c r="R41" s="131"/>
      <c r="S41" s="131"/>
      <c r="T41" s="131"/>
      <c r="U41" s="131"/>
      <c r="V41" s="131"/>
      <c r="W41" s="131"/>
      <c r="X41" s="131"/>
      <c r="Y41" s="131"/>
      <c r="Z41" s="131"/>
    </row>
    <row r="42">
      <c r="A42" s="126" t="s">
        <v>1449</v>
      </c>
      <c r="B42" s="127" t="s">
        <v>843</v>
      </c>
      <c r="C42" s="132" t="s">
        <v>1378</v>
      </c>
      <c r="D42" s="100"/>
      <c r="E42" s="100"/>
      <c r="F42" s="100"/>
      <c r="G42" s="100"/>
      <c r="H42" s="127"/>
      <c r="I42" s="99"/>
      <c r="J42" s="131"/>
      <c r="K42" s="131"/>
      <c r="L42" s="131"/>
      <c r="M42" s="131"/>
      <c r="N42" s="131"/>
      <c r="O42" s="131"/>
      <c r="P42" s="131"/>
      <c r="Q42" s="131"/>
      <c r="R42" s="131"/>
      <c r="S42" s="131"/>
      <c r="T42" s="131"/>
      <c r="U42" s="131"/>
      <c r="V42" s="131"/>
      <c r="W42" s="131"/>
      <c r="X42" s="131"/>
      <c r="Y42" s="131"/>
      <c r="Z42" s="131"/>
    </row>
    <row r="43">
      <c r="A43" s="126" t="s">
        <v>1450</v>
      </c>
      <c r="B43" s="127" t="s">
        <v>780</v>
      </c>
      <c r="C43" s="128" t="s">
        <v>1376</v>
      </c>
      <c r="D43" s="100"/>
      <c r="E43" s="100"/>
      <c r="F43" s="100"/>
      <c r="G43" s="100"/>
      <c r="H43" s="127"/>
      <c r="I43" s="99"/>
      <c r="J43" s="131"/>
      <c r="K43" s="131"/>
      <c r="L43" s="131"/>
      <c r="M43" s="131"/>
      <c r="N43" s="131"/>
      <c r="O43" s="131"/>
      <c r="P43" s="131"/>
      <c r="Q43" s="131"/>
      <c r="R43" s="131"/>
      <c r="S43" s="131"/>
      <c r="T43" s="131"/>
      <c r="U43" s="131"/>
      <c r="V43" s="131"/>
      <c r="W43" s="131"/>
      <c r="X43" s="131"/>
      <c r="Y43" s="131"/>
      <c r="Z43" s="131"/>
    </row>
    <row r="44">
      <c r="A44" s="126" t="s">
        <v>1451</v>
      </c>
      <c r="B44" s="127" t="s">
        <v>805</v>
      </c>
      <c r="C44" s="132" t="s">
        <v>1378</v>
      </c>
      <c r="D44" s="100"/>
      <c r="E44" s="100"/>
      <c r="F44" s="100"/>
      <c r="G44" s="100"/>
      <c r="H44" s="127"/>
      <c r="I44" s="99"/>
      <c r="J44" s="131"/>
      <c r="K44" s="131"/>
      <c r="L44" s="131"/>
      <c r="M44" s="131"/>
      <c r="N44" s="131"/>
      <c r="O44" s="131"/>
      <c r="P44" s="131"/>
      <c r="Q44" s="131"/>
      <c r="R44" s="131"/>
      <c r="S44" s="131"/>
      <c r="T44" s="131"/>
      <c r="U44" s="131"/>
      <c r="V44" s="131"/>
      <c r="W44" s="131"/>
      <c r="X44" s="131"/>
      <c r="Y44" s="131"/>
      <c r="Z44" s="131"/>
    </row>
    <row r="45">
      <c r="A45" s="126" t="s">
        <v>1452</v>
      </c>
      <c r="B45" s="127" t="s">
        <v>1453</v>
      </c>
      <c r="C45" s="132" t="s">
        <v>1378</v>
      </c>
      <c r="D45" s="100"/>
      <c r="E45" s="100"/>
      <c r="F45" s="100"/>
      <c r="G45" s="100"/>
      <c r="H45" s="127"/>
      <c r="I45" s="99"/>
      <c r="J45" s="131"/>
      <c r="K45" s="131"/>
      <c r="L45" s="131"/>
      <c r="M45" s="131"/>
      <c r="N45" s="131"/>
      <c r="O45" s="131"/>
      <c r="P45" s="131"/>
      <c r="Q45" s="131"/>
      <c r="R45" s="131"/>
      <c r="S45" s="131"/>
      <c r="T45" s="131"/>
      <c r="U45" s="131"/>
      <c r="V45" s="131"/>
      <c r="W45" s="131"/>
      <c r="X45" s="131"/>
      <c r="Y45" s="131"/>
      <c r="Z45" s="131"/>
    </row>
    <row r="46">
      <c r="A46" s="126" t="s">
        <v>1454</v>
      </c>
      <c r="B46" s="127" t="s">
        <v>851</v>
      </c>
      <c r="C46" s="132" t="s">
        <v>1378</v>
      </c>
      <c r="D46" s="100"/>
      <c r="E46" s="100"/>
      <c r="F46" s="100"/>
      <c r="G46" s="100"/>
      <c r="H46" s="127"/>
      <c r="I46" s="99"/>
      <c r="J46" s="131"/>
      <c r="K46" s="131"/>
      <c r="L46" s="131"/>
      <c r="M46" s="131"/>
      <c r="N46" s="131"/>
      <c r="O46" s="131"/>
      <c r="P46" s="131"/>
      <c r="Q46" s="131"/>
      <c r="R46" s="131"/>
      <c r="S46" s="131"/>
      <c r="T46" s="131"/>
      <c r="U46" s="131"/>
      <c r="V46" s="131"/>
      <c r="W46" s="131"/>
      <c r="X46" s="131"/>
      <c r="Y46" s="131"/>
      <c r="Z46" s="131"/>
    </row>
    <row r="47">
      <c r="A47" s="126" t="s">
        <v>1455</v>
      </c>
      <c r="B47" s="127" t="s">
        <v>841</v>
      </c>
      <c r="C47" s="128" t="s">
        <v>1376</v>
      </c>
      <c r="D47" s="100"/>
      <c r="E47" s="100"/>
      <c r="F47" s="100"/>
      <c r="G47" s="100"/>
      <c r="H47" s="127"/>
      <c r="I47" s="99"/>
      <c r="J47" s="131"/>
      <c r="K47" s="131"/>
      <c r="L47" s="131"/>
      <c r="M47" s="131"/>
      <c r="N47" s="131"/>
      <c r="O47" s="131"/>
      <c r="P47" s="131"/>
      <c r="Q47" s="131"/>
      <c r="R47" s="131"/>
      <c r="S47" s="131"/>
      <c r="T47" s="131"/>
      <c r="U47" s="131"/>
      <c r="V47" s="131"/>
      <c r="W47" s="131"/>
      <c r="X47" s="131"/>
      <c r="Y47" s="131"/>
      <c r="Z47" s="131"/>
    </row>
    <row r="48">
      <c r="A48" s="126" t="s">
        <v>1456</v>
      </c>
      <c r="B48" s="127" t="s">
        <v>1457</v>
      </c>
      <c r="C48" s="132" t="s">
        <v>1378</v>
      </c>
      <c r="D48" s="129" t="s">
        <v>1096</v>
      </c>
      <c r="E48" s="129" t="s">
        <v>1096</v>
      </c>
      <c r="F48" s="129" t="s">
        <v>1096</v>
      </c>
      <c r="G48" s="129" t="s">
        <v>1096</v>
      </c>
      <c r="H48" s="127"/>
      <c r="I48" s="99"/>
      <c r="J48" s="131"/>
      <c r="K48" s="131"/>
      <c r="L48" s="131"/>
      <c r="M48" s="131"/>
      <c r="N48" s="131"/>
      <c r="O48" s="131"/>
      <c r="P48" s="131"/>
      <c r="Q48" s="131"/>
      <c r="R48" s="131"/>
      <c r="S48" s="131"/>
      <c r="T48" s="131"/>
      <c r="U48" s="131"/>
      <c r="V48" s="131"/>
      <c r="W48" s="131"/>
      <c r="X48" s="131"/>
      <c r="Y48" s="131"/>
      <c r="Z48" s="131"/>
    </row>
    <row r="49">
      <c r="A49" s="126" t="s">
        <v>1458</v>
      </c>
      <c r="B49" s="127" t="s">
        <v>1459</v>
      </c>
      <c r="C49" s="132" t="s">
        <v>1378</v>
      </c>
      <c r="D49" s="129" t="s">
        <v>1096</v>
      </c>
      <c r="E49" s="129" t="s">
        <v>1096</v>
      </c>
      <c r="F49" s="129" t="s">
        <v>1096</v>
      </c>
      <c r="G49" s="129" t="s">
        <v>1096</v>
      </c>
      <c r="H49" s="127"/>
      <c r="I49" s="99"/>
      <c r="J49" s="131"/>
      <c r="K49" s="131"/>
      <c r="L49" s="131"/>
      <c r="M49" s="131"/>
      <c r="N49" s="131"/>
      <c r="O49" s="131"/>
      <c r="P49" s="131"/>
      <c r="Q49" s="131"/>
      <c r="R49" s="131"/>
      <c r="S49" s="131"/>
      <c r="T49" s="131"/>
      <c r="U49" s="131"/>
      <c r="V49" s="131"/>
      <c r="W49" s="131"/>
      <c r="X49" s="131"/>
      <c r="Y49" s="131"/>
      <c r="Z49" s="131"/>
    </row>
    <row r="50">
      <c r="A50" s="126" t="s">
        <v>1460</v>
      </c>
      <c r="B50" s="127" t="s">
        <v>1461</v>
      </c>
      <c r="C50" s="132" t="s">
        <v>1378</v>
      </c>
      <c r="D50" s="129" t="s">
        <v>1096</v>
      </c>
      <c r="E50" s="129" t="s">
        <v>1096</v>
      </c>
      <c r="F50" s="129" t="s">
        <v>1096</v>
      </c>
      <c r="G50" s="129" t="s">
        <v>1096</v>
      </c>
      <c r="H50" s="127"/>
      <c r="I50" s="99"/>
      <c r="J50" s="131"/>
      <c r="K50" s="131"/>
      <c r="L50" s="131"/>
      <c r="M50" s="131"/>
      <c r="N50" s="131"/>
      <c r="O50" s="131"/>
      <c r="P50" s="131"/>
      <c r="Q50" s="131"/>
      <c r="R50" s="131"/>
      <c r="S50" s="131"/>
      <c r="T50" s="131"/>
      <c r="U50" s="131"/>
      <c r="V50" s="131"/>
      <c r="W50" s="131"/>
      <c r="X50" s="131"/>
      <c r="Y50" s="131"/>
      <c r="Z50" s="131"/>
    </row>
    <row r="51">
      <c r="A51" s="126" t="s">
        <v>1462</v>
      </c>
      <c r="B51" s="127" t="s">
        <v>1463</v>
      </c>
      <c r="C51" s="128" t="s">
        <v>1376</v>
      </c>
      <c r="D51" s="129" t="s">
        <v>1096</v>
      </c>
      <c r="E51" s="129" t="s">
        <v>1096</v>
      </c>
      <c r="F51" s="129" t="s">
        <v>1096</v>
      </c>
      <c r="G51" s="129" t="s">
        <v>1096</v>
      </c>
      <c r="H51" s="127"/>
      <c r="I51" s="99"/>
      <c r="J51" s="131"/>
      <c r="K51" s="131"/>
      <c r="L51" s="131"/>
      <c r="M51" s="131"/>
      <c r="N51" s="131"/>
      <c r="O51" s="131"/>
      <c r="P51" s="131"/>
      <c r="Q51" s="131"/>
      <c r="R51" s="131"/>
      <c r="S51" s="131"/>
      <c r="T51" s="131"/>
      <c r="U51" s="131"/>
      <c r="V51" s="131"/>
      <c r="W51" s="131"/>
      <c r="X51" s="131"/>
      <c r="Y51" s="131"/>
      <c r="Z51" s="131"/>
    </row>
    <row r="52">
      <c r="A52" s="126" t="s">
        <v>1464</v>
      </c>
      <c r="B52" s="127" t="s">
        <v>828</v>
      </c>
      <c r="C52" s="132" t="s">
        <v>1378</v>
      </c>
      <c r="D52" s="129" t="s">
        <v>1096</v>
      </c>
      <c r="E52" s="129" t="s">
        <v>1096</v>
      </c>
      <c r="F52" s="128" t="s">
        <v>1376</v>
      </c>
      <c r="G52" s="128" t="s">
        <v>1376</v>
      </c>
      <c r="H52" s="127"/>
      <c r="I52" s="99"/>
      <c r="J52" s="131"/>
      <c r="K52" s="131"/>
      <c r="L52" s="131"/>
      <c r="M52" s="131"/>
      <c r="N52" s="131"/>
      <c r="O52" s="131"/>
      <c r="P52" s="131"/>
      <c r="Q52" s="131"/>
      <c r="R52" s="131"/>
      <c r="S52" s="131"/>
      <c r="T52" s="131"/>
      <c r="U52" s="131"/>
      <c r="V52" s="131"/>
      <c r="W52" s="131"/>
      <c r="X52" s="131"/>
      <c r="Y52" s="131"/>
      <c r="Z52" s="131"/>
    </row>
    <row r="53">
      <c r="A53" s="126" t="s">
        <v>1465</v>
      </c>
      <c r="B53" s="127" t="s">
        <v>1466</v>
      </c>
      <c r="C53" s="132" t="s">
        <v>1378</v>
      </c>
      <c r="D53" s="129" t="s">
        <v>1096</v>
      </c>
      <c r="E53" s="129" t="s">
        <v>1096</v>
      </c>
      <c r="F53" s="129" t="s">
        <v>1096</v>
      </c>
      <c r="G53" s="129" t="s">
        <v>1096</v>
      </c>
      <c r="H53" s="127"/>
      <c r="I53" s="99"/>
      <c r="J53" s="131"/>
      <c r="K53" s="131"/>
      <c r="L53" s="131"/>
      <c r="M53" s="131"/>
      <c r="N53" s="131"/>
      <c r="O53" s="131"/>
      <c r="P53" s="131"/>
      <c r="Q53" s="131"/>
      <c r="R53" s="131"/>
      <c r="S53" s="131"/>
      <c r="T53" s="131"/>
      <c r="U53" s="131"/>
      <c r="V53" s="131"/>
      <c r="W53" s="131"/>
      <c r="X53" s="131"/>
      <c r="Y53" s="131"/>
      <c r="Z53" s="131"/>
    </row>
    <row r="54">
      <c r="A54" s="126" t="s">
        <v>1467</v>
      </c>
      <c r="B54" s="127" t="s">
        <v>1468</v>
      </c>
      <c r="C54" s="132" t="s">
        <v>1378</v>
      </c>
      <c r="D54" s="129" t="s">
        <v>1096</v>
      </c>
      <c r="E54" s="129" t="s">
        <v>1096</v>
      </c>
      <c r="F54" s="129" t="s">
        <v>1096</v>
      </c>
      <c r="G54" s="136" t="s">
        <v>1387</v>
      </c>
      <c r="H54" s="127"/>
      <c r="I54" s="99"/>
      <c r="J54" s="131"/>
      <c r="K54" s="131"/>
      <c r="L54" s="131"/>
      <c r="M54" s="131"/>
      <c r="N54" s="131"/>
      <c r="O54" s="131"/>
      <c r="P54" s="131"/>
      <c r="Q54" s="131"/>
      <c r="R54" s="131"/>
      <c r="S54" s="131"/>
      <c r="T54" s="131"/>
      <c r="U54" s="131"/>
      <c r="V54" s="131"/>
      <c r="W54" s="131"/>
      <c r="X54" s="131"/>
      <c r="Y54" s="131"/>
      <c r="Z54" s="131"/>
    </row>
    <row r="55">
      <c r="A55" s="126" t="s">
        <v>1469</v>
      </c>
      <c r="B55" s="127" t="s">
        <v>779</v>
      </c>
      <c r="C55" s="128" t="s">
        <v>1376</v>
      </c>
      <c r="D55" s="100"/>
      <c r="E55" s="100"/>
      <c r="F55" s="100"/>
      <c r="G55" s="100"/>
      <c r="H55" s="127"/>
      <c r="I55" s="99"/>
      <c r="J55" s="131"/>
      <c r="K55" s="131"/>
      <c r="L55" s="131"/>
      <c r="M55" s="131"/>
      <c r="N55" s="131"/>
      <c r="O55" s="131"/>
      <c r="P55" s="131"/>
      <c r="Q55" s="131"/>
      <c r="R55" s="131"/>
      <c r="S55" s="131"/>
      <c r="T55" s="131"/>
      <c r="U55" s="131"/>
      <c r="V55" s="131"/>
      <c r="W55" s="131"/>
      <c r="X55" s="131"/>
      <c r="Y55" s="131"/>
      <c r="Z55" s="131"/>
    </row>
    <row r="56">
      <c r="A56" s="126" t="s">
        <v>1470</v>
      </c>
      <c r="B56" s="127" t="s">
        <v>1471</v>
      </c>
      <c r="C56" s="132" t="s">
        <v>1378</v>
      </c>
      <c r="D56" s="100"/>
      <c r="E56" s="100"/>
      <c r="F56" s="100"/>
      <c r="G56" s="100"/>
      <c r="H56" s="127"/>
      <c r="I56" s="99"/>
      <c r="J56" s="131"/>
      <c r="K56" s="131"/>
      <c r="L56" s="131"/>
      <c r="M56" s="131"/>
      <c r="N56" s="131"/>
      <c r="O56" s="131"/>
      <c r="P56" s="131"/>
      <c r="Q56" s="131"/>
      <c r="R56" s="131"/>
      <c r="S56" s="131"/>
      <c r="T56" s="131"/>
      <c r="U56" s="131"/>
      <c r="V56" s="131"/>
      <c r="W56" s="131"/>
      <c r="X56" s="131"/>
      <c r="Y56" s="131"/>
      <c r="Z56" s="131"/>
    </row>
    <row r="57">
      <c r="A57" s="126" t="s">
        <v>1472</v>
      </c>
      <c r="B57" s="127" t="s">
        <v>789</v>
      </c>
      <c r="C57" s="132" t="s">
        <v>1378</v>
      </c>
      <c r="D57" s="100"/>
      <c r="E57" s="100"/>
      <c r="F57" s="100"/>
      <c r="G57" s="100"/>
      <c r="H57" s="127"/>
      <c r="I57" s="99"/>
      <c r="J57" s="131"/>
      <c r="K57" s="131"/>
      <c r="L57" s="131"/>
      <c r="M57" s="131"/>
      <c r="N57" s="131"/>
      <c r="O57" s="131"/>
      <c r="P57" s="131"/>
      <c r="Q57" s="131"/>
      <c r="R57" s="131"/>
      <c r="S57" s="131"/>
      <c r="T57" s="131"/>
      <c r="U57" s="131"/>
      <c r="V57" s="131"/>
      <c r="W57" s="131"/>
      <c r="X57" s="131"/>
      <c r="Y57" s="131"/>
      <c r="Z57" s="131"/>
    </row>
    <row r="58">
      <c r="A58" s="126" t="s">
        <v>1473</v>
      </c>
      <c r="B58" s="127" t="s">
        <v>861</v>
      </c>
      <c r="C58" s="132" t="s">
        <v>1378</v>
      </c>
      <c r="D58" s="100"/>
      <c r="E58" s="100"/>
      <c r="F58" s="100"/>
      <c r="G58" s="100"/>
      <c r="H58" s="127"/>
      <c r="I58" s="99"/>
      <c r="J58" s="131"/>
      <c r="K58" s="131"/>
      <c r="L58" s="131"/>
      <c r="M58" s="131"/>
      <c r="N58" s="131"/>
      <c r="O58" s="131"/>
      <c r="P58" s="131"/>
      <c r="Q58" s="131"/>
      <c r="R58" s="131"/>
      <c r="S58" s="131"/>
      <c r="T58" s="131"/>
      <c r="U58" s="131"/>
      <c r="V58" s="131"/>
      <c r="W58" s="131"/>
      <c r="X58" s="131"/>
      <c r="Y58" s="131"/>
      <c r="Z58" s="131"/>
    </row>
    <row r="59">
      <c r="A59" s="126" t="s">
        <v>1474</v>
      </c>
      <c r="B59" s="127" t="s">
        <v>1475</v>
      </c>
      <c r="C59" s="128" t="s">
        <v>1376</v>
      </c>
      <c r="D59" s="100"/>
      <c r="E59" s="100"/>
      <c r="F59" s="100"/>
      <c r="G59" s="100"/>
      <c r="H59" s="127"/>
      <c r="I59" s="99"/>
      <c r="J59" s="131"/>
      <c r="K59" s="131"/>
      <c r="L59" s="131"/>
      <c r="M59" s="131"/>
      <c r="N59" s="131"/>
      <c r="O59" s="131"/>
      <c r="P59" s="131"/>
      <c r="Q59" s="131"/>
      <c r="R59" s="131"/>
      <c r="S59" s="131"/>
      <c r="T59" s="131"/>
      <c r="U59" s="131"/>
      <c r="V59" s="131"/>
      <c r="W59" s="131"/>
      <c r="X59" s="131"/>
      <c r="Y59" s="131"/>
      <c r="Z59" s="131"/>
    </row>
    <row r="60">
      <c r="A60" s="126" t="s">
        <v>1476</v>
      </c>
      <c r="B60" s="127" t="s">
        <v>1477</v>
      </c>
      <c r="C60" s="132" t="s">
        <v>1378</v>
      </c>
      <c r="D60" s="136" t="s">
        <v>1478</v>
      </c>
      <c r="E60" s="129" t="s">
        <v>1096</v>
      </c>
      <c r="F60" s="129" t="s">
        <v>1096</v>
      </c>
      <c r="G60" s="129" t="s">
        <v>1096</v>
      </c>
      <c r="H60" s="127"/>
      <c r="I60" s="99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</row>
    <row r="61">
      <c r="A61" s="126" t="s">
        <v>1479</v>
      </c>
      <c r="B61" s="127" t="s">
        <v>840</v>
      </c>
      <c r="C61" s="132" t="s">
        <v>1378</v>
      </c>
      <c r="D61" s="100"/>
      <c r="E61" s="100"/>
      <c r="F61" s="100"/>
      <c r="G61" s="100"/>
      <c r="H61" s="127"/>
      <c r="I61" s="99"/>
      <c r="J61" s="131"/>
      <c r="K61" s="131"/>
      <c r="L61" s="131"/>
      <c r="M61" s="131"/>
      <c r="N61" s="131"/>
      <c r="O61" s="131"/>
      <c r="P61" s="131"/>
      <c r="Q61" s="131"/>
      <c r="R61" s="131"/>
      <c r="S61" s="131"/>
      <c r="T61" s="131"/>
      <c r="U61" s="131"/>
      <c r="V61" s="131"/>
      <c r="W61" s="131"/>
      <c r="X61" s="131"/>
      <c r="Y61" s="131"/>
      <c r="Z61" s="131"/>
    </row>
    <row r="62">
      <c r="A62" s="126" t="s">
        <v>1480</v>
      </c>
      <c r="B62" s="127" t="s">
        <v>1481</v>
      </c>
      <c r="C62" s="132" t="s">
        <v>1378</v>
      </c>
      <c r="D62" s="100"/>
      <c r="E62" s="100"/>
      <c r="F62" s="100"/>
      <c r="G62" s="100"/>
      <c r="H62" s="127"/>
      <c r="I62" s="99"/>
      <c r="J62" s="131"/>
      <c r="K62" s="131"/>
      <c r="L62" s="131"/>
      <c r="M62" s="131"/>
      <c r="N62" s="131"/>
      <c r="O62" s="131"/>
      <c r="P62" s="131"/>
      <c r="Q62" s="131"/>
      <c r="R62" s="131"/>
      <c r="S62" s="131"/>
      <c r="T62" s="131"/>
      <c r="U62" s="131"/>
      <c r="V62" s="131"/>
      <c r="W62" s="131"/>
      <c r="X62" s="131"/>
      <c r="Y62" s="131"/>
      <c r="Z62" s="131"/>
    </row>
    <row r="63">
      <c r="A63" s="126" t="s">
        <v>1482</v>
      </c>
      <c r="B63" s="127" t="s">
        <v>822</v>
      </c>
      <c r="C63" s="128" t="s">
        <v>1376</v>
      </c>
      <c r="D63" s="100"/>
      <c r="E63" s="100"/>
      <c r="F63" s="100"/>
      <c r="G63" s="100"/>
      <c r="H63" s="127"/>
      <c r="I63" s="99"/>
      <c r="J63" s="131"/>
      <c r="K63" s="131"/>
      <c r="L63" s="131"/>
      <c r="M63" s="131"/>
      <c r="N63" s="131"/>
      <c r="O63" s="131"/>
      <c r="P63" s="131"/>
      <c r="Q63" s="131"/>
      <c r="R63" s="131"/>
      <c r="S63" s="131"/>
      <c r="T63" s="131"/>
      <c r="U63" s="131"/>
      <c r="V63" s="131"/>
      <c r="W63" s="131"/>
      <c r="X63" s="131"/>
      <c r="Y63" s="131"/>
      <c r="Z63" s="131"/>
    </row>
    <row r="64">
      <c r="A64" s="126" t="s">
        <v>1483</v>
      </c>
      <c r="B64" s="127" t="s">
        <v>854</v>
      </c>
      <c r="C64" s="132" t="s">
        <v>1378</v>
      </c>
      <c r="D64" s="100"/>
      <c r="E64" s="100"/>
      <c r="F64" s="100"/>
      <c r="G64" s="100"/>
      <c r="H64" s="127"/>
      <c r="I64" s="99"/>
      <c r="J64" s="131"/>
      <c r="K64" s="131"/>
      <c r="L64" s="131"/>
      <c r="M64" s="131"/>
      <c r="N64" s="131"/>
      <c r="O64" s="131"/>
      <c r="P64" s="131"/>
      <c r="Q64" s="131"/>
      <c r="R64" s="131"/>
      <c r="S64" s="131"/>
      <c r="T64" s="131"/>
      <c r="U64" s="131"/>
      <c r="V64" s="131"/>
      <c r="W64" s="131"/>
      <c r="X64" s="131"/>
      <c r="Y64" s="131"/>
      <c r="Z64" s="131"/>
    </row>
    <row r="65">
      <c r="A65" s="126" t="s">
        <v>1484</v>
      </c>
      <c r="B65" s="127" t="s">
        <v>832</v>
      </c>
      <c r="C65" s="132" t="s">
        <v>1378</v>
      </c>
      <c r="D65" s="129" t="s">
        <v>1096</v>
      </c>
      <c r="E65" s="129" t="s">
        <v>1096</v>
      </c>
      <c r="F65" s="128" t="s">
        <v>1376</v>
      </c>
      <c r="G65" s="128" t="s">
        <v>1376</v>
      </c>
      <c r="H65" s="127"/>
      <c r="I65" s="99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</row>
    <row r="66">
      <c r="A66" s="126" t="s">
        <v>1485</v>
      </c>
      <c r="B66" s="127" t="s">
        <v>781</v>
      </c>
      <c r="C66" s="132" t="s">
        <v>1378</v>
      </c>
      <c r="D66" s="129" t="s">
        <v>1096</v>
      </c>
      <c r="E66" s="129" t="s">
        <v>1096</v>
      </c>
      <c r="F66" s="128" t="s">
        <v>1376</v>
      </c>
      <c r="G66" s="128" t="s">
        <v>1376</v>
      </c>
      <c r="H66" s="127"/>
      <c r="I66" s="99"/>
      <c r="J66" s="131"/>
      <c r="K66" s="131"/>
      <c r="L66" s="131"/>
      <c r="M66" s="131"/>
      <c r="N66" s="131"/>
      <c r="O66" s="131"/>
      <c r="P66" s="131"/>
      <c r="Q66" s="131"/>
      <c r="R66" s="131"/>
      <c r="S66" s="131"/>
      <c r="T66" s="131"/>
      <c r="U66" s="131"/>
      <c r="V66" s="131"/>
      <c r="W66" s="131"/>
      <c r="X66" s="131"/>
      <c r="Y66" s="131"/>
      <c r="Z66" s="131"/>
    </row>
    <row r="67">
      <c r="A67" s="126" t="s">
        <v>1486</v>
      </c>
      <c r="B67" s="127" t="s">
        <v>813</v>
      </c>
      <c r="C67" s="128" t="s">
        <v>1376</v>
      </c>
      <c r="D67" s="128" t="s">
        <v>1376</v>
      </c>
      <c r="E67" s="129" t="s">
        <v>1096</v>
      </c>
      <c r="F67" s="129" t="s">
        <v>1096</v>
      </c>
      <c r="G67" s="129" t="s">
        <v>1096</v>
      </c>
      <c r="H67" s="127"/>
      <c r="I67" s="99"/>
      <c r="J67" s="131"/>
      <c r="K67" s="131"/>
      <c r="L67" s="131"/>
      <c r="M67" s="131"/>
      <c r="N67" s="131"/>
      <c r="O67" s="131"/>
      <c r="P67" s="131"/>
      <c r="Q67" s="131"/>
      <c r="R67" s="131"/>
      <c r="S67" s="131"/>
      <c r="T67" s="131"/>
      <c r="U67" s="131"/>
      <c r="V67" s="131"/>
      <c r="W67" s="131"/>
      <c r="X67" s="131"/>
      <c r="Y67" s="131"/>
      <c r="Z67" s="131"/>
    </row>
    <row r="68">
      <c r="A68" s="126" t="s">
        <v>1487</v>
      </c>
      <c r="B68" s="127" t="s">
        <v>802</v>
      </c>
      <c r="C68" s="132" t="s">
        <v>1378</v>
      </c>
      <c r="D68" s="136" t="s">
        <v>1387</v>
      </c>
      <c r="E68" s="129" t="s">
        <v>1096</v>
      </c>
      <c r="F68" s="129" t="s">
        <v>1096</v>
      </c>
      <c r="G68" s="129" t="s">
        <v>1096</v>
      </c>
      <c r="H68" s="127"/>
      <c r="I68" s="99"/>
      <c r="J68" s="131"/>
      <c r="K68" s="131"/>
      <c r="L68" s="131"/>
      <c r="M68" s="131"/>
      <c r="N68" s="131"/>
      <c r="O68" s="131"/>
      <c r="P68" s="131"/>
      <c r="Q68" s="131"/>
      <c r="R68" s="131"/>
      <c r="S68" s="131"/>
      <c r="T68" s="131"/>
      <c r="U68" s="131"/>
      <c r="V68" s="131"/>
      <c r="W68" s="131"/>
      <c r="X68" s="131"/>
      <c r="Y68" s="131"/>
      <c r="Z68" s="131"/>
    </row>
    <row r="69">
      <c r="A69" s="126" t="s">
        <v>1488</v>
      </c>
      <c r="B69" s="127" t="s">
        <v>1489</v>
      </c>
      <c r="C69" s="132" t="s">
        <v>1378</v>
      </c>
      <c r="D69" s="129" t="s">
        <v>1096</v>
      </c>
      <c r="E69" s="129" t="s">
        <v>1096</v>
      </c>
      <c r="F69" s="129" t="s">
        <v>1096</v>
      </c>
      <c r="G69" s="129" t="s">
        <v>1096</v>
      </c>
      <c r="H69" s="127"/>
      <c r="I69" s="99"/>
      <c r="J69" s="131"/>
      <c r="K69" s="131"/>
      <c r="L69" s="131"/>
      <c r="M69" s="131"/>
      <c r="N69" s="131"/>
      <c r="O69" s="131"/>
      <c r="P69" s="131"/>
      <c r="Q69" s="131"/>
      <c r="R69" s="131"/>
      <c r="S69" s="131"/>
      <c r="T69" s="131"/>
      <c r="U69" s="131"/>
      <c r="V69" s="131"/>
      <c r="W69" s="131"/>
      <c r="X69" s="131"/>
      <c r="Y69" s="131"/>
      <c r="Z69" s="131"/>
    </row>
    <row r="70">
      <c r="A70" s="126" t="s">
        <v>1490</v>
      </c>
      <c r="B70" s="127" t="s">
        <v>1491</v>
      </c>
      <c r="C70" s="132" t="s">
        <v>1378</v>
      </c>
      <c r="D70" s="129" t="s">
        <v>1096</v>
      </c>
      <c r="E70" s="129" t="s">
        <v>1096</v>
      </c>
      <c r="F70" s="129" t="s">
        <v>1096</v>
      </c>
      <c r="G70" s="129" t="s">
        <v>1096</v>
      </c>
      <c r="H70" s="127"/>
      <c r="I70" s="99"/>
      <c r="J70" s="131"/>
      <c r="K70" s="131"/>
      <c r="L70" s="131"/>
      <c r="M70" s="131"/>
      <c r="N70" s="131"/>
      <c r="O70" s="131"/>
      <c r="P70" s="131"/>
      <c r="Q70" s="131"/>
      <c r="R70" s="131"/>
      <c r="S70" s="131"/>
      <c r="T70" s="131"/>
      <c r="U70" s="131"/>
      <c r="V70" s="131"/>
      <c r="W70" s="131"/>
      <c r="X70" s="131"/>
      <c r="Y70" s="131"/>
      <c r="Z70" s="131"/>
    </row>
    <row r="71">
      <c r="A71" s="126" t="s">
        <v>1492</v>
      </c>
      <c r="B71" s="127" t="s">
        <v>852</v>
      </c>
      <c r="C71" s="128" t="s">
        <v>1376</v>
      </c>
      <c r="D71" s="129" t="s">
        <v>1096</v>
      </c>
      <c r="E71" s="129" t="s">
        <v>1096</v>
      </c>
      <c r="F71" s="129" t="s">
        <v>1096</v>
      </c>
      <c r="G71" s="129" t="s">
        <v>1096</v>
      </c>
      <c r="H71" s="127"/>
      <c r="I71" s="99"/>
      <c r="J71" s="131"/>
      <c r="K71" s="131"/>
      <c r="L71" s="131"/>
      <c r="M71" s="131"/>
      <c r="N71" s="131"/>
      <c r="O71" s="131"/>
      <c r="P71" s="131"/>
      <c r="Q71" s="131"/>
      <c r="R71" s="131"/>
      <c r="S71" s="131"/>
      <c r="T71" s="131"/>
      <c r="U71" s="131"/>
      <c r="V71" s="131"/>
      <c r="W71" s="131"/>
      <c r="X71" s="131"/>
      <c r="Y71" s="131"/>
      <c r="Z71" s="131"/>
    </row>
    <row r="72">
      <c r="A72" s="126" t="s">
        <v>1493</v>
      </c>
      <c r="B72" s="127" t="s">
        <v>1494</v>
      </c>
      <c r="C72" s="132" t="s">
        <v>1378</v>
      </c>
      <c r="D72" s="129" t="s">
        <v>1096</v>
      </c>
      <c r="E72" s="129" t="s">
        <v>1096</v>
      </c>
      <c r="F72" s="129" t="s">
        <v>1096</v>
      </c>
      <c r="G72" s="129" t="s">
        <v>1096</v>
      </c>
      <c r="H72" s="127"/>
      <c r="I72" s="99"/>
      <c r="J72" s="131"/>
      <c r="K72" s="131"/>
      <c r="L72" s="131"/>
      <c r="M72" s="131"/>
      <c r="N72" s="131"/>
      <c r="O72" s="131"/>
      <c r="P72" s="131"/>
      <c r="Q72" s="131"/>
      <c r="R72" s="131"/>
      <c r="S72" s="131"/>
      <c r="T72" s="131"/>
      <c r="U72" s="131"/>
      <c r="V72" s="131"/>
      <c r="W72" s="131"/>
      <c r="X72" s="131"/>
      <c r="Y72" s="131"/>
      <c r="Z72" s="131"/>
    </row>
    <row r="73">
      <c r="A73" s="126" t="s">
        <v>1495</v>
      </c>
      <c r="B73" s="127" t="s">
        <v>823</v>
      </c>
      <c r="C73" s="132" t="s">
        <v>1378</v>
      </c>
      <c r="D73" s="129" t="s">
        <v>1096</v>
      </c>
      <c r="E73" s="129" t="s">
        <v>1096</v>
      </c>
      <c r="F73" s="128" t="s">
        <v>1376</v>
      </c>
      <c r="G73" s="132" t="s">
        <v>1435</v>
      </c>
      <c r="H73" s="127"/>
      <c r="I73" s="99"/>
      <c r="J73" s="131"/>
      <c r="K73" s="131"/>
      <c r="L73" s="131"/>
      <c r="M73" s="131"/>
      <c r="N73" s="131"/>
      <c r="O73" s="131"/>
      <c r="P73" s="131"/>
      <c r="Q73" s="131"/>
      <c r="R73" s="131"/>
      <c r="S73" s="131"/>
      <c r="T73" s="131"/>
      <c r="U73" s="131"/>
      <c r="V73" s="131"/>
      <c r="W73" s="131"/>
      <c r="X73" s="131"/>
      <c r="Y73" s="131"/>
      <c r="Z73" s="131"/>
    </row>
    <row r="74">
      <c r="A74" s="126" t="s">
        <v>1496</v>
      </c>
      <c r="B74" s="127" t="s">
        <v>817</v>
      </c>
      <c r="C74" s="132" t="s">
        <v>1378</v>
      </c>
      <c r="D74" s="128" t="s">
        <v>1376</v>
      </c>
      <c r="E74" s="129" t="s">
        <v>1096</v>
      </c>
      <c r="F74" s="129" t="s">
        <v>1096</v>
      </c>
      <c r="G74" s="129" t="s">
        <v>1096</v>
      </c>
      <c r="H74" s="127"/>
      <c r="I74" s="99"/>
      <c r="J74" s="131"/>
      <c r="K74" s="131"/>
      <c r="L74" s="131"/>
      <c r="M74" s="131"/>
      <c r="N74" s="131"/>
      <c r="O74" s="131"/>
      <c r="P74" s="131"/>
      <c r="Q74" s="131"/>
      <c r="R74" s="131"/>
      <c r="S74" s="131"/>
      <c r="T74" s="131"/>
      <c r="U74" s="131"/>
      <c r="V74" s="131"/>
      <c r="W74" s="131"/>
      <c r="X74" s="131"/>
      <c r="Y74" s="131"/>
      <c r="Z74" s="131"/>
    </row>
    <row r="75">
      <c r="A75" s="126" t="s">
        <v>1497</v>
      </c>
      <c r="B75" s="127" t="s">
        <v>786</v>
      </c>
      <c r="C75" s="128" t="s">
        <v>1376</v>
      </c>
      <c r="D75" s="100"/>
      <c r="E75" s="100"/>
      <c r="F75" s="100"/>
      <c r="G75" s="100"/>
      <c r="H75" s="127"/>
      <c r="I75" s="99"/>
      <c r="J75" s="131"/>
      <c r="K75" s="131"/>
      <c r="L75" s="131"/>
      <c r="M75" s="131"/>
      <c r="N75" s="131"/>
      <c r="O75" s="131"/>
      <c r="P75" s="131"/>
      <c r="Q75" s="131"/>
      <c r="R75" s="131"/>
      <c r="S75" s="131"/>
      <c r="T75" s="131"/>
      <c r="U75" s="131"/>
      <c r="V75" s="131"/>
      <c r="W75" s="131"/>
      <c r="X75" s="131"/>
      <c r="Y75" s="131"/>
      <c r="Z75" s="131"/>
    </row>
    <row r="76">
      <c r="A76" s="126" t="s">
        <v>1498</v>
      </c>
      <c r="B76" s="127" t="s">
        <v>827</v>
      </c>
      <c r="C76" s="132" t="s">
        <v>1378</v>
      </c>
      <c r="D76" s="100"/>
      <c r="E76" s="100"/>
      <c r="F76" s="100"/>
      <c r="G76" s="100"/>
      <c r="H76" s="127"/>
      <c r="I76" s="99"/>
      <c r="J76" s="131"/>
      <c r="K76" s="131"/>
      <c r="L76" s="131"/>
      <c r="M76" s="131"/>
      <c r="N76" s="131"/>
      <c r="O76" s="131"/>
      <c r="P76" s="131"/>
      <c r="Q76" s="131"/>
      <c r="R76" s="131"/>
      <c r="S76" s="131"/>
      <c r="T76" s="131"/>
      <c r="U76" s="131"/>
      <c r="V76" s="131"/>
      <c r="W76" s="131"/>
      <c r="X76" s="131"/>
      <c r="Y76" s="131"/>
      <c r="Z76" s="131"/>
    </row>
    <row r="77">
      <c r="A77" s="126" t="s">
        <v>1499</v>
      </c>
      <c r="B77" s="127" t="s">
        <v>1500</v>
      </c>
      <c r="C77" s="132" t="s">
        <v>1378</v>
      </c>
      <c r="D77" s="100"/>
      <c r="E77" s="100"/>
      <c r="F77" s="100"/>
      <c r="G77" s="100"/>
      <c r="H77" s="127"/>
      <c r="I77" s="99"/>
      <c r="J77" s="131"/>
      <c r="K77" s="131"/>
      <c r="L77" s="131"/>
      <c r="M77" s="131"/>
      <c r="N77" s="131"/>
      <c r="O77" s="131"/>
      <c r="P77" s="131"/>
      <c r="Q77" s="131"/>
      <c r="R77" s="131"/>
      <c r="S77" s="131"/>
      <c r="T77" s="131"/>
      <c r="U77" s="131"/>
      <c r="V77" s="131"/>
      <c r="W77" s="131"/>
      <c r="X77" s="131"/>
      <c r="Y77" s="131"/>
      <c r="Z77" s="131"/>
    </row>
    <row r="78">
      <c r="A78" s="126" t="s">
        <v>1501</v>
      </c>
      <c r="B78" s="127" t="s">
        <v>807</v>
      </c>
      <c r="C78" s="132" t="s">
        <v>1378</v>
      </c>
      <c r="D78" s="100"/>
      <c r="E78" s="100"/>
      <c r="F78" s="100"/>
      <c r="G78" s="100"/>
      <c r="H78" s="127"/>
      <c r="I78" s="99"/>
      <c r="J78" s="131"/>
      <c r="K78" s="131"/>
      <c r="L78" s="131"/>
      <c r="M78" s="131"/>
      <c r="N78" s="131"/>
      <c r="O78" s="131"/>
      <c r="P78" s="131"/>
      <c r="Q78" s="131"/>
      <c r="R78" s="131"/>
      <c r="S78" s="131"/>
      <c r="T78" s="131"/>
      <c r="U78" s="131"/>
      <c r="V78" s="131"/>
      <c r="W78" s="131"/>
      <c r="X78" s="131"/>
      <c r="Y78" s="131"/>
      <c r="Z78" s="131"/>
    </row>
    <row r="79">
      <c r="A79" s="126" t="s">
        <v>1502</v>
      </c>
      <c r="B79" s="127" t="s">
        <v>833</v>
      </c>
      <c r="C79" s="128" t="s">
        <v>1376</v>
      </c>
      <c r="D79" s="100"/>
      <c r="E79" s="100"/>
      <c r="F79" s="100"/>
      <c r="G79" s="100"/>
      <c r="H79" s="127"/>
      <c r="I79" s="99"/>
      <c r="J79" s="131"/>
      <c r="K79" s="131"/>
      <c r="L79" s="131"/>
      <c r="M79" s="131"/>
      <c r="N79" s="131"/>
      <c r="O79" s="131"/>
      <c r="P79" s="131"/>
      <c r="Q79" s="131"/>
      <c r="R79" s="131"/>
      <c r="S79" s="131"/>
      <c r="T79" s="131"/>
      <c r="U79" s="131"/>
      <c r="V79" s="131"/>
      <c r="W79" s="131"/>
      <c r="X79" s="131"/>
      <c r="Y79" s="131"/>
      <c r="Z79" s="131"/>
    </row>
    <row r="80">
      <c r="A80" s="126" t="s">
        <v>1503</v>
      </c>
      <c r="B80" s="127" t="s">
        <v>1504</v>
      </c>
      <c r="C80" s="132" t="s">
        <v>1378</v>
      </c>
      <c r="D80" s="100"/>
      <c r="E80" s="100"/>
      <c r="F80" s="100"/>
      <c r="G80" s="100"/>
      <c r="H80" s="127"/>
      <c r="I80" s="99"/>
      <c r="J80" s="131"/>
      <c r="K80" s="131"/>
      <c r="L80" s="131"/>
      <c r="M80" s="131"/>
      <c r="N80" s="131"/>
      <c r="O80" s="131"/>
      <c r="P80" s="131"/>
      <c r="Q80" s="131"/>
      <c r="R80" s="131"/>
      <c r="S80" s="131"/>
      <c r="T80" s="131"/>
      <c r="U80" s="131"/>
      <c r="V80" s="131"/>
      <c r="W80" s="131"/>
      <c r="X80" s="131"/>
      <c r="Y80" s="131"/>
      <c r="Z80" s="131"/>
    </row>
    <row r="81">
      <c r="A81" s="126" t="s">
        <v>1505</v>
      </c>
      <c r="B81" s="127" t="s">
        <v>784</v>
      </c>
      <c r="C81" s="132" t="s">
        <v>1378</v>
      </c>
      <c r="D81" s="100"/>
      <c r="E81" s="100"/>
      <c r="F81" s="100"/>
      <c r="G81" s="100"/>
      <c r="H81" s="127"/>
      <c r="I81" s="99"/>
      <c r="J81" s="131"/>
      <c r="K81" s="131"/>
      <c r="L81" s="131"/>
      <c r="M81" s="131"/>
      <c r="N81" s="131"/>
      <c r="O81" s="131"/>
      <c r="P81" s="131"/>
      <c r="Q81" s="131"/>
      <c r="R81" s="131"/>
      <c r="S81" s="131"/>
      <c r="T81" s="131"/>
      <c r="U81" s="131"/>
      <c r="V81" s="131"/>
      <c r="W81" s="131"/>
      <c r="X81" s="131"/>
      <c r="Y81" s="131"/>
      <c r="Z81" s="131"/>
    </row>
    <row r="82">
      <c r="A82" s="126" t="s">
        <v>1506</v>
      </c>
      <c r="B82" s="127" t="s">
        <v>1507</v>
      </c>
      <c r="C82" s="132" t="s">
        <v>1378</v>
      </c>
      <c r="D82" s="100"/>
      <c r="E82" s="100"/>
      <c r="F82" s="100"/>
      <c r="G82" s="100"/>
      <c r="H82" s="127"/>
      <c r="I82" s="99"/>
      <c r="J82" s="131"/>
      <c r="K82" s="131"/>
      <c r="L82" s="131"/>
      <c r="M82" s="131"/>
      <c r="N82" s="131"/>
      <c r="O82" s="131"/>
      <c r="P82" s="131"/>
      <c r="Q82" s="131"/>
      <c r="R82" s="131"/>
      <c r="S82" s="131"/>
      <c r="T82" s="131"/>
      <c r="U82" s="131"/>
      <c r="V82" s="131"/>
      <c r="W82" s="131"/>
      <c r="X82" s="131"/>
      <c r="Y82" s="131"/>
      <c r="Z82" s="131"/>
    </row>
    <row r="83">
      <c r="A83" s="126" t="s">
        <v>1508</v>
      </c>
      <c r="B83" s="127" t="s">
        <v>856</v>
      </c>
      <c r="C83" s="128" t="s">
        <v>1376</v>
      </c>
      <c r="D83" s="100"/>
      <c r="E83" s="100"/>
      <c r="F83" s="100"/>
      <c r="G83" s="100"/>
      <c r="H83" s="127"/>
      <c r="I83" s="99"/>
      <c r="J83" s="131"/>
      <c r="K83" s="131"/>
      <c r="L83" s="131"/>
      <c r="M83" s="131"/>
      <c r="N83" s="131"/>
      <c r="O83" s="131"/>
      <c r="P83" s="131"/>
      <c r="Q83" s="131"/>
      <c r="R83" s="131"/>
      <c r="S83" s="131"/>
      <c r="T83" s="131"/>
      <c r="U83" s="131"/>
      <c r="V83" s="131"/>
      <c r="W83" s="131"/>
      <c r="X83" s="131"/>
      <c r="Y83" s="131"/>
      <c r="Z83" s="131"/>
    </row>
    <row r="84">
      <c r="A84" s="126" t="s">
        <v>1509</v>
      </c>
      <c r="B84" s="127" t="s">
        <v>821</v>
      </c>
      <c r="C84" s="132" t="s">
        <v>1378</v>
      </c>
      <c r="D84" s="100"/>
      <c r="E84" s="100"/>
      <c r="F84" s="100"/>
      <c r="G84" s="100"/>
      <c r="H84" s="127"/>
      <c r="I84" s="99"/>
      <c r="J84" s="131"/>
      <c r="K84" s="131"/>
      <c r="L84" s="131"/>
      <c r="M84" s="131"/>
      <c r="N84" s="131"/>
      <c r="O84" s="131"/>
      <c r="P84" s="131"/>
      <c r="Q84" s="131"/>
      <c r="R84" s="131"/>
      <c r="S84" s="131"/>
      <c r="T84" s="131"/>
      <c r="U84" s="131"/>
      <c r="V84" s="131"/>
      <c r="W84" s="131"/>
      <c r="X84" s="131"/>
      <c r="Y84" s="131"/>
      <c r="Z84" s="131"/>
    </row>
    <row r="85">
      <c r="A85" s="126" t="s">
        <v>1510</v>
      </c>
      <c r="B85" s="127" t="s">
        <v>1511</v>
      </c>
      <c r="C85" s="132" t="s">
        <v>1378</v>
      </c>
      <c r="D85" s="100"/>
      <c r="E85" s="100"/>
      <c r="F85" s="100"/>
      <c r="G85" s="100"/>
      <c r="H85" s="127"/>
      <c r="I85" s="99"/>
      <c r="J85" s="131"/>
      <c r="K85" s="131"/>
      <c r="L85" s="131"/>
      <c r="M85" s="131"/>
      <c r="N85" s="131"/>
      <c r="O85" s="131"/>
      <c r="P85" s="131"/>
      <c r="Q85" s="131"/>
      <c r="R85" s="131"/>
      <c r="S85" s="131"/>
      <c r="T85" s="131"/>
      <c r="U85" s="131"/>
      <c r="V85" s="131"/>
      <c r="W85" s="131"/>
      <c r="X85" s="131"/>
      <c r="Y85" s="131"/>
      <c r="Z85" s="131"/>
    </row>
    <row r="86">
      <c r="A86" s="126" t="s">
        <v>1512</v>
      </c>
      <c r="B86" s="127" t="s">
        <v>814</v>
      </c>
      <c r="C86" s="132" t="s">
        <v>1378</v>
      </c>
      <c r="D86" s="100"/>
      <c r="E86" s="100"/>
      <c r="F86" s="100"/>
      <c r="G86" s="100"/>
      <c r="H86" s="127"/>
      <c r="I86" s="99"/>
      <c r="J86" s="131"/>
      <c r="K86" s="131"/>
      <c r="L86" s="131"/>
      <c r="M86" s="131"/>
      <c r="N86" s="131"/>
      <c r="O86" s="131"/>
      <c r="P86" s="131"/>
      <c r="Q86" s="131"/>
      <c r="R86" s="131"/>
      <c r="S86" s="131"/>
      <c r="T86" s="131"/>
      <c r="U86" s="131"/>
      <c r="V86" s="131"/>
      <c r="W86" s="131"/>
      <c r="X86" s="131"/>
      <c r="Y86" s="131"/>
      <c r="Z86" s="131"/>
    </row>
    <row r="87">
      <c r="A87" s="126" t="s">
        <v>1513</v>
      </c>
      <c r="B87" s="127" t="s">
        <v>858</v>
      </c>
      <c r="C87" s="128" t="s">
        <v>1376</v>
      </c>
      <c r="D87" s="100"/>
      <c r="E87" s="100"/>
      <c r="F87" s="100"/>
      <c r="G87" s="100"/>
      <c r="H87" s="127"/>
      <c r="I87" s="99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1"/>
      <c r="W87" s="131"/>
      <c r="X87" s="131"/>
      <c r="Y87" s="131"/>
      <c r="Z87" s="131"/>
    </row>
    <row r="88">
      <c r="A88" s="126" t="s">
        <v>1514</v>
      </c>
      <c r="B88" s="127" t="s">
        <v>847</v>
      </c>
      <c r="C88" s="132" t="s">
        <v>1378</v>
      </c>
      <c r="D88" s="100"/>
      <c r="E88" s="100"/>
      <c r="F88" s="100"/>
      <c r="G88" s="100"/>
      <c r="H88" s="127"/>
      <c r="I88" s="99"/>
      <c r="J88" s="131"/>
      <c r="K88" s="131"/>
      <c r="L88" s="131"/>
      <c r="M88" s="131"/>
      <c r="N88" s="131"/>
      <c r="O88" s="131"/>
      <c r="P88" s="131"/>
      <c r="Q88" s="131"/>
      <c r="R88" s="131"/>
      <c r="S88" s="131"/>
      <c r="T88" s="131"/>
      <c r="U88" s="131"/>
      <c r="V88" s="131"/>
      <c r="W88" s="131"/>
      <c r="X88" s="131"/>
      <c r="Y88" s="131"/>
      <c r="Z88" s="131"/>
    </row>
    <row r="89">
      <c r="A89" s="126" t="s">
        <v>1515</v>
      </c>
      <c r="B89" s="127" t="s">
        <v>801</v>
      </c>
      <c r="C89" s="132" t="s">
        <v>1378</v>
      </c>
      <c r="D89" s="100"/>
      <c r="E89" s="100"/>
      <c r="F89" s="100"/>
      <c r="G89" s="100"/>
      <c r="H89" s="127"/>
      <c r="I89" s="99"/>
      <c r="J89" s="131"/>
      <c r="K89" s="131"/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131"/>
      <c r="W89" s="131"/>
      <c r="X89" s="131"/>
      <c r="Y89" s="131"/>
      <c r="Z89" s="131"/>
    </row>
    <row r="90">
      <c r="A90" s="126" t="s">
        <v>1516</v>
      </c>
      <c r="B90" s="127" t="s">
        <v>1517</v>
      </c>
      <c r="C90" s="132" t="s">
        <v>1378</v>
      </c>
      <c r="D90" s="100"/>
      <c r="E90" s="100"/>
      <c r="F90" s="100"/>
      <c r="G90" s="100"/>
      <c r="H90" s="127"/>
      <c r="I90" s="99"/>
      <c r="J90" s="131"/>
      <c r="K90" s="131"/>
      <c r="L90" s="131"/>
      <c r="M90" s="131"/>
      <c r="N90" s="131"/>
      <c r="O90" s="131"/>
      <c r="P90" s="131"/>
      <c r="Q90" s="131"/>
      <c r="R90" s="131"/>
      <c r="S90" s="131"/>
      <c r="T90" s="131"/>
      <c r="U90" s="131"/>
      <c r="V90" s="131"/>
      <c r="W90" s="131"/>
      <c r="X90" s="131"/>
      <c r="Y90" s="131"/>
      <c r="Z90" s="131"/>
    </row>
    <row r="91">
      <c r="A91" s="126" t="s">
        <v>1518</v>
      </c>
      <c r="B91" s="127" t="s">
        <v>824</v>
      </c>
      <c r="C91" s="128" t="s">
        <v>1376</v>
      </c>
      <c r="D91" s="100"/>
      <c r="E91" s="100"/>
      <c r="F91" s="100"/>
      <c r="G91" s="100"/>
      <c r="H91" s="127"/>
      <c r="I91" s="99"/>
      <c r="J91" s="131"/>
      <c r="K91" s="131"/>
      <c r="L91" s="131"/>
      <c r="M91" s="131"/>
      <c r="N91" s="131"/>
      <c r="O91" s="131"/>
      <c r="P91" s="131"/>
      <c r="Q91" s="131"/>
      <c r="R91" s="131"/>
      <c r="S91" s="131"/>
      <c r="T91" s="131"/>
      <c r="U91" s="131"/>
      <c r="V91" s="131"/>
      <c r="W91" s="131"/>
      <c r="X91" s="131"/>
      <c r="Y91" s="131"/>
      <c r="Z91" s="131"/>
    </row>
    <row r="92">
      <c r="A92" s="126" t="s">
        <v>1519</v>
      </c>
      <c r="B92" s="127" t="s">
        <v>850</v>
      </c>
      <c r="C92" s="132" t="s">
        <v>1378</v>
      </c>
      <c r="D92" s="100"/>
      <c r="E92" s="100"/>
      <c r="F92" s="100"/>
      <c r="G92" s="100"/>
      <c r="H92" s="127"/>
      <c r="I92" s="99"/>
      <c r="J92" s="131"/>
      <c r="K92" s="131"/>
      <c r="L92" s="131"/>
      <c r="M92" s="131"/>
      <c r="N92" s="131"/>
      <c r="O92" s="131"/>
      <c r="P92" s="131"/>
      <c r="Q92" s="131"/>
      <c r="R92" s="131"/>
      <c r="S92" s="131"/>
      <c r="T92" s="131"/>
      <c r="U92" s="131"/>
      <c r="V92" s="131"/>
      <c r="W92" s="131"/>
      <c r="X92" s="131"/>
      <c r="Y92" s="131"/>
      <c r="Z92" s="131"/>
    </row>
    <row r="93">
      <c r="A93" s="126" t="s">
        <v>1520</v>
      </c>
      <c r="B93" s="127" t="s">
        <v>1521</v>
      </c>
      <c r="C93" s="132" t="s">
        <v>1378</v>
      </c>
      <c r="D93" s="100"/>
      <c r="E93" s="100"/>
      <c r="F93" s="100"/>
      <c r="G93" s="100"/>
      <c r="H93" s="127"/>
      <c r="I93" s="99"/>
      <c r="J93" s="131"/>
      <c r="K93" s="131"/>
      <c r="L93" s="131"/>
      <c r="M93" s="131"/>
      <c r="N93" s="131"/>
      <c r="O93" s="131"/>
      <c r="P93" s="131"/>
      <c r="Q93" s="131"/>
      <c r="R93" s="131"/>
      <c r="S93" s="131"/>
      <c r="T93" s="131"/>
      <c r="U93" s="131"/>
      <c r="V93" s="131"/>
      <c r="W93" s="131"/>
      <c r="X93" s="131"/>
      <c r="Y93" s="131"/>
      <c r="Z93" s="131"/>
    </row>
    <row r="94">
      <c r="A94" s="126" t="s">
        <v>1522</v>
      </c>
      <c r="B94" s="127" t="s">
        <v>831</v>
      </c>
      <c r="C94" s="132" t="s">
        <v>1378</v>
      </c>
      <c r="D94" s="100"/>
      <c r="E94" s="100"/>
      <c r="F94" s="100"/>
      <c r="G94" s="100"/>
      <c r="H94" s="127"/>
      <c r="I94" s="99"/>
      <c r="J94" s="131"/>
      <c r="K94" s="131"/>
      <c r="L94" s="131"/>
      <c r="M94" s="131"/>
      <c r="N94" s="131"/>
      <c r="O94" s="131"/>
      <c r="P94" s="131"/>
      <c r="Q94" s="131"/>
      <c r="R94" s="131"/>
      <c r="S94" s="131"/>
      <c r="T94" s="131"/>
      <c r="U94" s="131"/>
      <c r="V94" s="131"/>
      <c r="W94" s="131"/>
      <c r="X94" s="131"/>
      <c r="Y94" s="131"/>
      <c r="Z94" s="131"/>
    </row>
    <row r="95">
      <c r="A95" s="126" t="s">
        <v>1523</v>
      </c>
      <c r="B95" s="127" t="s">
        <v>863</v>
      </c>
      <c r="C95" s="128" t="s">
        <v>1376</v>
      </c>
      <c r="D95" s="100"/>
      <c r="E95" s="100"/>
      <c r="F95" s="100"/>
      <c r="G95" s="100"/>
      <c r="H95" s="127"/>
      <c r="I95" s="99"/>
      <c r="J95" s="131"/>
      <c r="K95" s="131"/>
      <c r="L95" s="131"/>
      <c r="M95" s="131"/>
      <c r="N95" s="131"/>
      <c r="O95" s="131"/>
      <c r="P95" s="131"/>
      <c r="Q95" s="131"/>
      <c r="R95" s="131"/>
      <c r="S95" s="131"/>
      <c r="T95" s="131"/>
      <c r="U95" s="131"/>
      <c r="V95" s="131"/>
      <c r="W95" s="131"/>
      <c r="X95" s="131"/>
      <c r="Y95" s="131"/>
      <c r="Z95" s="131"/>
    </row>
    <row r="96">
      <c r="A96" s="126" t="s">
        <v>1524</v>
      </c>
      <c r="B96" s="127" t="s">
        <v>795</v>
      </c>
      <c r="C96" s="132" t="s">
        <v>1378</v>
      </c>
      <c r="D96" s="100"/>
      <c r="E96" s="100"/>
      <c r="F96" s="100"/>
      <c r="G96" s="100"/>
      <c r="H96" s="127"/>
      <c r="I96" s="99"/>
      <c r="J96" s="131"/>
      <c r="K96" s="131"/>
      <c r="L96" s="131"/>
      <c r="M96" s="131"/>
      <c r="N96" s="131"/>
      <c r="O96" s="131"/>
      <c r="P96" s="131"/>
      <c r="Q96" s="131"/>
      <c r="R96" s="131"/>
      <c r="S96" s="131"/>
      <c r="T96" s="131"/>
      <c r="U96" s="131"/>
      <c r="V96" s="131"/>
      <c r="W96" s="131"/>
      <c r="X96" s="131"/>
      <c r="Y96" s="131"/>
      <c r="Z96" s="131"/>
    </row>
    <row r="97">
      <c r="A97" s="126" t="s">
        <v>1525</v>
      </c>
      <c r="B97" s="127" t="s">
        <v>848</v>
      </c>
      <c r="C97" s="132" t="s">
        <v>1378</v>
      </c>
      <c r="D97" s="100"/>
      <c r="E97" s="100"/>
      <c r="F97" s="100"/>
      <c r="G97" s="100"/>
      <c r="H97" s="127"/>
      <c r="I97" s="99"/>
      <c r="J97" s="131"/>
      <c r="K97" s="131"/>
      <c r="L97" s="131"/>
      <c r="M97" s="131"/>
      <c r="N97" s="131"/>
      <c r="O97" s="131"/>
      <c r="P97" s="131"/>
      <c r="Q97" s="131"/>
      <c r="R97" s="131"/>
      <c r="S97" s="131"/>
      <c r="T97" s="131"/>
      <c r="U97" s="131"/>
      <c r="V97" s="131"/>
      <c r="W97" s="131"/>
      <c r="X97" s="131"/>
      <c r="Y97" s="131"/>
      <c r="Z97" s="131"/>
    </row>
    <row r="98">
      <c r="A98" s="126" t="s">
        <v>1526</v>
      </c>
      <c r="B98" s="127" t="s">
        <v>855</v>
      </c>
      <c r="C98" s="132" t="s">
        <v>1378</v>
      </c>
      <c r="D98" s="100"/>
      <c r="E98" s="100"/>
      <c r="F98" s="100"/>
      <c r="G98" s="100"/>
      <c r="H98" s="127"/>
      <c r="I98" s="99"/>
      <c r="J98" s="131"/>
      <c r="K98" s="131"/>
      <c r="L98" s="131"/>
      <c r="M98" s="131"/>
      <c r="N98" s="131"/>
      <c r="O98" s="131"/>
      <c r="P98" s="131"/>
      <c r="Q98" s="131"/>
      <c r="R98" s="131"/>
      <c r="S98" s="131"/>
      <c r="T98" s="131"/>
      <c r="U98" s="131"/>
      <c r="V98" s="131"/>
      <c r="W98" s="131"/>
      <c r="X98" s="131"/>
      <c r="Y98" s="131"/>
      <c r="Z98" s="131"/>
    </row>
    <row r="99">
      <c r="A99" s="126" t="s">
        <v>1527</v>
      </c>
      <c r="B99" s="127" t="s">
        <v>1528</v>
      </c>
      <c r="C99" s="128" t="s">
        <v>1376</v>
      </c>
      <c r="D99" s="100"/>
      <c r="E99" s="100"/>
      <c r="F99" s="100"/>
      <c r="G99" s="100"/>
      <c r="H99" s="127"/>
      <c r="I99" s="99"/>
      <c r="J99" s="131"/>
      <c r="K99" s="131"/>
      <c r="L99" s="131"/>
      <c r="M99" s="131"/>
      <c r="N99" s="131"/>
      <c r="O99" s="131"/>
      <c r="P99" s="131"/>
      <c r="Q99" s="131"/>
      <c r="R99" s="131"/>
      <c r="S99" s="131"/>
      <c r="T99" s="131"/>
      <c r="U99" s="131"/>
      <c r="V99" s="131"/>
      <c r="W99" s="131"/>
      <c r="X99" s="131"/>
      <c r="Y99" s="131"/>
      <c r="Z99" s="131"/>
    </row>
    <row r="100">
      <c r="A100" s="126" t="s">
        <v>1529</v>
      </c>
      <c r="B100" s="127" t="s">
        <v>803</v>
      </c>
      <c r="C100" s="132" t="s">
        <v>1378</v>
      </c>
      <c r="D100" s="100"/>
      <c r="E100" s="100"/>
      <c r="F100" s="100"/>
      <c r="G100" s="100"/>
      <c r="H100" s="127"/>
      <c r="I100" s="99"/>
      <c r="J100" s="131"/>
      <c r="K100" s="131"/>
      <c r="L100" s="131"/>
      <c r="M100" s="131"/>
      <c r="N100" s="131"/>
      <c r="O100" s="131"/>
      <c r="P100" s="131"/>
      <c r="Q100" s="131"/>
      <c r="R100" s="131"/>
      <c r="S100" s="131"/>
      <c r="T100" s="131"/>
      <c r="U100" s="131"/>
      <c r="V100" s="131"/>
      <c r="W100" s="131"/>
      <c r="X100" s="131"/>
      <c r="Y100" s="131"/>
      <c r="Z100" s="131"/>
    </row>
    <row r="101">
      <c r="A101" s="126" t="s">
        <v>1530</v>
      </c>
      <c r="B101" s="127" t="s">
        <v>865</v>
      </c>
      <c r="C101" s="132" t="s">
        <v>1378</v>
      </c>
      <c r="D101" s="100"/>
      <c r="E101" s="100"/>
      <c r="F101" s="100"/>
      <c r="G101" s="100"/>
      <c r="H101" s="127"/>
      <c r="I101" s="99"/>
      <c r="J101" s="131"/>
      <c r="K101" s="131"/>
      <c r="L101" s="131"/>
      <c r="M101" s="131"/>
      <c r="N101" s="131"/>
      <c r="O101" s="131"/>
      <c r="P101" s="131"/>
      <c r="Q101" s="131"/>
      <c r="R101" s="131"/>
      <c r="S101" s="131"/>
      <c r="T101" s="131"/>
      <c r="U101" s="131"/>
      <c r="V101" s="131"/>
      <c r="W101" s="131"/>
      <c r="X101" s="131"/>
      <c r="Y101" s="131"/>
      <c r="Z101" s="131"/>
    </row>
    <row r="102">
      <c r="A102" s="126" t="s">
        <v>1531</v>
      </c>
      <c r="B102" s="127" t="s">
        <v>794</v>
      </c>
      <c r="C102" s="132" t="s">
        <v>1378</v>
      </c>
      <c r="D102" s="129" t="s">
        <v>1096</v>
      </c>
      <c r="E102" s="129" t="s">
        <v>1096</v>
      </c>
      <c r="F102" s="136" t="s">
        <v>1387</v>
      </c>
      <c r="G102" s="129" t="s">
        <v>1096</v>
      </c>
      <c r="H102" s="127"/>
      <c r="I102" s="99"/>
      <c r="J102" s="131"/>
      <c r="K102" s="131"/>
      <c r="L102" s="131"/>
      <c r="M102" s="131"/>
      <c r="N102" s="131"/>
      <c r="O102" s="131"/>
      <c r="P102" s="131"/>
      <c r="Q102" s="131"/>
      <c r="R102" s="131"/>
      <c r="S102" s="131"/>
      <c r="T102" s="131"/>
      <c r="U102" s="131"/>
      <c r="V102" s="131"/>
      <c r="W102" s="131"/>
      <c r="X102" s="131"/>
      <c r="Y102" s="131"/>
      <c r="Z102" s="131"/>
    </row>
    <row r="103">
      <c r="A103" s="126" t="s">
        <v>1532</v>
      </c>
      <c r="B103" s="127" t="s">
        <v>866</v>
      </c>
      <c r="C103" s="128" t="s">
        <v>1376</v>
      </c>
      <c r="D103" s="129" t="s">
        <v>1096</v>
      </c>
      <c r="E103" s="129" t="s">
        <v>1096</v>
      </c>
      <c r="F103" s="129" t="s">
        <v>1096</v>
      </c>
      <c r="G103" s="129" t="s">
        <v>1096</v>
      </c>
      <c r="H103" s="127"/>
      <c r="I103" s="99"/>
      <c r="J103" s="131"/>
      <c r="K103" s="131"/>
      <c r="L103" s="131"/>
      <c r="M103" s="131"/>
      <c r="N103" s="131"/>
      <c r="O103" s="131"/>
      <c r="P103" s="131"/>
      <c r="Q103" s="131"/>
      <c r="R103" s="131"/>
      <c r="S103" s="131"/>
      <c r="T103" s="131"/>
      <c r="U103" s="131"/>
      <c r="V103" s="131"/>
      <c r="W103" s="131"/>
      <c r="X103" s="131"/>
      <c r="Y103" s="131"/>
      <c r="Z103" s="131"/>
    </row>
    <row r="104">
      <c r="A104" s="126" t="s">
        <v>1533</v>
      </c>
      <c r="B104" s="127" t="s">
        <v>1534</v>
      </c>
      <c r="C104" s="132" t="s">
        <v>1378</v>
      </c>
      <c r="D104" s="129" t="s">
        <v>1096</v>
      </c>
      <c r="E104" s="129" t="s">
        <v>1096</v>
      </c>
      <c r="F104" s="132" t="s">
        <v>1435</v>
      </c>
      <c r="G104" s="129" t="s">
        <v>1096</v>
      </c>
      <c r="H104" s="127"/>
      <c r="I104" s="99"/>
      <c r="J104" s="131"/>
      <c r="K104" s="131"/>
      <c r="L104" s="131"/>
      <c r="M104" s="131"/>
      <c r="N104" s="131"/>
      <c r="O104" s="131"/>
      <c r="P104" s="131"/>
      <c r="Q104" s="131"/>
      <c r="R104" s="131"/>
      <c r="S104" s="131"/>
      <c r="T104" s="131"/>
      <c r="U104" s="131"/>
      <c r="V104" s="131"/>
      <c r="W104" s="131"/>
      <c r="X104" s="131"/>
      <c r="Y104" s="131"/>
      <c r="Z104" s="131"/>
    </row>
    <row r="105">
      <c r="A105" s="126" t="s">
        <v>1535</v>
      </c>
      <c r="B105" s="127" t="s">
        <v>859</v>
      </c>
      <c r="C105" s="132" t="s">
        <v>1378</v>
      </c>
      <c r="D105" s="129" t="s">
        <v>1096</v>
      </c>
      <c r="E105" s="129" t="s">
        <v>1096</v>
      </c>
      <c r="F105" s="129" t="s">
        <v>1096</v>
      </c>
      <c r="G105" s="128" t="s">
        <v>1376</v>
      </c>
      <c r="H105" s="127"/>
      <c r="I105" s="99"/>
      <c r="J105" s="131"/>
      <c r="K105" s="131"/>
      <c r="L105" s="131"/>
      <c r="M105" s="131"/>
      <c r="N105" s="131"/>
      <c r="O105" s="131"/>
      <c r="P105" s="131"/>
      <c r="Q105" s="131"/>
      <c r="R105" s="131"/>
      <c r="S105" s="131"/>
      <c r="T105" s="131"/>
      <c r="U105" s="131"/>
      <c r="V105" s="131"/>
      <c r="W105" s="131"/>
      <c r="X105" s="131"/>
      <c r="Y105" s="131"/>
      <c r="Z105" s="131"/>
    </row>
    <row r="106">
      <c r="A106" s="126" t="s">
        <v>1536</v>
      </c>
      <c r="B106" s="127" t="s">
        <v>1537</v>
      </c>
      <c r="C106" s="132" t="s">
        <v>1378</v>
      </c>
      <c r="D106" s="129" t="s">
        <v>1096</v>
      </c>
      <c r="E106" s="129" t="s">
        <v>1096</v>
      </c>
      <c r="F106" s="129" t="s">
        <v>1096</v>
      </c>
      <c r="G106" s="129" t="s">
        <v>1096</v>
      </c>
      <c r="H106" s="127"/>
      <c r="I106" s="99"/>
      <c r="J106" s="131"/>
      <c r="K106" s="131"/>
      <c r="L106" s="131"/>
      <c r="M106" s="131"/>
      <c r="N106" s="131"/>
      <c r="O106" s="131"/>
      <c r="P106" s="131"/>
      <c r="Q106" s="131"/>
      <c r="R106" s="131"/>
      <c r="S106" s="131"/>
      <c r="T106" s="131"/>
      <c r="U106" s="131"/>
      <c r="V106" s="131"/>
      <c r="W106" s="131"/>
      <c r="X106" s="131"/>
      <c r="Y106" s="131"/>
      <c r="Z106" s="131"/>
    </row>
    <row r="107">
      <c r="A107" s="126" t="s">
        <v>1538</v>
      </c>
      <c r="B107" s="127" t="s">
        <v>808</v>
      </c>
      <c r="C107" s="128" t="s">
        <v>1376</v>
      </c>
      <c r="D107" s="129" t="s">
        <v>1096</v>
      </c>
      <c r="E107" s="129" t="s">
        <v>1096</v>
      </c>
      <c r="F107" s="128" t="s">
        <v>1376</v>
      </c>
      <c r="G107" s="129" t="s">
        <v>1096</v>
      </c>
      <c r="H107" s="127"/>
      <c r="I107" s="99"/>
      <c r="J107" s="131"/>
      <c r="K107" s="131"/>
      <c r="L107" s="131"/>
      <c r="M107" s="131"/>
      <c r="N107" s="131"/>
      <c r="O107" s="131"/>
      <c r="P107" s="131"/>
      <c r="Q107" s="131"/>
      <c r="R107" s="131"/>
      <c r="S107" s="131"/>
      <c r="T107" s="131"/>
      <c r="U107" s="131"/>
      <c r="V107" s="131"/>
      <c r="W107" s="131"/>
      <c r="X107" s="131"/>
      <c r="Y107" s="131"/>
      <c r="Z107" s="131"/>
    </row>
    <row r="108">
      <c r="A108" s="126" t="s">
        <v>1539</v>
      </c>
      <c r="B108" s="127" t="s">
        <v>1540</v>
      </c>
      <c r="C108" s="132" t="s">
        <v>1378</v>
      </c>
      <c r="D108" s="129" t="s">
        <v>1096</v>
      </c>
      <c r="E108" s="129" t="s">
        <v>1096</v>
      </c>
      <c r="F108" s="129" t="s">
        <v>1096</v>
      </c>
      <c r="G108" s="129" t="s">
        <v>1096</v>
      </c>
      <c r="H108" s="127"/>
      <c r="I108" s="99"/>
      <c r="J108" s="131"/>
      <c r="K108" s="131"/>
      <c r="L108" s="131"/>
      <c r="M108" s="131"/>
      <c r="N108" s="131"/>
      <c r="O108" s="131"/>
      <c r="P108" s="131"/>
      <c r="Q108" s="131"/>
      <c r="R108" s="131"/>
      <c r="S108" s="131"/>
      <c r="T108" s="131"/>
      <c r="U108" s="131"/>
      <c r="V108" s="131"/>
      <c r="W108" s="131"/>
      <c r="X108" s="131"/>
      <c r="Y108" s="131"/>
      <c r="Z108" s="131"/>
    </row>
    <row r="109">
      <c r="A109" s="126" t="s">
        <v>1541</v>
      </c>
      <c r="B109" s="127" t="s">
        <v>1542</v>
      </c>
      <c r="C109" s="132" t="s">
        <v>1378</v>
      </c>
      <c r="D109" s="129" t="s">
        <v>1096</v>
      </c>
      <c r="E109" s="129" t="s">
        <v>1096</v>
      </c>
      <c r="F109" s="129" t="s">
        <v>1096</v>
      </c>
      <c r="G109" s="129" t="s">
        <v>1096</v>
      </c>
      <c r="H109" s="127"/>
      <c r="I109" s="99"/>
      <c r="J109" s="131"/>
      <c r="K109" s="131"/>
      <c r="L109" s="131"/>
      <c r="M109" s="131"/>
      <c r="N109" s="131"/>
      <c r="O109" s="131"/>
      <c r="P109" s="131"/>
      <c r="Q109" s="131"/>
      <c r="R109" s="131"/>
      <c r="S109" s="131"/>
      <c r="T109" s="131"/>
      <c r="U109" s="131"/>
      <c r="V109" s="131"/>
      <c r="W109" s="131"/>
      <c r="X109" s="131"/>
      <c r="Y109" s="131"/>
      <c r="Z109" s="131"/>
    </row>
    <row r="110">
      <c r="A110" s="126" t="s">
        <v>1543</v>
      </c>
      <c r="B110" s="127" t="s">
        <v>810</v>
      </c>
      <c r="C110" s="132" t="s">
        <v>1378</v>
      </c>
      <c r="D110" s="128" t="s">
        <v>1376</v>
      </c>
      <c r="E110" s="128" t="s">
        <v>1376</v>
      </c>
      <c r="F110" s="136" t="s">
        <v>1387</v>
      </c>
      <c r="G110" s="128" t="s">
        <v>1376</v>
      </c>
      <c r="H110" s="127"/>
      <c r="I110" s="99"/>
      <c r="J110" s="131"/>
      <c r="K110" s="131"/>
      <c r="L110" s="131"/>
      <c r="M110" s="131"/>
      <c r="N110" s="131"/>
      <c r="O110" s="131"/>
      <c r="P110" s="131"/>
      <c r="Q110" s="131"/>
      <c r="R110" s="131"/>
      <c r="S110" s="131"/>
      <c r="T110" s="131"/>
      <c r="U110" s="131"/>
      <c r="V110" s="131"/>
      <c r="W110" s="131"/>
      <c r="X110" s="131"/>
      <c r="Y110" s="131"/>
      <c r="Z110" s="131"/>
    </row>
    <row r="111">
      <c r="A111" s="126" t="s">
        <v>1544</v>
      </c>
      <c r="B111" s="127" t="s">
        <v>869</v>
      </c>
      <c r="C111" s="128" t="s">
        <v>1376</v>
      </c>
      <c r="D111" s="129" t="s">
        <v>1096</v>
      </c>
      <c r="E111" s="129" t="s">
        <v>1096</v>
      </c>
      <c r="F111" s="129" t="s">
        <v>1096</v>
      </c>
      <c r="G111" s="129" t="s">
        <v>1096</v>
      </c>
      <c r="H111" s="127"/>
      <c r="I111" s="99"/>
      <c r="J111" s="131"/>
      <c r="K111" s="131"/>
      <c r="L111" s="131"/>
      <c r="M111" s="131"/>
      <c r="N111" s="131"/>
      <c r="O111" s="131"/>
      <c r="P111" s="131"/>
      <c r="Q111" s="131"/>
      <c r="R111" s="131"/>
      <c r="S111" s="131"/>
      <c r="T111" s="131"/>
      <c r="U111" s="131"/>
      <c r="V111" s="131"/>
      <c r="W111" s="131"/>
      <c r="X111" s="131"/>
      <c r="Y111" s="131"/>
      <c r="Z111" s="131"/>
    </row>
    <row r="112">
      <c r="A112" s="126" t="s">
        <v>1545</v>
      </c>
      <c r="B112" s="127" t="s">
        <v>791</v>
      </c>
      <c r="C112" s="132" t="s">
        <v>1378</v>
      </c>
      <c r="D112" s="129" t="s">
        <v>1096</v>
      </c>
      <c r="E112" s="129" t="s">
        <v>1096</v>
      </c>
      <c r="F112" s="128" t="s">
        <v>1376</v>
      </c>
      <c r="G112" s="129" t="s">
        <v>1096</v>
      </c>
      <c r="H112" s="127"/>
      <c r="I112" s="99"/>
      <c r="J112" s="131"/>
      <c r="K112" s="131"/>
      <c r="L112" s="131"/>
      <c r="M112" s="131"/>
      <c r="N112" s="131"/>
      <c r="O112" s="131"/>
      <c r="P112" s="131"/>
      <c r="Q112" s="131"/>
      <c r="R112" s="131"/>
      <c r="S112" s="131"/>
      <c r="T112" s="131"/>
      <c r="U112" s="131"/>
      <c r="V112" s="131"/>
      <c r="W112" s="131"/>
      <c r="X112" s="131"/>
      <c r="Y112" s="131"/>
      <c r="Z112" s="131"/>
    </row>
    <row r="113">
      <c r="A113" s="126" t="s">
        <v>1546</v>
      </c>
      <c r="B113" s="127" t="s">
        <v>806</v>
      </c>
      <c r="C113" s="132" t="s">
        <v>1378</v>
      </c>
      <c r="D113" s="128" t="s">
        <v>1376</v>
      </c>
      <c r="E113" s="129" t="s">
        <v>1096</v>
      </c>
      <c r="F113" s="129" t="s">
        <v>1096</v>
      </c>
      <c r="G113" s="129" t="s">
        <v>1096</v>
      </c>
      <c r="H113" s="127"/>
      <c r="I113" s="99"/>
      <c r="J113" s="131"/>
      <c r="K113" s="131"/>
      <c r="L113" s="131"/>
      <c r="M113" s="131"/>
      <c r="N113" s="131"/>
      <c r="O113" s="131"/>
      <c r="P113" s="131"/>
      <c r="Q113" s="131"/>
      <c r="R113" s="131"/>
      <c r="S113" s="131"/>
      <c r="T113" s="131"/>
      <c r="U113" s="131"/>
      <c r="V113" s="131"/>
      <c r="W113" s="131"/>
      <c r="X113" s="131"/>
      <c r="Y113" s="131"/>
      <c r="Z113" s="131"/>
    </row>
    <row r="114">
      <c r="A114" s="126" t="s">
        <v>1547</v>
      </c>
      <c r="B114" s="127" t="s">
        <v>1548</v>
      </c>
      <c r="C114" s="132" t="s">
        <v>1378</v>
      </c>
      <c r="D114" s="129" t="s">
        <v>1096</v>
      </c>
      <c r="E114" s="129" t="s">
        <v>1096</v>
      </c>
      <c r="F114" s="129" t="s">
        <v>1096</v>
      </c>
      <c r="G114" s="129" t="s">
        <v>1096</v>
      </c>
      <c r="H114" s="127"/>
      <c r="I114" s="99"/>
      <c r="J114" s="131"/>
      <c r="K114" s="131"/>
      <c r="L114" s="131"/>
      <c r="M114" s="131"/>
      <c r="N114" s="131"/>
      <c r="O114" s="131"/>
      <c r="P114" s="131"/>
      <c r="Q114" s="131"/>
      <c r="R114" s="131"/>
      <c r="S114" s="131"/>
      <c r="T114" s="131"/>
      <c r="U114" s="131"/>
      <c r="V114" s="131"/>
      <c r="W114" s="131"/>
      <c r="X114" s="131"/>
      <c r="Y114" s="131"/>
      <c r="Z114" s="131"/>
    </row>
    <row r="115">
      <c r="A115" s="126" t="s">
        <v>1549</v>
      </c>
      <c r="B115" s="127" t="s">
        <v>870</v>
      </c>
      <c r="C115" s="128" t="s">
        <v>1376</v>
      </c>
      <c r="D115" s="129" t="s">
        <v>1096</v>
      </c>
      <c r="E115" s="129" t="s">
        <v>1096</v>
      </c>
      <c r="F115" s="129" t="s">
        <v>1096</v>
      </c>
      <c r="G115" s="129" t="s">
        <v>1096</v>
      </c>
      <c r="H115" s="127"/>
      <c r="I115" s="99"/>
      <c r="J115" s="131"/>
      <c r="K115" s="131"/>
      <c r="L115" s="131"/>
      <c r="M115" s="131"/>
      <c r="N115" s="131"/>
      <c r="O115" s="131"/>
      <c r="P115" s="131"/>
      <c r="Q115" s="131"/>
      <c r="R115" s="131"/>
      <c r="S115" s="131"/>
      <c r="T115" s="131"/>
      <c r="U115" s="131"/>
      <c r="V115" s="131"/>
      <c r="W115" s="131"/>
      <c r="X115" s="131"/>
      <c r="Y115" s="131"/>
      <c r="Z115" s="131"/>
    </row>
    <row r="116">
      <c r="A116" s="126" t="s">
        <v>1550</v>
      </c>
      <c r="B116" s="127" t="s">
        <v>787</v>
      </c>
      <c r="C116" s="132" t="s">
        <v>1378</v>
      </c>
      <c r="D116" s="128" t="s">
        <v>1376</v>
      </c>
      <c r="E116" s="128" t="s">
        <v>1376</v>
      </c>
      <c r="F116" s="129" t="s">
        <v>1096</v>
      </c>
      <c r="G116" s="129" t="s">
        <v>1096</v>
      </c>
      <c r="H116" s="127"/>
      <c r="I116" s="99"/>
      <c r="J116" s="131"/>
      <c r="K116" s="131"/>
      <c r="L116" s="131"/>
      <c r="M116" s="131"/>
      <c r="N116" s="131"/>
      <c r="O116" s="131"/>
      <c r="P116" s="131"/>
      <c r="Q116" s="131"/>
      <c r="R116" s="131"/>
      <c r="S116" s="131"/>
      <c r="T116" s="131"/>
      <c r="U116" s="131"/>
      <c r="V116" s="131"/>
      <c r="W116" s="131"/>
      <c r="X116" s="131"/>
      <c r="Y116" s="131"/>
      <c r="Z116" s="131"/>
    </row>
    <row r="117">
      <c r="A117" s="126" t="s">
        <v>1551</v>
      </c>
      <c r="B117" s="127" t="s">
        <v>839</v>
      </c>
      <c r="C117" s="132" t="s">
        <v>1378</v>
      </c>
      <c r="D117" s="129" t="s">
        <v>1096</v>
      </c>
      <c r="E117" s="129" t="s">
        <v>1096</v>
      </c>
      <c r="F117" s="128" t="s">
        <v>1376</v>
      </c>
      <c r="G117" s="128" t="s">
        <v>1376</v>
      </c>
      <c r="H117" s="127"/>
      <c r="I117" s="99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</row>
    <row r="118">
      <c r="A118" s="126" t="s">
        <v>1552</v>
      </c>
      <c r="B118" s="127" t="s">
        <v>1553</v>
      </c>
      <c r="C118" s="132" t="s">
        <v>1378</v>
      </c>
      <c r="D118" s="129" t="s">
        <v>1096</v>
      </c>
      <c r="E118" s="129" t="s">
        <v>1096</v>
      </c>
      <c r="F118" s="129" t="s">
        <v>1096</v>
      </c>
      <c r="G118" s="129" t="s">
        <v>1096</v>
      </c>
      <c r="H118" s="127"/>
      <c r="I118" s="99"/>
      <c r="J118" s="131"/>
      <c r="K118" s="131"/>
      <c r="L118" s="131"/>
      <c r="M118" s="131"/>
      <c r="N118" s="131"/>
      <c r="O118" s="131"/>
      <c r="P118" s="131"/>
      <c r="Q118" s="131"/>
      <c r="R118" s="131"/>
      <c r="S118" s="131"/>
      <c r="T118" s="131"/>
      <c r="U118" s="131"/>
      <c r="V118" s="131"/>
      <c r="W118" s="131"/>
      <c r="X118" s="131"/>
      <c r="Y118" s="131"/>
      <c r="Z118" s="131"/>
    </row>
    <row r="119">
      <c r="A119" s="126" t="s">
        <v>1554</v>
      </c>
      <c r="B119" s="127" t="s">
        <v>849</v>
      </c>
      <c r="C119" s="128" t="s">
        <v>1376</v>
      </c>
      <c r="D119" s="128" t="s">
        <v>1376</v>
      </c>
      <c r="E119" s="128" t="s">
        <v>1376</v>
      </c>
      <c r="F119" s="129" t="s">
        <v>1096</v>
      </c>
      <c r="G119" s="129" t="s">
        <v>1096</v>
      </c>
      <c r="H119" s="127"/>
      <c r="I119" s="99"/>
      <c r="J119" s="131"/>
      <c r="K119" s="131"/>
      <c r="L119" s="131"/>
      <c r="M119" s="131"/>
      <c r="N119" s="131"/>
      <c r="O119" s="131"/>
      <c r="P119" s="131"/>
      <c r="Q119" s="131"/>
      <c r="R119" s="131"/>
      <c r="S119" s="131"/>
      <c r="T119" s="131"/>
      <c r="U119" s="131"/>
      <c r="V119" s="131"/>
      <c r="W119" s="131"/>
      <c r="X119" s="131"/>
      <c r="Y119" s="131"/>
      <c r="Z119" s="131"/>
    </row>
    <row r="120">
      <c r="A120" s="126" t="s">
        <v>1555</v>
      </c>
      <c r="B120" s="127" t="s">
        <v>812</v>
      </c>
      <c r="C120" s="132" t="s">
        <v>1378</v>
      </c>
      <c r="D120" s="128" t="s">
        <v>1376</v>
      </c>
      <c r="E120" s="128" t="s">
        <v>1376</v>
      </c>
      <c r="F120" s="129" t="s">
        <v>1096</v>
      </c>
      <c r="G120" s="129" t="s">
        <v>1096</v>
      </c>
      <c r="H120" s="127"/>
      <c r="I120" s="99"/>
      <c r="J120" s="131"/>
      <c r="K120" s="131"/>
      <c r="L120" s="131"/>
      <c r="M120" s="131"/>
      <c r="N120" s="131"/>
      <c r="O120" s="131"/>
      <c r="P120" s="131"/>
      <c r="Q120" s="131"/>
      <c r="R120" s="131"/>
      <c r="S120" s="131"/>
      <c r="T120" s="131"/>
      <c r="U120" s="131"/>
      <c r="V120" s="131"/>
      <c r="W120" s="131"/>
      <c r="X120" s="131"/>
      <c r="Y120" s="131"/>
      <c r="Z120" s="131"/>
    </row>
    <row r="121">
      <c r="A121" s="126" t="s">
        <v>1556</v>
      </c>
      <c r="B121" s="127" t="s">
        <v>874</v>
      </c>
      <c r="C121" s="132" t="s">
        <v>1378</v>
      </c>
      <c r="D121" s="129" t="s">
        <v>1096</v>
      </c>
      <c r="E121" s="129" t="s">
        <v>1096</v>
      </c>
      <c r="F121" s="129" t="s">
        <v>1096</v>
      </c>
      <c r="G121" s="145" t="s">
        <v>1557</v>
      </c>
      <c r="H121" s="127"/>
      <c r="I121" s="99"/>
      <c r="J121" s="131"/>
      <c r="K121" s="131"/>
      <c r="L121" s="131"/>
      <c r="M121" s="131"/>
      <c r="N121" s="131"/>
      <c r="O121" s="131"/>
      <c r="P121" s="131"/>
      <c r="Q121" s="131"/>
      <c r="R121" s="131"/>
      <c r="S121" s="131"/>
      <c r="T121" s="131"/>
      <c r="U121" s="131"/>
      <c r="V121" s="131"/>
      <c r="W121" s="131"/>
      <c r="X121" s="131"/>
      <c r="Y121" s="131"/>
      <c r="Z121" s="131"/>
    </row>
    <row r="122">
      <c r="A122" s="126" t="s">
        <v>1558</v>
      </c>
      <c r="B122" s="127" t="s">
        <v>1559</v>
      </c>
      <c r="C122" s="132" t="s">
        <v>1378</v>
      </c>
      <c r="D122" s="129" t="s">
        <v>1096</v>
      </c>
      <c r="E122" s="129" t="s">
        <v>1096</v>
      </c>
      <c r="F122" s="129" t="s">
        <v>1096</v>
      </c>
      <c r="G122" s="129" t="s">
        <v>1096</v>
      </c>
      <c r="H122" s="127"/>
      <c r="I122" s="99"/>
      <c r="J122" s="131"/>
      <c r="K122" s="131"/>
      <c r="L122" s="131"/>
      <c r="M122" s="131"/>
      <c r="N122" s="131"/>
      <c r="O122" s="131"/>
      <c r="P122" s="131"/>
      <c r="Q122" s="131"/>
      <c r="R122" s="131"/>
      <c r="S122" s="131"/>
      <c r="T122" s="131"/>
      <c r="U122" s="131"/>
      <c r="V122" s="131"/>
      <c r="W122" s="131"/>
      <c r="X122" s="131"/>
      <c r="Y122" s="131"/>
      <c r="Z122" s="131"/>
    </row>
    <row r="123">
      <c r="A123" s="126" t="s">
        <v>1560</v>
      </c>
      <c r="B123" s="127" t="s">
        <v>872</v>
      </c>
      <c r="C123" s="128" t="s">
        <v>1376</v>
      </c>
      <c r="D123" s="129" t="s">
        <v>1096</v>
      </c>
      <c r="E123" s="129" t="s">
        <v>1096</v>
      </c>
      <c r="F123" s="129" t="s">
        <v>1096</v>
      </c>
      <c r="G123" s="129" t="s">
        <v>1096</v>
      </c>
      <c r="H123" s="127"/>
      <c r="I123" s="99"/>
      <c r="J123" s="131"/>
      <c r="K123" s="131"/>
      <c r="L123" s="131"/>
      <c r="M123" s="131"/>
      <c r="N123" s="131"/>
      <c r="O123" s="131"/>
      <c r="P123" s="131"/>
      <c r="Q123" s="131"/>
      <c r="R123" s="131"/>
      <c r="S123" s="131"/>
      <c r="T123" s="131"/>
      <c r="U123" s="131"/>
      <c r="V123" s="131"/>
      <c r="W123" s="131"/>
      <c r="X123" s="131"/>
      <c r="Y123" s="131"/>
      <c r="Z123" s="131"/>
    </row>
    <row r="124">
      <c r="A124" s="126" t="s">
        <v>1561</v>
      </c>
      <c r="B124" s="127" t="s">
        <v>1562</v>
      </c>
      <c r="C124" s="132" t="s">
        <v>1378</v>
      </c>
      <c r="D124" s="129" t="s">
        <v>1096</v>
      </c>
      <c r="E124" s="129" t="s">
        <v>1096</v>
      </c>
      <c r="F124" s="129" t="s">
        <v>1096</v>
      </c>
      <c r="G124" s="129" t="s">
        <v>1096</v>
      </c>
      <c r="H124" s="127"/>
      <c r="I124" s="99"/>
      <c r="J124" s="131"/>
      <c r="K124" s="131"/>
      <c r="L124" s="131"/>
      <c r="M124" s="131"/>
      <c r="N124" s="131"/>
      <c r="O124" s="131"/>
      <c r="P124" s="131"/>
      <c r="Q124" s="131"/>
      <c r="R124" s="131"/>
      <c r="S124" s="131"/>
      <c r="T124" s="131"/>
      <c r="U124" s="131"/>
      <c r="V124" s="131"/>
      <c r="W124" s="131"/>
      <c r="X124" s="131"/>
      <c r="Y124" s="131"/>
      <c r="Z124" s="131"/>
    </row>
    <row r="125">
      <c r="A125" s="126" t="s">
        <v>1563</v>
      </c>
      <c r="B125" s="127" t="s">
        <v>837</v>
      </c>
      <c r="C125" s="132" t="s">
        <v>1378</v>
      </c>
      <c r="D125" s="129" t="s">
        <v>1096</v>
      </c>
      <c r="E125" s="129" t="s">
        <v>1096</v>
      </c>
      <c r="F125" s="129" t="s">
        <v>1096</v>
      </c>
      <c r="G125" s="128" t="s">
        <v>1376</v>
      </c>
      <c r="H125" s="127"/>
      <c r="I125" s="99"/>
      <c r="J125" s="131"/>
      <c r="K125" s="131"/>
      <c r="L125" s="131"/>
      <c r="M125" s="131"/>
      <c r="N125" s="131"/>
      <c r="O125" s="131"/>
      <c r="P125" s="131"/>
      <c r="Q125" s="131"/>
      <c r="R125" s="131"/>
      <c r="S125" s="131"/>
      <c r="T125" s="131"/>
      <c r="U125" s="131"/>
      <c r="V125" s="131"/>
      <c r="W125" s="131"/>
      <c r="X125" s="131"/>
      <c r="Y125" s="131"/>
      <c r="Z125" s="131"/>
    </row>
    <row r="126">
      <c r="A126" s="126" t="s">
        <v>1564</v>
      </c>
      <c r="B126" s="127" t="s">
        <v>1565</v>
      </c>
      <c r="C126" s="132" t="s">
        <v>1378</v>
      </c>
      <c r="D126" s="129" t="s">
        <v>1096</v>
      </c>
      <c r="E126" s="129" t="s">
        <v>1096</v>
      </c>
      <c r="F126" s="129" t="s">
        <v>1096</v>
      </c>
      <c r="G126" s="129" t="s">
        <v>1096</v>
      </c>
      <c r="H126" s="127"/>
      <c r="I126" s="99"/>
      <c r="J126" s="131"/>
      <c r="K126" s="131"/>
      <c r="L126" s="131"/>
      <c r="M126" s="131"/>
      <c r="N126" s="131"/>
      <c r="O126" s="131"/>
      <c r="P126" s="131"/>
      <c r="Q126" s="131"/>
      <c r="R126" s="131"/>
      <c r="S126" s="131"/>
      <c r="T126" s="131"/>
      <c r="U126" s="131"/>
      <c r="V126" s="131"/>
      <c r="W126" s="131"/>
      <c r="X126" s="131"/>
      <c r="Y126" s="131"/>
      <c r="Z126" s="131"/>
    </row>
    <row r="127">
      <c r="A127" s="126" t="s">
        <v>1566</v>
      </c>
      <c r="B127" s="127" t="s">
        <v>798</v>
      </c>
      <c r="C127" s="128" t="s">
        <v>1376</v>
      </c>
      <c r="D127" s="128" t="s">
        <v>1376</v>
      </c>
      <c r="E127" s="129" t="s">
        <v>1096</v>
      </c>
      <c r="F127" s="129" t="s">
        <v>1096</v>
      </c>
      <c r="G127" s="129" t="s">
        <v>1096</v>
      </c>
      <c r="H127" s="127"/>
      <c r="I127" s="99"/>
      <c r="J127" s="131"/>
      <c r="K127" s="131"/>
      <c r="L127" s="131"/>
      <c r="M127" s="131"/>
      <c r="N127" s="131"/>
      <c r="O127" s="131"/>
      <c r="P127" s="131"/>
      <c r="Q127" s="131"/>
      <c r="R127" s="131"/>
      <c r="S127" s="131"/>
      <c r="T127" s="131"/>
      <c r="U127" s="131"/>
      <c r="V127" s="131"/>
      <c r="W127" s="131"/>
      <c r="X127" s="131"/>
      <c r="Y127" s="131"/>
      <c r="Z127" s="131"/>
    </row>
    <row r="128">
      <c r="A128" s="126" t="s">
        <v>1567</v>
      </c>
      <c r="B128" s="127" t="s">
        <v>797</v>
      </c>
      <c r="C128" s="132" t="s">
        <v>1378</v>
      </c>
      <c r="D128" s="128" t="s">
        <v>1376</v>
      </c>
      <c r="E128" s="128" t="s">
        <v>1376</v>
      </c>
      <c r="F128" s="129" t="s">
        <v>1096</v>
      </c>
      <c r="G128" s="129" t="s">
        <v>1096</v>
      </c>
      <c r="H128" s="127"/>
      <c r="I128" s="99"/>
      <c r="J128" s="131"/>
      <c r="K128" s="131"/>
      <c r="L128" s="131"/>
      <c r="M128" s="131"/>
      <c r="N128" s="131"/>
      <c r="O128" s="131"/>
      <c r="P128" s="131"/>
      <c r="Q128" s="131"/>
      <c r="R128" s="131"/>
      <c r="S128" s="131"/>
      <c r="T128" s="131"/>
      <c r="U128" s="131"/>
      <c r="V128" s="131"/>
      <c r="W128" s="131"/>
      <c r="X128" s="131"/>
      <c r="Y128" s="131"/>
      <c r="Z128" s="131"/>
    </row>
    <row r="129">
      <c r="A129" s="126" t="s">
        <v>1568</v>
      </c>
      <c r="B129" s="127" t="s">
        <v>785</v>
      </c>
      <c r="C129" s="132" t="s">
        <v>1378</v>
      </c>
      <c r="D129" s="145" t="s">
        <v>1387</v>
      </c>
      <c r="E129" s="145" t="s">
        <v>1569</v>
      </c>
      <c r="F129" s="129" t="s">
        <v>1096</v>
      </c>
      <c r="G129" s="129" t="s">
        <v>1096</v>
      </c>
      <c r="H129" s="127"/>
      <c r="I129" s="99"/>
      <c r="J129" s="131"/>
      <c r="K129" s="131"/>
      <c r="L129" s="131"/>
      <c r="M129" s="131"/>
      <c r="N129" s="131"/>
      <c r="O129" s="131"/>
      <c r="P129" s="131"/>
      <c r="Q129" s="131"/>
      <c r="R129" s="131"/>
      <c r="S129" s="131"/>
      <c r="T129" s="131"/>
      <c r="U129" s="131"/>
      <c r="V129" s="131"/>
      <c r="W129" s="131"/>
      <c r="X129" s="131"/>
      <c r="Y129" s="131"/>
      <c r="Z129" s="131"/>
    </row>
    <row r="130">
      <c r="A130" s="126" t="s">
        <v>1570</v>
      </c>
      <c r="B130" s="127" t="s">
        <v>809</v>
      </c>
      <c r="C130" s="132" t="s">
        <v>1378</v>
      </c>
      <c r="D130" s="129" t="s">
        <v>1096</v>
      </c>
      <c r="E130" s="129" t="s">
        <v>1096</v>
      </c>
      <c r="F130" s="128" t="s">
        <v>1376</v>
      </c>
      <c r="G130" s="128" t="s">
        <v>1376</v>
      </c>
      <c r="H130" s="127"/>
      <c r="I130" s="99"/>
      <c r="J130" s="131"/>
      <c r="K130" s="131"/>
      <c r="L130" s="131"/>
      <c r="M130" s="131"/>
      <c r="N130" s="131"/>
      <c r="O130" s="131"/>
      <c r="P130" s="131"/>
      <c r="Q130" s="131"/>
      <c r="R130" s="131"/>
      <c r="S130" s="131"/>
      <c r="T130" s="131"/>
      <c r="U130" s="131"/>
      <c r="V130" s="131"/>
      <c r="W130" s="131"/>
      <c r="X130" s="131"/>
      <c r="Y130" s="131"/>
      <c r="Z130" s="131"/>
    </row>
    <row r="131">
      <c r="A131" s="99" t="s">
        <v>1571</v>
      </c>
      <c r="B131" s="146" t="s">
        <v>123</v>
      </c>
      <c r="C131" s="128" t="s">
        <v>1376</v>
      </c>
      <c r="D131" s="100"/>
      <c r="E131" s="100"/>
      <c r="F131" s="100"/>
      <c r="G131" s="100"/>
      <c r="H131" s="127"/>
      <c r="I131" s="99"/>
      <c r="J131" s="131"/>
      <c r="K131" s="131"/>
      <c r="L131" s="131"/>
      <c r="M131" s="131"/>
      <c r="N131" s="131"/>
      <c r="O131" s="131"/>
      <c r="P131" s="131"/>
      <c r="Q131" s="131"/>
      <c r="R131" s="131"/>
      <c r="S131" s="131"/>
      <c r="T131" s="131"/>
      <c r="U131" s="131"/>
      <c r="V131" s="131"/>
      <c r="W131" s="131"/>
      <c r="X131" s="131"/>
      <c r="Y131" s="131"/>
      <c r="Z131" s="131"/>
    </row>
    <row r="132">
      <c r="A132" s="99" t="s">
        <v>1572</v>
      </c>
      <c r="B132" s="146" t="s">
        <v>123</v>
      </c>
      <c r="C132" s="132" t="s">
        <v>1378</v>
      </c>
      <c r="D132" s="100"/>
      <c r="E132" s="100"/>
      <c r="F132" s="100"/>
      <c r="G132" s="100"/>
      <c r="H132" s="127"/>
      <c r="I132" s="99"/>
      <c r="J132" s="131"/>
      <c r="K132" s="131"/>
      <c r="L132" s="131"/>
      <c r="M132" s="131"/>
      <c r="N132" s="131"/>
      <c r="O132" s="131"/>
      <c r="P132" s="131"/>
      <c r="Q132" s="131"/>
      <c r="R132" s="131"/>
      <c r="S132" s="131"/>
      <c r="T132" s="131"/>
      <c r="U132" s="131"/>
      <c r="V132" s="131"/>
      <c r="W132" s="131"/>
      <c r="X132" s="131"/>
      <c r="Y132" s="131"/>
      <c r="Z132" s="131"/>
    </row>
    <row r="133">
      <c r="A133" s="99" t="s">
        <v>1573</v>
      </c>
      <c r="B133" s="146" t="s">
        <v>123</v>
      </c>
      <c r="C133" s="132" t="s">
        <v>1378</v>
      </c>
      <c r="D133" s="100"/>
      <c r="E133" s="100"/>
      <c r="F133" s="100"/>
      <c r="G133" s="100"/>
      <c r="H133" s="127"/>
      <c r="I133" s="99"/>
      <c r="J133" s="131"/>
      <c r="K133" s="131"/>
      <c r="L133" s="131"/>
      <c r="M133" s="131"/>
      <c r="N133" s="131"/>
      <c r="O133" s="131"/>
      <c r="P133" s="131"/>
      <c r="Q133" s="131"/>
      <c r="R133" s="131"/>
      <c r="S133" s="131"/>
      <c r="T133" s="131"/>
      <c r="U133" s="131"/>
      <c r="V133" s="131"/>
      <c r="W133" s="131"/>
      <c r="X133" s="131"/>
      <c r="Y133" s="131"/>
      <c r="Z133" s="131"/>
    </row>
    <row r="134">
      <c r="A134" s="99" t="s">
        <v>1574</v>
      </c>
      <c r="B134" s="146" t="s">
        <v>123</v>
      </c>
      <c r="C134" s="132" t="s">
        <v>1378</v>
      </c>
      <c r="D134" s="100"/>
      <c r="E134" s="100"/>
      <c r="F134" s="100"/>
      <c r="G134" s="100"/>
      <c r="H134" s="127"/>
      <c r="I134" s="99"/>
      <c r="J134" s="131"/>
      <c r="K134" s="131"/>
      <c r="L134" s="131"/>
      <c r="M134" s="131"/>
      <c r="N134" s="131"/>
      <c r="O134" s="131"/>
      <c r="P134" s="131"/>
      <c r="Q134" s="131"/>
      <c r="R134" s="131"/>
      <c r="S134" s="131"/>
      <c r="T134" s="131"/>
      <c r="U134" s="131"/>
      <c r="V134" s="131"/>
      <c r="W134" s="131"/>
      <c r="X134" s="131"/>
      <c r="Y134" s="131"/>
      <c r="Z134" s="131"/>
    </row>
    <row r="135">
      <c r="A135" s="99" t="s">
        <v>1575</v>
      </c>
      <c r="B135" s="146" t="s">
        <v>123</v>
      </c>
      <c r="C135" s="128" t="s">
        <v>1376</v>
      </c>
      <c r="D135" s="100"/>
      <c r="E135" s="100"/>
      <c r="F135" s="100"/>
      <c r="G135" s="100"/>
      <c r="H135" s="127"/>
      <c r="I135" s="99"/>
      <c r="J135" s="131"/>
      <c r="K135" s="131"/>
      <c r="L135" s="131"/>
      <c r="M135" s="131"/>
      <c r="N135" s="131"/>
      <c r="O135" s="131"/>
      <c r="P135" s="131"/>
      <c r="Q135" s="131"/>
      <c r="R135" s="131"/>
      <c r="S135" s="131"/>
      <c r="T135" s="131"/>
      <c r="U135" s="131"/>
      <c r="V135" s="131"/>
      <c r="W135" s="131"/>
      <c r="X135" s="131"/>
      <c r="Y135" s="131"/>
      <c r="Z135" s="131"/>
    </row>
    <row r="136">
      <c r="A136" s="99" t="s">
        <v>1576</v>
      </c>
      <c r="B136" s="146" t="s">
        <v>123</v>
      </c>
      <c r="C136" s="132" t="s">
        <v>1378</v>
      </c>
      <c r="D136" s="100"/>
      <c r="E136" s="100"/>
      <c r="F136" s="100"/>
      <c r="G136" s="100"/>
      <c r="H136" s="127"/>
      <c r="I136" s="99"/>
      <c r="J136" s="131"/>
      <c r="K136" s="131"/>
      <c r="L136" s="131"/>
      <c r="M136" s="131"/>
      <c r="N136" s="131"/>
      <c r="O136" s="131"/>
      <c r="P136" s="131"/>
      <c r="Q136" s="131"/>
      <c r="R136" s="131"/>
      <c r="S136" s="131"/>
      <c r="T136" s="131"/>
      <c r="U136" s="131"/>
      <c r="V136" s="131"/>
      <c r="W136" s="131"/>
      <c r="X136" s="131"/>
      <c r="Y136" s="131"/>
      <c r="Z136" s="131"/>
    </row>
    <row r="137">
      <c r="A137" s="99" t="s">
        <v>1577</v>
      </c>
      <c r="B137" s="146" t="s">
        <v>123</v>
      </c>
      <c r="C137" s="132" t="s">
        <v>1378</v>
      </c>
      <c r="D137" s="100"/>
      <c r="E137" s="100"/>
      <c r="F137" s="100"/>
      <c r="G137" s="100"/>
      <c r="H137" s="127"/>
      <c r="I137" s="99"/>
      <c r="J137" s="131"/>
      <c r="K137" s="131"/>
      <c r="L137" s="131"/>
      <c r="M137" s="131"/>
      <c r="N137" s="131"/>
      <c r="O137" s="131"/>
      <c r="P137" s="131"/>
      <c r="Q137" s="131"/>
      <c r="R137" s="131"/>
      <c r="S137" s="131"/>
      <c r="T137" s="131"/>
      <c r="U137" s="131"/>
      <c r="V137" s="131"/>
      <c r="W137" s="131"/>
      <c r="X137" s="131"/>
      <c r="Y137" s="131"/>
      <c r="Z137" s="131"/>
    </row>
    <row r="138">
      <c r="A138" s="99" t="s">
        <v>1578</v>
      </c>
      <c r="B138" s="146" t="s">
        <v>123</v>
      </c>
      <c r="C138" s="132" t="s">
        <v>1378</v>
      </c>
      <c r="D138" s="100"/>
      <c r="E138" s="100"/>
      <c r="F138" s="100"/>
      <c r="G138" s="100"/>
      <c r="H138" s="127"/>
      <c r="I138" s="99"/>
      <c r="J138" s="131"/>
      <c r="K138" s="131"/>
      <c r="L138" s="131"/>
      <c r="M138" s="131"/>
      <c r="N138" s="131"/>
      <c r="O138" s="131"/>
      <c r="P138" s="131"/>
      <c r="Q138" s="131"/>
      <c r="R138" s="131"/>
      <c r="S138" s="131"/>
      <c r="T138" s="131"/>
      <c r="U138" s="131"/>
      <c r="V138" s="131"/>
      <c r="W138" s="131"/>
      <c r="X138" s="131"/>
      <c r="Y138" s="131"/>
      <c r="Z138" s="131"/>
    </row>
    <row r="139">
      <c r="A139" s="99" t="s">
        <v>1579</v>
      </c>
      <c r="B139" s="146" t="s">
        <v>123</v>
      </c>
      <c r="C139" s="128" t="s">
        <v>1376</v>
      </c>
      <c r="D139" s="100"/>
      <c r="E139" s="100"/>
      <c r="F139" s="100"/>
      <c r="G139" s="100"/>
      <c r="H139" s="127"/>
      <c r="I139" s="99"/>
      <c r="J139" s="131"/>
      <c r="K139" s="131"/>
      <c r="L139" s="131"/>
      <c r="M139" s="131"/>
      <c r="N139" s="131"/>
      <c r="O139" s="131"/>
      <c r="P139" s="131"/>
      <c r="Q139" s="131"/>
      <c r="R139" s="131"/>
      <c r="S139" s="131"/>
      <c r="T139" s="131"/>
      <c r="U139" s="131"/>
      <c r="V139" s="131"/>
      <c r="W139" s="131"/>
      <c r="X139" s="131"/>
      <c r="Y139" s="131"/>
      <c r="Z139" s="131"/>
    </row>
    <row r="140">
      <c r="A140" s="99" t="s">
        <v>1580</v>
      </c>
      <c r="B140" s="146" t="s">
        <v>123</v>
      </c>
      <c r="C140" s="132" t="s">
        <v>1378</v>
      </c>
      <c r="D140" s="100"/>
      <c r="E140" s="100"/>
      <c r="F140" s="100"/>
      <c r="G140" s="100"/>
      <c r="H140" s="127"/>
      <c r="I140" s="99"/>
      <c r="J140" s="131"/>
      <c r="K140" s="131"/>
      <c r="L140" s="131"/>
      <c r="M140" s="131"/>
      <c r="N140" s="131"/>
      <c r="O140" s="131"/>
      <c r="P140" s="131"/>
      <c r="Q140" s="131"/>
      <c r="R140" s="131"/>
      <c r="S140" s="131"/>
      <c r="T140" s="131"/>
      <c r="U140" s="131"/>
      <c r="V140" s="131"/>
      <c r="W140" s="131"/>
      <c r="X140" s="131"/>
      <c r="Y140" s="131"/>
      <c r="Z140" s="131"/>
    </row>
    <row r="141">
      <c r="A141" s="99" t="s">
        <v>1581</v>
      </c>
      <c r="B141" s="146" t="s">
        <v>123</v>
      </c>
      <c r="C141" s="132" t="s">
        <v>1378</v>
      </c>
      <c r="D141" s="100"/>
      <c r="E141" s="100"/>
      <c r="F141" s="100"/>
      <c r="G141" s="100"/>
      <c r="H141" s="127"/>
      <c r="I141" s="99"/>
      <c r="J141" s="131"/>
      <c r="K141" s="131"/>
      <c r="L141" s="131"/>
      <c r="M141" s="131"/>
      <c r="N141" s="131"/>
      <c r="O141" s="131"/>
      <c r="P141" s="131"/>
      <c r="Q141" s="131"/>
      <c r="R141" s="131"/>
      <c r="S141" s="131"/>
      <c r="T141" s="131"/>
      <c r="U141" s="131"/>
      <c r="V141" s="131"/>
      <c r="W141" s="131"/>
      <c r="X141" s="131"/>
      <c r="Y141" s="131"/>
      <c r="Z141" s="131"/>
    </row>
    <row r="142">
      <c r="A142" s="99" t="s">
        <v>1582</v>
      </c>
      <c r="B142" s="146" t="s">
        <v>123</v>
      </c>
      <c r="C142" s="132" t="s">
        <v>1378</v>
      </c>
      <c r="D142" s="100"/>
      <c r="E142" s="100"/>
      <c r="F142" s="100"/>
      <c r="G142" s="100"/>
      <c r="H142" s="127"/>
      <c r="I142" s="99"/>
      <c r="J142" s="131"/>
      <c r="K142" s="131"/>
      <c r="L142" s="131"/>
      <c r="M142" s="131"/>
      <c r="N142" s="131"/>
      <c r="O142" s="131"/>
      <c r="P142" s="131"/>
      <c r="Q142" s="131"/>
      <c r="R142" s="131"/>
      <c r="S142" s="131"/>
      <c r="T142" s="131"/>
      <c r="U142" s="131"/>
      <c r="V142" s="131"/>
      <c r="W142" s="131"/>
      <c r="X142" s="131"/>
      <c r="Y142" s="131"/>
      <c r="Z142" s="131"/>
    </row>
    <row r="143">
      <c r="A143" s="99" t="s">
        <v>1583</v>
      </c>
      <c r="B143" s="146" t="s">
        <v>123</v>
      </c>
      <c r="C143" s="128" t="s">
        <v>1376</v>
      </c>
      <c r="D143" s="100"/>
      <c r="E143" s="100"/>
      <c r="F143" s="100"/>
      <c r="G143" s="100"/>
      <c r="H143" s="127"/>
      <c r="I143" s="99"/>
      <c r="J143" s="131"/>
      <c r="K143" s="131"/>
      <c r="L143" s="131"/>
      <c r="M143" s="131"/>
      <c r="N143" s="131"/>
      <c r="O143" s="131"/>
      <c r="P143" s="131"/>
      <c r="Q143" s="131"/>
      <c r="R143" s="131"/>
      <c r="S143" s="131"/>
      <c r="T143" s="131"/>
      <c r="U143" s="131"/>
      <c r="V143" s="131"/>
      <c r="W143" s="131"/>
      <c r="X143" s="131"/>
      <c r="Y143" s="131"/>
      <c r="Z143" s="131"/>
    </row>
    <row r="144">
      <c r="A144" s="99" t="s">
        <v>1584</v>
      </c>
      <c r="B144" s="146" t="s">
        <v>123</v>
      </c>
      <c r="C144" s="132" t="s">
        <v>1378</v>
      </c>
      <c r="D144" s="100"/>
      <c r="E144" s="100"/>
      <c r="F144" s="100"/>
      <c r="G144" s="100"/>
      <c r="H144" s="127"/>
      <c r="I144" s="99"/>
      <c r="J144" s="131"/>
      <c r="K144" s="131"/>
      <c r="L144" s="131"/>
      <c r="M144" s="131"/>
      <c r="N144" s="131"/>
      <c r="O144" s="131"/>
      <c r="P144" s="131"/>
      <c r="Q144" s="131"/>
      <c r="R144" s="131"/>
      <c r="S144" s="131"/>
      <c r="T144" s="131"/>
      <c r="U144" s="131"/>
      <c r="V144" s="131"/>
      <c r="W144" s="131"/>
      <c r="X144" s="131"/>
      <c r="Y144" s="131"/>
      <c r="Z144" s="131"/>
    </row>
    <row r="145">
      <c r="A145" s="99" t="s">
        <v>1585</v>
      </c>
      <c r="B145" s="146" t="s">
        <v>123</v>
      </c>
      <c r="C145" s="132" t="s">
        <v>1378</v>
      </c>
      <c r="D145" s="100"/>
      <c r="E145" s="100"/>
      <c r="F145" s="100"/>
      <c r="G145" s="100"/>
      <c r="H145" s="127"/>
      <c r="I145" s="99"/>
      <c r="J145" s="131"/>
      <c r="K145" s="131"/>
      <c r="L145" s="131"/>
      <c r="M145" s="131"/>
      <c r="N145" s="131"/>
      <c r="O145" s="131"/>
      <c r="P145" s="131"/>
      <c r="Q145" s="131"/>
      <c r="R145" s="131"/>
      <c r="S145" s="131"/>
      <c r="T145" s="131"/>
      <c r="U145" s="131"/>
      <c r="V145" s="131"/>
      <c r="W145" s="131"/>
      <c r="X145" s="131"/>
      <c r="Y145" s="131"/>
      <c r="Z145" s="131"/>
    </row>
    <row r="146">
      <c r="A146" s="99" t="s">
        <v>1586</v>
      </c>
      <c r="B146" s="146" t="s">
        <v>123</v>
      </c>
      <c r="C146" s="132" t="s">
        <v>1378</v>
      </c>
      <c r="D146" s="129" t="s">
        <v>1096</v>
      </c>
      <c r="E146" s="129" t="s">
        <v>1096</v>
      </c>
      <c r="F146" s="129" t="s">
        <v>1096</v>
      </c>
      <c r="G146" s="129" t="s">
        <v>1096</v>
      </c>
      <c r="H146" s="130" t="s">
        <v>1376</v>
      </c>
      <c r="I146" s="99"/>
      <c r="J146" s="131"/>
      <c r="K146" s="131"/>
      <c r="L146" s="131"/>
      <c r="M146" s="131"/>
      <c r="N146" s="131"/>
      <c r="O146" s="131"/>
      <c r="P146" s="131"/>
      <c r="Q146" s="131"/>
      <c r="R146" s="131"/>
      <c r="S146" s="131"/>
      <c r="T146" s="131"/>
      <c r="U146" s="131"/>
      <c r="V146" s="131"/>
      <c r="W146" s="131"/>
      <c r="X146" s="131"/>
      <c r="Y146" s="131"/>
      <c r="Z146" s="131"/>
    </row>
    <row r="147">
      <c r="A147" s="99" t="s">
        <v>1587</v>
      </c>
      <c r="B147" s="146" t="s">
        <v>123</v>
      </c>
      <c r="C147" s="128" t="s">
        <v>1376</v>
      </c>
      <c r="D147" s="100"/>
      <c r="E147" s="100"/>
      <c r="F147" s="100"/>
      <c r="G147" s="100"/>
      <c r="H147" s="127"/>
      <c r="I147" s="99"/>
      <c r="J147" s="131"/>
      <c r="K147" s="131"/>
      <c r="L147" s="131"/>
      <c r="M147" s="131"/>
      <c r="N147" s="131"/>
      <c r="O147" s="131"/>
      <c r="P147" s="131"/>
      <c r="Q147" s="131"/>
      <c r="R147" s="131"/>
      <c r="S147" s="131"/>
      <c r="T147" s="131"/>
      <c r="U147" s="131"/>
      <c r="V147" s="131"/>
      <c r="W147" s="131"/>
      <c r="X147" s="131"/>
      <c r="Y147" s="131"/>
      <c r="Z147" s="131"/>
    </row>
    <row r="148">
      <c r="A148" s="99" t="s">
        <v>1588</v>
      </c>
      <c r="B148" s="146" t="s">
        <v>123</v>
      </c>
      <c r="C148" s="132" t="s">
        <v>1378</v>
      </c>
      <c r="D148" s="100"/>
      <c r="E148" s="100"/>
      <c r="F148" s="100"/>
      <c r="G148" s="100"/>
      <c r="H148" s="127"/>
      <c r="I148" s="99"/>
      <c r="J148" s="131"/>
      <c r="K148" s="131"/>
      <c r="L148" s="131"/>
      <c r="M148" s="131"/>
      <c r="N148" s="131"/>
      <c r="O148" s="131"/>
      <c r="P148" s="131"/>
      <c r="Q148" s="131"/>
      <c r="R148" s="131"/>
      <c r="S148" s="131"/>
      <c r="T148" s="131"/>
      <c r="U148" s="131"/>
      <c r="V148" s="131"/>
      <c r="W148" s="131"/>
      <c r="X148" s="131"/>
      <c r="Y148" s="131"/>
      <c r="Z148" s="131"/>
    </row>
    <row r="149">
      <c r="A149" s="99" t="s">
        <v>1589</v>
      </c>
      <c r="B149" s="146" t="s">
        <v>123</v>
      </c>
      <c r="C149" s="132" t="s">
        <v>1378</v>
      </c>
      <c r="D149" s="100"/>
      <c r="E149" s="100"/>
      <c r="F149" s="100"/>
      <c r="G149" s="100"/>
      <c r="H149" s="127"/>
      <c r="I149" s="99"/>
      <c r="J149" s="131"/>
      <c r="K149" s="131"/>
      <c r="L149" s="131"/>
      <c r="M149" s="131"/>
      <c r="N149" s="131"/>
      <c r="O149" s="131"/>
      <c r="P149" s="131"/>
      <c r="Q149" s="131"/>
      <c r="R149" s="131"/>
      <c r="S149" s="131"/>
      <c r="T149" s="131"/>
      <c r="U149" s="131"/>
      <c r="V149" s="131"/>
      <c r="W149" s="131"/>
      <c r="X149" s="131"/>
      <c r="Y149" s="131"/>
      <c r="Z149" s="131"/>
    </row>
    <row r="150">
      <c r="A150" s="99" t="s">
        <v>1590</v>
      </c>
      <c r="B150" s="146" t="s">
        <v>123</v>
      </c>
      <c r="C150" s="132" t="s">
        <v>1378</v>
      </c>
      <c r="D150" s="100"/>
      <c r="E150" s="100"/>
      <c r="F150" s="100"/>
      <c r="G150" s="100"/>
      <c r="H150" s="127"/>
      <c r="I150" s="99"/>
      <c r="J150" s="131"/>
      <c r="K150" s="131"/>
      <c r="L150" s="131"/>
      <c r="M150" s="131"/>
      <c r="N150" s="131"/>
      <c r="O150" s="131"/>
      <c r="P150" s="131"/>
      <c r="Q150" s="131"/>
      <c r="R150" s="131"/>
      <c r="S150" s="131"/>
      <c r="T150" s="131"/>
      <c r="U150" s="131"/>
      <c r="V150" s="131"/>
      <c r="W150" s="131"/>
      <c r="X150" s="131"/>
      <c r="Y150" s="131"/>
      <c r="Z150" s="131"/>
    </row>
    <row r="151">
      <c r="A151" s="99" t="s">
        <v>1591</v>
      </c>
      <c r="B151" s="146" t="s">
        <v>123</v>
      </c>
      <c r="C151" s="128" t="s">
        <v>1376</v>
      </c>
      <c r="D151" s="100"/>
      <c r="E151" s="100"/>
      <c r="F151" s="100"/>
      <c r="G151" s="100"/>
      <c r="H151" s="127"/>
      <c r="I151" s="99"/>
      <c r="J151" s="131"/>
      <c r="K151" s="131"/>
      <c r="L151" s="131"/>
      <c r="M151" s="131"/>
      <c r="N151" s="131"/>
      <c r="O151" s="131"/>
      <c r="P151" s="131"/>
      <c r="Q151" s="131"/>
      <c r="R151" s="131"/>
      <c r="S151" s="131"/>
      <c r="T151" s="131"/>
      <c r="U151" s="131"/>
      <c r="V151" s="131"/>
      <c r="W151" s="131"/>
      <c r="X151" s="131"/>
      <c r="Y151" s="131"/>
      <c r="Z151" s="131"/>
    </row>
    <row r="152">
      <c r="A152" s="99" t="s">
        <v>1592</v>
      </c>
      <c r="B152" s="146" t="s">
        <v>123</v>
      </c>
      <c r="C152" s="132" t="s">
        <v>1378</v>
      </c>
      <c r="D152" s="100"/>
      <c r="E152" s="100"/>
      <c r="F152" s="100"/>
      <c r="G152" s="100"/>
      <c r="H152" s="127"/>
      <c r="I152" s="99"/>
      <c r="J152" s="131"/>
      <c r="K152" s="131"/>
      <c r="L152" s="131"/>
      <c r="M152" s="131"/>
      <c r="N152" s="131"/>
      <c r="O152" s="131"/>
      <c r="P152" s="131"/>
      <c r="Q152" s="131"/>
      <c r="R152" s="131"/>
      <c r="S152" s="131"/>
      <c r="T152" s="131"/>
      <c r="U152" s="131"/>
      <c r="V152" s="131"/>
      <c r="W152" s="131"/>
      <c r="X152" s="131"/>
      <c r="Y152" s="131"/>
      <c r="Z152" s="131"/>
    </row>
    <row r="153">
      <c r="A153" s="99" t="s">
        <v>1593</v>
      </c>
      <c r="B153" s="146" t="s">
        <v>123</v>
      </c>
      <c r="C153" s="132" t="s">
        <v>1378</v>
      </c>
      <c r="D153" s="100"/>
      <c r="E153" s="100"/>
      <c r="F153" s="100"/>
      <c r="G153" s="100"/>
      <c r="H153" s="127"/>
      <c r="I153" s="99"/>
      <c r="J153" s="131"/>
      <c r="K153" s="131"/>
      <c r="L153" s="131"/>
      <c r="M153" s="131"/>
      <c r="N153" s="131"/>
      <c r="O153" s="131"/>
      <c r="P153" s="131"/>
      <c r="Q153" s="131"/>
      <c r="R153" s="131"/>
      <c r="S153" s="131"/>
      <c r="T153" s="131"/>
      <c r="U153" s="131"/>
      <c r="V153" s="131"/>
      <c r="W153" s="131"/>
      <c r="X153" s="131"/>
      <c r="Y153" s="131"/>
      <c r="Z153" s="131"/>
    </row>
    <row r="154">
      <c r="A154" s="99" t="s">
        <v>1594</v>
      </c>
      <c r="B154" s="146" t="s">
        <v>123</v>
      </c>
      <c r="C154" s="132" t="s">
        <v>1378</v>
      </c>
      <c r="D154" s="100"/>
      <c r="E154" s="100"/>
      <c r="F154" s="100"/>
      <c r="G154" s="100"/>
      <c r="H154" s="127"/>
      <c r="I154" s="99"/>
      <c r="J154" s="131"/>
      <c r="K154" s="131"/>
      <c r="L154" s="131"/>
      <c r="M154" s="131"/>
      <c r="N154" s="131"/>
      <c r="O154" s="131"/>
      <c r="P154" s="131"/>
      <c r="Q154" s="131"/>
      <c r="R154" s="131"/>
      <c r="S154" s="131"/>
      <c r="T154" s="131"/>
      <c r="U154" s="131"/>
      <c r="V154" s="131"/>
      <c r="W154" s="131"/>
      <c r="X154" s="131"/>
      <c r="Y154" s="131"/>
      <c r="Z154" s="131"/>
    </row>
    <row r="155">
      <c r="A155" s="99" t="s">
        <v>1595</v>
      </c>
      <c r="B155" s="146" t="s">
        <v>123</v>
      </c>
      <c r="C155" s="128" t="s">
        <v>1376</v>
      </c>
      <c r="D155" s="100"/>
      <c r="E155" s="100"/>
      <c r="F155" s="100"/>
      <c r="G155" s="100"/>
      <c r="H155" s="127"/>
      <c r="I155" s="99"/>
      <c r="J155" s="131"/>
      <c r="K155" s="131"/>
      <c r="L155" s="131"/>
      <c r="M155" s="131"/>
      <c r="N155" s="131"/>
      <c r="O155" s="131"/>
      <c r="P155" s="131"/>
      <c r="Q155" s="131"/>
      <c r="R155" s="131"/>
      <c r="S155" s="131"/>
      <c r="T155" s="131"/>
      <c r="U155" s="131"/>
      <c r="V155" s="131"/>
      <c r="W155" s="131"/>
      <c r="X155" s="131"/>
      <c r="Y155" s="131"/>
      <c r="Z155" s="131"/>
    </row>
    <row r="156">
      <c r="A156" s="99" t="s">
        <v>1596</v>
      </c>
      <c r="B156" s="146" t="s">
        <v>123</v>
      </c>
      <c r="C156" s="132" t="s">
        <v>1378</v>
      </c>
      <c r="D156" s="100"/>
      <c r="E156" s="100"/>
      <c r="F156" s="100"/>
      <c r="G156" s="100"/>
      <c r="H156" s="127"/>
      <c r="I156" s="99"/>
      <c r="J156" s="131"/>
      <c r="K156" s="131"/>
      <c r="L156" s="131"/>
      <c r="M156" s="131"/>
      <c r="N156" s="131"/>
      <c r="O156" s="131"/>
      <c r="P156" s="131"/>
      <c r="Q156" s="131"/>
      <c r="R156" s="131"/>
      <c r="S156" s="131"/>
      <c r="T156" s="131"/>
      <c r="U156" s="131"/>
      <c r="V156" s="131"/>
      <c r="W156" s="131"/>
      <c r="X156" s="131"/>
      <c r="Y156" s="131"/>
      <c r="Z156" s="131"/>
    </row>
    <row r="157">
      <c r="A157" s="99" t="s">
        <v>1597</v>
      </c>
      <c r="B157" s="146" t="s">
        <v>123</v>
      </c>
      <c r="C157" s="132" t="s">
        <v>1378</v>
      </c>
      <c r="D157" s="100"/>
      <c r="E157" s="100"/>
      <c r="F157" s="100"/>
      <c r="G157" s="100"/>
      <c r="H157" s="127"/>
      <c r="I157" s="99"/>
      <c r="J157" s="131"/>
      <c r="K157" s="131"/>
      <c r="L157" s="131"/>
      <c r="M157" s="131"/>
      <c r="N157" s="131"/>
      <c r="O157" s="131"/>
      <c r="P157" s="131"/>
      <c r="Q157" s="131"/>
      <c r="R157" s="131"/>
      <c r="S157" s="131"/>
      <c r="T157" s="131"/>
      <c r="U157" s="131"/>
      <c r="V157" s="131"/>
      <c r="W157" s="131"/>
      <c r="X157" s="131"/>
      <c r="Y157" s="131"/>
      <c r="Z157" s="131"/>
    </row>
    <row r="158">
      <c r="A158" s="99" t="s">
        <v>1598</v>
      </c>
      <c r="B158" s="146" t="s">
        <v>123</v>
      </c>
      <c r="C158" s="132" t="s">
        <v>1378</v>
      </c>
      <c r="D158" s="100"/>
      <c r="E158" s="100"/>
      <c r="F158" s="100"/>
      <c r="G158" s="100"/>
      <c r="H158" s="127"/>
      <c r="I158" s="99"/>
      <c r="J158" s="131"/>
      <c r="K158" s="131"/>
      <c r="L158" s="131"/>
      <c r="M158" s="131"/>
      <c r="N158" s="131"/>
      <c r="O158" s="131"/>
      <c r="P158" s="131"/>
      <c r="Q158" s="131"/>
      <c r="R158" s="131"/>
      <c r="S158" s="131"/>
      <c r="T158" s="131"/>
      <c r="U158" s="131"/>
      <c r="V158" s="131"/>
      <c r="W158" s="131"/>
      <c r="X158" s="131"/>
      <c r="Y158" s="131"/>
      <c r="Z158" s="131"/>
    </row>
    <row r="159">
      <c r="A159" s="99" t="s">
        <v>1599</v>
      </c>
      <c r="B159" s="146" t="s">
        <v>123</v>
      </c>
      <c r="C159" s="128" t="s">
        <v>1376</v>
      </c>
      <c r="D159" s="100"/>
      <c r="E159" s="100"/>
      <c r="F159" s="100"/>
      <c r="G159" s="100"/>
      <c r="H159" s="127"/>
      <c r="I159" s="99"/>
      <c r="J159" s="131"/>
      <c r="K159" s="131"/>
      <c r="L159" s="131"/>
      <c r="M159" s="131"/>
      <c r="N159" s="131"/>
      <c r="O159" s="131"/>
      <c r="P159" s="131"/>
      <c r="Q159" s="131"/>
      <c r="R159" s="131"/>
      <c r="S159" s="131"/>
      <c r="T159" s="131"/>
      <c r="U159" s="131"/>
      <c r="V159" s="131"/>
      <c r="W159" s="131"/>
      <c r="X159" s="131"/>
      <c r="Y159" s="131"/>
      <c r="Z159" s="131"/>
    </row>
    <row r="160">
      <c r="A160" s="99" t="s">
        <v>1600</v>
      </c>
      <c r="B160" s="146" t="s">
        <v>123</v>
      </c>
      <c r="C160" s="132" t="s">
        <v>1378</v>
      </c>
      <c r="D160" s="100"/>
      <c r="E160" s="100"/>
      <c r="F160" s="100"/>
      <c r="G160" s="100"/>
      <c r="H160" s="127"/>
      <c r="I160" s="99"/>
      <c r="J160" s="131"/>
      <c r="K160" s="131"/>
      <c r="L160" s="131"/>
      <c r="M160" s="131"/>
      <c r="N160" s="131"/>
      <c r="O160" s="131"/>
      <c r="P160" s="131"/>
      <c r="Q160" s="131"/>
      <c r="R160" s="131"/>
      <c r="S160" s="131"/>
      <c r="T160" s="131"/>
      <c r="U160" s="131"/>
      <c r="V160" s="131"/>
      <c r="W160" s="131"/>
      <c r="X160" s="131"/>
      <c r="Y160" s="131"/>
      <c r="Z160" s="131"/>
    </row>
    <row r="161">
      <c r="A161" s="99" t="s">
        <v>1601</v>
      </c>
      <c r="B161" s="146" t="s">
        <v>123</v>
      </c>
      <c r="C161" s="132" t="s">
        <v>1378</v>
      </c>
      <c r="D161" s="100"/>
      <c r="E161" s="100"/>
      <c r="F161" s="100"/>
      <c r="G161" s="100"/>
      <c r="H161" s="127"/>
      <c r="I161" s="99"/>
      <c r="J161" s="131"/>
      <c r="K161" s="131"/>
      <c r="L161" s="131"/>
      <c r="M161" s="131"/>
      <c r="N161" s="131"/>
      <c r="O161" s="131"/>
      <c r="P161" s="131"/>
      <c r="Q161" s="131"/>
      <c r="R161" s="131"/>
      <c r="S161" s="131"/>
      <c r="T161" s="131"/>
      <c r="U161" s="131"/>
      <c r="V161" s="131"/>
      <c r="W161" s="131"/>
      <c r="X161" s="131"/>
      <c r="Y161" s="131"/>
      <c r="Z161" s="131"/>
    </row>
    <row r="162">
      <c r="A162" s="99" t="s">
        <v>1602</v>
      </c>
      <c r="B162" s="146" t="s">
        <v>123</v>
      </c>
      <c r="C162" s="132" t="s">
        <v>1378</v>
      </c>
      <c r="D162" s="100"/>
      <c r="E162" s="100"/>
      <c r="F162" s="100"/>
      <c r="G162" s="100"/>
      <c r="H162" s="127"/>
      <c r="I162" s="99"/>
      <c r="J162" s="131"/>
      <c r="K162" s="131"/>
      <c r="L162" s="131"/>
      <c r="M162" s="131"/>
      <c r="N162" s="131"/>
      <c r="O162" s="131"/>
      <c r="P162" s="131"/>
      <c r="Q162" s="131"/>
      <c r="R162" s="131"/>
      <c r="S162" s="131"/>
      <c r="T162" s="131"/>
      <c r="U162" s="131"/>
      <c r="V162" s="131"/>
      <c r="W162" s="131"/>
      <c r="X162" s="131"/>
      <c r="Y162" s="131"/>
      <c r="Z162" s="131"/>
    </row>
    <row r="163">
      <c r="A163" s="99" t="s">
        <v>1603</v>
      </c>
      <c r="B163" s="146" t="s">
        <v>123</v>
      </c>
      <c r="C163" s="128" t="s">
        <v>1376</v>
      </c>
      <c r="D163" s="100"/>
      <c r="E163" s="100"/>
      <c r="F163" s="100"/>
      <c r="G163" s="100"/>
      <c r="H163" s="127"/>
      <c r="I163" s="99"/>
      <c r="J163" s="131"/>
      <c r="K163" s="131"/>
      <c r="L163" s="131"/>
      <c r="M163" s="131"/>
      <c r="N163" s="131"/>
      <c r="O163" s="131"/>
      <c r="P163" s="131"/>
      <c r="Q163" s="131"/>
      <c r="R163" s="131"/>
      <c r="S163" s="131"/>
      <c r="T163" s="131"/>
      <c r="U163" s="131"/>
      <c r="V163" s="131"/>
      <c r="W163" s="131"/>
      <c r="X163" s="131"/>
      <c r="Y163" s="131"/>
      <c r="Z163" s="131"/>
    </row>
    <row r="164">
      <c r="A164" s="99" t="s">
        <v>1604</v>
      </c>
      <c r="B164" s="146" t="s">
        <v>123</v>
      </c>
      <c r="C164" s="132" t="s">
        <v>1378</v>
      </c>
      <c r="D164" s="129" t="s">
        <v>1096</v>
      </c>
      <c r="E164" s="129" t="s">
        <v>1096</v>
      </c>
      <c r="F164" s="129" t="s">
        <v>1096</v>
      </c>
      <c r="G164" s="129" t="s">
        <v>1096</v>
      </c>
      <c r="H164" s="127"/>
      <c r="I164" s="99"/>
      <c r="J164" s="131"/>
      <c r="K164" s="131"/>
      <c r="L164" s="131"/>
      <c r="M164" s="131"/>
      <c r="N164" s="131"/>
      <c r="O164" s="131"/>
      <c r="P164" s="131"/>
      <c r="Q164" s="131"/>
      <c r="R164" s="131"/>
      <c r="S164" s="131"/>
      <c r="T164" s="131"/>
      <c r="U164" s="131"/>
      <c r="V164" s="131"/>
      <c r="W164" s="131"/>
      <c r="X164" s="131"/>
      <c r="Y164" s="131"/>
      <c r="Z164" s="131"/>
    </row>
    <row r="165">
      <c r="A165" s="99" t="s">
        <v>1605</v>
      </c>
      <c r="B165" s="146" t="s">
        <v>123</v>
      </c>
      <c r="C165" s="132" t="s">
        <v>1378</v>
      </c>
      <c r="D165" s="100"/>
      <c r="E165" s="100"/>
      <c r="F165" s="100"/>
      <c r="G165" s="100"/>
      <c r="H165" s="127"/>
      <c r="I165" s="99"/>
      <c r="J165" s="131"/>
      <c r="K165" s="131"/>
      <c r="L165" s="131"/>
      <c r="M165" s="131"/>
      <c r="N165" s="131"/>
      <c r="O165" s="131"/>
      <c r="P165" s="131"/>
      <c r="Q165" s="131"/>
      <c r="R165" s="131"/>
      <c r="S165" s="131"/>
      <c r="T165" s="131"/>
      <c r="U165" s="131"/>
      <c r="V165" s="131"/>
      <c r="W165" s="131"/>
      <c r="X165" s="131"/>
      <c r="Y165" s="131"/>
      <c r="Z165" s="131"/>
    </row>
    <row r="166">
      <c r="A166" s="99" t="s">
        <v>1606</v>
      </c>
      <c r="B166" s="146" t="s">
        <v>123</v>
      </c>
      <c r="C166" s="132" t="s">
        <v>1378</v>
      </c>
      <c r="D166" s="100"/>
      <c r="E166" s="100"/>
      <c r="F166" s="100"/>
      <c r="G166" s="100"/>
      <c r="H166" s="127"/>
      <c r="I166" s="99"/>
      <c r="J166" s="131"/>
      <c r="K166" s="131"/>
      <c r="L166" s="131"/>
      <c r="M166" s="131"/>
      <c r="N166" s="131"/>
      <c r="O166" s="131"/>
      <c r="P166" s="131"/>
      <c r="Q166" s="131"/>
      <c r="R166" s="131"/>
      <c r="S166" s="131"/>
      <c r="T166" s="131"/>
      <c r="U166" s="131"/>
      <c r="V166" s="131"/>
      <c r="W166" s="131"/>
      <c r="X166" s="131"/>
      <c r="Y166" s="131"/>
      <c r="Z166" s="131"/>
    </row>
    <row r="167">
      <c r="A167" s="99" t="s">
        <v>1607</v>
      </c>
      <c r="B167" s="146" t="s">
        <v>123</v>
      </c>
      <c r="C167" s="128" t="s">
        <v>1376</v>
      </c>
      <c r="D167" s="100"/>
      <c r="E167" s="100"/>
      <c r="F167" s="100"/>
      <c r="G167" s="100"/>
      <c r="H167" s="127"/>
      <c r="I167" s="99"/>
      <c r="J167" s="131"/>
      <c r="K167" s="131"/>
      <c r="L167" s="131"/>
      <c r="M167" s="131"/>
      <c r="N167" s="131"/>
      <c r="O167" s="131"/>
      <c r="P167" s="131"/>
      <c r="Q167" s="131"/>
      <c r="R167" s="131"/>
      <c r="S167" s="131"/>
      <c r="T167" s="131"/>
      <c r="U167" s="131"/>
      <c r="V167" s="131"/>
      <c r="W167" s="131"/>
      <c r="X167" s="131"/>
      <c r="Y167" s="131"/>
      <c r="Z167" s="131"/>
    </row>
    <row r="168">
      <c r="A168" s="99" t="s">
        <v>1608</v>
      </c>
      <c r="B168" s="146" t="s">
        <v>123</v>
      </c>
      <c r="C168" s="132" t="s">
        <v>1378</v>
      </c>
      <c r="D168" s="128" t="s">
        <v>1376</v>
      </c>
      <c r="E168" s="129" t="s">
        <v>1096</v>
      </c>
      <c r="F168" s="129" t="s">
        <v>1096</v>
      </c>
      <c r="G168" s="129" t="s">
        <v>1096</v>
      </c>
      <c r="H168" s="127"/>
      <c r="I168" s="99"/>
      <c r="J168" s="131"/>
      <c r="K168" s="131"/>
      <c r="L168" s="131"/>
      <c r="M168" s="131"/>
      <c r="N168" s="131"/>
      <c r="O168" s="131"/>
      <c r="P168" s="131"/>
      <c r="Q168" s="131"/>
      <c r="R168" s="131"/>
      <c r="S168" s="131"/>
      <c r="T168" s="131"/>
      <c r="U168" s="131"/>
      <c r="V168" s="131"/>
      <c r="W168" s="131"/>
      <c r="X168" s="131"/>
      <c r="Y168" s="131"/>
      <c r="Z168" s="131"/>
    </row>
    <row r="169">
      <c r="A169" s="99" t="s">
        <v>1609</v>
      </c>
      <c r="B169" s="146" t="s">
        <v>123</v>
      </c>
      <c r="C169" s="132" t="s">
        <v>1378</v>
      </c>
      <c r="D169" s="129" t="s">
        <v>1096</v>
      </c>
      <c r="E169" s="129" t="s">
        <v>1096</v>
      </c>
      <c r="F169" s="129" t="s">
        <v>1096</v>
      </c>
      <c r="G169" s="129" t="s">
        <v>1096</v>
      </c>
      <c r="H169" s="127"/>
      <c r="I169" s="99"/>
      <c r="J169" s="131"/>
      <c r="K169" s="131"/>
      <c r="L169" s="131"/>
      <c r="M169" s="131"/>
      <c r="N169" s="131"/>
      <c r="O169" s="131"/>
      <c r="P169" s="131"/>
      <c r="Q169" s="131"/>
      <c r="R169" s="131"/>
      <c r="S169" s="131"/>
      <c r="T169" s="131"/>
      <c r="U169" s="131"/>
      <c r="V169" s="131"/>
      <c r="W169" s="131"/>
      <c r="X169" s="131"/>
      <c r="Y169" s="131"/>
      <c r="Z169" s="131"/>
    </row>
    <row r="170">
      <c r="A170" s="99" t="s">
        <v>1610</v>
      </c>
      <c r="B170" s="146" t="s">
        <v>123</v>
      </c>
      <c r="C170" s="132" t="s">
        <v>1378</v>
      </c>
      <c r="D170" s="128" t="s">
        <v>1376</v>
      </c>
      <c r="E170" s="128" t="s">
        <v>1376</v>
      </c>
      <c r="F170" s="129" t="s">
        <v>1096</v>
      </c>
      <c r="G170" s="129" t="s">
        <v>1096</v>
      </c>
      <c r="H170" s="127"/>
      <c r="I170" s="99"/>
      <c r="J170" s="131"/>
      <c r="K170" s="131"/>
      <c r="L170" s="131"/>
      <c r="M170" s="131"/>
      <c r="N170" s="131"/>
      <c r="O170" s="131"/>
      <c r="P170" s="131"/>
      <c r="Q170" s="131"/>
      <c r="R170" s="131"/>
      <c r="S170" s="131"/>
      <c r="T170" s="131"/>
      <c r="U170" s="131"/>
      <c r="V170" s="131"/>
      <c r="W170" s="131"/>
      <c r="X170" s="131"/>
      <c r="Y170" s="131"/>
      <c r="Z170" s="131"/>
    </row>
    <row r="171">
      <c r="A171" s="99" t="s">
        <v>1611</v>
      </c>
      <c r="B171" s="146" t="s">
        <v>123</v>
      </c>
      <c r="C171" s="128" t="s">
        <v>1376</v>
      </c>
      <c r="D171" s="100"/>
      <c r="E171" s="100"/>
      <c r="F171" s="100"/>
      <c r="G171" s="100"/>
      <c r="H171" s="127"/>
      <c r="I171" s="99"/>
      <c r="J171" s="131"/>
      <c r="K171" s="131"/>
      <c r="L171" s="131"/>
      <c r="M171" s="131"/>
      <c r="N171" s="131"/>
      <c r="O171" s="131"/>
      <c r="P171" s="131"/>
      <c r="Q171" s="131"/>
      <c r="R171" s="131"/>
      <c r="S171" s="131"/>
      <c r="T171" s="131"/>
      <c r="U171" s="131"/>
      <c r="V171" s="131"/>
      <c r="W171" s="131"/>
      <c r="X171" s="131"/>
      <c r="Y171" s="131"/>
      <c r="Z171" s="131"/>
    </row>
    <row r="172">
      <c r="A172" s="99" t="s">
        <v>1612</v>
      </c>
      <c r="B172" s="146" t="s">
        <v>123</v>
      </c>
      <c r="C172" s="132" t="s">
        <v>1378</v>
      </c>
      <c r="D172" s="100"/>
      <c r="E172" s="100"/>
      <c r="F172" s="100"/>
      <c r="G172" s="100"/>
      <c r="H172" s="127"/>
      <c r="I172" s="99"/>
      <c r="J172" s="131"/>
      <c r="K172" s="131"/>
      <c r="L172" s="131"/>
      <c r="M172" s="131"/>
      <c r="N172" s="131"/>
      <c r="O172" s="131"/>
      <c r="P172" s="131"/>
      <c r="Q172" s="131"/>
      <c r="R172" s="131"/>
      <c r="S172" s="131"/>
      <c r="T172" s="131"/>
      <c r="U172" s="131"/>
      <c r="V172" s="131"/>
      <c r="W172" s="131"/>
      <c r="X172" s="131"/>
      <c r="Y172" s="131"/>
      <c r="Z172" s="131"/>
    </row>
    <row r="173">
      <c r="A173" s="99" t="s">
        <v>1613</v>
      </c>
      <c r="B173" s="146" t="s">
        <v>123</v>
      </c>
      <c r="C173" s="132" t="s">
        <v>1378</v>
      </c>
      <c r="D173" s="100"/>
      <c r="E173" s="100"/>
      <c r="F173" s="100"/>
      <c r="G173" s="100"/>
      <c r="H173" s="127"/>
      <c r="I173" s="99"/>
      <c r="J173" s="131"/>
      <c r="K173" s="131"/>
      <c r="L173" s="131"/>
      <c r="M173" s="131"/>
      <c r="N173" s="131"/>
      <c r="O173" s="131"/>
      <c r="P173" s="131"/>
      <c r="Q173" s="131"/>
      <c r="R173" s="131"/>
      <c r="S173" s="131"/>
      <c r="T173" s="131"/>
      <c r="U173" s="131"/>
      <c r="V173" s="131"/>
      <c r="W173" s="131"/>
      <c r="X173" s="131"/>
      <c r="Y173" s="131"/>
      <c r="Z173" s="131"/>
    </row>
    <row r="174">
      <c r="A174" s="99" t="s">
        <v>1614</v>
      </c>
      <c r="B174" s="146" t="s">
        <v>123</v>
      </c>
      <c r="C174" s="132" t="s">
        <v>1378</v>
      </c>
      <c r="D174" s="100"/>
      <c r="E174" s="100"/>
      <c r="F174" s="100"/>
      <c r="G174" s="100"/>
      <c r="H174" s="127"/>
      <c r="I174" s="99"/>
      <c r="J174" s="131"/>
      <c r="K174" s="131"/>
      <c r="L174" s="131"/>
      <c r="M174" s="131"/>
      <c r="N174" s="131"/>
      <c r="O174" s="131"/>
      <c r="P174" s="131"/>
      <c r="Q174" s="131"/>
      <c r="R174" s="131"/>
      <c r="S174" s="131"/>
      <c r="T174" s="131"/>
      <c r="U174" s="131"/>
      <c r="V174" s="131"/>
      <c r="W174" s="131"/>
      <c r="X174" s="131"/>
      <c r="Y174" s="131"/>
      <c r="Z174" s="131"/>
    </row>
    <row r="175">
      <c r="A175" s="99" t="s">
        <v>1615</v>
      </c>
      <c r="B175" s="146" t="s">
        <v>123</v>
      </c>
      <c r="C175" s="128" t="s">
        <v>1376</v>
      </c>
      <c r="D175" s="100"/>
      <c r="E175" s="100"/>
      <c r="F175" s="100"/>
      <c r="G175" s="100"/>
      <c r="H175" s="127"/>
      <c r="I175" s="99"/>
      <c r="J175" s="131"/>
      <c r="K175" s="131"/>
      <c r="L175" s="131"/>
      <c r="M175" s="131"/>
      <c r="N175" s="131"/>
      <c r="O175" s="131"/>
      <c r="P175" s="131"/>
      <c r="Q175" s="131"/>
      <c r="R175" s="131"/>
      <c r="S175" s="131"/>
      <c r="T175" s="131"/>
      <c r="U175" s="131"/>
      <c r="V175" s="131"/>
      <c r="W175" s="131"/>
      <c r="X175" s="131"/>
      <c r="Y175" s="131"/>
      <c r="Z175" s="131"/>
    </row>
    <row r="176">
      <c r="A176" s="99" t="s">
        <v>1616</v>
      </c>
      <c r="B176" s="146" t="s">
        <v>123</v>
      </c>
      <c r="C176" s="132" t="s">
        <v>1378</v>
      </c>
      <c r="D176" s="100"/>
      <c r="E176" s="100"/>
      <c r="F176" s="100"/>
      <c r="G176" s="100"/>
      <c r="H176" s="127"/>
      <c r="I176" s="99"/>
      <c r="J176" s="131"/>
      <c r="K176" s="131"/>
      <c r="L176" s="131"/>
      <c r="M176" s="131"/>
      <c r="N176" s="131"/>
      <c r="O176" s="131"/>
      <c r="P176" s="131"/>
      <c r="Q176" s="131"/>
      <c r="R176" s="131"/>
      <c r="S176" s="131"/>
      <c r="T176" s="131"/>
      <c r="U176" s="131"/>
      <c r="V176" s="131"/>
      <c r="W176" s="131"/>
      <c r="X176" s="131"/>
      <c r="Y176" s="131"/>
      <c r="Z176" s="131"/>
    </row>
    <row r="177">
      <c r="A177" s="99" t="s">
        <v>1617</v>
      </c>
      <c r="B177" s="146" t="s">
        <v>123</v>
      </c>
      <c r="C177" s="132" t="s">
        <v>1378</v>
      </c>
      <c r="D177" s="100"/>
      <c r="E177" s="100"/>
      <c r="F177" s="100"/>
      <c r="G177" s="100"/>
      <c r="H177" s="127"/>
      <c r="I177" s="99"/>
      <c r="J177" s="131"/>
      <c r="K177" s="131"/>
      <c r="L177" s="131"/>
      <c r="M177" s="131"/>
      <c r="N177" s="131"/>
      <c r="O177" s="131"/>
      <c r="P177" s="131"/>
      <c r="Q177" s="131"/>
      <c r="R177" s="131"/>
      <c r="S177" s="131"/>
      <c r="T177" s="131"/>
      <c r="U177" s="131"/>
      <c r="V177" s="131"/>
      <c r="W177" s="131"/>
      <c r="X177" s="131"/>
      <c r="Y177" s="131"/>
      <c r="Z177" s="131"/>
    </row>
    <row r="178">
      <c r="A178" s="99" t="s">
        <v>1618</v>
      </c>
      <c r="B178" s="146" t="s">
        <v>123</v>
      </c>
      <c r="C178" s="132" t="s">
        <v>1378</v>
      </c>
      <c r="D178" s="129" t="s">
        <v>1096</v>
      </c>
      <c r="E178" s="129" t="s">
        <v>1096</v>
      </c>
      <c r="F178" s="129" t="s">
        <v>1096</v>
      </c>
      <c r="G178" s="129" t="s">
        <v>1096</v>
      </c>
      <c r="H178" s="130" t="s">
        <v>1376</v>
      </c>
      <c r="I178" s="99"/>
      <c r="J178" s="131"/>
      <c r="K178" s="131"/>
      <c r="L178" s="131"/>
      <c r="M178" s="131"/>
      <c r="N178" s="131"/>
      <c r="O178" s="131"/>
      <c r="P178" s="131"/>
      <c r="Q178" s="131"/>
      <c r="R178" s="131"/>
      <c r="S178" s="131"/>
      <c r="T178" s="131"/>
      <c r="U178" s="131"/>
      <c r="V178" s="131"/>
      <c r="W178" s="131"/>
      <c r="X178" s="131"/>
      <c r="Y178" s="131"/>
      <c r="Z178" s="131"/>
    </row>
    <row r="179">
      <c r="A179" s="99" t="s">
        <v>1619</v>
      </c>
      <c r="B179" s="146" t="s">
        <v>123</v>
      </c>
      <c r="C179" s="128" t="s">
        <v>1376</v>
      </c>
      <c r="D179" s="129" t="s">
        <v>1096</v>
      </c>
      <c r="E179" s="129" t="s">
        <v>1096</v>
      </c>
      <c r="F179" s="129" t="s">
        <v>1096</v>
      </c>
      <c r="G179" s="129" t="s">
        <v>1096</v>
      </c>
      <c r="H179" s="127"/>
      <c r="I179" s="99"/>
      <c r="J179" s="131"/>
      <c r="K179" s="131"/>
      <c r="L179" s="131"/>
      <c r="M179" s="131"/>
      <c r="N179" s="131"/>
      <c r="O179" s="131"/>
      <c r="P179" s="131"/>
      <c r="Q179" s="131"/>
      <c r="R179" s="131"/>
      <c r="S179" s="131"/>
      <c r="T179" s="131"/>
      <c r="U179" s="131"/>
      <c r="V179" s="131"/>
      <c r="W179" s="131"/>
      <c r="X179" s="131"/>
      <c r="Y179" s="131"/>
      <c r="Z179" s="131"/>
    </row>
    <row r="180">
      <c r="A180" s="99" t="s">
        <v>1620</v>
      </c>
      <c r="B180" s="146" t="s">
        <v>123</v>
      </c>
      <c r="C180" s="132" t="s">
        <v>1378</v>
      </c>
      <c r="D180" s="129" t="s">
        <v>1096</v>
      </c>
      <c r="E180" s="129" t="s">
        <v>1096</v>
      </c>
      <c r="F180" s="129" t="s">
        <v>1096</v>
      </c>
      <c r="G180" s="129" t="s">
        <v>1096</v>
      </c>
      <c r="H180" s="127"/>
      <c r="I180" s="99"/>
      <c r="J180" s="131"/>
      <c r="K180" s="131"/>
      <c r="L180" s="131"/>
      <c r="M180" s="131"/>
      <c r="N180" s="131"/>
      <c r="O180" s="131"/>
      <c r="P180" s="131"/>
      <c r="Q180" s="131"/>
      <c r="R180" s="131"/>
      <c r="S180" s="131"/>
      <c r="T180" s="131"/>
      <c r="U180" s="131"/>
      <c r="V180" s="131"/>
      <c r="W180" s="131"/>
      <c r="X180" s="131"/>
      <c r="Y180" s="131"/>
      <c r="Z180" s="131"/>
    </row>
    <row r="181">
      <c r="A181" s="99" t="s">
        <v>1621</v>
      </c>
      <c r="B181" s="146" t="s">
        <v>123</v>
      </c>
      <c r="C181" s="132" t="s">
        <v>1378</v>
      </c>
      <c r="D181" s="100"/>
      <c r="E181" s="100"/>
      <c r="F181" s="100"/>
      <c r="G181" s="100"/>
      <c r="H181" s="127"/>
      <c r="I181" s="99"/>
      <c r="J181" s="131"/>
      <c r="K181" s="131"/>
      <c r="L181" s="131"/>
      <c r="M181" s="131"/>
      <c r="N181" s="131"/>
      <c r="O181" s="131"/>
      <c r="P181" s="131"/>
      <c r="Q181" s="131"/>
      <c r="R181" s="131"/>
      <c r="S181" s="131"/>
      <c r="T181" s="131"/>
      <c r="U181" s="131"/>
      <c r="V181" s="131"/>
      <c r="W181" s="131"/>
      <c r="X181" s="131"/>
      <c r="Y181" s="131"/>
      <c r="Z181" s="131"/>
    </row>
    <row r="182">
      <c r="A182" s="99" t="s">
        <v>1622</v>
      </c>
      <c r="B182" s="146" t="s">
        <v>123</v>
      </c>
      <c r="C182" s="132" t="s">
        <v>1378</v>
      </c>
      <c r="D182" s="100"/>
      <c r="E182" s="100"/>
      <c r="F182" s="100"/>
      <c r="G182" s="100"/>
      <c r="H182" s="127"/>
      <c r="I182" s="99"/>
      <c r="J182" s="131"/>
      <c r="K182" s="131"/>
      <c r="L182" s="131"/>
      <c r="M182" s="131"/>
      <c r="N182" s="131"/>
      <c r="O182" s="131"/>
      <c r="P182" s="131"/>
      <c r="Q182" s="131"/>
      <c r="R182" s="131"/>
      <c r="S182" s="131"/>
      <c r="T182" s="131"/>
      <c r="U182" s="131"/>
      <c r="V182" s="131"/>
      <c r="W182" s="131"/>
      <c r="X182" s="131"/>
      <c r="Y182" s="131"/>
      <c r="Z182" s="131"/>
    </row>
    <row r="183">
      <c r="A183" s="99" t="s">
        <v>1623</v>
      </c>
      <c r="B183" s="146" t="s">
        <v>123</v>
      </c>
      <c r="C183" s="128" t="s">
        <v>1376</v>
      </c>
      <c r="D183" s="100"/>
      <c r="E183" s="100"/>
      <c r="F183" s="100"/>
      <c r="G183" s="100"/>
      <c r="H183" s="127"/>
      <c r="I183" s="99"/>
      <c r="J183" s="131"/>
      <c r="K183" s="131"/>
      <c r="L183" s="131"/>
      <c r="M183" s="131"/>
      <c r="N183" s="131"/>
      <c r="O183" s="131"/>
      <c r="P183" s="131"/>
      <c r="Q183" s="131"/>
      <c r="R183" s="131"/>
      <c r="S183" s="131"/>
      <c r="T183" s="131"/>
      <c r="U183" s="131"/>
      <c r="V183" s="131"/>
      <c r="W183" s="131"/>
      <c r="X183" s="131"/>
      <c r="Y183" s="131"/>
      <c r="Z183" s="131"/>
    </row>
    <row r="184">
      <c r="A184" s="99" t="s">
        <v>1624</v>
      </c>
      <c r="B184" s="146" t="s">
        <v>123</v>
      </c>
      <c r="C184" s="132" t="s">
        <v>1378</v>
      </c>
      <c r="D184" s="100"/>
      <c r="E184" s="100"/>
      <c r="F184" s="100"/>
      <c r="G184" s="100"/>
      <c r="H184" s="127"/>
      <c r="I184" s="99"/>
      <c r="J184" s="131"/>
      <c r="K184" s="131"/>
      <c r="L184" s="131"/>
      <c r="M184" s="131"/>
      <c r="N184" s="131"/>
      <c r="O184" s="131"/>
      <c r="P184" s="131"/>
      <c r="Q184" s="131"/>
      <c r="R184" s="131"/>
      <c r="S184" s="131"/>
      <c r="T184" s="131"/>
      <c r="U184" s="131"/>
      <c r="V184" s="131"/>
      <c r="W184" s="131"/>
      <c r="X184" s="131"/>
      <c r="Y184" s="131"/>
      <c r="Z184" s="131"/>
    </row>
    <row r="185">
      <c r="A185" s="99" t="s">
        <v>1625</v>
      </c>
      <c r="B185" s="146" t="s">
        <v>123</v>
      </c>
      <c r="C185" s="132" t="s">
        <v>1378</v>
      </c>
      <c r="D185" s="100"/>
      <c r="E185" s="100"/>
      <c r="F185" s="100"/>
      <c r="G185" s="100"/>
      <c r="H185" s="127"/>
      <c r="I185" s="99"/>
      <c r="J185" s="131"/>
      <c r="K185" s="131"/>
      <c r="L185" s="131"/>
      <c r="M185" s="131"/>
      <c r="N185" s="131"/>
      <c r="O185" s="131"/>
      <c r="P185" s="131"/>
      <c r="Q185" s="131"/>
      <c r="R185" s="131"/>
      <c r="S185" s="131"/>
      <c r="T185" s="131"/>
      <c r="U185" s="131"/>
      <c r="V185" s="131"/>
      <c r="W185" s="131"/>
      <c r="X185" s="131"/>
      <c r="Y185" s="131"/>
      <c r="Z185" s="131"/>
    </row>
    <row r="186">
      <c r="A186" s="99" t="s">
        <v>1626</v>
      </c>
      <c r="B186" s="146" t="s">
        <v>123</v>
      </c>
      <c r="C186" s="132" t="s">
        <v>1378</v>
      </c>
      <c r="D186" s="100"/>
      <c r="E186" s="100"/>
      <c r="F186" s="100"/>
      <c r="G186" s="100"/>
      <c r="H186" s="127"/>
      <c r="I186" s="99"/>
      <c r="J186" s="131"/>
      <c r="K186" s="131"/>
      <c r="L186" s="131"/>
      <c r="M186" s="131"/>
      <c r="N186" s="131"/>
      <c r="O186" s="131"/>
      <c r="P186" s="131"/>
      <c r="Q186" s="131"/>
      <c r="R186" s="131"/>
      <c r="S186" s="131"/>
      <c r="T186" s="131"/>
      <c r="U186" s="131"/>
      <c r="V186" s="131"/>
      <c r="W186" s="131"/>
      <c r="X186" s="131"/>
      <c r="Y186" s="131"/>
      <c r="Z186" s="131"/>
    </row>
    <row r="187">
      <c r="A187" s="99" t="s">
        <v>1627</v>
      </c>
      <c r="B187" s="146" t="s">
        <v>123</v>
      </c>
      <c r="C187" s="128" t="s">
        <v>1376</v>
      </c>
      <c r="D187" s="128" t="s">
        <v>1376</v>
      </c>
      <c r="E187" s="129" t="s">
        <v>1096</v>
      </c>
      <c r="F187" s="129" t="s">
        <v>1096</v>
      </c>
      <c r="G187" s="129" t="s">
        <v>1096</v>
      </c>
      <c r="H187" s="127"/>
      <c r="I187" s="99"/>
      <c r="J187" s="131"/>
      <c r="K187" s="131"/>
      <c r="L187" s="131"/>
      <c r="M187" s="131"/>
      <c r="N187" s="131"/>
      <c r="O187" s="131"/>
      <c r="P187" s="131"/>
      <c r="Q187" s="131"/>
      <c r="R187" s="131"/>
      <c r="S187" s="131"/>
      <c r="T187" s="131"/>
      <c r="U187" s="131"/>
      <c r="V187" s="131"/>
      <c r="W187" s="131"/>
      <c r="X187" s="131"/>
      <c r="Y187" s="131"/>
      <c r="Z187" s="131"/>
    </row>
    <row r="188">
      <c r="A188" s="99" t="s">
        <v>1628</v>
      </c>
      <c r="B188" s="146" t="s">
        <v>123</v>
      </c>
      <c r="C188" s="132" t="s">
        <v>1378</v>
      </c>
      <c r="D188" s="129" t="s">
        <v>1096</v>
      </c>
      <c r="E188" s="129" t="s">
        <v>1096</v>
      </c>
      <c r="F188" s="128" t="s">
        <v>1376</v>
      </c>
      <c r="G188" s="128" t="s">
        <v>1376</v>
      </c>
      <c r="H188" s="127"/>
      <c r="I188" s="99"/>
      <c r="J188" s="131"/>
      <c r="K188" s="131"/>
      <c r="L188" s="131"/>
      <c r="M188" s="131"/>
      <c r="N188" s="131"/>
      <c r="O188" s="131"/>
      <c r="P188" s="131"/>
      <c r="Q188" s="131"/>
      <c r="R188" s="131"/>
      <c r="S188" s="131"/>
      <c r="T188" s="131"/>
      <c r="U188" s="131"/>
      <c r="V188" s="131"/>
      <c r="W188" s="131"/>
      <c r="X188" s="131"/>
      <c r="Y188" s="131"/>
      <c r="Z188" s="131"/>
    </row>
    <row r="189">
      <c r="A189" s="99" t="s">
        <v>1629</v>
      </c>
      <c r="B189" s="146" t="s">
        <v>123</v>
      </c>
      <c r="C189" s="132" t="s">
        <v>1378</v>
      </c>
      <c r="D189" s="129" t="s">
        <v>1096</v>
      </c>
      <c r="E189" s="129" t="s">
        <v>1096</v>
      </c>
      <c r="F189" s="128" t="s">
        <v>1376</v>
      </c>
      <c r="G189" s="128" t="s">
        <v>1376</v>
      </c>
      <c r="H189" s="127"/>
      <c r="I189" s="99"/>
      <c r="J189" s="131"/>
      <c r="K189" s="131"/>
      <c r="L189" s="131"/>
      <c r="M189" s="131"/>
      <c r="N189" s="131"/>
      <c r="O189" s="131"/>
      <c r="P189" s="131"/>
      <c r="Q189" s="131"/>
      <c r="R189" s="131"/>
      <c r="S189" s="131"/>
      <c r="T189" s="131"/>
      <c r="U189" s="131"/>
      <c r="V189" s="131"/>
      <c r="W189" s="131"/>
      <c r="X189" s="131"/>
      <c r="Y189" s="131"/>
      <c r="Z189" s="131"/>
    </row>
    <row r="190">
      <c r="A190" s="99" t="s">
        <v>1630</v>
      </c>
      <c r="B190" s="146" t="s">
        <v>123</v>
      </c>
      <c r="C190" s="132" t="s">
        <v>1378</v>
      </c>
      <c r="D190" s="129" t="s">
        <v>1096</v>
      </c>
      <c r="E190" s="129" t="s">
        <v>1096</v>
      </c>
      <c r="F190" s="129" t="s">
        <v>1096</v>
      </c>
      <c r="G190" s="129" t="s">
        <v>1096</v>
      </c>
      <c r="H190" s="127"/>
      <c r="I190" s="99"/>
      <c r="J190" s="131"/>
      <c r="K190" s="131"/>
      <c r="L190" s="131"/>
      <c r="M190" s="131"/>
      <c r="N190" s="131"/>
      <c r="O190" s="131"/>
      <c r="P190" s="131"/>
      <c r="Q190" s="131"/>
      <c r="R190" s="131"/>
      <c r="S190" s="131"/>
      <c r="T190" s="131"/>
      <c r="U190" s="131"/>
      <c r="V190" s="131"/>
      <c r="W190" s="131"/>
      <c r="X190" s="131"/>
      <c r="Y190" s="131"/>
      <c r="Z190" s="131"/>
    </row>
    <row r="191">
      <c r="A191" s="99" t="s">
        <v>1631</v>
      </c>
      <c r="B191" s="146" t="s">
        <v>123</v>
      </c>
      <c r="C191" s="128" t="s">
        <v>1376</v>
      </c>
      <c r="D191" s="129" t="s">
        <v>1096</v>
      </c>
      <c r="E191" s="129" t="s">
        <v>1096</v>
      </c>
      <c r="F191" s="129" t="s">
        <v>1096</v>
      </c>
      <c r="G191" s="129" t="s">
        <v>1096</v>
      </c>
      <c r="H191" s="127"/>
      <c r="I191" s="99"/>
      <c r="J191" s="131"/>
      <c r="K191" s="131"/>
      <c r="L191" s="131"/>
      <c r="M191" s="131"/>
      <c r="N191" s="131"/>
      <c r="O191" s="131"/>
      <c r="P191" s="131"/>
      <c r="Q191" s="131"/>
      <c r="R191" s="131"/>
      <c r="S191" s="131"/>
      <c r="T191" s="131"/>
      <c r="U191" s="131"/>
      <c r="V191" s="131"/>
      <c r="W191" s="131"/>
      <c r="X191" s="131"/>
      <c r="Y191" s="131"/>
      <c r="Z191" s="131"/>
    </row>
    <row r="192">
      <c r="A192" s="99" t="s">
        <v>1632</v>
      </c>
      <c r="B192" s="146" t="s">
        <v>123</v>
      </c>
      <c r="C192" s="132" t="s">
        <v>1378</v>
      </c>
      <c r="D192" s="129" t="s">
        <v>1096</v>
      </c>
      <c r="E192" s="129" t="s">
        <v>1096</v>
      </c>
      <c r="F192" s="128" t="s">
        <v>1376</v>
      </c>
      <c r="G192" s="129" t="s">
        <v>1096</v>
      </c>
      <c r="H192" s="127"/>
      <c r="I192" s="99"/>
      <c r="J192" s="131"/>
      <c r="K192" s="131"/>
      <c r="L192" s="131"/>
      <c r="M192" s="131"/>
      <c r="N192" s="131"/>
      <c r="O192" s="131"/>
      <c r="P192" s="131"/>
      <c r="Q192" s="131"/>
      <c r="R192" s="131"/>
      <c r="S192" s="131"/>
      <c r="T192" s="131"/>
      <c r="U192" s="131"/>
      <c r="V192" s="131"/>
      <c r="W192" s="131"/>
      <c r="X192" s="131"/>
      <c r="Y192" s="131"/>
      <c r="Z192" s="131"/>
    </row>
    <row r="193">
      <c r="A193" s="99" t="s">
        <v>1633</v>
      </c>
      <c r="B193" s="146" t="s">
        <v>123</v>
      </c>
      <c r="C193" s="132" t="s">
        <v>1378</v>
      </c>
      <c r="D193" s="129" t="s">
        <v>1096</v>
      </c>
      <c r="E193" s="129" t="s">
        <v>1096</v>
      </c>
      <c r="F193" s="129" t="s">
        <v>1096</v>
      </c>
      <c r="G193" s="129" t="s">
        <v>1096</v>
      </c>
      <c r="H193" s="127"/>
      <c r="I193" s="99"/>
      <c r="J193" s="131"/>
      <c r="K193" s="131"/>
      <c r="L193" s="131"/>
      <c r="M193" s="131"/>
      <c r="N193" s="131"/>
      <c r="O193" s="131"/>
      <c r="P193" s="131"/>
      <c r="Q193" s="131"/>
      <c r="R193" s="131"/>
      <c r="S193" s="131"/>
      <c r="T193" s="131"/>
      <c r="U193" s="131"/>
      <c r="V193" s="131"/>
      <c r="W193" s="131"/>
      <c r="X193" s="131"/>
      <c r="Y193" s="131"/>
      <c r="Z193" s="131"/>
    </row>
    <row r="194">
      <c r="A194" s="99" t="s">
        <v>1634</v>
      </c>
      <c r="B194" s="146" t="s">
        <v>123</v>
      </c>
      <c r="C194" s="132" t="s">
        <v>1378</v>
      </c>
      <c r="D194" s="129" t="s">
        <v>1096</v>
      </c>
      <c r="E194" s="129" t="s">
        <v>1096</v>
      </c>
      <c r="F194" s="128" t="s">
        <v>1376</v>
      </c>
      <c r="G194" s="128" t="s">
        <v>1376</v>
      </c>
      <c r="H194" s="127"/>
      <c r="I194" s="99"/>
      <c r="J194" s="131"/>
      <c r="K194" s="131"/>
      <c r="L194" s="131"/>
      <c r="M194" s="131"/>
      <c r="N194" s="131"/>
      <c r="O194" s="131"/>
      <c r="P194" s="131"/>
      <c r="Q194" s="131"/>
      <c r="R194" s="131"/>
      <c r="S194" s="131"/>
      <c r="T194" s="131"/>
      <c r="U194" s="131"/>
      <c r="V194" s="131"/>
      <c r="W194" s="131"/>
      <c r="X194" s="131"/>
      <c r="Y194" s="131"/>
      <c r="Z194" s="131"/>
    </row>
    <row r="195">
      <c r="A195" s="99" t="s">
        <v>1635</v>
      </c>
      <c r="B195" s="146" t="s">
        <v>123</v>
      </c>
      <c r="C195" s="128" t="s">
        <v>1376</v>
      </c>
      <c r="D195" s="128" t="s">
        <v>1376</v>
      </c>
      <c r="E195" s="129" t="s">
        <v>1096</v>
      </c>
      <c r="F195" s="129" t="s">
        <v>1096</v>
      </c>
      <c r="G195" s="129" t="s">
        <v>1096</v>
      </c>
      <c r="H195" s="127"/>
      <c r="I195" s="99"/>
      <c r="J195" s="131"/>
      <c r="K195" s="131"/>
      <c r="L195" s="131"/>
      <c r="M195" s="131"/>
      <c r="N195" s="131"/>
      <c r="O195" s="131"/>
      <c r="P195" s="131"/>
      <c r="Q195" s="131"/>
      <c r="R195" s="131"/>
      <c r="S195" s="131"/>
      <c r="T195" s="131"/>
      <c r="U195" s="131"/>
      <c r="V195" s="131"/>
      <c r="W195" s="131"/>
      <c r="X195" s="131"/>
      <c r="Y195" s="131"/>
      <c r="Z195" s="131"/>
    </row>
    <row r="196">
      <c r="A196" s="99" t="s">
        <v>1636</v>
      </c>
      <c r="B196" s="146" t="s">
        <v>123</v>
      </c>
      <c r="C196" s="132" t="s">
        <v>1378</v>
      </c>
      <c r="D196" s="129" t="s">
        <v>1096</v>
      </c>
      <c r="E196" s="129" t="s">
        <v>1096</v>
      </c>
      <c r="F196" s="129" t="s">
        <v>1096</v>
      </c>
      <c r="G196" s="129" t="s">
        <v>1096</v>
      </c>
      <c r="H196" s="127"/>
      <c r="I196" s="99"/>
      <c r="J196" s="131"/>
      <c r="K196" s="131"/>
      <c r="L196" s="131"/>
      <c r="M196" s="131"/>
      <c r="N196" s="131"/>
      <c r="O196" s="131"/>
      <c r="P196" s="131"/>
      <c r="Q196" s="131"/>
      <c r="R196" s="131"/>
      <c r="S196" s="131"/>
      <c r="T196" s="131"/>
      <c r="U196" s="131"/>
      <c r="V196" s="131"/>
      <c r="W196" s="131"/>
      <c r="X196" s="131"/>
      <c r="Y196" s="131"/>
      <c r="Z196" s="131"/>
    </row>
    <row r="197">
      <c r="A197" s="99" t="s">
        <v>1637</v>
      </c>
      <c r="B197" s="146" t="s">
        <v>123</v>
      </c>
      <c r="C197" s="132" t="s">
        <v>1378</v>
      </c>
      <c r="D197" s="129" t="s">
        <v>1096</v>
      </c>
      <c r="E197" s="129" t="s">
        <v>1096</v>
      </c>
      <c r="F197" s="128" t="s">
        <v>1376</v>
      </c>
      <c r="G197" s="128" t="s">
        <v>1376</v>
      </c>
      <c r="H197" s="127"/>
      <c r="I197" s="99"/>
      <c r="J197" s="131"/>
      <c r="K197" s="131"/>
      <c r="L197" s="131"/>
      <c r="M197" s="131"/>
      <c r="N197" s="131"/>
      <c r="O197" s="131"/>
      <c r="P197" s="131"/>
      <c r="Q197" s="131"/>
      <c r="R197" s="131"/>
      <c r="S197" s="131"/>
      <c r="T197" s="131"/>
      <c r="U197" s="131"/>
      <c r="V197" s="131"/>
      <c r="W197" s="131"/>
      <c r="X197" s="131"/>
      <c r="Y197" s="131"/>
      <c r="Z197" s="131"/>
    </row>
    <row r="198">
      <c r="A198" s="99" t="s">
        <v>1638</v>
      </c>
      <c r="B198" s="146" t="s">
        <v>123</v>
      </c>
      <c r="C198" s="132" t="s">
        <v>1378</v>
      </c>
      <c r="D198" s="128" t="s">
        <v>1376</v>
      </c>
      <c r="E198" s="128" t="s">
        <v>1376</v>
      </c>
      <c r="F198" s="129" t="s">
        <v>1096</v>
      </c>
      <c r="G198" s="129" t="s">
        <v>1096</v>
      </c>
      <c r="H198" s="127"/>
      <c r="I198" s="99"/>
      <c r="J198" s="131"/>
      <c r="K198" s="131"/>
      <c r="L198" s="131"/>
      <c r="M198" s="131"/>
      <c r="N198" s="131"/>
      <c r="O198" s="131"/>
      <c r="P198" s="131"/>
      <c r="Q198" s="131"/>
      <c r="R198" s="131"/>
      <c r="S198" s="131"/>
      <c r="T198" s="131"/>
      <c r="U198" s="131"/>
      <c r="V198" s="131"/>
      <c r="W198" s="131"/>
      <c r="X198" s="131"/>
      <c r="Y198" s="131"/>
      <c r="Z198" s="131"/>
    </row>
    <row r="199">
      <c r="A199" s="99" t="s">
        <v>1639</v>
      </c>
      <c r="B199" s="146" t="s">
        <v>123</v>
      </c>
      <c r="C199" s="128" t="s">
        <v>1376</v>
      </c>
      <c r="D199" s="128" t="s">
        <v>1376</v>
      </c>
      <c r="E199" s="128" t="s">
        <v>1376</v>
      </c>
      <c r="F199" s="128" t="s">
        <v>1376</v>
      </c>
      <c r="G199" s="129" t="s">
        <v>1096</v>
      </c>
      <c r="H199" s="127"/>
      <c r="I199" s="99"/>
      <c r="J199" s="131"/>
      <c r="K199" s="131"/>
      <c r="L199" s="131"/>
      <c r="M199" s="131"/>
      <c r="N199" s="131"/>
      <c r="O199" s="131"/>
      <c r="P199" s="131"/>
      <c r="Q199" s="131"/>
      <c r="R199" s="131"/>
      <c r="S199" s="131"/>
      <c r="T199" s="131"/>
      <c r="U199" s="131"/>
      <c r="V199" s="131"/>
      <c r="W199" s="131"/>
      <c r="X199" s="131"/>
      <c r="Y199" s="131"/>
      <c r="Z199" s="131"/>
    </row>
    <row r="200">
      <c r="A200" s="99" t="s">
        <v>1640</v>
      </c>
      <c r="B200" s="146" t="s">
        <v>123</v>
      </c>
      <c r="C200" s="132" t="s">
        <v>1378</v>
      </c>
      <c r="D200" s="129" t="s">
        <v>1096</v>
      </c>
      <c r="E200" s="129" t="s">
        <v>1096</v>
      </c>
      <c r="F200" s="129" t="s">
        <v>1096</v>
      </c>
      <c r="G200" s="129" t="s">
        <v>1096</v>
      </c>
      <c r="H200" s="127"/>
      <c r="I200" s="99"/>
      <c r="J200" s="131"/>
      <c r="K200" s="131"/>
      <c r="L200" s="131"/>
      <c r="M200" s="131"/>
      <c r="N200" s="131"/>
      <c r="O200" s="131"/>
      <c r="P200" s="131"/>
      <c r="Q200" s="131"/>
      <c r="R200" s="131"/>
      <c r="S200" s="131"/>
      <c r="T200" s="131"/>
      <c r="U200" s="131"/>
      <c r="V200" s="131"/>
      <c r="W200" s="131"/>
      <c r="X200" s="131"/>
      <c r="Y200" s="131"/>
      <c r="Z200" s="131"/>
    </row>
    <row r="201">
      <c r="A201" s="99" t="s">
        <v>1641</v>
      </c>
      <c r="B201" s="146" t="s">
        <v>123</v>
      </c>
      <c r="C201" s="132" t="s">
        <v>1378</v>
      </c>
      <c r="D201" s="129" t="s">
        <v>1096</v>
      </c>
      <c r="E201" s="129" t="s">
        <v>1096</v>
      </c>
      <c r="F201" s="129" t="s">
        <v>1096</v>
      </c>
      <c r="G201" s="128" t="s">
        <v>1376</v>
      </c>
      <c r="H201" s="127"/>
      <c r="I201" s="99"/>
      <c r="J201" s="131"/>
      <c r="K201" s="131"/>
      <c r="L201" s="131"/>
      <c r="M201" s="131"/>
      <c r="N201" s="131"/>
      <c r="O201" s="131"/>
      <c r="P201" s="131"/>
      <c r="Q201" s="131"/>
      <c r="R201" s="131"/>
      <c r="S201" s="131"/>
      <c r="T201" s="131"/>
      <c r="U201" s="131"/>
      <c r="V201" s="131"/>
      <c r="W201" s="131"/>
      <c r="X201" s="131"/>
      <c r="Y201" s="131"/>
      <c r="Z201" s="131"/>
    </row>
    <row r="202">
      <c r="A202" s="99" t="s">
        <v>1642</v>
      </c>
      <c r="B202" s="146" t="s">
        <v>123</v>
      </c>
      <c r="C202" s="132" t="s">
        <v>1378</v>
      </c>
      <c r="D202" s="128" t="s">
        <v>1376</v>
      </c>
      <c r="E202" s="129" t="s">
        <v>1096</v>
      </c>
      <c r="F202" s="128" t="s">
        <v>1376</v>
      </c>
      <c r="G202" s="128" t="s">
        <v>1376</v>
      </c>
      <c r="H202" s="127"/>
      <c r="I202" s="99"/>
      <c r="J202" s="131"/>
      <c r="K202" s="131"/>
      <c r="L202" s="131"/>
      <c r="M202" s="131"/>
      <c r="N202" s="131"/>
      <c r="O202" s="131"/>
      <c r="P202" s="131"/>
      <c r="Q202" s="131"/>
      <c r="R202" s="131"/>
      <c r="S202" s="131"/>
      <c r="T202" s="131"/>
      <c r="U202" s="131"/>
      <c r="V202" s="131"/>
      <c r="W202" s="131"/>
      <c r="X202" s="131"/>
      <c r="Y202" s="131"/>
      <c r="Z202" s="131"/>
    </row>
    <row r="203">
      <c r="A203" s="99" t="s">
        <v>1643</v>
      </c>
      <c r="B203" s="146" t="s">
        <v>123</v>
      </c>
      <c r="C203" s="128" t="s">
        <v>1376</v>
      </c>
      <c r="D203" s="129" t="s">
        <v>1096</v>
      </c>
      <c r="E203" s="129" t="s">
        <v>1096</v>
      </c>
      <c r="F203" s="129" t="s">
        <v>1096</v>
      </c>
      <c r="G203" s="129" t="s">
        <v>1096</v>
      </c>
      <c r="H203" s="127"/>
      <c r="I203" s="99"/>
      <c r="J203" s="131"/>
      <c r="K203" s="131"/>
      <c r="L203" s="131"/>
      <c r="M203" s="131"/>
      <c r="N203" s="131"/>
      <c r="O203" s="131"/>
      <c r="P203" s="131"/>
      <c r="Q203" s="131"/>
      <c r="R203" s="131"/>
      <c r="S203" s="131"/>
      <c r="T203" s="131"/>
      <c r="U203" s="131"/>
      <c r="V203" s="131"/>
      <c r="W203" s="131"/>
      <c r="X203" s="131"/>
      <c r="Y203" s="131"/>
      <c r="Z203" s="131"/>
    </row>
    <row r="204">
      <c r="A204" s="99" t="s">
        <v>1644</v>
      </c>
      <c r="B204" s="146" t="s">
        <v>123</v>
      </c>
      <c r="C204" s="132" t="s">
        <v>1378</v>
      </c>
      <c r="D204" s="129" t="s">
        <v>1096</v>
      </c>
      <c r="E204" s="129" t="s">
        <v>1096</v>
      </c>
      <c r="F204" s="128" t="s">
        <v>1376</v>
      </c>
      <c r="G204" s="128" t="s">
        <v>1376</v>
      </c>
      <c r="H204" s="127"/>
      <c r="I204" s="99"/>
      <c r="J204" s="131"/>
      <c r="K204" s="131"/>
      <c r="L204" s="131"/>
      <c r="M204" s="131"/>
      <c r="N204" s="131"/>
      <c r="O204" s="131"/>
      <c r="P204" s="131"/>
      <c r="Q204" s="131"/>
      <c r="R204" s="131"/>
      <c r="S204" s="131"/>
      <c r="T204" s="131"/>
      <c r="U204" s="131"/>
      <c r="V204" s="131"/>
      <c r="W204" s="131"/>
      <c r="X204" s="131"/>
      <c r="Y204" s="131"/>
      <c r="Z204" s="131"/>
    </row>
    <row r="205">
      <c r="A205" s="99" t="s">
        <v>1645</v>
      </c>
      <c r="B205" s="146" t="s">
        <v>123</v>
      </c>
      <c r="C205" s="132" t="s">
        <v>1378</v>
      </c>
      <c r="D205" s="129" t="s">
        <v>1096</v>
      </c>
      <c r="E205" s="129" t="s">
        <v>1096</v>
      </c>
      <c r="F205" s="145" t="s">
        <v>1387</v>
      </c>
      <c r="G205" s="129" t="s">
        <v>1096</v>
      </c>
      <c r="H205" s="127"/>
      <c r="I205" s="99"/>
      <c r="J205" s="131"/>
      <c r="K205" s="131"/>
      <c r="L205" s="131"/>
      <c r="M205" s="131"/>
      <c r="N205" s="131"/>
      <c r="O205" s="131"/>
      <c r="P205" s="131"/>
      <c r="Q205" s="131"/>
      <c r="R205" s="131"/>
      <c r="S205" s="131"/>
      <c r="T205" s="131"/>
      <c r="U205" s="131"/>
      <c r="V205" s="131"/>
      <c r="W205" s="131"/>
      <c r="X205" s="131"/>
      <c r="Y205" s="131"/>
      <c r="Z205" s="131"/>
    </row>
    <row r="206">
      <c r="A206" s="99" t="s">
        <v>1646</v>
      </c>
      <c r="B206" s="146" t="s">
        <v>123</v>
      </c>
      <c r="C206" s="132" t="s">
        <v>1378</v>
      </c>
      <c r="D206" s="128" t="s">
        <v>1376</v>
      </c>
      <c r="E206" s="129" t="s">
        <v>1096</v>
      </c>
      <c r="F206" s="129" t="s">
        <v>1096</v>
      </c>
      <c r="G206" s="129" t="s">
        <v>1096</v>
      </c>
      <c r="H206" s="127"/>
      <c r="I206" s="99"/>
      <c r="J206" s="131"/>
      <c r="K206" s="131"/>
      <c r="L206" s="131"/>
      <c r="M206" s="131"/>
      <c r="N206" s="131"/>
      <c r="O206" s="131"/>
      <c r="P206" s="131"/>
      <c r="Q206" s="131"/>
      <c r="R206" s="131"/>
      <c r="S206" s="131"/>
      <c r="T206" s="131"/>
      <c r="U206" s="131"/>
      <c r="V206" s="131"/>
      <c r="W206" s="131"/>
      <c r="X206" s="131"/>
      <c r="Y206" s="131"/>
      <c r="Z206" s="131"/>
    </row>
    <row r="207">
      <c r="A207" s="99" t="s">
        <v>1647</v>
      </c>
      <c r="B207" s="146" t="s">
        <v>123</v>
      </c>
      <c r="C207" s="128" t="s">
        <v>1376</v>
      </c>
      <c r="D207" s="128" t="s">
        <v>1376</v>
      </c>
      <c r="E207" s="128" t="s">
        <v>1376</v>
      </c>
      <c r="F207" s="129" t="s">
        <v>1096</v>
      </c>
      <c r="G207" s="129" t="s">
        <v>1096</v>
      </c>
      <c r="H207" s="127"/>
      <c r="I207" s="99"/>
      <c r="J207" s="131"/>
      <c r="K207" s="131"/>
      <c r="L207" s="131"/>
      <c r="M207" s="131"/>
      <c r="N207" s="131"/>
      <c r="O207" s="131"/>
      <c r="P207" s="131"/>
      <c r="Q207" s="131"/>
      <c r="R207" s="131"/>
      <c r="S207" s="131"/>
      <c r="T207" s="131"/>
      <c r="U207" s="131"/>
      <c r="V207" s="131"/>
      <c r="W207" s="131"/>
      <c r="X207" s="131"/>
      <c r="Y207" s="131"/>
      <c r="Z207" s="131"/>
    </row>
    <row r="208">
      <c r="A208" s="99" t="s">
        <v>1648</v>
      </c>
      <c r="B208" s="146" t="s">
        <v>123</v>
      </c>
      <c r="C208" s="132" t="s">
        <v>1378</v>
      </c>
      <c r="D208" s="129" t="s">
        <v>1096</v>
      </c>
      <c r="E208" s="129" t="s">
        <v>1096</v>
      </c>
      <c r="F208" s="128" t="s">
        <v>1376</v>
      </c>
      <c r="G208" s="128" t="s">
        <v>1376</v>
      </c>
      <c r="H208" s="127"/>
      <c r="I208" s="99"/>
      <c r="J208" s="131"/>
      <c r="K208" s="131"/>
      <c r="L208" s="131"/>
      <c r="M208" s="131"/>
      <c r="N208" s="131"/>
      <c r="O208" s="131"/>
      <c r="P208" s="131"/>
      <c r="Q208" s="131"/>
      <c r="R208" s="131"/>
      <c r="S208" s="131"/>
      <c r="T208" s="131"/>
      <c r="U208" s="131"/>
      <c r="V208" s="131"/>
      <c r="W208" s="131"/>
      <c r="X208" s="131"/>
      <c r="Y208" s="131"/>
      <c r="Z208" s="131"/>
    </row>
    <row r="209">
      <c r="A209" s="99" t="s">
        <v>1649</v>
      </c>
      <c r="B209" s="146" t="s">
        <v>123</v>
      </c>
      <c r="C209" s="132" t="s">
        <v>1378</v>
      </c>
      <c r="D209" s="129" t="s">
        <v>1096</v>
      </c>
      <c r="E209" s="129" t="s">
        <v>1096</v>
      </c>
      <c r="F209" s="145" t="s">
        <v>1387</v>
      </c>
      <c r="G209" s="129" t="s">
        <v>1096</v>
      </c>
      <c r="H209" s="127"/>
      <c r="I209" s="99"/>
      <c r="J209" s="131"/>
      <c r="K209" s="131"/>
      <c r="L209" s="131"/>
      <c r="M209" s="131"/>
      <c r="N209" s="131"/>
      <c r="O209" s="131"/>
      <c r="P209" s="131"/>
      <c r="Q209" s="131"/>
      <c r="R209" s="131"/>
      <c r="S209" s="131"/>
      <c r="T209" s="131"/>
      <c r="U209" s="131"/>
      <c r="V209" s="131"/>
      <c r="W209" s="131"/>
      <c r="X209" s="131"/>
      <c r="Y209" s="131"/>
      <c r="Z209" s="131"/>
    </row>
    <row r="210">
      <c r="A210" s="99" t="s">
        <v>1650</v>
      </c>
      <c r="B210" s="146" t="s">
        <v>123</v>
      </c>
      <c r="C210" s="132" t="s">
        <v>1378</v>
      </c>
      <c r="D210" s="128" t="s">
        <v>1376</v>
      </c>
      <c r="E210" s="128" t="s">
        <v>1376</v>
      </c>
      <c r="F210" s="129" t="s">
        <v>1096</v>
      </c>
      <c r="G210" s="129" t="s">
        <v>1096</v>
      </c>
      <c r="H210" s="127"/>
      <c r="I210" s="99"/>
      <c r="J210" s="131"/>
      <c r="K210" s="131"/>
      <c r="L210" s="131"/>
      <c r="M210" s="131"/>
      <c r="N210" s="131"/>
      <c r="O210" s="131"/>
      <c r="P210" s="131"/>
      <c r="Q210" s="131"/>
      <c r="R210" s="131"/>
      <c r="S210" s="131"/>
      <c r="T210" s="131"/>
      <c r="U210" s="131"/>
      <c r="V210" s="131"/>
      <c r="W210" s="131"/>
      <c r="X210" s="131"/>
      <c r="Y210" s="131"/>
      <c r="Z210" s="131"/>
    </row>
    <row r="211">
      <c r="A211" s="99" t="s">
        <v>1651</v>
      </c>
      <c r="B211" s="146" t="s">
        <v>123</v>
      </c>
      <c r="C211" s="128" t="s">
        <v>1376</v>
      </c>
      <c r="D211" s="128" t="s">
        <v>1376</v>
      </c>
      <c r="E211" s="128" t="s">
        <v>1376</v>
      </c>
      <c r="F211" s="129" t="s">
        <v>1096</v>
      </c>
      <c r="G211" s="129" t="s">
        <v>1096</v>
      </c>
      <c r="H211" s="127"/>
      <c r="I211" s="99"/>
      <c r="J211" s="131"/>
      <c r="K211" s="131"/>
      <c r="L211" s="131"/>
      <c r="M211" s="131"/>
      <c r="N211" s="131"/>
      <c r="O211" s="131"/>
      <c r="P211" s="131"/>
      <c r="Q211" s="131"/>
      <c r="R211" s="131"/>
      <c r="S211" s="131"/>
      <c r="T211" s="131"/>
      <c r="U211" s="131"/>
      <c r="V211" s="131"/>
      <c r="W211" s="131"/>
      <c r="X211" s="131"/>
      <c r="Y211" s="131"/>
      <c r="Z211" s="131"/>
    </row>
    <row r="212">
      <c r="A212" s="99" t="s">
        <v>1652</v>
      </c>
      <c r="B212" s="146" t="s">
        <v>123</v>
      </c>
      <c r="C212" s="132" t="s">
        <v>1378</v>
      </c>
      <c r="D212" s="100"/>
      <c r="E212" s="100"/>
      <c r="F212" s="100"/>
      <c r="G212" s="100"/>
      <c r="H212" s="127"/>
      <c r="I212" s="99"/>
      <c r="J212" s="131"/>
      <c r="K212" s="131"/>
      <c r="L212" s="131"/>
      <c r="M212" s="131"/>
      <c r="N212" s="131"/>
      <c r="O212" s="131"/>
      <c r="P212" s="131"/>
      <c r="Q212" s="131"/>
      <c r="R212" s="131"/>
      <c r="S212" s="131"/>
      <c r="T212" s="131"/>
      <c r="U212" s="131"/>
      <c r="V212" s="131"/>
      <c r="W212" s="131"/>
      <c r="X212" s="131"/>
      <c r="Y212" s="131"/>
      <c r="Z212" s="131"/>
    </row>
    <row r="213">
      <c r="A213" s="99" t="s">
        <v>1653</v>
      </c>
      <c r="B213" s="146" t="s">
        <v>123</v>
      </c>
      <c r="C213" s="132" t="s">
        <v>1378</v>
      </c>
      <c r="D213" s="100"/>
      <c r="E213" s="100"/>
      <c r="F213" s="100"/>
      <c r="G213" s="100"/>
      <c r="H213" s="127"/>
      <c r="I213" s="99"/>
      <c r="J213" s="131"/>
      <c r="K213" s="131"/>
      <c r="L213" s="131"/>
      <c r="M213" s="131"/>
      <c r="N213" s="131"/>
      <c r="O213" s="131"/>
      <c r="P213" s="131"/>
      <c r="Q213" s="131"/>
      <c r="R213" s="131"/>
      <c r="S213" s="131"/>
      <c r="T213" s="131"/>
      <c r="U213" s="131"/>
      <c r="V213" s="131"/>
      <c r="W213" s="131"/>
      <c r="X213" s="131"/>
      <c r="Y213" s="131"/>
      <c r="Z213" s="131"/>
    </row>
    <row r="214">
      <c r="A214" s="99" t="s">
        <v>1654</v>
      </c>
      <c r="B214" s="146" t="s">
        <v>123</v>
      </c>
      <c r="C214" s="132" t="s">
        <v>1378</v>
      </c>
      <c r="D214" s="100"/>
      <c r="E214" s="100"/>
      <c r="F214" s="100"/>
      <c r="G214" s="100"/>
      <c r="H214" s="127"/>
      <c r="I214" s="99"/>
      <c r="J214" s="131"/>
      <c r="K214" s="131"/>
      <c r="L214" s="131"/>
      <c r="M214" s="131"/>
      <c r="N214" s="131"/>
      <c r="O214" s="131"/>
      <c r="P214" s="131"/>
      <c r="Q214" s="131"/>
      <c r="R214" s="131"/>
      <c r="S214" s="131"/>
      <c r="T214" s="131"/>
      <c r="U214" s="131"/>
      <c r="V214" s="131"/>
      <c r="W214" s="131"/>
      <c r="X214" s="131"/>
      <c r="Y214" s="131"/>
      <c r="Z214" s="131"/>
    </row>
    <row r="215">
      <c r="A215" s="99" t="s">
        <v>1655</v>
      </c>
      <c r="B215" s="146" t="s">
        <v>123</v>
      </c>
      <c r="C215" s="128" t="s">
        <v>1376</v>
      </c>
      <c r="D215" s="100"/>
      <c r="E215" s="100"/>
      <c r="F215" s="100"/>
      <c r="G215" s="100"/>
      <c r="H215" s="127"/>
      <c r="I215" s="99"/>
      <c r="J215" s="131"/>
      <c r="K215" s="131"/>
      <c r="L215" s="131"/>
      <c r="M215" s="131"/>
      <c r="N215" s="131"/>
      <c r="O215" s="131"/>
      <c r="P215" s="131"/>
      <c r="Q215" s="131"/>
      <c r="R215" s="131"/>
      <c r="S215" s="131"/>
      <c r="T215" s="131"/>
      <c r="U215" s="131"/>
      <c r="V215" s="131"/>
      <c r="W215" s="131"/>
      <c r="X215" s="131"/>
      <c r="Y215" s="131"/>
      <c r="Z215" s="131"/>
    </row>
    <row r="216">
      <c r="A216" s="99" t="s">
        <v>1656</v>
      </c>
      <c r="B216" s="146" t="s">
        <v>123</v>
      </c>
      <c r="C216" s="132" t="s">
        <v>1378</v>
      </c>
      <c r="D216" s="100"/>
      <c r="E216" s="100"/>
      <c r="F216" s="100"/>
      <c r="G216" s="100"/>
      <c r="H216" s="127"/>
      <c r="I216" s="99"/>
      <c r="J216" s="131"/>
      <c r="K216" s="131"/>
      <c r="L216" s="131"/>
      <c r="M216" s="131"/>
      <c r="N216" s="131"/>
      <c r="O216" s="131"/>
      <c r="P216" s="131"/>
      <c r="Q216" s="131"/>
      <c r="R216" s="131"/>
      <c r="S216" s="131"/>
      <c r="T216" s="131"/>
      <c r="U216" s="131"/>
      <c r="V216" s="131"/>
      <c r="W216" s="131"/>
      <c r="X216" s="131"/>
      <c r="Y216" s="131"/>
      <c r="Z216" s="131"/>
    </row>
    <row r="217">
      <c r="A217" s="99" t="s">
        <v>1657</v>
      </c>
      <c r="B217" s="146" t="s">
        <v>123</v>
      </c>
      <c r="C217" s="132" t="s">
        <v>1378</v>
      </c>
      <c r="D217" s="100"/>
      <c r="E217" s="100"/>
      <c r="F217" s="100"/>
      <c r="G217" s="100"/>
      <c r="H217" s="127"/>
      <c r="I217" s="99"/>
      <c r="J217" s="131"/>
      <c r="K217" s="131"/>
      <c r="L217" s="131"/>
      <c r="M217" s="131"/>
      <c r="N217" s="131"/>
      <c r="O217" s="131"/>
      <c r="P217" s="131"/>
      <c r="Q217" s="131"/>
      <c r="R217" s="131"/>
      <c r="S217" s="131"/>
      <c r="T217" s="131"/>
      <c r="U217" s="131"/>
      <c r="V217" s="131"/>
      <c r="W217" s="131"/>
      <c r="X217" s="131"/>
      <c r="Y217" s="131"/>
      <c r="Z217" s="131"/>
    </row>
    <row r="218">
      <c r="A218" s="99" t="s">
        <v>1658</v>
      </c>
      <c r="B218" s="146" t="s">
        <v>123</v>
      </c>
      <c r="C218" s="132" t="s">
        <v>1378</v>
      </c>
      <c r="D218" s="100"/>
      <c r="E218" s="100"/>
      <c r="F218" s="100"/>
      <c r="G218" s="100"/>
      <c r="H218" s="127"/>
      <c r="I218" s="99"/>
      <c r="J218" s="131"/>
      <c r="K218" s="131"/>
      <c r="L218" s="131"/>
      <c r="M218" s="131"/>
      <c r="N218" s="131"/>
      <c r="O218" s="131"/>
      <c r="P218" s="131"/>
      <c r="Q218" s="131"/>
      <c r="R218" s="131"/>
      <c r="S218" s="131"/>
      <c r="T218" s="131"/>
      <c r="U218" s="131"/>
      <c r="V218" s="131"/>
      <c r="W218" s="131"/>
      <c r="X218" s="131"/>
      <c r="Y218" s="131"/>
      <c r="Z218" s="131"/>
    </row>
    <row r="219">
      <c r="A219" s="99" t="s">
        <v>1659</v>
      </c>
      <c r="B219" s="146" t="s">
        <v>123</v>
      </c>
      <c r="C219" s="128" t="s">
        <v>1376</v>
      </c>
      <c r="D219" s="100"/>
      <c r="E219" s="100"/>
      <c r="F219" s="100"/>
      <c r="G219" s="100"/>
      <c r="H219" s="127"/>
      <c r="I219" s="99"/>
      <c r="J219" s="131"/>
      <c r="K219" s="131"/>
      <c r="L219" s="131"/>
      <c r="M219" s="131"/>
      <c r="N219" s="131"/>
      <c r="O219" s="131"/>
      <c r="P219" s="131"/>
      <c r="Q219" s="131"/>
      <c r="R219" s="131"/>
      <c r="S219" s="131"/>
      <c r="T219" s="131"/>
      <c r="U219" s="131"/>
      <c r="V219" s="131"/>
      <c r="W219" s="131"/>
      <c r="X219" s="131"/>
      <c r="Y219" s="131"/>
      <c r="Z219" s="131"/>
    </row>
    <row r="220">
      <c r="A220" s="99" t="s">
        <v>1660</v>
      </c>
      <c r="B220" s="146" t="s">
        <v>123</v>
      </c>
      <c r="C220" s="132" t="s">
        <v>1378</v>
      </c>
      <c r="D220" s="100"/>
      <c r="E220" s="100"/>
      <c r="F220" s="100"/>
      <c r="G220" s="100"/>
      <c r="H220" s="127"/>
      <c r="I220" s="99"/>
      <c r="J220" s="131"/>
      <c r="K220" s="131"/>
      <c r="L220" s="131"/>
      <c r="M220" s="131"/>
      <c r="N220" s="131"/>
      <c r="O220" s="131"/>
      <c r="P220" s="131"/>
      <c r="Q220" s="131"/>
      <c r="R220" s="131"/>
      <c r="S220" s="131"/>
      <c r="T220" s="131"/>
      <c r="U220" s="131"/>
      <c r="V220" s="131"/>
      <c r="W220" s="131"/>
      <c r="X220" s="131"/>
      <c r="Y220" s="131"/>
      <c r="Z220" s="131"/>
    </row>
    <row r="221">
      <c r="A221" s="99" t="s">
        <v>1661</v>
      </c>
      <c r="B221" s="146" t="s">
        <v>123</v>
      </c>
      <c r="C221" s="132" t="s">
        <v>1378</v>
      </c>
      <c r="D221" s="100"/>
      <c r="E221" s="100"/>
      <c r="F221" s="100"/>
      <c r="G221" s="100"/>
      <c r="H221" s="127"/>
      <c r="I221" s="99"/>
      <c r="J221" s="131"/>
      <c r="K221" s="131"/>
      <c r="L221" s="131"/>
      <c r="M221" s="131"/>
      <c r="N221" s="131"/>
      <c r="O221" s="131"/>
      <c r="P221" s="131"/>
      <c r="Q221" s="131"/>
      <c r="R221" s="131"/>
      <c r="S221" s="131"/>
      <c r="T221" s="131"/>
      <c r="U221" s="131"/>
      <c r="V221" s="131"/>
      <c r="W221" s="131"/>
      <c r="X221" s="131"/>
      <c r="Y221" s="131"/>
      <c r="Z221" s="131"/>
    </row>
    <row r="222">
      <c r="A222" s="99" t="s">
        <v>1662</v>
      </c>
      <c r="B222" s="146" t="s">
        <v>123</v>
      </c>
      <c r="C222" s="132" t="s">
        <v>1378</v>
      </c>
      <c r="D222" s="100"/>
      <c r="E222" s="100"/>
      <c r="F222" s="100"/>
      <c r="G222" s="100"/>
      <c r="H222" s="127"/>
      <c r="I222" s="99"/>
      <c r="J222" s="131"/>
      <c r="K222" s="131"/>
      <c r="L222" s="131"/>
      <c r="M222" s="131"/>
      <c r="N222" s="131"/>
      <c r="O222" s="131"/>
      <c r="P222" s="131"/>
      <c r="Q222" s="131"/>
      <c r="R222" s="131"/>
      <c r="S222" s="131"/>
      <c r="T222" s="131"/>
      <c r="U222" s="131"/>
      <c r="V222" s="131"/>
      <c r="W222" s="131"/>
      <c r="X222" s="131"/>
      <c r="Y222" s="131"/>
      <c r="Z222" s="131"/>
    </row>
    <row r="223">
      <c r="A223" s="99" t="s">
        <v>1663</v>
      </c>
      <c r="B223" s="146" t="s">
        <v>123</v>
      </c>
      <c r="C223" s="128" t="s">
        <v>1376</v>
      </c>
      <c r="D223" s="100"/>
      <c r="E223" s="100"/>
      <c r="F223" s="100"/>
      <c r="G223" s="100"/>
      <c r="H223" s="127"/>
      <c r="I223" s="99"/>
      <c r="J223" s="131"/>
      <c r="K223" s="131"/>
      <c r="L223" s="131"/>
      <c r="M223" s="131"/>
      <c r="N223" s="131"/>
      <c r="O223" s="131"/>
      <c r="P223" s="131"/>
      <c r="Q223" s="131"/>
      <c r="R223" s="131"/>
      <c r="S223" s="131"/>
      <c r="T223" s="131"/>
      <c r="U223" s="131"/>
      <c r="V223" s="131"/>
      <c r="W223" s="131"/>
      <c r="X223" s="131"/>
      <c r="Y223" s="131"/>
      <c r="Z223" s="131"/>
    </row>
    <row r="224">
      <c r="A224" s="99" t="s">
        <v>1664</v>
      </c>
      <c r="B224" s="146" t="s">
        <v>123</v>
      </c>
      <c r="C224" s="132" t="s">
        <v>1378</v>
      </c>
      <c r="D224" s="100"/>
      <c r="E224" s="100"/>
      <c r="F224" s="100"/>
      <c r="G224" s="100"/>
      <c r="H224" s="127"/>
      <c r="I224" s="99"/>
      <c r="J224" s="131"/>
      <c r="K224" s="131"/>
      <c r="L224" s="131"/>
      <c r="M224" s="131"/>
      <c r="N224" s="131"/>
      <c r="O224" s="131"/>
      <c r="P224" s="131"/>
      <c r="Q224" s="131"/>
      <c r="R224" s="131"/>
      <c r="S224" s="131"/>
      <c r="T224" s="131"/>
      <c r="U224" s="131"/>
      <c r="V224" s="131"/>
      <c r="W224" s="131"/>
      <c r="X224" s="131"/>
      <c r="Y224" s="131"/>
      <c r="Z224" s="131"/>
    </row>
    <row r="225">
      <c r="A225" s="99" t="s">
        <v>1665</v>
      </c>
      <c r="B225" s="146" t="s">
        <v>123</v>
      </c>
      <c r="C225" s="132" t="s">
        <v>1378</v>
      </c>
      <c r="D225" s="100"/>
      <c r="E225" s="100"/>
      <c r="F225" s="100"/>
      <c r="G225" s="100"/>
      <c r="H225" s="127"/>
      <c r="I225" s="99"/>
      <c r="J225" s="131"/>
      <c r="K225" s="131"/>
      <c r="L225" s="131"/>
      <c r="M225" s="131"/>
      <c r="N225" s="131"/>
      <c r="O225" s="131"/>
      <c r="P225" s="131"/>
      <c r="Q225" s="131"/>
      <c r="R225" s="131"/>
      <c r="S225" s="131"/>
      <c r="T225" s="131"/>
      <c r="U225" s="131"/>
      <c r="V225" s="131"/>
      <c r="W225" s="131"/>
      <c r="X225" s="131"/>
      <c r="Y225" s="131"/>
      <c r="Z225" s="131"/>
    </row>
    <row r="226">
      <c r="A226" s="99" t="s">
        <v>1666</v>
      </c>
      <c r="B226" s="146" t="s">
        <v>123</v>
      </c>
      <c r="C226" s="132" t="s">
        <v>1378</v>
      </c>
      <c r="D226" s="100"/>
      <c r="E226" s="100"/>
      <c r="F226" s="100"/>
      <c r="G226" s="100"/>
      <c r="H226" s="127"/>
      <c r="I226" s="99"/>
      <c r="J226" s="131"/>
      <c r="K226" s="131"/>
      <c r="L226" s="131"/>
      <c r="M226" s="131"/>
      <c r="N226" s="131"/>
      <c r="O226" s="131"/>
      <c r="P226" s="131"/>
      <c r="Q226" s="131"/>
      <c r="R226" s="131"/>
      <c r="S226" s="131"/>
      <c r="T226" s="131"/>
      <c r="U226" s="131"/>
      <c r="V226" s="131"/>
      <c r="W226" s="131"/>
      <c r="X226" s="131"/>
      <c r="Y226" s="131"/>
      <c r="Z226" s="131"/>
    </row>
    <row r="227">
      <c r="A227" s="99" t="s">
        <v>1667</v>
      </c>
      <c r="B227" s="146" t="s">
        <v>123</v>
      </c>
      <c r="C227" s="128" t="s">
        <v>1376</v>
      </c>
      <c r="D227" s="129" t="s">
        <v>1096</v>
      </c>
      <c r="E227" s="129" t="s">
        <v>1096</v>
      </c>
      <c r="F227" s="128" t="s">
        <v>1376</v>
      </c>
      <c r="G227" s="128" t="s">
        <v>1376</v>
      </c>
      <c r="H227" s="127"/>
      <c r="I227" s="99"/>
      <c r="J227" s="131"/>
      <c r="K227" s="131"/>
      <c r="L227" s="131"/>
      <c r="M227" s="131"/>
      <c r="N227" s="131"/>
      <c r="O227" s="131"/>
      <c r="P227" s="131"/>
      <c r="Q227" s="131"/>
      <c r="R227" s="131"/>
      <c r="S227" s="131"/>
      <c r="T227" s="131"/>
      <c r="U227" s="131"/>
      <c r="V227" s="131"/>
      <c r="W227" s="131"/>
      <c r="X227" s="131"/>
      <c r="Y227" s="131"/>
      <c r="Z227" s="131"/>
    </row>
    <row r="228">
      <c r="A228" s="99" t="s">
        <v>1668</v>
      </c>
      <c r="B228" s="146" t="s">
        <v>123</v>
      </c>
      <c r="C228" s="132" t="s">
        <v>1378</v>
      </c>
      <c r="D228" s="128" t="s">
        <v>1376</v>
      </c>
      <c r="E228" s="128" t="s">
        <v>1376</v>
      </c>
      <c r="F228" s="145" t="s">
        <v>1569</v>
      </c>
      <c r="G228" s="128" t="s">
        <v>1376</v>
      </c>
      <c r="H228" s="127"/>
      <c r="I228" s="99"/>
      <c r="J228" s="131"/>
      <c r="K228" s="131"/>
      <c r="L228" s="131"/>
      <c r="M228" s="131"/>
      <c r="N228" s="131"/>
      <c r="O228" s="131"/>
      <c r="P228" s="131"/>
      <c r="Q228" s="131"/>
      <c r="R228" s="131"/>
      <c r="S228" s="131"/>
      <c r="T228" s="131"/>
      <c r="U228" s="131"/>
      <c r="V228" s="131"/>
      <c r="W228" s="131"/>
      <c r="X228" s="131"/>
      <c r="Y228" s="131"/>
      <c r="Z228" s="131"/>
    </row>
    <row r="229">
      <c r="A229" s="99" t="s">
        <v>1669</v>
      </c>
      <c r="B229" s="146" t="s">
        <v>123</v>
      </c>
      <c r="C229" s="132" t="s">
        <v>1378</v>
      </c>
      <c r="D229" s="129" t="s">
        <v>1096</v>
      </c>
      <c r="E229" s="129" t="s">
        <v>1096</v>
      </c>
      <c r="F229" s="129" t="s">
        <v>1096</v>
      </c>
      <c r="G229" s="129" t="s">
        <v>1096</v>
      </c>
      <c r="H229" s="127"/>
      <c r="I229" s="99"/>
      <c r="J229" s="131"/>
      <c r="K229" s="131"/>
      <c r="L229" s="131"/>
      <c r="M229" s="131"/>
      <c r="N229" s="131"/>
      <c r="O229" s="131"/>
      <c r="P229" s="131"/>
      <c r="Q229" s="131"/>
      <c r="R229" s="131"/>
      <c r="S229" s="131"/>
      <c r="T229" s="131"/>
      <c r="U229" s="131"/>
      <c r="V229" s="131"/>
      <c r="W229" s="131"/>
      <c r="X229" s="131"/>
      <c r="Y229" s="131"/>
      <c r="Z229" s="131"/>
    </row>
    <row r="230">
      <c r="A230" s="99" t="s">
        <v>1670</v>
      </c>
      <c r="B230" s="146" t="s">
        <v>123</v>
      </c>
      <c r="C230" s="132" t="s">
        <v>1378</v>
      </c>
      <c r="D230" s="129" t="s">
        <v>1096</v>
      </c>
      <c r="E230" s="129" t="s">
        <v>1096</v>
      </c>
      <c r="F230" s="129" t="s">
        <v>1096</v>
      </c>
      <c r="G230" s="129" t="s">
        <v>1096</v>
      </c>
      <c r="H230" s="127"/>
      <c r="I230" s="99"/>
      <c r="J230" s="131"/>
      <c r="K230" s="131"/>
      <c r="L230" s="131"/>
      <c r="M230" s="131"/>
      <c r="N230" s="131"/>
      <c r="O230" s="131"/>
      <c r="P230" s="131"/>
      <c r="Q230" s="131"/>
      <c r="R230" s="131"/>
      <c r="S230" s="131"/>
      <c r="T230" s="131"/>
      <c r="U230" s="131"/>
      <c r="V230" s="131"/>
      <c r="W230" s="131"/>
      <c r="X230" s="131"/>
      <c r="Y230" s="131"/>
      <c r="Z230" s="131"/>
    </row>
    <row r="231">
      <c r="A231" s="99" t="s">
        <v>1671</v>
      </c>
      <c r="B231" s="146" t="s">
        <v>123</v>
      </c>
      <c r="C231" s="128" t="s">
        <v>1376</v>
      </c>
      <c r="D231" s="147" t="s">
        <v>1096</v>
      </c>
      <c r="E231" s="147" t="s">
        <v>1096</v>
      </c>
      <c r="F231" s="147" t="s">
        <v>1096</v>
      </c>
      <c r="G231" s="147" t="s">
        <v>1096</v>
      </c>
      <c r="H231" s="127"/>
      <c r="I231" s="99"/>
      <c r="J231" s="131"/>
      <c r="K231" s="131"/>
      <c r="L231" s="131"/>
      <c r="M231" s="131"/>
      <c r="N231" s="131"/>
      <c r="O231" s="131"/>
      <c r="P231" s="131"/>
      <c r="Q231" s="131"/>
      <c r="R231" s="131"/>
      <c r="S231" s="131"/>
      <c r="T231" s="131"/>
      <c r="U231" s="131"/>
      <c r="V231" s="131"/>
      <c r="W231" s="131"/>
      <c r="X231" s="131"/>
      <c r="Y231" s="131"/>
      <c r="Z231" s="131"/>
    </row>
    <row r="232">
      <c r="A232" s="99" t="s">
        <v>1672</v>
      </c>
      <c r="B232" s="146" t="s">
        <v>123</v>
      </c>
      <c r="C232" s="132" t="s">
        <v>1378</v>
      </c>
      <c r="D232" s="129" t="s">
        <v>1096</v>
      </c>
      <c r="E232" s="129" t="s">
        <v>1096</v>
      </c>
      <c r="F232" s="129" t="s">
        <v>1096</v>
      </c>
      <c r="G232" s="129" t="s">
        <v>1096</v>
      </c>
      <c r="H232" s="127"/>
      <c r="I232" s="99"/>
      <c r="J232" s="131"/>
      <c r="K232" s="131"/>
      <c r="L232" s="131"/>
      <c r="M232" s="131"/>
      <c r="N232" s="131"/>
      <c r="O232" s="131"/>
      <c r="P232" s="131"/>
      <c r="Q232" s="131"/>
      <c r="R232" s="131"/>
      <c r="S232" s="131"/>
      <c r="T232" s="131"/>
      <c r="U232" s="131"/>
      <c r="V232" s="131"/>
      <c r="W232" s="131"/>
      <c r="X232" s="131"/>
      <c r="Y232" s="131"/>
      <c r="Z232" s="131"/>
    </row>
    <row r="233">
      <c r="A233" s="99" t="s">
        <v>1673</v>
      </c>
      <c r="B233" s="146" t="s">
        <v>123</v>
      </c>
      <c r="C233" s="132" t="s">
        <v>1378</v>
      </c>
      <c r="D233" s="128" t="s">
        <v>1376</v>
      </c>
      <c r="E233" s="128" t="s">
        <v>1376</v>
      </c>
      <c r="F233" s="129" t="s">
        <v>1096</v>
      </c>
      <c r="G233" s="129" t="s">
        <v>1096</v>
      </c>
      <c r="H233" s="127"/>
      <c r="I233" s="99"/>
      <c r="J233" s="131"/>
      <c r="K233" s="131"/>
      <c r="L233" s="131"/>
      <c r="M233" s="131"/>
      <c r="N233" s="131"/>
      <c r="O233" s="131"/>
      <c r="P233" s="131"/>
      <c r="Q233" s="131"/>
      <c r="R233" s="131"/>
      <c r="S233" s="131"/>
      <c r="T233" s="131"/>
      <c r="U233" s="131"/>
      <c r="V233" s="131"/>
      <c r="W233" s="131"/>
      <c r="X233" s="131"/>
      <c r="Y233" s="131"/>
      <c r="Z233" s="131"/>
    </row>
    <row r="234">
      <c r="A234" s="99" t="s">
        <v>1674</v>
      </c>
      <c r="B234" s="146" t="s">
        <v>123</v>
      </c>
      <c r="C234" s="132" t="s">
        <v>1378</v>
      </c>
      <c r="D234" s="129" t="s">
        <v>1096</v>
      </c>
      <c r="E234" s="129" t="s">
        <v>1096</v>
      </c>
      <c r="F234" s="129" t="s">
        <v>1096</v>
      </c>
      <c r="G234" s="129" t="s">
        <v>1096</v>
      </c>
      <c r="H234" s="127"/>
      <c r="I234" s="99"/>
      <c r="J234" s="131"/>
      <c r="K234" s="131"/>
      <c r="L234" s="131"/>
      <c r="M234" s="131"/>
      <c r="N234" s="131"/>
      <c r="O234" s="131"/>
      <c r="P234" s="131"/>
      <c r="Q234" s="131"/>
      <c r="R234" s="131"/>
      <c r="S234" s="131"/>
      <c r="T234" s="131"/>
      <c r="U234" s="131"/>
      <c r="V234" s="131"/>
      <c r="W234" s="131"/>
      <c r="X234" s="131"/>
      <c r="Y234" s="131"/>
      <c r="Z234" s="131"/>
    </row>
    <row r="235">
      <c r="A235" s="99" t="s">
        <v>1675</v>
      </c>
      <c r="B235" s="146" t="s">
        <v>123</v>
      </c>
      <c r="C235" s="128" t="s">
        <v>1376</v>
      </c>
      <c r="D235" s="129" t="s">
        <v>1096</v>
      </c>
      <c r="E235" s="129" t="s">
        <v>1096</v>
      </c>
      <c r="F235" s="128" t="s">
        <v>1376</v>
      </c>
      <c r="G235" s="128" t="s">
        <v>1376</v>
      </c>
      <c r="H235" s="127"/>
      <c r="I235" s="99"/>
      <c r="J235" s="131"/>
      <c r="K235" s="131"/>
      <c r="L235" s="131"/>
      <c r="M235" s="131"/>
      <c r="N235" s="131"/>
      <c r="O235" s="131"/>
      <c r="P235" s="131"/>
      <c r="Q235" s="131"/>
      <c r="R235" s="131"/>
      <c r="S235" s="131"/>
      <c r="T235" s="131"/>
      <c r="U235" s="131"/>
      <c r="V235" s="131"/>
      <c r="W235" s="131"/>
      <c r="X235" s="131"/>
      <c r="Y235" s="131"/>
      <c r="Z235" s="131"/>
    </row>
    <row r="236">
      <c r="A236" s="99" t="s">
        <v>1676</v>
      </c>
      <c r="B236" s="146" t="s">
        <v>123</v>
      </c>
      <c r="C236" s="132" t="s">
        <v>1378</v>
      </c>
      <c r="D236" s="129" t="s">
        <v>1096</v>
      </c>
      <c r="E236" s="129" t="s">
        <v>1096</v>
      </c>
      <c r="F236" s="128" t="s">
        <v>1376</v>
      </c>
      <c r="G236" s="128" t="s">
        <v>1376</v>
      </c>
      <c r="H236" s="127"/>
      <c r="I236" s="99"/>
      <c r="J236" s="131"/>
      <c r="K236" s="131"/>
      <c r="L236" s="131"/>
      <c r="M236" s="131"/>
      <c r="N236" s="131"/>
      <c r="O236" s="131"/>
      <c r="P236" s="131"/>
      <c r="Q236" s="131"/>
      <c r="R236" s="131"/>
      <c r="S236" s="131"/>
      <c r="T236" s="131"/>
      <c r="U236" s="131"/>
      <c r="V236" s="131"/>
      <c r="W236" s="131"/>
      <c r="X236" s="131"/>
      <c r="Y236" s="131"/>
      <c r="Z236" s="131"/>
    </row>
    <row r="237">
      <c r="A237" s="99" t="s">
        <v>1677</v>
      </c>
      <c r="B237" s="146" t="s">
        <v>123</v>
      </c>
      <c r="C237" s="132" t="s">
        <v>1378</v>
      </c>
      <c r="D237" s="129" t="s">
        <v>1096</v>
      </c>
      <c r="E237" s="129" t="s">
        <v>1096</v>
      </c>
      <c r="F237" s="128" t="s">
        <v>1376</v>
      </c>
      <c r="G237" s="128" t="s">
        <v>1376</v>
      </c>
      <c r="H237" s="127"/>
      <c r="I237" s="99"/>
      <c r="J237" s="131"/>
      <c r="K237" s="131"/>
      <c r="L237" s="131"/>
      <c r="M237" s="131"/>
      <c r="N237" s="131"/>
      <c r="O237" s="131"/>
      <c r="P237" s="131"/>
      <c r="Q237" s="131"/>
      <c r="R237" s="131"/>
      <c r="S237" s="131"/>
      <c r="T237" s="131"/>
      <c r="U237" s="131"/>
      <c r="V237" s="131"/>
      <c r="W237" s="131"/>
      <c r="X237" s="131"/>
      <c r="Y237" s="131"/>
      <c r="Z237" s="131"/>
    </row>
    <row r="238">
      <c r="A238" s="99" t="s">
        <v>1678</v>
      </c>
      <c r="B238" s="146" t="s">
        <v>123</v>
      </c>
      <c r="C238" s="132" t="s">
        <v>1378</v>
      </c>
      <c r="D238" s="129" t="s">
        <v>1096</v>
      </c>
      <c r="E238" s="129" t="s">
        <v>1096</v>
      </c>
      <c r="F238" s="129" t="s">
        <v>1096</v>
      </c>
      <c r="G238" s="129" t="s">
        <v>1096</v>
      </c>
      <c r="H238" s="127"/>
      <c r="I238" s="99"/>
      <c r="J238" s="131"/>
      <c r="K238" s="131"/>
      <c r="L238" s="131"/>
      <c r="M238" s="131"/>
      <c r="N238" s="131"/>
      <c r="O238" s="131"/>
      <c r="P238" s="131"/>
      <c r="Q238" s="131"/>
      <c r="R238" s="131"/>
      <c r="S238" s="131"/>
      <c r="T238" s="131"/>
      <c r="U238" s="131"/>
      <c r="V238" s="131"/>
      <c r="W238" s="131"/>
      <c r="X238" s="131"/>
      <c r="Y238" s="131"/>
      <c r="Z238" s="131"/>
    </row>
    <row r="239">
      <c r="A239" s="99" t="s">
        <v>1679</v>
      </c>
      <c r="B239" s="146" t="s">
        <v>123</v>
      </c>
      <c r="C239" s="128" t="s">
        <v>1376</v>
      </c>
      <c r="D239" s="128" t="s">
        <v>1376</v>
      </c>
      <c r="E239" s="128" t="s">
        <v>1376</v>
      </c>
      <c r="F239" s="129" t="s">
        <v>1096</v>
      </c>
      <c r="G239" s="129" t="s">
        <v>1096</v>
      </c>
      <c r="H239" s="127"/>
      <c r="I239" s="99"/>
      <c r="J239" s="131"/>
      <c r="K239" s="131"/>
      <c r="L239" s="131"/>
      <c r="M239" s="131"/>
      <c r="N239" s="131"/>
      <c r="O239" s="131"/>
      <c r="P239" s="131"/>
      <c r="Q239" s="131"/>
      <c r="R239" s="131"/>
      <c r="S239" s="131"/>
      <c r="T239" s="131"/>
      <c r="U239" s="131"/>
      <c r="V239" s="131"/>
      <c r="W239" s="131"/>
      <c r="X239" s="131"/>
      <c r="Y239" s="131"/>
      <c r="Z239" s="131"/>
    </row>
    <row r="240">
      <c r="A240" s="99" t="s">
        <v>1680</v>
      </c>
      <c r="B240" s="146" t="s">
        <v>123</v>
      </c>
      <c r="C240" s="132" t="s">
        <v>1378</v>
      </c>
      <c r="D240" s="129" t="s">
        <v>1096</v>
      </c>
      <c r="E240" s="129" t="s">
        <v>1096</v>
      </c>
      <c r="F240" s="129" t="s">
        <v>1096</v>
      </c>
      <c r="G240" s="129" t="s">
        <v>1096</v>
      </c>
      <c r="H240" s="127"/>
      <c r="I240" s="99"/>
      <c r="J240" s="131"/>
      <c r="K240" s="131"/>
      <c r="L240" s="131"/>
      <c r="M240" s="131"/>
      <c r="N240" s="131"/>
      <c r="O240" s="131"/>
      <c r="P240" s="131"/>
      <c r="Q240" s="131"/>
      <c r="R240" s="131"/>
      <c r="S240" s="131"/>
      <c r="T240" s="131"/>
      <c r="U240" s="131"/>
      <c r="V240" s="131"/>
      <c r="W240" s="131"/>
      <c r="X240" s="131"/>
      <c r="Y240" s="131"/>
      <c r="Z240" s="131"/>
    </row>
    <row r="241">
      <c r="A241" s="99" t="s">
        <v>1681</v>
      </c>
      <c r="B241" s="146" t="s">
        <v>123</v>
      </c>
      <c r="C241" s="132" t="s">
        <v>1378</v>
      </c>
      <c r="D241" s="129" t="s">
        <v>1096</v>
      </c>
      <c r="E241" s="129" t="s">
        <v>1096</v>
      </c>
      <c r="F241" s="128" t="s">
        <v>1376</v>
      </c>
      <c r="G241" s="128" t="s">
        <v>1376</v>
      </c>
      <c r="H241" s="127"/>
      <c r="I241" s="99"/>
      <c r="J241" s="131"/>
      <c r="K241" s="131"/>
      <c r="L241" s="131"/>
      <c r="M241" s="131"/>
      <c r="N241" s="131"/>
      <c r="O241" s="131"/>
      <c r="P241" s="131"/>
      <c r="Q241" s="131"/>
      <c r="R241" s="131"/>
      <c r="S241" s="131"/>
      <c r="T241" s="131"/>
      <c r="U241" s="131"/>
      <c r="V241" s="131"/>
      <c r="W241" s="131"/>
      <c r="X241" s="131"/>
      <c r="Y241" s="131"/>
      <c r="Z241" s="131"/>
    </row>
    <row r="242">
      <c r="A242" s="99" t="s">
        <v>1682</v>
      </c>
      <c r="B242" s="146" t="s">
        <v>123</v>
      </c>
      <c r="C242" s="132" t="s">
        <v>1378</v>
      </c>
      <c r="D242" s="129" t="s">
        <v>1096</v>
      </c>
      <c r="E242" s="129" t="s">
        <v>1096</v>
      </c>
      <c r="F242" s="129" t="s">
        <v>1096</v>
      </c>
      <c r="G242" s="128" t="s">
        <v>1376</v>
      </c>
      <c r="H242" s="127"/>
      <c r="I242" s="99"/>
      <c r="J242" s="131"/>
      <c r="K242" s="131"/>
      <c r="L242" s="131"/>
      <c r="M242" s="131"/>
      <c r="N242" s="131"/>
      <c r="O242" s="131"/>
      <c r="P242" s="131"/>
      <c r="Q242" s="131"/>
      <c r="R242" s="131"/>
      <c r="S242" s="131"/>
      <c r="T242" s="131"/>
      <c r="U242" s="131"/>
      <c r="V242" s="131"/>
      <c r="W242" s="131"/>
      <c r="X242" s="131"/>
      <c r="Y242" s="131"/>
      <c r="Z242" s="131"/>
    </row>
    <row r="243">
      <c r="A243" s="99" t="s">
        <v>1683</v>
      </c>
      <c r="B243" s="146" t="s">
        <v>123</v>
      </c>
      <c r="C243" s="128" t="s">
        <v>1376</v>
      </c>
      <c r="D243" s="129" t="s">
        <v>1096</v>
      </c>
      <c r="E243" s="129" t="s">
        <v>1096</v>
      </c>
      <c r="F243" s="129" t="s">
        <v>1096</v>
      </c>
      <c r="G243" s="129" t="s">
        <v>1096</v>
      </c>
      <c r="H243" s="127"/>
      <c r="I243" s="99"/>
      <c r="J243" s="131"/>
      <c r="K243" s="131"/>
      <c r="L243" s="131"/>
      <c r="M243" s="131"/>
      <c r="N243" s="131"/>
      <c r="O243" s="131"/>
      <c r="P243" s="131"/>
      <c r="Q243" s="131"/>
      <c r="R243" s="131"/>
      <c r="S243" s="131"/>
      <c r="T243" s="131"/>
      <c r="U243" s="131"/>
      <c r="V243" s="131"/>
      <c r="W243" s="131"/>
      <c r="X243" s="131"/>
      <c r="Y243" s="131"/>
      <c r="Z243" s="131"/>
    </row>
    <row r="244">
      <c r="A244" s="99" t="s">
        <v>1684</v>
      </c>
      <c r="B244" s="146" t="s">
        <v>123</v>
      </c>
      <c r="C244" s="132" t="s">
        <v>1378</v>
      </c>
      <c r="D244" s="129" t="s">
        <v>1096</v>
      </c>
      <c r="E244" s="129" t="s">
        <v>1096</v>
      </c>
      <c r="F244" s="129" t="s">
        <v>1096</v>
      </c>
      <c r="G244" s="129" t="s">
        <v>1096</v>
      </c>
      <c r="H244" s="127"/>
      <c r="I244" s="99"/>
      <c r="J244" s="131"/>
      <c r="K244" s="131"/>
      <c r="L244" s="131"/>
      <c r="M244" s="131"/>
      <c r="N244" s="131"/>
      <c r="O244" s="131"/>
      <c r="P244" s="131"/>
      <c r="Q244" s="131"/>
      <c r="R244" s="131"/>
      <c r="S244" s="131"/>
      <c r="T244" s="131"/>
      <c r="U244" s="131"/>
      <c r="V244" s="131"/>
      <c r="W244" s="131"/>
      <c r="X244" s="131"/>
      <c r="Y244" s="131"/>
      <c r="Z244" s="131"/>
    </row>
    <row r="245">
      <c r="A245" s="99" t="s">
        <v>1685</v>
      </c>
      <c r="B245" s="146" t="s">
        <v>123</v>
      </c>
      <c r="C245" s="132" t="s">
        <v>1378</v>
      </c>
      <c r="D245" s="129" t="s">
        <v>1096</v>
      </c>
      <c r="E245" s="129" t="s">
        <v>1096</v>
      </c>
      <c r="F245" s="129" t="s">
        <v>1096</v>
      </c>
      <c r="G245" s="129" t="s">
        <v>1096</v>
      </c>
      <c r="H245" s="127"/>
      <c r="I245" s="99"/>
      <c r="J245" s="131"/>
      <c r="K245" s="131"/>
      <c r="L245" s="131"/>
      <c r="M245" s="131"/>
      <c r="N245" s="131"/>
      <c r="O245" s="131"/>
      <c r="P245" s="131"/>
      <c r="Q245" s="131"/>
      <c r="R245" s="131"/>
      <c r="S245" s="131"/>
      <c r="T245" s="131"/>
      <c r="U245" s="131"/>
      <c r="V245" s="131"/>
      <c r="W245" s="131"/>
      <c r="X245" s="131"/>
      <c r="Y245" s="131"/>
      <c r="Z245" s="131"/>
    </row>
    <row r="246">
      <c r="A246" s="99" t="s">
        <v>1686</v>
      </c>
      <c r="B246" s="146" t="s">
        <v>123</v>
      </c>
      <c r="C246" s="132" t="s">
        <v>1378</v>
      </c>
      <c r="D246" s="129" t="s">
        <v>1096</v>
      </c>
      <c r="E246" s="129" t="s">
        <v>1096</v>
      </c>
      <c r="F246" s="129" t="s">
        <v>1096</v>
      </c>
      <c r="G246" s="129" t="s">
        <v>1096</v>
      </c>
      <c r="H246" s="127"/>
      <c r="I246" s="99"/>
      <c r="J246" s="131"/>
      <c r="K246" s="131"/>
      <c r="L246" s="131"/>
      <c r="M246" s="131"/>
      <c r="N246" s="131"/>
      <c r="O246" s="131"/>
      <c r="P246" s="131"/>
      <c r="Q246" s="131"/>
      <c r="R246" s="131"/>
      <c r="S246" s="131"/>
      <c r="T246" s="131"/>
      <c r="U246" s="131"/>
      <c r="V246" s="131"/>
      <c r="W246" s="131"/>
      <c r="X246" s="131"/>
      <c r="Y246" s="131"/>
      <c r="Z246" s="131"/>
    </row>
    <row r="247">
      <c r="A247" s="99" t="s">
        <v>1687</v>
      </c>
      <c r="B247" s="146" t="s">
        <v>123</v>
      </c>
      <c r="C247" s="128" t="s">
        <v>1376</v>
      </c>
      <c r="D247" s="129" t="s">
        <v>1096</v>
      </c>
      <c r="E247" s="129" t="s">
        <v>1096</v>
      </c>
      <c r="F247" s="129" t="s">
        <v>1096</v>
      </c>
      <c r="G247" s="129" t="s">
        <v>1096</v>
      </c>
      <c r="H247" s="127"/>
      <c r="I247" s="99"/>
      <c r="J247" s="131"/>
      <c r="K247" s="131"/>
      <c r="L247" s="131"/>
      <c r="M247" s="131"/>
      <c r="N247" s="131"/>
      <c r="O247" s="131"/>
      <c r="P247" s="131"/>
      <c r="Q247" s="131"/>
      <c r="R247" s="131"/>
      <c r="S247" s="131"/>
      <c r="T247" s="131"/>
      <c r="U247" s="131"/>
      <c r="V247" s="131"/>
      <c r="W247" s="131"/>
      <c r="X247" s="131"/>
      <c r="Y247" s="131"/>
      <c r="Z247" s="131"/>
    </row>
    <row r="248">
      <c r="A248" s="99" t="s">
        <v>1688</v>
      </c>
      <c r="B248" s="146" t="s">
        <v>123</v>
      </c>
      <c r="C248" s="132" t="s">
        <v>1378</v>
      </c>
      <c r="D248" s="129" t="s">
        <v>1096</v>
      </c>
      <c r="E248" s="129" t="s">
        <v>1096</v>
      </c>
      <c r="F248" s="129" t="s">
        <v>1096</v>
      </c>
      <c r="G248" s="129" t="s">
        <v>1096</v>
      </c>
      <c r="H248" s="127"/>
      <c r="I248" s="99"/>
      <c r="J248" s="131"/>
      <c r="K248" s="131"/>
      <c r="L248" s="131"/>
      <c r="M248" s="131"/>
      <c r="N248" s="131"/>
      <c r="O248" s="131"/>
      <c r="P248" s="131"/>
      <c r="Q248" s="131"/>
      <c r="R248" s="131"/>
      <c r="S248" s="131"/>
      <c r="T248" s="131"/>
      <c r="U248" s="131"/>
      <c r="V248" s="131"/>
      <c r="W248" s="131"/>
      <c r="X248" s="131"/>
      <c r="Y248" s="131"/>
      <c r="Z248" s="131"/>
    </row>
    <row r="249">
      <c r="A249" s="99" t="s">
        <v>1689</v>
      </c>
      <c r="B249" s="146" t="s">
        <v>123</v>
      </c>
      <c r="C249" s="132" t="s">
        <v>1378</v>
      </c>
      <c r="D249" s="129" t="s">
        <v>1096</v>
      </c>
      <c r="E249" s="129" t="s">
        <v>1096</v>
      </c>
      <c r="F249" s="129" t="s">
        <v>1096</v>
      </c>
      <c r="G249" s="129" t="s">
        <v>1096</v>
      </c>
      <c r="H249" s="127"/>
      <c r="I249" s="99"/>
      <c r="J249" s="131"/>
      <c r="K249" s="131"/>
      <c r="L249" s="131"/>
      <c r="M249" s="131"/>
      <c r="N249" s="131"/>
      <c r="O249" s="131"/>
      <c r="P249" s="131"/>
      <c r="Q249" s="131"/>
      <c r="R249" s="131"/>
      <c r="S249" s="131"/>
      <c r="T249" s="131"/>
      <c r="U249" s="131"/>
      <c r="V249" s="131"/>
      <c r="W249" s="131"/>
      <c r="X249" s="131"/>
      <c r="Y249" s="131"/>
      <c r="Z249" s="131"/>
    </row>
    <row r="250">
      <c r="A250" s="99" t="s">
        <v>1690</v>
      </c>
      <c r="B250" s="146" t="s">
        <v>123</v>
      </c>
      <c r="C250" s="132" t="s">
        <v>1378</v>
      </c>
      <c r="D250" s="129" t="s">
        <v>1096</v>
      </c>
      <c r="E250" s="129" t="s">
        <v>1096</v>
      </c>
      <c r="F250" s="129" t="s">
        <v>1096</v>
      </c>
      <c r="G250" s="129" t="s">
        <v>1096</v>
      </c>
      <c r="H250" s="127"/>
      <c r="I250" s="99"/>
      <c r="J250" s="131"/>
      <c r="K250" s="131"/>
      <c r="L250" s="131"/>
      <c r="M250" s="131"/>
      <c r="N250" s="131"/>
      <c r="O250" s="131"/>
      <c r="P250" s="131"/>
      <c r="Q250" s="131"/>
      <c r="R250" s="131"/>
      <c r="S250" s="131"/>
      <c r="T250" s="131"/>
      <c r="U250" s="131"/>
      <c r="V250" s="131"/>
      <c r="W250" s="131"/>
      <c r="X250" s="131"/>
      <c r="Y250" s="131"/>
      <c r="Z250" s="131"/>
    </row>
    <row r="251">
      <c r="A251" s="99" t="s">
        <v>1691</v>
      </c>
      <c r="B251" s="146" t="s">
        <v>123</v>
      </c>
      <c r="C251" s="128" t="s">
        <v>1376</v>
      </c>
      <c r="D251" s="148" t="s">
        <v>1376</v>
      </c>
      <c r="E251" s="128" t="s">
        <v>1376</v>
      </c>
      <c r="F251" s="129" t="s">
        <v>1096</v>
      </c>
      <c r="G251" s="129" t="s">
        <v>1096</v>
      </c>
      <c r="H251" s="127"/>
      <c r="I251" s="99"/>
      <c r="J251" s="131"/>
      <c r="K251" s="131"/>
      <c r="L251" s="131"/>
      <c r="M251" s="131"/>
      <c r="N251" s="131"/>
      <c r="O251" s="131"/>
      <c r="P251" s="131"/>
      <c r="Q251" s="131"/>
      <c r="R251" s="131"/>
      <c r="S251" s="131"/>
      <c r="T251" s="131"/>
      <c r="U251" s="131"/>
      <c r="V251" s="131"/>
      <c r="W251" s="131"/>
      <c r="X251" s="131"/>
      <c r="Y251" s="131"/>
      <c r="Z251" s="131"/>
    </row>
    <row r="252">
      <c r="A252" s="99" t="s">
        <v>1692</v>
      </c>
      <c r="B252" s="146" t="s">
        <v>123</v>
      </c>
      <c r="C252" s="132" t="s">
        <v>1378</v>
      </c>
      <c r="D252" s="129" t="s">
        <v>1096</v>
      </c>
      <c r="E252" s="129" t="s">
        <v>1096</v>
      </c>
      <c r="F252" s="129" t="s">
        <v>1096</v>
      </c>
      <c r="G252" s="129" t="s">
        <v>1096</v>
      </c>
      <c r="H252" s="127"/>
      <c r="I252" s="99"/>
      <c r="J252" s="131"/>
      <c r="K252" s="131"/>
      <c r="L252" s="131"/>
      <c r="M252" s="131"/>
      <c r="N252" s="131"/>
      <c r="O252" s="131"/>
      <c r="P252" s="131"/>
      <c r="Q252" s="131"/>
      <c r="R252" s="131"/>
      <c r="S252" s="131"/>
      <c r="T252" s="131"/>
      <c r="U252" s="131"/>
      <c r="V252" s="131"/>
      <c r="W252" s="131"/>
      <c r="X252" s="131"/>
      <c r="Y252" s="131"/>
      <c r="Z252" s="131"/>
    </row>
    <row r="253">
      <c r="A253" s="99" t="s">
        <v>1693</v>
      </c>
      <c r="B253" s="146" t="s">
        <v>123</v>
      </c>
      <c r="C253" s="132" t="s">
        <v>1378</v>
      </c>
      <c r="D253" s="129" t="s">
        <v>1096</v>
      </c>
      <c r="E253" s="129" t="s">
        <v>1096</v>
      </c>
      <c r="F253" s="128" t="s">
        <v>1376</v>
      </c>
      <c r="G253" s="128" t="s">
        <v>1376</v>
      </c>
      <c r="H253" s="127"/>
      <c r="I253" s="99"/>
      <c r="J253" s="131"/>
      <c r="K253" s="131"/>
      <c r="L253" s="131"/>
      <c r="M253" s="131"/>
      <c r="N253" s="131"/>
      <c r="O253" s="131"/>
      <c r="P253" s="131"/>
      <c r="Q253" s="131"/>
      <c r="R253" s="131"/>
      <c r="S253" s="131"/>
      <c r="T253" s="131"/>
      <c r="U253" s="131"/>
      <c r="V253" s="131"/>
      <c r="W253" s="131"/>
      <c r="X253" s="131"/>
      <c r="Y253" s="131"/>
      <c r="Z253" s="131"/>
    </row>
    <row r="254">
      <c r="A254" s="99" t="s">
        <v>1694</v>
      </c>
      <c r="B254" s="146" t="s">
        <v>123</v>
      </c>
      <c r="C254" s="132" t="s">
        <v>1378</v>
      </c>
      <c r="D254" s="129" t="s">
        <v>1096</v>
      </c>
      <c r="E254" s="129" t="s">
        <v>1096</v>
      </c>
      <c r="F254" s="129" t="s">
        <v>1096</v>
      </c>
      <c r="G254" s="129" t="s">
        <v>1096</v>
      </c>
      <c r="H254" s="127"/>
      <c r="I254" s="99"/>
      <c r="J254" s="131"/>
      <c r="K254" s="131"/>
      <c r="L254" s="131"/>
      <c r="M254" s="131"/>
      <c r="N254" s="131"/>
      <c r="O254" s="131"/>
      <c r="P254" s="131"/>
      <c r="Q254" s="131"/>
      <c r="R254" s="131"/>
      <c r="S254" s="131"/>
      <c r="T254" s="131"/>
      <c r="U254" s="131"/>
      <c r="V254" s="131"/>
      <c r="W254" s="131"/>
      <c r="X254" s="131"/>
      <c r="Y254" s="131"/>
      <c r="Z254" s="131"/>
    </row>
    <row r="255">
      <c r="A255" s="99" t="s">
        <v>1695</v>
      </c>
      <c r="B255" s="146" t="s">
        <v>123</v>
      </c>
      <c r="C255" s="128" t="s">
        <v>1376</v>
      </c>
      <c r="D255" s="129" t="s">
        <v>1096</v>
      </c>
      <c r="E255" s="129" t="s">
        <v>1096</v>
      </c>
      <c r="F255" s="129" t="s">
        <v>1096</v>
      </c>
      <c r="G255" s="129" t="s">
        <v>1096</v>
      </c>
      <c r="H255" s="127"/>
      <c r="I255" s="99"/>
      <c r="J255" s="131"/>
      <c r="K255" s="131"/>
      <c r="L255" s="131"/>
      <c r="M255" s="131"/>
      <c r="N255" s="131"/>
      <c r="O255" s="131"/>
      <c r="P255" s="131"/>
      <c r="Q255" s="131"/>
      <c r="R255" s="131"/>
      <c r="S255" s="131"/>
      <c r="T255" s="131"/>
      <c r="U255" s="131"/>
      <c r="V255" s="131"/>
      <c r="W255" s="131"/>
      <c r="X255" s="131"/>
      <c r="Y255" s="131"/>
      <c r="Z255" s="131"/>
    </row>
    <row r="256">
      <c r="A256" s="99" t="s">
        <v>1696</v>
      </c>
      <c r="B256" s="146" t="s">
        <v>123</v>
      </c>
      <c r="C256" s="132" t="s">
        <v>1378</v>
      </c>
      <c r="D256" s="129" t="s">
        <v>1096</v>
      </c>
      <c r="E256" s="129" t="s">
        <v>1096</v>
      </c>
      <c r="F256" s="128" t="s">
        <v>1376</v>
      </c>
      <c r="G256" s="129" t="s">
        <v>1096</v>
      </c>
      <c r="H256" s="127"/>
      <c r="I256" s="99"/>
      <c r="J256" s="131"/>
      <c r="K256" s="131"/>
      <c r="L256" s="131"/>
      <c r="M256" s="131"/>
      <c r="N256" s="131"/>
      <c r="O256" s="131"/>
      <c r="P256" s="131"/>
      <c r="Q256" s="131"/>
      <c r="R256" s="131"/>
      <c r="S256" s="131"/>
      <c r="T256" s="131"/>
      <c r="U256" s="131"/>
      <c r="V256" s="131"/>
      <c r="W256" s="131"/>
      <c r="X256" s="131"/>
      <c r="Y256" s="131"/>
      <c r="Z256" s="131"/>
    </row>
    <row r="257">
      <c r="A257" s="149" t="s">
        <v>1697</v>
      </c>
      <c r="B257" s="125" t="s">
        <v>123</v>
      </c>
      <c r="C257" s="150" t="s">
        <v>1378</v>
      </c>
      <c r="D257" s="151" t="s">
        <v>1376</v>
      </c>
      <c r="E257" s="151" t="s">
        <v>1376</v>
      </c>
      <c r="F257" s="151" t="s">
        <v>1376</v>
      </c>
      <c r="G257" s="151" t="s">
        <v>1376</v>
      </c>
      <c r="H257" s="152"/>
      <c r="I257" s="99"/>
      <c r="J257" s="131"/>
      <c r="K257" s="131"/>
      <c r="L257" s="131"/>
      <c r="M257" s="131"/>
      <c r="N257" s="131"/>
      <c r="O257" s="131"/>
      <c r="P257" s="131"/>
      <c r="Q257" s="131"/>
      <c r="R257" s="131"/>
      <c r="S257" s="131"/>
      <c r="T257" s="131"/>
      <c r="U257" s="131"/>
      <c r="V257" s="131"/>
      <c r="W257" s="131"/>
      <c r="X257" s="131"/>
      <c r="Y257" s="131"/>
      <c r="Z257" s="131"/>
    </row>
    <row r="258">
      <c r="A258" s="99"/>
      <c r="B258" s="99"/>
      <c r="C258" s="99"/>
      <c r="D258" s="99"/>
      <c r="E258" s="99"/>
      <c r="F258" s="99"/>
      <c r="G258" s="99"/>
      <c r="H258" s="99"/>
      <c r="I258" s="99"/>
      <c r="J258" s="131"/>
      <c r="K258" s="131"/>
      <c r="L258" s="131"/>
      <c r="M258" s="131"/>
      <c r="N258" s="131"/>
      <c r="O258" s="131"/>
      <c r="P258" s="131"/>
      <c r="Q258" s="131"/>
      <c r="R258" s="131"/>
      <c r="S258" s="131"/>
      <c r="T258" s="131"/>
      <c r="U258" s="131"/>
      <c r="V258" s="131"/>
      <c r="W258" s="131"/>
      <c r="X258" s="131"/>
      <c r="Y258" s="131"/>
      <c r="Z258" s="131"/>
    </row>
    <row r="259">
      <c r="A259" s="99"/>
      <c r="B259" s="99"/>
      <c r="C259" s="99"/>
      <c r="D259" s="99"/>
      <c r="E259" s="99"/>
      <c r="F259" s="99"/>
      <c r="G259" s="99"/>
      <c r="H259" s="99"/>
      <c r="I259" s="99"/>
      <c r="J259" s="131"/>
      <c r="K259" s="131"/>
      <c r="L259" s="131"/>
      <c r="M259" s="131"/>
      <c r="N259" s="131"/>
      <c r="O259" s="131"/>
      <c r="P259" s="131"/>
      <c r="Q259" s="131"/>
      <c r="R259" s="131"/>
      <c r="S259" s="131"/>
      <c r="T259" s="131"/>
      <c r="U259" s="131"/>
      <c r="V259" s="131"/>
      <c r="W259" s="131"/>
      <c r="X259" s="131"/>
      <c r="Y259" s="131"/>
      <c r="Z259" s="131"/>
    </row>
    <row r="260">
      <c r="A260" s="99"/>
      <c r="B260" s="99"/>
      <c r="C260" s="99"/>
      <c r="D260" s="99"/>
      <c r="E260" s="99"/>
      <c r="F260" s="99"/>
      <c r="G260" s="99"/>
      <c r="H260" s="99"/>
      <c r="I260" s="99"/>
      <c r="J260" s="131"/>
      <c r="K260" s="131"/>
      <c r="L260" s="131"/>
      <c r="M260" s="131"/>
      <c r="N260" s="131"/>
      <c r="O260" s="131"/>
      <c r="P260" s="131"/>
      <c r="Q260" s="131"/>
      <c r="R260" s="131"/>
      <c r="S260" s="131"/>
      <c r="T260" s="131"/>
      <c r="U260" s="131"/>
      <c r="V260" s="131"/>
      <c r="W260" s="131"/>
      <c r="X260" s="131"/>
      <c r="Y260" s="131"/>
      <c r="Z260" s="131"/>
    </row>
    <row r="261">
      <c r="A261" s="99"/>
      <c r="B261" s="99"/>
      <c r="C261" s="99"/>
      <c r="D261" s="99"/>
      <c r="E261" s="99"/>
      <c r="F261" s="99"/>
      <c r="G261" s="99"/>
      <c r="H261" s="99"/>
      <c r="I261" s="99"/>
      <c r="J261" s="131"/>
      <c r="K261" s="131"/>
      <c r="L261" s="131"/>
      <c r="M261" s="131"/>
      <c r="N261" s="131"/>
      <c r="O261" s="131"/>
      <c r="P261" s="131"/>
      <c r="Q261" s="131"/>
      <c r="R261" s="131"/>
      <c r="S261" s="131"/>
      <c r="T261" s="131"/>
      <c r="U261" s="131"/>
      <c r="V261" s="131"/>
      <c r="W261" s="131"/>
      <c r="X261" s="131"/>
      <c r="Y261" s="131"/>
      <c r="Z261" s="131"/>
    </row>
    <row r="262">
      <c r="A262" s="99"/>
      <c r="B262" s="99"/>
      <c r="C262" s="99"/>
      <c r="D262" s="99"/>
      <c r="E262" s="99"/>
      <c r="F262" s="99"/>
      <c r="G262" s="99"/>
      <c r="H262" s="99"/>
      <c r="I262" s="99"/>
      <c r="J262" s="131"/>
      <c r="K262" s="131"/>
      <c r="L262" s="131"/>
      <c r="M262" s="131"/>
      <c r="N262" s="131"/>
      <c r="O262" s="131"/>
      <c r="P262" s="131"/>
      <c r="Q262" s="131"/>
      <c r="R262" s="131"/>
      <c r="S262" s="131"/>
      <c r="T262" s="131"/>
      <c r="U262" s="131"/>
      <c r="V262" s="131"/>
      <c r="W262" s="131"/>
      <c r="X262" s="131"/>
      <c r="Y262" s="131"/>
      <c r="Z262" s="131"/>
    </row>
    <row r="263">
      <c r="A263" s="99"/>
      <c r="B263" s="99"/>
      <c r="C263" s="99"/>
      <c r="D263" s="99"/>
      <c r="E263" s="99"/>
      <c r="F263" s="99"/>
      <c r="G263" s="99"/>
      <c r="H263" s="99"/>
      <c r="I263" s="99"/>
      <c r="J263" s="131"/>
      <c r="K263" s="131"/>
      <c r="L263" s="131"/>
      <c r="M263" s="131"/>
      <c r="N263" s="131"/>
      <c r="O263" s="131"/>
      <c r="P263" s="131"/>
      <c r="Q263" s="131"/>
      <c r="R263" s="131"/>
      <c r="S263" s="131"/>
      <c r="T263" s="131"/>
      <c r="U263" s="131"/>
      <c r="V263" s="131"/>
      <c r="W263" s="131"/>
      <c r="X263" s="131"/>
      <c r="Y263" s="131"/>
      <c r="Z263" s="131"/>
    </row>
    <row r="264">
      <c r="A264" s="99"/>
      <c r="B264" s="99"/>
      <c r="C264" s="99"/>
      <c r="D264" s="99"/>
      <c r="E264" s="99"/>
      <c r="F264" s="99"/>
      <c r="G264" s="99"/>
      <c r="H264" s="99"/>
      <c r="I264" s="99"/>
      <c r="J264" s="131"/>
      <c r="K264" s="131"/>
      <c r="L264" s="131"/>
      <c r="M264" s="131"/>
      <c r="N264" s="131"/>
      <c r="O264" s="131"/>
      <c r="P264" s="131"/>
      <c r="Q264" s="131"/>
      <c r="R264" s="131"/>
      <c r="S264" s="131"/>
      <c r="T264" s="131"/>
      <c r="U264" s="131"/>
      <c r="V264" s="131"/>
      <c r="W264" s="131"/>
      <c r="X264" s="131"/>
      <c r="Y264" s="131"/>
      <c r="Z264" s="131"/>
    </row>
    <row r="265">
      <c r="A265" s="99"/>
      <c r="B265" s="99"/>
      <c r="C265" s="99"/>
      <c r="D265" s="99"/>
      <c r="E265" s="99"/>
      <c r="F265" s="99"/>
      <c r="G265" s="99"/>
      <c r="H265" s="99"/>
      <c r="I265" s="99"/>
      <c r="J265" s="131"/>
      <c r="K265" s="131"/>
      <c r="L265" s="131"/>
      <c r="M265" s="131"/>
      <c r="N265" s="131"/>
      <c r="O265" s="131"/>
      <c r="P265" s="131"/>
      <c r="Q265" s="131"/>
      <c r="R265" s="131"/>
      <c r="S265" s="131"/>
      <c r="T265" s="131"/>
      <c r="U265" s="131"/>
      <c r="V265" s="131"/>
      <c r="W265" s="131"/>
      <c r="X265" s="131"/>
      <c r="Y265" s="131"/>
      <c r="Z265" s="131"/>
    </row>
    <row r="266">
      <c r="A266" s="99"/>
      <c r="B266" s="99"/>
      <c r="C266" s="99"/>
      <c r="D266" s="99"/>
      <c r="E266" s="99"/>
      <c r="F266" s="99"/>
      <c r="G266" s="99"/>
      <c r="H266" s="99"/>
      <c r="I266" s="99"/>
      <c r="J266" s="131"/>
      <c r="K266" s="131"/>
      <c r="L266" s="131"/>
      <c r="M266" s="131"/>
      <c r="N266" s="131"/>
      <c r="O266" s="131"/>
      <c r="P266" s="131"/>
      <c r="Q266" s="131"/>
      <c r="R266" s="131"/>
      <c r="S266" s="131"/>
      <c r="T266" s="131"/>
      <c r="U266" s="131"/>
      <c r="V266" s="131"/>
      <c r="W266" s="131"/>
      <c r="X266" s="131"/>
      <c r="Y266" s="131"/>
      <c r="Z266" s="131"/>
    </row>
    <row r="267">
      <c r="A267" s="99"/>
      <c r="B267" s="99"/>
      <c r="C267" s="99"/>
      <c r="D267" s="99"/>
      <c r="E267" s="99"/>
      <c r="F267" s="99"/>
      <c r="G267" s="99"/>
      <c r="H267" s="99"/>
      <c r="I267" s="99"/>
      <c r="J267" s="131"/>
      <c r="K267" s="131"/>
      <c r="L267" s="131"/>
      <c r="M267" s="131"/>
      <c r="N267" s="131"/>
      <c r="O267" s="131"/>
      <c r="P267" s="131"/>
      <c r="Q267" s="131"/>
      <c r="R267" s="131"/>
      <c r="S267" s="131"/>
      <c r="T267" s="131"/>
      <c r="U267" s="131"/>
      <c r="V267" s="131"/>
      <c r="W267" s="131"/>
      <c r="X267" s="131"/>
      <c r="Y267" s="131"/>
      <c r="Z267" s="131"/>
    </row>
    <row r="268">
      <c r="A268" s="99"/>
      <c r="B268" s="99"/>
      <c r="C268" s="99"/>
      <c r="D268" s="99"/>
      <c r="E268" s="99"/>
      <c r="F268" s="99"/>
      <c r="G268" s="99"/>
      <c r="H268" s="99"/>
      <c r="I268" s="99"/>
      <c r="J268" s="131"/>
      <c r="K268" s="131"/>
      <c r="L268" s="131"/>
      <c r="M268" s="131"/>
      <c r="N268" s="131"/>
      <c r="O268" s="131"/>
      <c r="P268" s="131"/>
      <c r="Q268" s="131"/>
      <c r="R268" s="131"/>
      <c r="S268" s="131"/>
      <c r="T268" s="131"/>
      <c r="U268" s="131"/>
      <c r="V268" s="131"/>
      <c r="W268" s="131"/>
      <c r="X268" s="131"/>
      <c r="Y268" s="131"/>
      <c r="Z268" s="131"/>
    </row>
    <row r="269">
      <c r="A269" s="99"/>
      <c r="B269" s="99"/>
      <c r="C269" s="99"/>
      <c r="D269" s="99"/>
      <c r="E269" s="99"/>
      <c r="F269" s="99"/>
      <c r="G269" s="99"/>
      <c r="H269" s="99"/>
      <c r="I269" s="99"/>
      <c r="J269" s="131"/>
      <c r="K269" s="131"/>
      <c r="L269" s="131"/>
      <c r="M269" s="131"/>
      <c r="N269" s="131"/>
      <c r="O269" s="131"/>
      <c r="P269" s="131"/>
      <c r="Q269" s="131"/>
      <c r="R269" s="131"/>
      <c r="S269" s="131"/>
      <c r="T269" s="131"/>
      <c r="U269" s="131"/>
      <c r="V269" s="131"/>
      <c r="W269" s="131"/>
      <c r="X269" s="131"/>
      <c r="Y269" s="131"/>
      <c r="Z269" s="131"/>
    </row>
    <row r="270">
      <c r="A270" s="99"/>
      <c r="B270" s="99"/>
      <c r="C270" s="99"/>
      <c r="D270" s="99"/>
      <c r="E270" s="99"/>
      <c r="F270" s="99"/>
      <c r="G270" s="99"/>
      <c r="H270" s="99"/>
      <c r="I270" s="99"/>
      <c r="J270" s="131"/>
      <c r="K270" s="131"/>
      <c r="L270" s="131"/>
      <c r="M270" s="131"/>
      <c r="N270" s="131"/>
      <c r="O270" s="131"/>
      <c r="P270" s="131"/>
      <c r="Q270" s="131"/>
      <c r="R270" s="131"/>
      <c r="S270" s="131"/>
      <c r="T270" s="131"/>
      <c r="U270" s="131"/>
      <c r="V270" s="131"/>
      <c r="W270" s="131"/>
      <c r="X270" s="131"/>
      <c r="Y270" s="131"/>
      <c r="Z270" s="131"/>
    </row>
    <row r="271">
      <c r="A271" s="99"/>
      <c r="B271" s="99"/>
      <c r="C271" s="99"/>
      <c r="D271" s="99"/>
      <c r="E271" s="99"/>
      <c r="F271" s="99"/>
      <c r="G271" s="99"/>
      <c r="H271" s="99"/>
      <c r="I271" s="99"/>
      <c r="J271" s="131"/>
      <c r="K271" s="131"/>
      <c r="L271" s="131"/>
      <c r="M271" s="131"/>
      <c r="N271" s="131"/>
      <c r="O271" s="131"/>
      <c r="P271" s="131"/>
      <c r="Q271" s="131"/>
      <c r="R271" s="131"/>
      <c r="S271" s="131"/>
      <c r="T271" s="131"/>
      <c r="U271" s="131"/>
      <c r="V271" s="131"/>
      <c r="W271" s="131"/>
      <c r="X271" s="131"/>
      <c r="Y271" s="131"/>
      <c r="Z271" s="131"/>
    </row>
    <row r="272">
      <c r="A272" s="99"/>
      <c r="B272" s="99"/>
      <c r="C272" s="99"/>
      <c r="D272" s="99"/>
      <c r="E272" s="99"/>
      <c r="F272" s="99"/>
      <c r="G272" s="99"/>
      <c r="H272" s="99"/>
      <c r="I272" s="99"/>
      <c r="J272" s="131"/>
      <c r="K272" s="131"/>
      <c r="L272" s="131"/>
      <c r="M272" s="131"/>
      <c r="N272" s="131"/>
      <c r="O272" s="131"/>
      <c r="P272" s="131"/>
      <c r="Q272" s="131"/>
      <c r="R272" s="131"/>
      <c r="S272" s="131"/>
      <c r="T272" s="131"/>
      <c r="U272" s="131"/>
      <c r="V272" s="131"/>
      <c r="W272" s="131"/>
      <c r="X272" s="131"/>
      <c r="Y272" s="131"/>
      <c r="Z272" s="131"/>
    </row>
    <row r="273">
      <c r="A273" s="99"/>
      <c r="B273" s="99"/>
      <c r="C273" s="99"/>
      <c r="D273" s="99"/>
      <c r="E273" s="99"/>
      <c r="F273" s="99"/>
      <c r="G273" s="99"/>
      <c r="H273" s="99"/>
      <c r="I273" s="99"/>
      <c r="J273" s="131"/>
      <c r="K273" s="131"/>
      <c r="L273" s="131"/>
      <c r="M273" s="131"/>
      <c r="N273" s="131"/>
      <c r="O273" s="131"/>
      <c r="P273" s="131"/>
      <c r="Q273" s="131"/>
      <c r="R273" s="131"/>
      <c r="S273" s="131"/>
      <c r="T273" s="131"/>
      <c r="U273" s="131"/>
      <c r="V273" s="131"/>
      <c r="W273" s="131"/>
      <c r="X273" s="131"/>
      <c r="Y273" s="131"/>
      <c r="Z273" s="131"/>
    </row>
    <row r="274">
      <c r="A274" s="99"/>
      <c r="B274" s="99"/>
      <c r="C274" s="99"/>
      <c r="D274" s="99"/>
      <c r="E274" s="99"/>
      <c r="F274" s="99"/>
      <c r="G274" s="99"/>
      <c r="H274" s="99"/>
      <c r="I274" s="99"/>
      <c r="J274" s="131"/>
      <c r="K274" s="131"/>
      <c r="L274" s="131"/>
      <c r="M274" s="131"/>
      <c r="N274" s="131"/>
      <c r="O274" s="131"/>
      <c r="P274" s="131"/>
      <c r="Q274" s="131"/>
      <c r="R274" s="131"/>
      <c r="S274" s="131"/>
      <c r="T274" s="131"/>
      <c r="U274" s="131"/>
      <c r="V274" s="131"/>
      <c r="W274" s="131"/>
      <c r="X274" s="131"/>
      <c r="Y274" s="131"/>
      <c r="Z274" s="131"/>
    </row>
    <row r="275">
      <c r="A275" s="99"/>
      <c r="B275" s="99"/>
      <c r="C275" s="99"/>
      <c r="D275" s="99"/>
      <c r="E275" s="99"/>
      <c r="F275" s="99"/>
      <c r="G275" s="99"/>
      <c r="H275" s="99"/>
      <c r="I275" s="99"/>
      <c r="J275" s="131"/>
      <c r="K275" s="131"/>
      <c r="L275" s="131"/>
      <c r="M275" s="131"/>
      <c r="N275" s="131"/>
      <c r="O275" s="131"/>
      <c r="P275" s="131"/>
      <c r="Q275" s="131"/>
      <c r="R275" s="131"/>
      <c r="S275" s="131"/>
      <c r="T275" s="131"/>
      <c r="U275" s="131"/>
      <c r="V275" s="131"/>
      <c r="W275" s="131"/>
      <c r="X275" s="131"/>
      <c r="Y275" s="131"/>
      <c r="Z275" s="131"/>
    </row>
    <row r="276">
      <c r="A276" s="99"/>
      <c r="B276" s="99"/>
      <c r="C276" s="99"/>
      <c r="D276" s="99"/>
      <c r="E276" s="99"/>
      <c r="F276" s="99"/>
      <c r="G276" s="99"/>
      <c r="H276" s="99"/>
      <c r="I276" s="99"/>
      <c r="J276" s="131"/>
      <c r="K276" s="131"/>
      <c r="L276" s="131"/>
      <c r="M276" s="131"/>
      <c r="N276" s="131"/>
      <c r="O276" s="131"/>
      <c r="P276" s="131"/>
      <c r="Q276" s="131"/>
      <c r="R276" s="131"/>
      <c r="S276" s="131"/>
      <c r="T276" s="131"/>
      <c r="U276" s="131"/>
      <c r="V276" s="131"/>
      <c r="W276" s="131"/>
      <c r="X276" s="131"/>
      <c r="Y276" s="131"/>
      <c r="Z276" s="131"/>
    </row>
    <row r="277">
      <c r="A277" s="99"/>
      <c r="B277" s="99"/>
      <c r="C277" s="99"/>
      <c r="D277" s="99"/>
      <c r="E277" s="99"/>
      <c r="F277" s="99"/>
      <c r="G277" s="99"/>
      <c r="H277" s="99"/>
      <c r="I277" s="99"/>
      <c r="J277" s="131"/>
      <c r="K277" s="131"/>
      <c r="L277" s="131"/>
      <c r="M277" s="131"/>
      <c r="N277" s="131"/>
      <c r="O277" s="131"/>
      <c r="P277" s="131"/>
      <c r="Q277" s="131"/>
      <c r="R277" s="131"/>
      <c r="S277" s="131"/>
      <c r="T277" s="131"/>
      <c r="U277" s="131"/>
      <c r="V277" s="131"/>
      <c r="W277" s="131"/>
      <c r="X277" s="131"/>
      <c r="Y277" s="131"/>
      <c r="Z277" s="131"/>
    </row>
    <row r="278">
      <c r="A278" s="99"/>
      <c r="B278" s="99"/>
      <c r="C278" s="99"/>
      <c r="D278" s="99"/>
      <c r="E278" s="99"/>
      <c r="F278" s="99"/>
      <c r="G278" s="99"/>
      <c r="H278" s="99"/>
      <c r="I278" s="99"/>
      <c r="J278" s="131"/>
      <c r="K278" s="131"/>
      <c r="L278" s="131"/>
      <c r="M278" s="131"/>
      <c r="N278" s="131"/>
      <c r="O278" s="131"/>
      <c r="P278" s="131"/>
      <c r="Q278" s="131"/>
      <c r="R278" s="131"/>
      <c r="S278" s="131"/>
      <c r="T278" s="131"/>
      <c r="U278" s="131"/>
      <c r="V278" s="131"/>
      <c r="W278" s="131"/>
      <c r="X278" s="131"/>
      <c r="Y278" s="131"/>
      <c r="Z278" s="131"/>
    </row>
    <row r="279">
      <c r="A279" s="99"/>
      <c r="B279" s="99"/>
      <c r="C279" s="99"/>
      <c r="D279" s="99"/>
      <c r="E279" s="99"/>
      <c r="F279" s="99"/>
      <c r="G279" s="99"/>
      <c r="H279" s="99"/>
      <c r="I279" s="99"/>
      <c r="J279" s="131"/>
      <c r="K279" s="131"/>
      <c r="L279" s="131"/>
      <c r="M279" s="131"/>
      <c r="N279" s="131"/>
      <c r="O279" s="131"/>
      <c r="P279" s="131"/>
      <c r="Q279" s="131"/>
      <c r="R279" s="131"/>
      <c r="S279" s="131"/>
      <c r="T279" s="131"/>
      <c r="U279" s="131"/>
      <c r="V279" s="131"/>
      <c r="W279" s="131"/>
      <c r="X279" s="131"/>
      <c r="Y279" s="131"/>
      <c r="Z279" s="131"/>
    </row>
    <row r="280">
      <c r="A280" s="99"/>
      <c r="B280" s="99"/>
      <c r="C280" s="99"/>
      <c r="D280" s="99"/>
      <c r="E280" s="99"/>
      <c r="F280" s="99"/>
      <c r="G280" s="99"/>
      <c r="H280" s="99"/>
      <c r="I280" s="99"/>
      <c r="J280" s="131"/>
      <c r="K280" s="131"/>
      <c r="L280" s="131"/>
      <c r="M280" s="131"/>
      <c r="N280" s="131"/>
      <c r="O280" s="131"/>
      <c r="P280" s="131"/>
      <c r="Q280" s="131"/>
      <c r="R280" s="131"/>
      <c r="S280" s="131"/>
      <c r="T280" s="131"/>
      <c r="U280" s="131"/>
      <c r="V280" s="131"/>
      <c r="W280" s="131"/>
      <c r="X280" s="131"/>
      <c r="Y280" s="131"/>
      <c r="Z280" s="131"/>
    </row>
    <row r="281">
      <c r="A281" s="99"/>
      <c r="B281" s="99"/>
      <c r="C281" s="99"/>
      <c r="D281" s="99"/>
      <c r="E281" s="99"/>
      <c r="F281" s="99"/>
      <c r="G281" s="99"/>
      <c r="H281" s="99"/>
      <c r="I281" s="99"/>
      <c r="J281" s="131"/>
      <c r="K281" s="131"/>
      <c r="L281" s="131"/>
      <c r="M281" s="131"/>
      <c r="N281" s="131"/>
      <c r="O281" s="131"/>
      <c r="P281" s="131"/>
      <c r="Q281" s="131"/>
      <c r="R281" s="131"/>
      <c r="S281" s="131"/>
      <c r="T281" s="131"/>
      <c r="U281" s="131"/>
      <c r="V281" s="131"/>
      <c r="W281" s="131"/>
      <c r="X281" s="131"/>
      <c r="Y281" s="131"/>
      <c r="Z281" s="131"/>
    </row>
    <row r="282">
      <c r="A282" s="99"/>
      <c r="B282" s="99"/>
      <c r="C282" s="99"/>
      <c r="D282" s="99"/>
      <c r="E282" s="99"/>
      <c r="F282" s="99"/>
      <c r="G282" s="99"/>
      <c r="H282" s="99"/>
      <c r="I282" s="99"/>
      <c r="J282" s="131"/>
      <c r="K282" s="131"/>
      <c r="L282" s="131"/>
      <c r="M282" s="131"/>
      <c r="N282" s="131"/>
      <c r="O282" s="131"/>
      <c r="P282" s="131"/>
      <c r="Q282" s="131"/>
      <c r="R282" s="131"/>
      <c r="S282" s="131"/>
      <c r="T282" s="131"/>
      <c r="U282" s="131"/>
      <c r="V282" s="131"/>
      <c r="W282" s="131"/>
      <c r="X282" s="131"/>
      <c r="Y282" s="131"/>
      <c r="Z282" s="131"/>
    </row>
    <row r="283">
      <c r="A283" s="99"/>
      <c r="B283" s="99"/>
      <c r="C283" s="99"/>
      <c r="D283" s="99"/>
      <c r="E283" s="99"/>
      <c r="F283" s="99"/>
      <c r="G283" s="99"/>
      <c r="H283" s="99"/>
      <c r="I283" s="99"/>
      <c r="J283" s="131"/>
      <c r="K283" s="131"/>
      <c r="L283" s="131"/>
      <c r="M283" s="131"/>
      <c r="N283" s="131"/>
      <c r="O283" s="131"/>
      <c r="P283" s="131"/>
      <c r="Q283" s="131"/>
      <c r="R283" s="131"/>
      <c r="S283" s="131"/>
      <c r="T283" s="131"/>
      <c r="U283" s="131"/>
      <c r="V283" s="131"/>
      <c r="W283" s="131"/>
      <c r="X283" s="131"/>
      <c r="Y283" s="131"/>
      <c r="Z283" s="131"/>
    </row>
    <row r="284">
      <c r="A284" s="99"/>
      <c r="B284" s="99"/>
      <c r="C284" s="99"/>
      <c r="D284" s="99"/>
      <c r="E284" s="99"/>
      <c r="F284" s="99"/>
      <c r="G284" s="99"/>
      <c r="H284" s="99"/>
      <c r="I284" s="99"/>
      <c r="J284" s="131"/>
      <c r="K284" s="131"/>
      <c r="L284" s="131"/>
      <c r="M284" s="131"/>
      <c r="N284" s="131"/>
      <c r="O284" s="131"/>
      <c r="P284" s="131"/>
      <c r="Q284" s="131"/>
      <c r="R284" s="131"/>
      <c r="S284" s="131"/>
      <c r="T284" s="131"/>
      <c r="U284" s="131"/>
      <c r="V284" s="131"/>
      <c r="W284" s="131"/>
      <c r="X284" s="131"/>
      <c r="Y284" s="131"/>
      <c r="Z284" s="131"/>
    </row>
    <row r="285">
      <c r="A285" s="99"/>
      <c r="B285" s="99"/>
      <c r="C285" s="99"/>
      <c r="D285" s="99"/>
      <c r="E285" s="99"/>
      <c r="F285" s="99"/>
      <c r="G285" s="99"/>
      <c r="H285" s="99"/>
      <c r="I285" s="99"/>
      <c r="J285" s="131"/>
      <c r="K285" s="131"/>
      <c r="L285" s="131"/>
      <c r="M285" s="131"/>
      <c r="N285" s="131"/>
      <c r="O285" s="131"/>
      <c r="P285" s="131"/>
      <c r="Q285" s="131"/>
      <c r="R285" s="131"/>
      <c r="S285" s="131"/>
      <c r="T285" s="131"/>
      <c r="U285" s="131"/>
      <c r="V285" s="131"/>
      <c r="W285" s="131"/>
      <c r="X285" s="131"/>
      <c r="Y285" s="131"/>
      <c r="Z285" s="131"/>
    </row>
    <row r="286">
      <c r="A286" s="99"/>
      <c r="B286" s="99"/>
      <c r="C286" s="99"/>
      <c r="D286" s="99"/>
      <c r="E286" s="99"/>
      <c r="F286" s="99"/>
      <c r="G286" s="99"/>
      <c r="H286" s="99"/>
      <c r="I286" s="99"/>
      <c r="J286" s="131"/>
      <c r="K286" s="131"/>
      <c r="L286" s="131"/>
      <c r="M286" s="131"/>
      <c r="N286" s="131"/>
      <c r="O286" s="131"/>
      <c r="P286" s="131"/>
      <c r="Q286" s="131"/>
      <c r="R286" s="131"/>
      <c r="S286" s="131"/>
      <c r="T286" s="131"/>
      <c r="U286" s="131"/>
      <c r="V286" s="131"/>
      <c r="W286" s="131"/>
      <c r="X286" s="131"/>
      <c r="Y286" s="131"/>
      <c r="Z286" s="131"/>
    </row>
    <row r="287">
      <c r="A287" s="99"/>
      <c r="B287" s="99"/>
      <c r="C287" s="99"/>
      <c r="D287" s="99"/>
      <c r="E287" s="99"/>
      <c r="F287" s="99"/>
      <c r="G287" s="99"/>
      <c r="H287" s="99"/>
      <c r="I287" s="99"/>
      <c r="J287" s="131"/>
      <c r="K287" s="131"/>
      <c r="L287" s="131"/>
      <c r="M287" s="131"/>
      <c r="N287" s="131"/>
      <c r="O287" s="131"/>
      <c r="P287" s="131"/>
      <c r="Q287" s="131"/>
      <c r="R287" s="131"/>
      <c r="S287" s="131"/>
      <c r="T287" s="131"/>
      <c r="U287" s="131"/>
      <c r="V287" s="131"/>
      <c r="W287" s="131"/>
      <c r="X287" s="131"/>
      <c r="Y287" s="131"/>
      <c r="Z287" s="131"/>
    </row>
    <row r="288">
      <c r="A288" s="99"/>
      <c r="B288" s="99"/>
      <c r="C288" s="99"/>
      <c r="D288" s="99"/>
      <c r="E288" s="99"/>
      <c r="F288" s="99"/>
      <c r="G288" s="99"/>
      <c r="H288" s="99"/>
      <c r="I288" s="99"/>
      <c r="J288" s="131"/>
      <c r="K288" s="131"/>
      <c r="L288" s="131"/>
      <c r="M288" s="131"/>
      <c r="N288" s="131"/>
      <c r="O288" s="131"/>
      <c r="P288" s="131"/>
      <c r="Q288" s="131"/>
      <c r="R288" s="131"/>
      <c r="S288" s="131"/>
      <c r="T288" s="131"/>
      <c r="U288" s="131"/>
      <c r="V288" s="131"/>
      <c r="W288" s="131"/>
      <c r="X288" s="131"/>
      <c r="Y288" s="131"/>
      <c r="Z288" s="131"/>
    </row>
    <row r="289">
      <c r="A289" s="99"/>
      <c r="B289" s="99"/>
      <c r="C289" s="99"/>
      <c r="D289" s="99"/>
      <c r="E289" s="99"/>
      <c r="F289" s="99"/>
      <c r="G289" s="99"/>
      <c r="H289" s="99"/>
      <c r="I289" s="99"/>
      <c r="J289" s="131"/>
      <c r="K289" s="131"/>
      <c r="L289" s="131"/>
      <c r="M289" s="131"/>
      <c r="N289" s="131"/>
      <c r="O289" s="131"/>
      <c r="P289" s="131"/>
      <c r="Q289" s="131"/>
      <c r="R289" s="131"/>
      <c r="S289" s="131"/>
      <c r="T289" s="131"/>
      <c r="U289" s="131"/>
      <c r="V289" s="131"/>
      <c r="W289" s="131"/>
      <c r="X289" s="131"/>
      <c r="Y289" s="131"/>
      <c r="Z289" s="131"/>
    </row>
    <row r="290">
      <c r="A290" s="99"/>
      <c r="B290" s="99"/>
      <c r="C290" s="99"/>
      <c r="D290" s="99"/>
      <c r="E290" s="99"/>
      <c r="F290" s="99"/>
      <c r="G290" s="99"/>
      <c r="H290" s="99"/>
      <c r="I290" s="99"/>
      <c r="J290" s="131"/>
      <c r="K290" s="131"/>
      <c r="L290" s="131"/>
      <c r="M290" s="131"/>
      <c r="N290" s="131"/>
      <c r="O290" s="131"/>
      <c r="P290" s="131"/>
      <c r="Q290" s="131"/>
      <c r="R290" s="131"/>
      <c r="S290" s="131"/>
      <c r="T290" s="131"/>
      <c r="U290" s="131"/>
      <c r="V290" s="131"/>
      <c r="W290" s="131"/>
      <c r="X290" s="131"/>
      <c r="Y290" s="131"/>
      <c r="Z290" s="131"/>
    </row>
    <row r="291">
      <c r="A291" s="99"/>
      <c r="B291" s="99"/>
      <c r="C291" s="99"/>
      <c r="D291" s="99"/>
      <c r="E291" s="99"/>
      <c r="F291" s="99"/>
      <c r="G291" s="99"/>
      <c r="H291" s="99"/>
      <c r="I291" s="99"/>
      <c r="J291" s="131"/>
      <c r="K291" s="131"/>
      <c r="L291" s="131"/>
      <c r="M291" s="131"/>
      <c r="N291" s="131"/>
      <c r="O291" s="131"/>
      <c r="P291" s="131"/>
      <c r="Q291" s="131"/>
      <c r="R291" s="131"/>
      <c r="S291" s="131"/>
      <c r="T291" s="131"/>
      <c r="U291" s="131"/>
      <c r="V291" s="131"/>
      <c r="W291" s="131"/>
      <c r="X291" s="131"/>
      <c r="Y291" s="131"/>
      <c r="Z291" s="131"/>
    </row>
    <row r="292">
      <c r="A292" s="99"/>
      <c r="B292" s="99"/>
      <c r="C292" s="99"/>
      <c r="D292" s="99"/>
      <c r="E292" s="99"/>
      <c r="F292" s="99"/>
      <c r="G292" s="99"/>
      <c r="H292" s="99"/>
      <c r="I292" s="99"/>
      <c r="J292" s="131"/>
      <c r="K292" s="131"/>
      <c r="L292" s="131"/>
      <c r="M292" s="131"/>
      <c r="N292" s="131"/>
      <c r="O292" s="131"/>
      <c r="P292" s="131"/>
      <c r="Q292" s="131"/>
      <c r="R292" s="131"/>
      <c r="S292" s="131"/>
      <c r="T292" s="131"/>
      <c r="U292" s="131"/>
      <c r="V292" s="131"/>
      <c r="W292" s="131"/>
      <c r="X292" s="131"/>
      <c r="Y292" s="131"/>
      <c r="Z292" s="131"/>
    </row>
    <row r="293">
      <c r="A293" s="99"/>
      <c r="B293" s="99"/>
      <c r="C293" s="99"/>
      <c r="D293" s="99"/>
      <c r="E293" s="99"/>
      <c r="F293" s="99"/>
      <c r="G293" s="99"/>
      <c r="H293" s="99"/>
      <c r="I293" s="99"/>
      <c r="J293" s="131"/>
      <c r="K293" s="131"/>
      <c r="L293" s="131"/>
      <c r="M293" s="131"/>
      <c r="N293" s="131"/>
      <c r="O293" s="131"/>
      <c r="P293" s="131"/>
      <c r="Q293" s="131"/>
      <c r="R293" s="131"/>
      <c r="S293" s="131"/>
      <c r="T293" s="131"/>
      <c r="U293" s="131"/>
      <c r="V293" s="131"/>
      <c r="W293" s="131"/>
      <c r="X293" s="131"/>
      <c r="Y293" s="131"/>
      <c r="Z293" s="131"/>
    </row>
    <row r="294">
      <c r="A294" s="99"/>
      <c r="B294" s="99"/>
      <c r="C294" s="99"/>
      <c r="D294" s="99"/>
      <c r="E294" s="99"/>
      <c r="F294" s="99"/>
      <c r="G294" s="99"/>
      <c r="H294" s="99"/>
      <c r="I294" s="99"/>
      <c r="J294" s="131"/>
      <c r="K294" s="131"/>
      <c r="L294" s="131"/>
      <c r="M294" s="131"/>
      <c r="N294" s="131"/>
      <c r="O294" s="131"/>
      <c r="P294" s="131"/>
      <c r="Q294" s="131"/>
      <c r="R294" s="131"/>
      <c r="S294" s="131"/>
      <c r="T294" s="131"/>
      <c r="U294" s="131"/>
      <c r="V294" s="131"/>
      <c r="W294" s="131"/>
      <c r="X294" s="131"/>
      <c r="Y294" s="131"/>
      <c r="Z294" s="131"/>
    </row>
    <row r="295">
      <c r="A295" s="99"/>
      <c r="B295" s="99"/>
      <c r="C295" s="99"/>
      <c r="D295" s="99"/>
      <c r="E295" s="99"/>
      <c r="F295" s="99"/>
      <c r="G295" s="99"/>
      <c r="H295" s="99"/>
      <c r="I295" s="99"/>
      <c r="J295" s="131"/>
      <c r="K295" s="131"/>
      <c r="L295" s="131"/>
      <c r="M295" s="131"/>
      <c r="N295" s="131"/>
      <c r="O295" s="131"/>
      <c r="P295" s="131"/>
      <c r="Q295" s="131"/>
      <c r="R295" s="131"/>
      <c r="S295" s="131"/>
      <c r="T295" s="131"/>
      <c r="U295" s="131"/>
      <c r="V295" s="131"/>
      <c r="W295" s="131"/>
      <c r="X295" s="131"/>
      <c r="Y295" s="131"/>
      <c r="Z295" s="131"/>
    </row>
    <row r="296">
      <c r="A296" s="99"/>
      <c r="B296" s="99"/>
      <c r="C296" s="99"/>
      <c r="D296" s="99"/>
      <c r="E296" s="99"/>
      <c r="F296" s="99"/>
      <c r="G296" s="99"/>
      <c r="H296" s="99"/>
      <c r="I296" s="99"/>
      <c r="J296" s="131"/>
      <c r="K296" s="131"/>
      <c r="L296" s="131"/>
      <c r="M296" s="131"/>
      <c r="N296" s="131"/>
      <c r="O296" s="131"/>
      <c r="P296" s="131"/>
      <c r="Q296" s="131"/>
      <c r="R296" s="131"/>
      <c r="S296" s="131"/>
      <c r="T296" s="131"/>
      <c r="U296" s="131"/>
      <c r="V296" s="131"/>
      <c r="W296" s="131"/>
      <c r="X296" s="131"/>
      <c r="Y296" s="131"/>
      <c r="Z296" s="131"/>
    </row>
    <row r="297">
      <c r="A297" s="99"/>
      <c r="B297" s="99"/>
      <c r="C297" s="99"/>
      <c r="D297" s="99"/>
      <c r="E297" s="99"/>
      <c r="F297" s="99"/>
      <c r="G297" s="99"/>
      <c r="H297" s="99"/>
      <c r="I297" s="99"/>
      <c r="J297" s="131"/>
      <c r="K297" s="131"/>
      <c r="L297" s="131"/>
      <c r="M297" s="131"/>
      <c r="N297" s="131"/>
      <c r="O297" s="131"/>
      <c r="P297" s="131"/>
      <c r="Q297" s="131"/>
      <c r="R297" s="131"/>
      <c r="S297" s="131"/>
      <c r="T297" s="131"/>
      <c r="U297" s="131"/>
      <c r="V297" s="131"/>
      <c r="W297" s="131"/>
      <c r="X297" s="131"/>
      <c r="Y297" s="131"/>
      <c r="Z297" s="131"/>
    </row>
    <row r="298">
      <c r="A298" s="99"/>
      <c r="B298" s="99"/>
      <c r="C298" s="99"/>
      <c r="D298" s="99"/>
      <c r="E298" s="99"/>
      <c r="F298" s="99"/>
      <c r="G298" s="99"/>
      <c r="H298" s="99"/>
      <c r="I298" s="99"/>
      <c r="J298" s="131"/>
      <c r="K298" s="131"/>
      <c r="L298" s="131"/>
      <c r="M298" s="131"/>
      <c r="N298" s="131"/>
      <c r="O298" s="131"/>
      <c r="P298" s="131"/>
      <c r="Q298" s="131"/>
      <c r="R298" s="131"/>
      <c r="S298" s="131"/>
      <c r="T298" s="131"/>
      <c r="U298" s="131"/>
      <c r="V298" s="131"/>
      <c r="W298" s="131"/>
      <c r="X298" s="131"/>
      <c r="Y298" s="131"/>
      <c r="Z298" s="131"/>
    </row>
    <row r="299">
      <c r="A299" s="99"/>
      <c r="B299" s="99"/>
      <c r="C299" s="99"/>
      <c r="D299" s="99"/>
      <c r="E299" s="99"/>
      <c r="F299" s="99"/>
      <c r="G299" s="99"/>
      <c r="H299" s="99"/>
      <c r="I299" s="99"/>
      <c r="J299" s="131"/>
      <c r="K299" s="131"/>
      <c r="L299" s="131"/>
      <c r="M299" s="131"/>
      <c r="N299" s="131"/>
      <c r="O299" s="131"/>
      <c r="P299" s="131"/>
      <c r="Q299" s="131"/>
      <c r="R299" s="131"/>
      <c r="S299" s="131"/>
      <c r="T299" s="131"/>
      <c r="U299" s="131"/>
      <c r="V299" s="131"/>
      <c r="W299" s="131"/>
      <c r="X299" s="131"/>
      <c r="Y299" s="131"/>
      <c r="Z299" s="131"/>
    </row>
    <row r="300">
      <c r="A300" s="99"/>
      <c r="B300" s="99"/>
      <c r="C300" s="99"/>
      <c r="D300" s="99"/>
      <c r="E300" s="99"/>
      <c r="F300" s="99"/>
      <c r="G300" s="99"/>
      <c r="H300" s="99"/>
      <c r="I300" s="99"/>
      <c r="J300" s="131"/>
      <c r="K300" s="131"/>
      <c r="L300" s="131"/>
      <c r="M300" s="131"/>
      <c r="N300" s="131"/>
      <c r="O300" s="131"/>
      <c r="P300" s="131"/>
      <c r="Q300" s="131"/>
      <c r="R300" s="131"/>
      <c r="S300" s="131"/>
      <c r="T300" s="131"/>
      <c r="U300" s="131"/>
      <c r="V300" s="131"/>
      <c r="W300" s="131"/>
      <c r="X300" s="131"/>
      <c r="Y300" s="131"/>
      <c r="Z300" s="131"/>
    </row>
    <row r="301">
      <c r="A301" s="99"/>
      <c r="B301" s="99"/>
      <c r="C301" s="99"/>
      <c r="D301" s="99"/>
      <c r="E301" s="99"/>
      <c r="F301" s="99"/>
      <c r="G301" s="99"/>
      <c r="H301" s="99"/>
      <c r="I301" s="99"/>
      <c r="J301" s="131"/>
      <c r="K301" s="131"/>
      <c r="L301" s="131"/>
      <c r="M301" s="131"/>
      <c r="N301" s="131"/>
      <c r="O301" s="131"/>
      <c r="P301" s="131"/>
      <c r="Q301" s="131"/>
      <c r="R301" s="131"/>
      <c r="S301" s="131"/>
      <c r="T301" s="131"/>
      <c r="U301" s="131"/>
      <c r="V301" s="131"/>
      <c r="W301" s="131"/>
      <c r="X301" s="131"/>
      <c r="Y301" s="131"/>
      <c r="Z301" s="131"/>
    </row>
    <row r="302">
      <c r="A302" s="99"/>
      <c r="B302" s="99"/>
      <c r="C302" s="99"/>
      <c r="D302" s="99"/>
      <c r="E302" s="99"/>
      <c r="F302" s="99"/>
      <c r="G302" s="99"/>
      <c r="H302" s="99"/>
      <c r="I302" s="99"/>
      <c r="J302" s="131"/>
      <c r="K302" s="131"/>
      <c r="L302" s="131"/>
      <c r="M302" s="131"/>
      <c r="N302" s="131"/>
      <c r="O302" s="131"/>
      <c r="P302" s="131"/>
      <c r="Q302" s="131"/>
      <c r="R302" s="131"/>
      <c r="S302" s="131"/>
      <c r="T302" s="131"/>
      <c r="U302" s="131"/>
      <c r="V302" s="131"/>
      <c r="W302" s="131"/>
      <c r="X302" s="131"/>
      <c r="Y302" s="131"/>
      <c r="Z302" s="131"/>
    </row>
    <row r="303">
      <c r="A303" s="99"/>
      <c r="B303" s="99"/>
      <c r="C303" s="99"/>
      <c r="D303" s="99"/>
      <c r="E303" s="99"/>
      <c r="F303" s="99"/>
      <c r="G303" s="99"/>
      <c r="H303" s="99"/>
      <c r="I303" s="99"/>
      <c r="J303" s="131"/>
      <c r="K303" s="131"/>
      <c r="L303" s="131"/>
      <c r="M303" s="131"/>
      <c r="N303" s="131"/>
      <c r="O303" s="131"/>
      <c r="P303" s="131"/>
      <c r="Q303" s="131"/>
      <c r="R303" s="131"/>
      <c r="S303" s="131"/>
      <c r="T303" s="131"/>
      <c r="U303" s="131"/>
      <c r="V303" s="131"/>
      <c r="W303" s="131"/>
      <c r="X303" s="131"/>
      <c r="Y303" s="131"/>
      <c r="Z303" s="131"/>
    </row>
    <row r="304">
      <c r="A304" s="99"/>
      <c r="B304" s="99"/>
      <c r="C304" s="99"/>
      <c r="D304" s="99"/>
      <c r="E304" s="99"/>
      <c r="F304" s="99"/>
      <c r="G304" s="99"/>
      <c r="H304" s="99"/>
      <c r="I304" s="99"/>
      <c r="J304" s="131"/>
      <c r="K304" s="131"/>
      <c r="L304" s="131"/>
      <c r="M304" s="131"/>
      <c r="N304" s="131"/>
      <c r="O304" s="131"/>
      <c r="P304" s="131"/>
      <c r="Q304" s="131"/>
      <c r="R304" s="131"/>
      <c r="S304" s="131"/>
      <c r="T304" s="131"/>
      <c r="U304" s="131"/>
      <c r="V304" s="131"/>
      <c r="W304" s="131"/>
      <c r="X304" s="131"/>
      <c r="Y304" s="131"/>
      <c r="Z304" s="131"/>
    </row>
    <row r="305">
      <c r="A305" s="99"/>
      <c r="B305" s="99"/>
      <c r="C305" s="99"/>
      <c r="D305" s="99"/>
      <c r="E305" s="99"/>
      <c r="F305" s="99"/>
      <c r="G305" s="99"/>
      <c r="H305" s="99"/>
      <c r="I305" s="99"/>
      <c r="J305" s="131"/>
      <c r="K305" s="131"/>
      <c r="L305" s="131"/>
      <c r="M305" s="131"/>
      <c r="N305" s="131"/>
      <c r="O305" s="131"/>
      <c r="P305" s="131"/>
      <c r="Q305" s="131"/>
      <c r="R305" s="131"/>
      <c r="S305" s="131"/>
      <c r="T305" s="131"/>
      <c r="U305" s="131"/>
      <c r="V305" s="131"/>
      <c r="W305" s="131"/>
      <c r="X305" s="131"/>
      <c r="Y305" s="131"/>
      <c r="Z305" s="131"/>
    </row>
    <row r="306">
      <c r="A306" s="99"/>
      <c r="B306" s="99"/>
      <c r="C306" s="99"/>
      <c r="D306" s="99"/>
      <c r="E306" s="99"/>
      <c r="F306" s="99"/>
      <c r="G306" s="99"/>
      <c r="H306" s="99"/>
      <c r="I306" s="99"/>
      <c r="J306" s="131"/>
      <c r="K306" s="131"/>
      <c r="L306" s="131"/>
      <c r="M306" s="131"/>
      <c r="N306" s="131"/>
      <c r="O306" s="131"/>
      <c r="P306" s="131"/>
      <c r="Q306" s="131"/>
      <c r="R306" s="131"/>
      <c r="S306" s="131"/>
      <c r="T306" s="131"/>
      <c r="U306" s="131"/>
      <c r="V306" s="131"/>
      <c r="W306" s="131"/>
      <c r="X306" s="131"/>
      <c r="Y306" s="131"/>
      <c r="Z306" s="131"/>
    </row>
    <row r="307">
      <c r="A307" s="99"/>
      <c r="B307" s="99"/>
      <c r="C307" s="99"/>
      <c r="D307" s="99"/>
      <c r="E307" s="99"/>
      <c r="F307" s="99"/>
      <c r="G307" s="99"/>
      <c r="H307" s="99"/>
      <c r="I307" s="99"/>
      <c r="J307" s="131"/>
      <c r="K307" s="131"/>
      <c r="L307" s="131"/>
      <c r="M307" s="131"/>
      <c r="N307" s="131"/>
      <c r="O307" s="131"/>
      <c r="P307" s="131"/>
      <c r="Q307" s="131"/>
      <c r="R307" s="131"/>
      <c r="S307" s="131"/>
      <c r="T307" s="131"/>
      <c r="U307" s="131"/>
      <c r="V307" s="131"/>
      <c r="W307" s="131"/>
      <c r="X307" s="131"/>
      <c r="Y307" s="131"/>
      <c r="Z307" s="131"/>
    </row>
    <row r="308">
      <c r="A308" s="99"/>
      <c r="B308" s="99"/>
      <c r="C308" s="99"/>
      <c r="D308" s="99"/>
      <c r="E308" s="99"/>
      <c r="F308" s="99"/>
      <c r="G308" s="99"/>
      <c r="H308" s="99"/>
      <c r="I308" s="99"/>
      <c r="J308" s="131"/>
      <c r="K308" s="131"/>
      <c r="L308" s="131"/>
      <c r="M308" s="131"/>
      <c r="N308" s="131"/>
      <c r="O308" s="131"/>
      <c r="P308" s="131"/>
      <c r="Q308" s="131"/>
      <c r="R308" s="131"/>
      <c r="S308" s="131"/>
      <c r="T308" s="131"/>
      <c r="U308" s="131"/>
      <c r="V308" s="131"/>
      <c r="W308" s="131"/>
      <c r="X308" s="131"/>
      <c r="Y308" s="131"/>
      <c r="Z308" s="131"/>
    </row>
    <row r="309">
      <c r="A309" s="99"/>
      <c r="B309" s="99"/>
      <c r="C309" s="99"/>
      <c r="D309" s="99"/>
      <c r="E309" s="99"/>
      <c r="F309" s="99"/>
      <c r="G309" s="99"/>
      <c r="H309" s="99"/>
      <c r="I309" s="99"/>
      <c r="J309" s="131"/>
      <c r="K309" s="131"/>
      <c r="L309" s="131"/>
      <c r="M309" s="131"/>
      <c r="N309" s="131"/>
      <c r="O309" s="131"/>
      <c r="P309" s="131"/>
      <c r="Q309" s="131"/>
      <c r="R309" s="131"/>
      <c r="S309" s="131"/>
      <c r="T309" s="131"/>
      <c r="U309" s="131"/>
      <c r="V309" s="131"/>
      <c r="W309" s="131"/>
      <c r="X309" s="131"/>
      <c r="Y309" s="131"/>
      <c r="Z309" s="131"/>
    </row>
    <row r="310">
      <c r="A310" s="99"/>
      <c r="B310" s="99"/>
      <c r="C310" s="99"/>
      <c r="D310" s="99"/>
      <c r="E310" s="99"/>
      <c r="F310" s="99"/>
      <c r="G310" s="99"/>
      <c r="H310" s="99"/>
      <c r="I310" s="99"/>
      <c r="J310" s="131"/>
      <c r="K310" s="131"/>
      <c r="L310" s="131"/>
      <c r="M310" s="131"/>
      <c r="N310" s="131"/>
      <c r="O310" s="131"/>
      <c r="P310" s="131"/>
      <c r="Q310" s="131"/>
      <c r="R310" s="131"/>
      <c r="S310" s="131"/>
      <c r="T310" s="131"/>
      <c r="U310" s="131"/>
      <c r="V310" s="131"/>
      <c r="W310" s="131"/>
      <c r="X310" s="131"/>
      <c r="Y310" s="131"/>
      <c r="Z310" s="131"/>
    </row>
    <row r="311">
      <c r="A311" s="99"/>
      <c r="B311" s="99"/>
      <c r="C311" s="99"/>
      <c r="D311" s="99"/>
      <c r="E311" s="99"/>
      <c r="F311" s="99"/>
      <c r="G311" s="99"/>
      <c r="H311" s="99"/>
      <c r="I311" s="99"/>
      <c r="J311" s="131"/>
      <c r="K311" s="131"/>
      <c r="L311" s="131"/>
      <c r="M311" s="131"/>
      <c r="N311" s="131"/>
      <c r="O311" s="131"/>
      <c r="P311" s="131"/>
      <c r="Q311" s="131"/>
      <c r="R311" s="131"/>
      <c r="S311" s="131"/>
      <c r="T311" s="131"/>
      <c r="U311" s="131"/>
      <c r="V311" s="131"/>
      <c r="W311" s="131"/>
      <c r="X311" s="131"/>
      <c r="Y311" s="131"/>
      <c r="Z311" s="131"/>
    </row>
    <row r="312">
      <c r="A312" s="99"/>
      <c r="B312" s="99"/>
      <c r="C312" s="99"/>
      <c r="D312" s="99"/>
      <c r="E312" s="99"/>
      <c r="F312" s="99"/>
      <c r="G312" s="99"/>
      <c r="H312" s="99"/>
      <c r="I312" s="99"/>
      <c r="J312" s="131"/>
      <c r="K312" s="131"/>
      <c r="L312" s="131"/>
      <c r="M312" s="131"/>
      <c r="N312" s="131"/>
      <c r="O312" s="131"/>
      <c r="P312" s="131"/>
      <c r="Q312" s="131"/>
      <c r="R312" s="131"/>
      <c r="S312" s="131"/>
      <c r="T312" s="131"/>
      <c r="U312" s="131"/>
      <c r="V312" s="131"/>
      <c r="W312" s="131"/>
      <c r="X312" s="131"/>
      <c r="Y312" s="131"/>
      <c r="Z312" s="131"/>
    </row>
    <row r="313">
      <c r="A313" s="99"/>
      <c r="B313" s="99"/>
      <c r="C313" s="99"/>
      <c r="D313" s="99"/>
      <c r="E313" s="99"/>
      <c r="F313" s="99"/>
      <c r="G313" s="99"/>
      <c r="H313" s="99"/>
      <c r="I313" s="99"/>
      <c r="J313" s="131"/>
      <c r="K313" s="131"/>
      <c r="L313" s="131"/>
      <c r="M313" s="131"/>
      <c r="N313" s="131"/>
      <c r="O313" s="131"/>
      <c r="P313" s="131"/>
      <c r="Q313" s="131"/>
      <c r="R313" s="131"/>
      <c r="S313" s="131"/>
      <c r="T313" s="131"/>
      <c r="U313" s="131"/>
      <c r="V313" s="131"/>
      <c r="W313" s="131"/>
      <c r="X313" s="131"/>
      <c r="Y313" s="131"/>
      <c r="Z313" s="131"/>
    </row>
    <row r="314">
      <c r="A314" s="99"/>
      <c r="B314" s="99"/>
      <c r="C314" s="99"/>
      <c r="D314" s="99"/>
      <c r="E314" s="99"/>
      <c r="F314" s="99"/>
      <c r="G314" s="99"/>
      <c r="H314" s="99"/>
      <c r="I314" s="99"/>
      <c r="J314" s="131"/>
      <c r="K314" s="131"/>
      <c r="L314" s="131"/>
      <c r="M314" s="131"/>
      <c r="N314" s="131"/>
      <c r="O314" s="131"/>
      <c r="P314" s="131"/>
      <c r="Q314" s="131"/>
      <c r="R314" s="131"/>
      <c r="S314" s="131"/>
      <c r="T314" s="131"/>
      <c r="U314" s="131"/>
      <c r="V314" s="131"/>
      <c r="W314" s="131"/>
      <c r="X314" s="131"/>
      <c r="Y314" s="131"/>
      <c r="Z314" s="131"/>
    </row>
    <row r="315">
      <c r="A315" s="99"/>
      <c r="B315" s="99"/>
      <c r="C315" s="99"/>
      <c r="D315" s="99"/>
      <c r="E315" s="99"/>
      <c r="F315" s="99"/>
      <c r="G315" s="99"/>
      <c r="H315" s="99"/>
      <c r="I315" s="99"/>
      <c r="J315" s="131"/>
      <c r="K315" s="131"/>
      <c r="L315" s="131"/>
      <c r="M315" s="131"/>
      <c r="N315" s="131"/>
      <c r="O315" s="131"/>
      <c r="P315" s="131"/>
      <c r="Q315" s="131"/>
      <c r="R315" s="131"/>
      <c r="S315" s="131"/>
      <c r="T315" s="131"/>
      <c r="U315" s="131"/>
      <c r="V315" s="131"/>
      <c r="W315" s="131"/>
      <c r="X315" s="131"/>
      <c r="Y315" s="131"/>
      <c r="Z315" s="131"/>
    </row>
    <row r="316">
      <c r="A316" s="99"/>
      <c r="B316" s="99"/>
      <c r="C316" s="99"/>
      <c r="D316" s="99"/>
      <c r="E316" s="99"/>
      <c r="F316" s="99"/>
      <c r="G316" s="99"/>
      <c r="H316" s="99"/>
      <c r="I316" s="99"/>
      <c r="J316" s="131"/>
      <c r="K316" s="131"/>
      <c r="L316" s="131"/>
      <c r="M316" s="131"/>
      <c r="N316" s="131"/>
      <c r="O316" s="131"/>
      <c r="P316" s="131"/>
      <c r="Q316" s="131"/>
      <c r="R316" s="131"/>
      <c r="S316" s="131"/>
      <c r="T316" s="131"/>
      <c r="U316" s="131"/>
      <c r="V316" s="131"/>
      <c r="W316" s="131"/>
      <c r="X316" s="131"/>
      <c r="Y316" s="131"/>
      <c r="Z316" s="131"/>
    </row>
    <row r="317">
      <c r="A317" s="99"/>
      <c r="B317" s="99"/>
      <c r="C317" s="99"/>
      <c r="D317" s="99"/>
      <c r="E317" s="99"/>
      <c r="F317" s="99"/>
      <c r="G317" s="99"/>
      <c r="H317" s="99"/>
      <c r="I317" s="99"/>
      <c r="J317" s="131"/>
      <c r="K317" s="131"/>
      <c r="L317" s="131"/>
      <c r="M317" s="131"/>
      <c r="N317" s="131"/>
      <c r="O317" s="131"/>
      <c r="P317" s="131"/>
      <c r="Q317" s="131"/>
      <c r="R317" s="131"/>
      <c r="S317" s="131"/>
      <c r="T317" s="131"/>
      <c r="U317" s="131"/>
      <c r="V317" s="131"/>
      <c r="W317" s="131"/>
      <c r="X317" s="131"/>
      <c r="Y317" s="131"/>
      <c r="Z317" s="131"/>
    </row>
    <row r="318">
      <c r="A318" s="99"/>
      <c r="B318" s="99"/>
      <c r="C318" s="99"/>
      <c r="D318" s="99"/>
      <c r="E318" s="99"/>
      <c r="F318" s="99"/>
      <c r="G318" s="99"/>
      <c r="H318" s="99"/>
      <c r="I318" s="99"/>
      <c r="J318" s="131"/>
      <c r="K318" s="131"/>
      <c r="L318" s="131"/>
      <c r="M318" s="131"/>
      <c r="N318" s="131"/>
      <c r="O318" s="131"/>
      <c r="P318" s="131"/>
      <c r="Q318" s="131"/>
      <c r="R318" s="131"/>
      <c r="S318" s="131"/>
      <c r="T318" s="131"/>
      <c r="U318" s="131"/>
      <c r="V318" s="131"/>
      <c r="W318" s="131"/>
      <c r="X318" s="131"/>
      <c r="Y318" s="131"/>
      <c r="Z318" s="131"/>
    </row>
    <row r="319">
      <c r="A319" s="99"/>
      <c r="B319" s="99"/>
      <c r="C319" s="99"/>
      <c r="D319" s="99"/>
      <c r="E319" s="99"/>
      <c r="F319" s="99"/>
      <c r="G319" s="99"/>
      <c r="H319" s="99"/>
      <c r="I319" s="99"/>
      <c r="J319" s="131"/>
      <c r="K319" s="131"/>
      <c r="L319" s="131"/>
      <c r="M319" s="131"/>
      <c r="N319" s="131"/>
      <c r="O319" s="131"/>
      <c r="P319" s="131"/>
      <c r="Q319" s="131"/>
      <c r="R319" s="131"/>
      <c r="S319" s="131"/>
      <c r="T319" s="131"/>
      <c r="U319" s="131"/>
      <c r="V319" s="131"/>
      <c r="W319" s="131"/>
      <c r="X319" s="131"/>
      <c r="Y319" s="131"/>
      <c r="Z319" s="131"/>
    </row>
    <row r="320">
      <c r="A320" s="99"/>
      <c r="B320" s="99"/>
      <c r="C320" s="99"/>
      <c r="D320" s="99"/>
      <c r="E320" s="99"/>
      <c r="F320" s="99"/>
      <c r="G320" s="99"/>
      <c r="H320" s="99"/>
      <c r="I320" s="99"/>
      <c r="J320" s="131"/>
      <c r="K320" s="131"/>
      <c r="L320" s="131"/>
      <c r="M320" s="131"/>
      <c r="N320" s="131"/>
      <c r="O320" s="131"/>
      <c r="P320" s="131"/>
      <c r="Q320" s="131"/>
      <c r="R320" s="131"/>
      <c r="S320" s="131"/>
      <c r="T320" s="131"/>
      <c r="U320" s="131"/>
      <c r="V320" s="131"/>
      <c r="W320" s="131"/>
      <c r="X320" s="131"/>
      <c r="Y320" s="131"/>
      <c r="Z320" s="131"/>
    </row>
    <row r="321">
      <c r="A321" s="99"/>
      <c r="B321" s="99"/>
      <c r="C321" s="99"/>
      <c r="D321" s="99"/>
      <c r="E321" s="99"/>
      <c r="F321" s="99"/>
      <c r="G321" s="99"/>
      <c r="H321" s="99"/>
      <c r="I321" s="99"/>
      <c r="J321" s="131"/>
      <c r="K321" s="131"/>
      <c r="L321" s="131"/>
      <c r="M321" s="131"/>
      <c r="N321" s="131"/>
      <c r="O321" s="131"/>
      <c r="P321" s="131"/>
      <c r="Q321" s="131"/>
      <c r="R321" s="131"/>
      <c r="S321" s="131"/>
      <c r="T321" s="131"/>
      <c r="U321" s="131"/>
      <c r="V321" s="131"/>
      <c r="W321" s="131"/>
      <c r="X321" s="131"/>
      <c r="Y321" s="131"/>
      <c r="Z321" s="131"/>
    </row>
    <row r="322">
      <c r="A322" s="99"/>
      <c r="B322" s="99"/>
      <c r="C322" s="99"/>
      <c r="D322" s="99"/>
      <c r="E322" s="99"/>
      <c r="F322" s="99"/>
      <c r="G322" s="99"/>
      <c r="H322" s="99"/>
      <c r="I322" s="99"/>
      <c r="J322" s="131"/>
      <c r="K322" s="131"/>
      <c r="L322" s="131"/>
      <c r="M322" s="131"/>
      <c r="N322" s="131"/>
      <c r="O322" s="131"/>
      <c r="P322" s="131"/>
      <c r="Q322" s="131"/>
      <c r="R322" s="131"/>
      <c r="S322" s="131"/>
      <c r="T322" s="131"/>
      <c r="U322" s="131"/>
      <c r="V322" s="131"/>
      <c r="W322" s="131"/>
      <c r="X322" s="131"/>
      <c r="Y322" s="131"/>
      <c r="Z322" s="131"/>
    </row>
    <row r="323">
      <c r="A323" s="99"/>
      <c r="B323" s="99"/>
      <c r="C323" s="99"/>
      <c r="D323" s="99"/>
      <c r="E323" s="99"/>
      <c r="F323" s="99"/>
      <c r="G323" s="99"/>
      <c r="H323" s="99"/>
      <c r="I323" s="99"/>
      <c r="J323" s="131"/>
      <c r="K323" s="131"/>
      <c r="L323" s="131"/>
      <c r="M323" s="131"/>
      <c r="N323" s="131"/>
      <c r="O323" s="131"/>
      <c r="P323" s="131"/>
      <c r="Q323" s="131"/>
      <c r="R323" s="131"/>
      <c r="S323" s="131"/>
      <c r="T323" s="131"/>
      <c r="U323" s="131"/>
      <c r="V323" s="131"/>
      <c r="W323" s="131"/>
      <c r="X323" s="131"/>
      <c r="Y323" s="131"/>
      <c r="Z323" s="131"/>
    </row>
    <row r="324">
      <c r="A324" s="99"/>
      <c r="B324" s="99"/>
      <c r="C324" s="99"/>
      <c r="D324" s="99"/>
      <c r="E324" s="99"/>
      <c r="F324" s="99"/>
      <c r="G324" s="99"/>
      <c r="H324" s="99"/>
      <c r="I324" s="99"/>
      <c r="J324" s="131"/>
      <c r="K324" s="131"/>
      <c r="L324" s="131"/>
      <c r="M324" s="131"/>
      <c r="N324" s="131"/>
      <c r="O324" s="131"/>
      <c r="P324" s="131"/>
      <c r="Q324" s="131"/>
      <c r="R324" s="131"/>
      <c r="S324" s="131"/>
      <c r="T324" s="131"/>
      <c r="U324" s="131"/>
      <c r="V324" s="131"/>
      <c r="W324" s="131"/>
      <c r="X324" s="131"/>
      <c r="Y324" s="131"/>
      <c r="Z324" s="131"/>
    </row>
    <row r="325">
      <c r="A325" s="99"/>
      <c r="B325" s="99"/>
      <c r="C325" s="99"/>
      <c r="D325" s="99"/>
      <c r="E325" s="99"/>
      <c r="F325" s="99"/>
      <c r="G325" s="99"/>
      <c r="H325" s="99"/>
      <c r="I325" s="99"/>
      <c r="J325" s="131"/>
      <c r="K325" s="131"/>
      <c r="L325" s="131"/>
      <c r="M325" s="131"/>
      <c r="N325" s="131"/>
      <c r="O325" s="131"/>
      <c r="P325" s="131"/>
      <c r="Q325" s="131"/>
      <c r="R325" s="131"/>
      <c r="S325" s="131"/>
      <c r="T325" s="131"/>
      <c r="U325" s="131"/>
      <c r="V325" s="131"/>
      <c r="W325" s="131"/>
      <c r="X325" s="131"/>
      <c r="Y325" s="131"/>
      <c r="Z325" s="131"/>
    </row>
    <row r="326">
      <c r="A326" s="99"/>
      <c r="B326" s="99"/>
      <c r="C326" s="99"/>
      <c r="D326" s="99"/>
      <c r="E326" s="99"/>
      <c r="F326" s="99"/>
      <c r="G326" s="99"/>
      <c r="H326" s="99"/>
      <c r="I326" s="99"/>
      <c r="J326" s="131"/>
      <c r="K326" s="131"/>
      <c r="L326" s="131"/>
      <c r="M326" s="131"/>
      <c r="N326" s="131"/>
      <c r="O326" s="131"/>
      <c r="P326" s="131"/>
      <c r="Q326" s="131"/>
      <c r="R326" s="131"/>
      <c r="S326" s="131"/>
      <c r="T326" s="131"/>
      <c r="U326" s="131"/>
      <c r="V326" s="131"/>
      <c r="W326" s="131"/>
      <c r="X326" s="131"/>
      <c r="Y326" s="131"/>
      <c r="Z326" s="131"/>
    </row>
    <row r="327">
      <c r="A327" s="99"/>
      <c r="B327" s="99"/>
      <c r="C327" s="99"/>
      <c r="D327" s="99"/>
      <c r="E327" s="99"/>
      <c r="F327" s="99"/>
      <c r="G327" s="99"/>
      <c r="H327" s="99"/>
      <c r="I327" s="99"/>
      <c r="J327" s="131"/>
      <c r="K327" s="131"/>
      <c r="L327" s="131"/>
      <c r="M327" s="131"/>
      <c r="N327" s="131"/>
      <c r="O327" s="131"/>
      <c r="P327" s="131"/>
      <c r="Q327" s="131"/>
      <c r="R327" s="131"/>
      <c r="S327" s="131"/>
      <c r="T327" s="131"/>
      <c r="U327" s="131"/>
      <c r="V327" s="131"/>
      <c r="W327" s="131"/>
      <c r="X327" s="131"/>
      <c r="Y327" s="131"/>
      <c r="Z327" s="131"/>
    </row>
    <row r="328">
      <c r="A328" s="99"/>
      <c r="B328" s="99"/>
      <c r="C328" s="99"/>
      <c r="D328" s="99"/>
      <c r="E328" s="99"/>
      <c r="F328" s="99"/>
      <c r="G328" s="99"/>
      <c r="H328" s="99"/>
      <c r="I328" s="99"/>
      <c r="J328" s="131"/>
      <c r="K328" s="131"/>
      <c r="L328" s="131"/>
      <c r="M328" s="131"/>
      <c r="N328" s="131"/>
      <c r="O328" s="131"/>
      <c r="P328" s="131"/>
      <c r="Q328" s="131"/>
      <c r="R328" s="131"/>
      <c r="S328" s="131"/>
      <c r="T328" s="131"/>
      <c r="U328" s="131"/>
      <c r="V328" s="131"/>
      <c r="W328" s="131"/>
      <c r="X328" s="131"/>
      <c r="Y328" s="131"/>
      <c r="Z328" s="131"/>
    </row>
    <row r="329">
      <c r="A329" s="99"/>
      <c r="B329" s="99"/>
      <c r="C329" s="99"/>
      <c r="D329" s="99"/>
      <c r="E329" s="99"/>
      <c r="F329" s="99"/>
      <c r="G329" s="99"/>
      <c r="H329" s="99"/>
      <c r="I329" s="99"/>
      <c r="J329" s="131"/>
      <c r="K329" s="131"/>
      <c r="L329" s="131"/>
      <c r="M329" s="131"/>
      <c r="N329" s="131"/>
      <c r="O329" s="131"/>
      <c r="P329" s="131"/>
      <c r="Q329" s="131"/>
      <c r="R329" s="131"/>
      <c r="S329" s="131"/>
      <c r="T329" s="131"/>
      <c r="U329" s="131"/>
      <c r="V329" s="131"/>
      <c r="W329" s="131"/>
      <c r="X329" s="131"/>
      <c r="Y329" s="131"/>
      <c r="Z329" s="131"/>
    </row>
    <row r="330">
      <c r="A330" s="99"/>
      <c r="B330" s="99"/>
      <c r="C330" s="99"/>
      <c r="D330" s="99"/>
      <c r="E330" s="99"/>
      <c r="F330" s="99"/>
      <c r="G330" s="99"/>
      <c r="H330" s="99"/>
      <c r="I330" s="99"/>
      <c r="J330" s="131"/>
      <c r="K330" s="131"/>
      <c r="L330" s="131"/>
      <c r="M330" s="131"/>
      <c r="N330" s="131"/>
      <c r="O330" s="131"/>
      <c r="P330" s="131"/>
      <c r="Q330" s="131"/>
      <c r="R330" s="131"/>
      <c r="S330" s="131"/>
      <c r="T330" s="131"/>
      <c r="U330" s="131"/>
      <c r="V330" s="131"/>
      <c r="W330" s="131"/>
      <c r="X330" s="131"/>
      <c r="Y330" s="131"/>
      <c r="Z330" s="131"/>
    </row>
    <row r="331">
      <c r="A331" s="99"/>
      <c r="B331" s="99"/>
      <c r="C331" s="99"/>
      <c r="D331" s="99"/>
      <c r="E331" s="99"/>
      <c r="F331" s="99"/>
      <c r="G331" s="99"/>
      <c r="H331" s="99"/>
      <c r="I331" s="99"/>
      <c r="J331" s="131"/>
      <c r="K331" s="131"/>
      <c r="L331" s="131"/>
      <c r="M331" s="131"/>
      <c r="N331" s="131"/>
      <c r="O331" s="131"/>
      <c r="P331" s="131"/>
      <c r="Q331" s="131"/>
      <c r="R331" s="131"/>
      <c r="S331" s="131"/>
      <c r="T331" s="131"/>
      <c r="U331" s="131"/>
      <c r="V331" s="131"/>
      <c r="W331" s="131"/>
      <c r="X331" s="131"/>
      <c r="Y331" s="131"/>
      <c r="Z331" s="131"/>
    </row>
    <row r="332">
      <c r="A332" s="99"/>
      <c r="B332" s="99"/>
      <c r="C332" s="99"/>
      <c r="D332" s="99"/>
      <c r="E332" s="99"/>
      <c r="F332" s="99"/>
      <c r="G332" s="99"/>
      <c r="H332" s="99"/>
      <c r="I332" s="99"/>
      <c r="J332" s="131"/>
      <c r="K332" s="131"/>
      <c r="L332" s="131"/>
      <c r="M332" s="131"/>
      <c r="N332" s="131"/>
      <c r="O332" s="131"/>
      <c r="P332" s="131"/>
      <c r="Q332" s="131"/>
      <c r="R332" s="131"/>
      <c r="S332" s="131"/>
      <c r="T332" s="131"/>
      <c r="U332" s="131"/>
      <c r="V332" s="131"/>
      <c r="W332" s="131"/>
      <c r="X332" s="131"/>
      <c r="Y332" s="131"/>
      <c r="Z332" s="131"/>
    </row>
    <row r="333">
      <c r="A333" s="99"/>
      <c r="B333" s="99"/>
      <c r="C333" s="99"/>
      <c r="D333" s="99"/>
      <c r="E333" s="99"/>
      <c r="F333" s="99"/>
      <c r="G333" s="99"/>
      <c r="H333" s="99"/>
      <c r="I333" s="99"/>
      <c r="J333" s="131"/>
      <c r="K333" s="131"/>
      <c r="L333" s="131"/>
      <c r="M333" s="131"/>
      <c r="N333" s="131"/>
      <c r="O333" s="131"/>
      <c r="P333" s="131"/>
      <c r="Q333" s="131"/>
      <c r="R333" s="131"/>
      <c r="S333" s="131"/>
      <c r="T333" s="131"/>
      <c r="U333" s="131"/>
      <c r="V333" s="131"/>
      <c r="W333" s="131"/>
      <c r="X333" s="131"/>
      <c r="Y333" s="131"/>
      <c r="Z333" s="131"/>
    </row>
    <row r="334">
      <c r="A334" s="99"/>
      <c r="B334" s="99"/>
      <c r="C334" s="99"/>
      <c r="D334" s="99"/>
      <c r="E334" s="99"/>
      <c r="F334" s="99"/>
      <c r="G334" s="99"/>
      <c r="H334" s="99"/>
      <c r="I334" s="99"/>
      <c r="J334" s="131"/>
      <c r="K334" s="131"/>
      <c r="L334" s="131"/>
      <c r="M334" s="131"/>
      <c r="N334" s="131"/>
      <c r="O334" s="131"/>
      <c r="P334" s="131"/>
      <c r="Q334" s="131"/>
      <c r="R334" s="131"/>
      <c r="S334" s="131"/>
      <c r="T334" s="131"/>
      <c r="U334" s="131"/>
      <c r="V334" s="131"/>
      <c r="W334" s="131"/>
      <c r="X334" s="131"/>
      <c r="Y334" s="131"/>
      <c r="Z334" s="131"/>
    </row>
    <row r="335">
      <c r="A335" s="99"/>
      <c r="B335" s="99"/>
      <c r="C335" s="99"/>
      <c r="D335" s="99"/>
      <c r="E335" s="99"/>
      <c r="F335" s="99"/>
      <c r="G335" s="99"/>
      <c r="H335" s="99"/>
      <c r="I335" s="99"/>
      <c r="J335" s="131"/>
      <c r="K335" s="131"/>
      <c r="L335" s="131"/>
      <c r="M335" s="131"/>
      <c r="N335" s="131"/>
      <c r="O335" s="131"/>
      <c r="P335" s="131"/>
      <c r="Q335" s="131"/>
      <c r="R335" s="131"/>
      <c r="S335" s="131"/>
      <c r="T335" s="131"/>
      <c r="U335" s="131"/>
      <c r="V335" s="131"/>
      <c r="W335" s="131"/>
      <c r="X335" s="131"/>
      <c r="Y335" s="131"/>
      <c r="Z335" s="131"/>
    </row>
    <row r="336">
      <c r="A336" s="99"/>
      <c r="B336" s="99"/>
      <c r="C336" s="99"/>
      <c r="D336" s="99"/>
      <c r="E336" s="99"/>
      <c r="F336" s="99"/>
      <c r="G336" s="99"/>
      <c r="H336" s="99"/>
      <c r="I336" s="99"/>
      <c r="J336" s="131"/>
      <c r="K336" s="131"/>
      <c r="L336" s="131"/>
      <c r="M336" s="131"/>
      <c r="N336" s="131"/>
      <c r="O336" s="131"/>
      <c r="P336" s="131"/>
      <c r="Q336" s="131"/>
      <c r="R336" s="131"/>
      <c r="S336" s="131"/>
      <c r="T336" s="131"/>
      <c r="U336" s="131"/>
      <c r="V336" s="131"/>
      <c r="W336" s="131"/>
      <c r="X336" s="131"/>
      <c r="Y336" s="131"/>
      <c r="Z336" s="131"/>
    </row>
    <row r="337">
      <c r="A337" s="99"/>
      <c r="B337" s="99"/>
      <c r="C337" s="99"/>
      <c r="D337" s="99"/>
      <c r="E337" s="99"/>
      <c r="F337" s="99"/>
      <c r="G337" s="99"/>
      <c r="H337" s="99"/>
      <c r="I337" s="99"/>
      <c r="J337" s="131"/>
      <c r="K337" s="131"/>
      <c r="L337" s="131"/>
      <c r="M337" s="131"/>
      <c r="N337" s="131"/>
      <c r="O337" s="131"/>
      <c r="P337" s="131"/>
      <c r="Q337" s="131"/>
      <c r="R337" s="131"/>
      <c r="S337" s="131"/>
      <c r="T337" s="131"/>
      <c r="U337" s="131"/>
      <c r="V337" s="131"/>
      <c r="W337" s="131"/>
      <c r="X337" s="131"/>
      <c r="Y337" s="131"/>
      <c r="Z337" s="131"/>
    </row>
    <row r="338">
      <c r="A338" s="99"/>
      <c r="B338" s="99"/>
      <c r="C338" s="99"/>
      <c r="D338" s="99"/>
      <c r="E338" s="99"/>
      <c r="F338" s="99"/>
      <c r="G338" s="99"/>
      <c r="H338" s="99"/>
      <c r="I338" s="99"/>
      <c r="J338" s="131"/>
      <c r="K338" s="131"/>
      <c r="L338" s="131"/>
      <c r="M338" s="131"/>
      <c r="N338" s="131"/>
      <c r="O338" s="131"/>
      <c r="P338" s="131"/>
      <c r="Q338" s="131"/>
      <c r="R338" s="131"/>
      <c r="S338" s="131"/>
      <c r="T338" s="131"/>
      <c r="U338" s="131"/>
      <c r="V338" s="131"/>
      <c r="W338" s="131"/>
      <c r="X338" s="131"/>
      <c r="Y338" s="131"/>
      <c r="Z338" s="131"/>
    </row>
    <row r="339">
      <c r="A339" s="99"/>
      <c r="B339" s="99"/>
      <c r="C339" s="99"/>
      <c r="D339" s="99"/>
      <c r="E339" s="99"/>
      <c r="F339" s="99"/>
      <c r="G339" s="99"/>
      <c r="H339" s="99"/>
      <c r="I339" s="99"/>
      <c r="J339" s="131"/>
      <c r="K339" s="131"/>
      <c r="L339" s="131"/>
      <c r="M339" s="131"/>
      <c r="N339" s="131"/>
      <c r="O339" s="131"/>
      <c r="P339" s="131"/>
      <c r="Q339" s="131"/>
      <c r="R339" s="131"/>
      <c r="S339" s="131"/>
      <c r="T339" s="131"/>
      <c r="U339" s="131"/>
      <c r="V339" s="131"/>
      <c r="W339" s="131"/>
      <c r="X339" s="131"/>
      <c r="Y339" s="131"/>
      <c r="Z339" s="131"/>
    </row>
    <row r="340">
      <c r="A340" s="99"/>
      <c r="B340" s="99"/>
      <c r="C340" s="99"/>
      <c r="D340" s="99"/>
      <c r="E340" s="99"/>
      <c r="F340" s="99"/>
      <c r="G340" s="99"/>
      <c r="H340" s="99"/>
      <c r="I340" s="99"/>
      <c r="J340" s="131"/>
      <c r="K340" s="131"/>
      <c r="L340" s="131"/>
      <c r="M340" s="131"/>
      <c r="N340" s="131"/>
      <c r="O340" s="131"/>
      <c r="P340" s="131"/>
      <c r="Q340" s="131"/>
      <c r="R340" s="131"/>
      <c r="S340" s="131"/>
      <c r="T340" s="131"/>
      <c r="U340" s="131"/>
      <c r="V340" s="131"/>
      <c r="W340" s="131"/>
      <c r="X340" s="131"/>
      <c r="Y340" s="131"/>
      <c r="Z340" s="131"/>
    </row>
    <row r="341">
      <c r="A341" s="99"/>
      <c r="B341" s="99"/>
      <c r="C341" s="99"/>
      <c r="D341" s="99"/>
      <c r="E341" s="99"/>
      <c r="F341" s="99"/>
      <c r="G341" s="99"/>
      <c r="H341" s="99"/>
      <c r="I341" s="99"/>
      <c r="J341" s="131"/>
      <c r="K341" s="131"/>
      <c r="L341" s="131"/>
      <c r="M341" s="131"/>
      <c r="N341" s="131"/>
      <c r="O341" s="131"/>
      <c r="P341" s="131"/>
      <c r="Q341" s="131"/>
      <c r="R341" s="131"/>
      <c r="S341" s="131"/>
      <c r="T341" s="131"/>
      <c r="U341" s="131"/>
      <c r="V341" s="131"/>
      <c r="W341" s="131"/>
      <c r="X341" s="131"/>
      <c r="Y341" s="131"/>
      <c r="Z341" s="131"/>
    </row>
    <row r="342">
      <c r="A342" s="99"/>
      <c r="B342" s="99"/>
      <c r="C342" s="99"/>
      <c r="D342" s="99"/>
      <c r="E342" s="99"/>
      <c r="F342" s="99"/>
      <c r="G342" s="99"/>
      <c r="H342" s="99"/>
      <c r="I342" s="99"/>
      <c r="J342" s="131"/>
      <c r="K342" s="131"/>
      <c r="L342" s="131"/>
      <c r="M342" s="131"/>
      <c r="N342" s="131"/>
      <c r="O342" s="131"/>
      <c r="P342" s="131"/>
      <c r="Q342" s="131"/>
      <c r="R342" s="131"/>
      <c r="S342" s="131"/>
      <c r="T342" s="131"/>
      <c r="U342" s="131"/>
      <c r="V342" s="131"/>
      <c r="W342" s="131"/>
      <c r="X342" s="131"/>
      <c r="Y342" s="131"/>
      <c r="Z342" s="131"/>
    </row>
    <row r="343">
      <c r="A343" s="99"/>
      <c r="B343" s="99"/>
      <c r="C343" s="99"/>
      <c r="D343" s="99"/>
      <c r="E343" s="99"/>
      <c r="F343" s="99"/>
      <c r="G343" s="99"/>
      <c r="H343" s="99"/>
      <c r="I343" s="99"/>
      <c r="J343" s="131"/>
      <c r="K343" s="131"/>
      <c r="L343" s="131"/>
      <c r="M343" s="131"/>
      <c r="N343" s="131"/>
      <c r="O343" s="131"/>
      <c r="P343" s="131"/>
      <c r="Q343" s="131"/>
      <c r="R343" s="131"/>
      <c r="S343" s="131"/>
      <c r="T343" s="131"/>
      <c r="U343" s="131"/>
      <c r="V343" s="131"/>
      <c r="W343" s="131"/>
      <c r="X343" s="131"/>
      <c r="Y343" s="131"/>
      <c r="Z343" s="131"/>
    </row>
    <row r="344">
      <c r="A344" s="99"/>
      <c r="B344" s="99"/>
      <c r="C344" s="99"/>
      <c r="D344" s="99"/>
      <c r="E344" s="99"/>
      <c r="F344" s="99"/>
      <c r="G344" s="99"/>
      <c r="H344" s="99"/>
      <c r="I344" s="99"/>
      <c r="J344" s="131"/>
      <c r="K344" s="131"/>
      <c r="L344" s="131"/>
      <c r="M344" s="131"/>
      <c r="N344" s="131"/>
      <c r="O344" s="131"/>
      <c r="P344" s="131"/>
      <c r="Q344" s="131"/>
      <c r="R344" s="131"/>
      <c r="S344" s="131"/>
      <c r="T344" s="131"/>
      <c r="U344" s="131"/>
      <c r="V344" s="131"/>
      <c r="W344" s="131"/>
      <c r="X344" s="131"/>
      <c r="Y344" s="131"/>
      <c r="Z344" s="131"/>
    </row>
    <row r="345">
      <c r="A345" s="99"/>
      <c r="B345" s="99"/>
      <c r="C345" s="99"/>
      <c r="D345" s="99"/>
      <c r="E345" s="99"/>
      <c r="F345" s="99"/>
      <c r="G345" s="99"/>
      <c r="H345" s="99"/>
      <c r="I345" s="99"/>
      <c r="J345" s="131"/>
      <c r="K345" s="131"/>
      <c r="L345" s="131"/>
      <c r="M345" s="131"/>
      <c r="N345" s="131"/>
      <c r="O345" s="131"/>
      <c r="P345" s="131"/>
      <c r="Q345" s="131"/>
      <c r="R345" s="131"/>
      <c r="S345" s="131"/>
      <c r="T345" s="131"/>
      <c r="U345" s="131"/>
      <c r="V345" s="131"/>
      <c r="W345" s="131"/>
      <c r="X345" s="131"/>
      <c r="Y345" s="131"/>
      <c r="Z345" s="131"/>
    </row>
    <row r="346">
      <c r="A346" s="99"/>
      <c r="B346" s="99"/>
      <c r="C346" s="99"/>
      <c r="D346" s="99"/>
      <c r="E346" s="99"/>
      <c r="F346" s="99"/>
      <c r="G346" s="99"/>
      <c r="H346" s="99"/>
      <c r="I346" s="99"/>
      <c r="J346" s="131"/>
      <c r="K346" s="131"/>
      <c r="L346" s="131"/>
      <c r="M346" s="131"/>
      <c r="N346" s="131"/>
      <c r="O346" s="131"/>
      <c r="P346" s="131"/>
      <c r="Q346" s="131"/>
      <c r="R346" s="131"/>
      <c r="S346" s="131"/>
      <c r="T346" s="131"/>
      <c r="U346" s="131"/>
      <c r="V346" s="131"/>
      <c r="W346" s="131"/>
      <c r="X346" s="131"/>
      <c r="Y346" s="131"/>
      <c r="Z346" s="131"/>
    </row>
    <row r="347">
      <c r="A347" s="99"/>
      <c r="B347" s="99"/>
      <c r="C347" s="99"/>
      <c r="D347" s="99"/>
      <c r="E347" s="99"/>
      <c r="F347" s="99"/>
      <c r="G347" s="99"/>
      <c r="H347" s="99"/>
      <c r="I347" s="99"/>
      <c r="J347" s="131"/>
      <c r="K347" s="131"/>
      <c r="L347" s="131"/>
      <c r="M347" s="131"/>
      <c r="N347" s="131"/>
      <c r="O347" s="131"/>
      <c r="P347" s="131"/>
      <c r="Q347" s="131"/>
      <c r="R347" s="131"/>
      <c r="S347" s="131"/>
      <c r="T347" s="131"/>
      <c r="U347" s="131"/>
      <c r="V347" s="131"/>
      <c r="W347" s="131"/>
      <c r="X347" s="131"/>
      <c r="Y347" s="131"/>
      <c r="Z347" s="131"/>
    </row>
    <row r="348">
      <c r="A348" s="99"/>
      <c r="B348" s="99"/>
      <c r="C348" s="99"/>
      <c r="D348" s="99"/>
      <c r="E348" s="99"/>
      <c r="F348" s="99"/>
      <c r="G348" s="99"/>
      <c r="H348" s="99"/>
      <c r="I348" s="99"/>
      <c r="J348" s="131"/>
      <c r="K348" s="131"/>
      <c r="L348" s="131"/>
      <c r="M348" s="131"/>
      <c r="N348" s="131"/>
      <c r="O348" s="131"/>
      <c r="P348" s="131"/>
      <c r="Q348" s="131"/>
      <c r="R348" s="131"/>
      <c r="S348" s="131"/>
      <c r="T348" s="131"/>
      <c r="U348" s="131"/>
      <c r="V348" s="131"/>
      <c r="W348" s="131"/>
      <c r="X348" s="131"/>
      <c r="Y348" s="131"/>
      <c r="Z348" s="131"/>
    </row>
    <row r="349">
      <c r="A349" s="99"/>
      <c r="B349" s="99"/>
      <c r="C349" s="99"/>
      <c r="D349" s="99"/>
      <c r="E349" s="99"/>
      <c r="F349" s="99"/>
      <c r="G349" s="99"/>
      <c r="H349" s="99"/>
      <c r="I349" s="99"/>
      <c r="J349" s="131"/>
      <c r="K349" s="131"/>
      <c r="L349" s="131"/>
      <c r="M349" s="131"/>
      <c r="N349" s="131"/>
      <c r="O349" s="131"/>
      <c r="P349" s="131"/>
      <c r="Q349" s="131"/>
      <c r="R349" s="131"/>
      <c r="S349" s="131"/>
      <c r="T349" s="131"/>
      <c r="U349" s="131"/>
      <c r="V349" s="131"/>
      <c r="W349" s="131"/>
      <c r="X349" s="131"/>
      <c r="Y349" s="131"/>
      <c r="Z349" s="131"/>
    </row>
    <row r="350">
      <c r="A350" s="99"/>
      <c r="B350" s="99"/>
      <c r="C350" s="99"/>
      <c r="D350" s="99"/>
      <c r="E350" s="99"/>
      <c r="F350" s="99"/>
      <c r="G350" s="99"/>
      <c r="H350" s="99"/>
      <c r="I350" s="99"/>
      <c r="J350" s="131"/>
      <c r="K350" s="131"/>
      <c r="L350" s="131"/>
      <c r="M350" s="131"/>
      <c r="N350" s="131"/>
      <c r="O350" s="131"/>
      <c r="P350" s="131"/>
      <c r="Q350" s="131"/>
      <c r="R350" s="131"/>
      <c r="S350" s="131"/>
      <c r="T350" s="131"/>
      <c r="U350" s="131"/>
      <c r="V350" s="131"/>
      <c r="W350" s="131"/>
      <c r="X350" s="131"/>
      <c r="Y350" s="131"/>
      <c r="Z350" s="131"/>
    </row>
    <row r="351">
      <c r="A351" s="99"/>
      <c r="B351" s="99"/>
      <c r="C351" s="99"/>
      <c r="D351" s="99"/>
      <c r="E351" s="99"/>
      <c r="F351" s="99"/>
      <c r="G351" s="99"/>
      <c r="H351" s="99"/>
      <c r="I351" s="99"/>
      <c r="J351" s="131"/>
      <c r="K351" s="131"/>
      <c r="L351" s="131"/>
      <c r="M351" s="131"/>
      <c r="N351" s="131"/>
      <c r="O351" s="131"/>
      <c r="P351" s="131"/>
      <c r="Q351" s="131"/>
      <c r="R351" s="131"/>
      <c r="S351" s="131"/>
      <c r="T351" s="131"/>
      <c r="U351" s="131"/>
      <c r="V351" s="131"/>
      <c r="W351" s="131"/>
      <c r="X351" s="131"/>
      <c r="Y351" s="131"/>
      <c r="Z351" s="131"/>
    </row>
    <row r="352">
      <c r="A352" s="99"/>
      <c r="B352" s="99"/>
      <c r="C352" s="99"/>
      <c r="D352" s="99"/>
      <c r="E352" s="99"/>
      <c r="F352" s="99"/>
      <c r="G352" s="99"/>
      <c r="H352" s="99"/>
      <c r="I352" s="99"/>
      <c r="J352" s="131"/>
      <c r="K352" s="131"/>
      <c r="L352" s="131"/>
      <c r="M352" s="131"/>
      <c r="N352" s="131"/>
      <c r="O352" s="131"/>
      <c r="P352" s="131"/>
      <c r="Q352" s="131"/>
      <c r="R352" s="131"/>
      <c r="S352" s="131"/>
      <c r="T352" s="131"/>
      <c r="U352" s="131"/>
      <c r="V352" s="131"/>
      <c r="W352" s="131"/>
      <c r="X352" s="131"/>
      <c r="Y352" s="131"/>
      <c r="Z352" s="131"/>
    </row>
    <row r="353">
      <c r="A353" s="99"/>
      <c r="B353" s="99"/>
      <c r="C353" s="99"/>
      <c r="D353" s="99"/>
      <c r="E353" s="99"/>
      <c r="F353" s="99"/>
      <c r="G353" s="99"/>
      <c r="H353" s="99"/>
      <c r="I353" s="99"/>
      <c r="J353" s="131"/>
      <c r="K353" s="131"/>
      <c r="L353" s="131"/>
      <c r="M353" s="131"/>
      <c r="N353" s="131"/>
      <c r="O353" s="131"/>
      <c r="P353" s="131"/>
      <c r="Q353" s="131"/>
      <c r="R353" s="131"/>
      <c r="S353" s="131"/>
      <c r="T353" s="131"/>
      <c r="U353" s="131"/>
      <c r="V353" s="131"/>
      <c r="W353" s="131"/>
      <c r="X353" s="131"/>
      <c r="Y353" s="131"/>
      <c r="Z353" s="131"/>
    </row>
    <row r="354">
      <c r="A354" s="99"/>
      <c r="B354" s="99"/>
      <c r="C354" s="99"/>
      <c r="D354" s="99"/>
      <c r="E354" s="99"/>
      <c r="F354" s="99"/>
      <c r="G354" s="99"/>
      <c r="H354" s="99"/>
      <c r="I354" s="99"/>
      <c r="J354" s="131"/>
      <c r="K354" s="131"/>
      <c r="L354" s="131"/>
      <c r="M354" s="131"/>
      <c r="N354" s="131"/>
      <c r="O354" s="131"/>
      <c r="P354" s="131"/>
      <c r="Q354" s="131"/>
      <c r="R354" s="131"/>
      <c r="S354" s="131"/>
      <c r="T354" s="131"/>
      <c r="U354" s="131"/>
      <c r="V354" s="131"/>
      <c r="W354" s="131"/>
      <c r="X354" s="131"/>
      <c r="Y354" s="131"/>
      <c r="Z354" s="131"/>
    </row>
    <row r="355">
      <c r="A355" s="99"/>
      <c r="B355" s="99"/>
      <c r="C355" s="99"/>
      <c r="D355" s="99"/>
      <c r="E355" s="99"/>
      <c r="F355" s="99"/>
      <c r="G355" s="99"/>
      <c r="H355" s="99"/>
      <c r="I355" s="99"/>
      <c r="J355" s="131"/>
      <c r="K355" s="131"/>
      <c r="L355" s="131"/>
      <c r="M355" s="131"/>
      <c r="N355" s="131"/>
      <c r="O355" s="131"/>
      <c r="P355" s="131"/>
      <c r="Q355" s="131"/>
      <c r="R355" s="131"/>
      <c r="S355" s="131"/>
      <c r="T355" s="131"/>
      <c r="U355" s="131"/>
      <c r="V355" s="131"/>
      <c r="W355" s="131"/>
      <c r="X355" s="131"/>
      <c r="Y355" s="131"/>
      <c r="Z355" s="131"/>
    </row>
    <row r="356">
      <c r="A356" s="99"/>
      <c r="B356" s="99"/>
      <c r="C356" s="99"/>
      <c r="D356" s="99"/>
      <c r="E356" s="99"/>
      <c r="F356" s="99"/>
      <c r="G356" s="99"/>
      <c r="H356" s="99"/>
      <c r="I356" s="99"/>
      <c r="J356" s="131"/>
      <c r="K356" s="131"/>
      <c r="L356" s="131"/>
      <c r="M356" s="131"/>
      <c r="N356" s="131"/>
      <c r="O356" s="131"/>
      <c r="P356" s="131"/>
      <c r="Q356" s="131"/>
      <c r="R356" s="131"/>
      <c r="S356" s="131"/>
      <c r="T356" s="131"/>
      <c r="U356" s="131"/>
      <c r="V356" s="131"/>
      <c r="W356" s="131"/>
      <c r="X356" s="131"/>
      <c r="Y356" s="131"/>
      <c r="Z356" s="131"/>
    </row>
    <row r="357">
      <c r="A357" s="99"/>
      <c r="B357" s="99"/>
      <c r="C357" s="99"/>
      <c r="D357" s="99"/>
      <c r="E357" s="99"/>
      <c r="F357" s="99"/>
      <c r="G357" s="99"/>
      <c r="H357" s="99"/>
      <c r="I357" s="99"/>
      <c r="J357" s="131"/>
      <c r="K357" s="131"/>
      <c r="L357" s="131"/>
      <c r="M357" s="131"/>
      <c r="N357" s="131"/>
      <c r="O357" s="131"/>
      <c r="P357" s="131"/>
      <c r="Q357" s="131"/>
      <c r="R357" s="131"/>
      <c r="S357" s="131"/>
      <c r="T357" s="131"/>
      <c r="U357" s="131"/>
      <c r="V357" s="131"/>
      <c r="W357" s="131"/>
      <c r="X357" s="131"/>
      <c r="Y357" s="131"/>
      <c r="Z357" s="131"/>
    </row>
    <row r="358">
      <c r="A358" s="99"/>
      <c r="B358" s="99"/>
      <c r="C358" s="99"/>
      <c r="D358" s="99"/>
      <c r="E358" s="99"/>
      <c r="F358" s="99"/>
      <c r="G358" s="99"/>
      <c r="H358" s="99"/>
      <c r="I358" s="99"/>
      <c r="J358" s="131"/>
      <c r="K358" s="131"/>
      <c r="L358" s="131"/>
      <c r="M358" s="131"/>
      <c r="N358" s="131"/>
      <c r="O358" s="131"/>
      <c r="P358" s="131"/>
      <c r="Q358" s="131"/>
      <c r="R358" s="131"/>
      <c r="S358" s="131"/>
      <c r="T358" s="131"/>
      <c r="U358" s="131"/>
      <c r="V358" s="131"/>
      <c r="W358" s="131"/>
      <c r="X358" s="131"/>
      <c r="Y358" s="131"/>
      <c r="Z358" s="131"/>
    </row>
    <row r="359">
      <c r="A359" s="99"/>
      <c r="B359" s="99"/>
      <c r="C359" s="99"/>
      <c r="D359" s="99"/>
      <c r="E359" s="99"/>
      <c r="F359" s="99"/>
      <c r="G359" s="99"/>
      <c r="H359" s="99"/>
      <c r="I359" s="99"/>
      <c r="J359" s="131"/>
      <c r="K359" s="131"/>
      <c r="L359" s="131"/>
      <c r="M359" s="131"/>
      <c r="N359" s="131"/>
      <c r="O359" s="131"/>
      <c r="P359" s="131"/>
      <c r="Q359" s="131"/>
      <c r="R359" s="131"/>
      <c r="S359" s="131"/>
      <c r="T359" s="131"/>
      <c r="U359" s="131"/>
      <c r="V359" s="131"/>
      <c r="W359" s="131"/>
      <c r="X359" s="131"/>
      <c r="Y359" s="131"/>
      <c r="Z359" s="131"/>
    </row>
    <row r="360">
      <c r="A360" s="99"/>
      <c r="B360" s="99"/>
      <c r="C360" s="99"/>
      <c r="D360" s="99"/>
      <c r="E360" s="99"/>
      <c r="F360" s="99"/>
      <c r="G360" s="99"/>
      <c r="H360" s="99"/>
      <c r="I360" s="99"/>
      <c r="J360" s="131"/>
      <c r="K360" s="131"/>
      <c r="L360" s="131"/>
      <c r="M360" s="131"/>
      <c r="N360" s="131"/>
      <c r="O360" s="131"/>
      <c r="P360" s="131"/>
      <c r="Q360" s="131"/>
      <c r="R360" s="131"/>
      <c r="S360" s="131"/>
      <c r="T360" s="131"/>
      <c r="U360" s="131"/>
      <c r="V360" s="131"/>
      <c r="W360" s="131"/>
      <c r="X360" s="131"/>
      <c r="Y360" s="131"/>
      <c r="Z360" s="131"/>
    </row>
    <row r="361">
      <c r="A361" s="99"/>
      <c r="B361" s="99"/>
      <c r="C361" s="99"/>
      <c r="D361" s="99"/>
      <c r="E361" s="99"/>
      <c r="F361" s="99"/>
      <c r="G361" s="99"/>
      <c r="H361" s="99"/>
      <c r="I361" s="99"/>
      <c r="J361" s="131"/>
      <c r="K361" s="131"/>
      <c r="L361" s="131"/>
      <c r="M361" s="131"/>
      <c r="N361" s="131"/>
      <c r="O361" s="131"/>
      <c r="P361" s="131"/>
      <c r="Q361" s="131"/>
      <c r="R361" s="131"/>
      <c r="S361" s="131"/>
      <c r="T361" s="131"/>
      <c r="U361" s="131"/>
      <c r="V361" s="131"/>
      <c r="W361" s="131"/>
      <c r="X361" s="131"/>
      <c r="Y361" s="131"/>
      <c r="Z361" s="131"/>
    </row>
    <row r="362">
      <c r="A362" s="99"/>
      <c r="B362" s="99"/>
      <c r="C362" s="99"/>
      <c r="D362" s="99"/>
      <c r="E362" s="99"/>
      <c r="F362" s="99"/>
      <c r="G362" s="99"/>
      <c r="H362" s="99"/>
      <c r="I362" s="99"/>
      <c r="J362" s="131"/>
      <c r="K362" s="131"/>
      <c r="L362" s="131"/>
      <c r="M362" s="131"/>
      <c r="N362" s="131"/>
      <c r="O362" s="131"/>
      <c r="P362" s="131"/>
      <c r="Q362" s="131"/>
      <c r="R362" s="131"/>
      <c r="S362" s="131"/>
      <c r="T362" s="131"/>
      <c r="U362" s="131"/>
      <c r="V362" s="131"/>
      <c r="W362" s="131"/>
      <c r="X362" s="131"/>
      <c r="Y362" s="131"/>
      <c r="Z362" s="131"/>
    </row>
    <row r="363">
      <c r="A363" s="99"/>
      <c r="B363" s="99"/>
      <c r="C363" s="99"/>
      <c r="D363" s="99"/>
      <c r="E363" s="99"/>
      <c r="F363" s="99"/>
      <c r="G363" s="99"/>
      <c r="H363" s="99"/>
      <c r="I363" s="99"/>
      <c r="J363" s="131"/>
      <c r="K363" s="131"/>
      <c r="L363" s="131"/>
      <c r="M363" s="131"/>
      <c r="N363" s="131"/>
      <c r="O363" s="131"/>
      <c r="P363" s="131"/>
      <c r="Q363" s="131"/>
      <c r="R363" s="131"/>
      <c r="S363" s="131"/>
      <c r="T363" s="131"/>
      <c r="U363" s="131"/>
      <c r="V363" s="131"/>
      <c r="W363" s="131"/>
      <c r="X363" s="131"/>
      <c r="Y363" s="131"/>
      <c r="Z363" s="131"/>
    </row>
    <row r="364">
      <c r="A364" s="99"/>
      <c r="B364" s="99"/>
      <c r="C364" s="99"/>
      <c r="D364" s="99"/>
      <c r="E364" s="99"/>
      <c r="F364" s="99"/>
      <c r="G364" s="99"/>
      <c r="H364" s="99"/>
      <c r="I364" s="99"/>
      <c r="J364" s="131"/>
      <c r="K364" s="131"/>
      <c r="L364" s="131"/>
      <c r="M364" s="131"/>
      <c r="N364" s="131"/>
      <c r="O364" s="131"/>
      <c r="P364" s="131"/>
      <c r="Q364" s="131"/>
      <c r="R364" s="131"/>
      <c r="S364" s="131"/>
      <c r="T364" s="131"/>
      <c r="U364" s="131"/>
      <c r="V364" s="131"/>
      <c r="W364" s="131"/>
      <c r="X364" s="131"/>
      <c r="Y364" s="131"/>
      <c r="Z364" s="131"/>
    </row>
    <row r="365">
      <c r="A365" s="99"/>
      <c r="B365" s="99"/>
      <c r="C365" s="99"/>
      <c r="D365" s="99"/>
      <c r="E365" s="99"/>
      <c r="F365" s="99"/>
      <c r="G365" s="99"/>
      <c r="H365" s="99"/>
      <c r="I365" s="99"/>
      <c r="J365" s="131"/>
      <c r="K365" s="131"/>
      <c r="L365" s="131"/>
      <c r="M365" s="131"/>
      <c r="N365" s="131"/>
      <c r="O365" s="131"/>
      <c r="P365" s="131"/>
      <c r="Q365" s="131"/>
      <c r="R365" s="131"/>
      <c r="S365" s="131"/>
      <c r="T365" s="131"/>
      <c r="U365" s="131"/>
      <c r="V365" s="131"/>
      <c r="W365" s="131"/>
      <c r="X365" s="131"/>
      <c r="Y365" s="131"/>
      <c r="Z365" s="131"/>
    </row>
    <row r="366">
      <c r="A366" s="99"/>
      <c r="B366" s="99"/>
      <c r="C366" s="99"/>
      <c r="D366" s="99"/>
      <c r="E366" s="99"/>
      <c r="F366" s="99"/>
      <c r="G366" s="99"/>
      <c r="H366" s="99"/>
      <c r="I366" s="99"/>
      <c r="J366" s="131"/>
      <c r="K366" s="131"/>
      <c r="L366" s="131"/>
      <c r="M366" s="131"/>
      <c r="N366" s="131"/>
      <c r="O366" s="131"/>
      <c r="P366" s="131"/>
      <c r="Q366" s="131"/>
      <c r="R366" s="131"/>
      <c r="S366" s="131"/>
      <c r="T366" s="131"/>
      <c r="U366" s="131"/>
      <c r="V366" s="131"/>
      <c r="W366" s="131"/>
      <c r="X366" s="131"/>
      <c r="Y366" s="131"/>
      <c r="Z366" s="131"/>
    </row>
    <row r="367">
      <c r="A367" s="99"/>
      <c r="B367" s="99"/>
      <c r="C367" s="99"/>
      <c r="D367" s="99"/>
      <c r="E367" s="99"/>
      <c r="F367" s="99"/>
      <c r="G367" s="99"/>
      <c r="H367" s="99"/>
      <c r="I367" s="99"/>
      <c r="J367" s="131"/>
      <c r="K367" s="131"/>
      <c r="L367" s="131"/>
      <c r="M367" s="131"/>
      <c r="N367" s="131"/>
      <c r="O367" s="131"/>
      <c r="P367" s="131"/>
      <c r="Q367" s="131"/>
      <c r="R367" s="131"/>
      <c r="S367" s="131"/>
      <c r="T367" s="131"/>
      <c r="U367" s="131"/>
      <c r="V367" s="131"/>
      <c r="W367" s="131"/>
      <c r="X367" s="131"/>
      <c r="Y367" s="131"/>
      <c r="Z367" s="131"/>
    </row>
    <row r="368">
      <c r="A368" s="99"/>
      <c r="B368" s="99"/>
      <c r="C368" s="99"/>
      <c r="D368" s="99"/>
      <c r="E368" s="99"/>
      <c r="F368" s="99"/>
      <c r="G368" s="99"/>
      <c r="H368" s="99"/>
      <c r="I368" s="99"/>
      <c r="J368" s="131"/>
      <c r="K368" s="131"/>
      <c r="L368" s="131"/>
      <c r="M368" s="131"/>
      <c r="N368" s="131"/>
      <c r="O368" s="131"/>
      <c r="P368" s="131"/>
      <c r="Q368" s="131"/>
      <c r="R368" s="131"/>
      <c r="S368" s="131"/>
      <c r="T368" s="131"/>
      <c r="U368" s="131"/>
      <c r="V368" s="131"/>
      <c r="W368" s="131"/>
      <c r="X368" s="131"/>
      <c r="Y368" s="131"/>
      <c r="Z368" s="131"/>
    </row>
    <row r="369">
      <c r="A369" s="99"/>
      <c r="B369" s="99"/>
      <c r="C369" s="99"/>
      <c r="D369" s="99"/>
      <c r="E369" s="99"/>
      <c r="F369" s="99"/>
      <c r="G369" s="99"/>
      <c r="H369" s="99"/>
      <c r="I369" s="99"/>
      <c r="J369" s="131"/>
      <c r="K369" s="131"/>
      <c r="L369" s="131"/>
      <c r="M369" s="131"/>
      <c r="N369" s="131"/>
      <c r="O369" s="131"/>
      <c r="P369" s="131"/>
      <c r="Q369" s="131"/>
      <c r="R369" s="131"/>
      <c r="S369" s="131"/>
      <c r="T369" s="131"/>
      <c r="U369" s="131"/>
      <c r="V369" s="131"/>
      <c r="W369" s="131"/>
      <c r="X369" s="131"/>
      <c r="Y369" s="131"/>
      <c r="Z369" s="131"/>
    </row>
    <row r="370">
      <c r="A370" s="99"/>
      <c r="B370" s="99"/>
      <c r="C370" s="99"/>
      <c r="D370" s="99"/>
      <c r="E370" s="99"/>
      <c r="F370" s="99"/>
      <c r="G370" s="99"/>
      <c r="H370" s="99"/>
      <c r="I370" s="99"/>
      <c r="J370" s="131"/>
      <c r="K370" s="131"/>
      <c r="L370" s="131"/>
      <c r="M370" s="131"/>
      <c r="N370" s="131"/>
      <c r="O370" s="131"/>
      <c r="P370" s="131"/>
      <c r="Q370" s="131"/>
      <c r="R370" s="131"/>
      <c r="S370" s="131"/>
      <c r="T370" s="131"/>
      <c r="U370" s="131"/>
      <c r="V370" s="131"/>
      <c r="W370" s="131"/>
      <c r="X370" s="131"/>
      <c r="Y370" s="131"/>
      <c r="Z370" s="131"/>
    </row>
    <row r="371">
      <c r="A371" s="99"/>
      <c r="B371" s="99"/>
      <c r="C371" s="99"/>
      <c r="D371" s="99"/>
      <c r="E371" s="99"/>
      <c r="F371" s="99"/>
      <c r="G371" s="99"/>
      <c r="H371" s="99"/>
      <c r="I371" s="99"/>
      <c r="J371" s="131"/>
      <c r="K371" s="131"/>
      <c r="L371" s="131"/>
      <c r="M371" s="131"/>
      <c r="N371" s="131"/>
      <c r="O371" s="131"/>
      <c r="P371" s="131"/>
      <c r="Q371" s="131"/>
      <c r="R371" s="131"/>
      <c r="S371" s="131"/>
      <c r="T371" s="131"/>
      <c r="U371" s="131"/>
      <c r="V371" s="131"/>
      <c r="W371" s="131"/>
      <c r="X371" s="131"/>
      <c r="Y371" s="131"/>
      <c r="Z371" s="131"/>
    </row>
    <row r="372">
      <c r="A372" s="99"/>
      <c r="B372" s="99"/>
      <c r="C372" s="99"/>
      <c r="D372" s="99"/>
      <c r="E372" s="99"/>
      <c r="F372" s="99"/>
      <c r="G372" s="99"/>
      <c r="H372" s="99"/>
      <c r="I372" s="99"/>
      <c r="J372" s="131"/>
      <c r="K372" s="131"/>
      <c r="L372" s="131"/>
      <c r="M372" s="131"/>
      <c r="N372" s="131"/>
      <c r="O372" s="131"/>
      <c r="P372" s="131"/>
      <c r="Q372" s="131"/>
      <c r="R372" s="131"/>
      <c r="S372" s="131"/>
      <c r="T372" s="131"/>
      <c r="U372" s="131"/>
      <c r="V372" s="131"/>
      <c r="W372" s="131"/>
      <c r="X372" s="131"/>
      <c r="Y372" s="131"/>
      <c r="Z372" s="131"/>
    </row>
    <row r="373">
      <c r="A373" s="99"/>
      <c r="B373" s="99"/>
      <c r="C373" s="99"/>
      <c r="D373" s="99"/>
      <c r="E373" s="99"/>
      <c r="F373" s="99"/>
      <c r="G373" s="99"/>
      <c r="H373" s="99"/>
      <c r="I373" s="99"/>
      <c r="J373" s="131"/>
      <c r="K373" s="131"/>
      <c r="L373" s="131"/>
      <c r="M373" s="131"/>
      <c r="N373" s="131"/>
      <c r="O373" s="131"/>
      <c r="P373" s="131"/>
      <c r="Q373" s="131"/>
      <c r="R373" s="131"/>
      <c r="S373" s="131"/>
      <c r="T373" s="131"/>
      <c r="U373" s="131"/>
      <c r="V373" s="131"/>
      <c r="W373" s="131"/>
      <c r="X373" s="131"/>
      <c r="Y373" s="131"/>
      <c r="Z373" s="131"/>
    </row>
    <row r="374">
      <c r="A374" s="99"/>
      <c r="B374" s="99"/>
      <c r="C374" s="99"/>
      <c r="D374" s="99"/>
      <c r="E374" s="99"/>
      <c r="F374" s="99"/>
      <c r="G374" s="99"/>
      <c r="H374" s="99"/>
      <c r="I374" s="99"/>
      <c r="J374" s="131"/>
      <c r="K374" s="131"/>
      <c r="L374" s="131"/>
      <c r="M374" s="131"/>
      <c r="N374" s="131"/>
      <c r="O374" s="131"/>
      <c r="P374" s="131"/>
      <c r="Q374" s="131"/>
      <c r="R374" s="131"/>
      <c r="S374" s="131"/>
      <c r="T374" s="131"/>
      <c r="U374" s="131"/>
      <c r="V374" s="131"/>
      <c r="W374" s="131"/>
      <c r="X374" s="131"/>
      <c r="Y374" s="131"/>
      <c r="Z374" s="131"/>
    </row>
    <row r="375">
      <c r="A375" s="99"/>
      <c r="B375" s="99"/>
      <c r="C375" s="99"/>
      <c r="D375" s="99"/>
      <c r="E375" s="99"/>
      <c r="F375" s="99"/>
      <c r="G375" s="99"/>
      <c r="H375" s="99"/>
      <c r="I375" s="99"/>
      <c r="J375" s="131"/>
      <c r="K375" s="131"/>
      <c r="L375" s="131"/>
      <c r="M375" s="131"/>
      <c r="N375" s="131"/>
      <c r="O375" s="131"/>
      <c r="P375" s="131"/>
      <c r="Q375" s="131"/>
      <c r="R375" s="131"/>
      <c r="S375" s="131"/>
      <c r="T375" s="131"/>
      <c r="U375" s="131"/>
      <c r="V375" s="131"/>
      <c r="W375" s="131"/>
      <c r="X375" s="131"/>
      <c r="Y375" s="131"/>
      <c r="Z375" s="131"/>
    </row>
    <row r="376">
      <c r="A376" s="99"/>
      <c r="B376" s="99"/>
      <c r="C376" s="99"/>
      <c r="D376" s="99"/>
      <c r="E376" s="99"/>
      <c r="F376" s="99"/>
      <c r="G376" s="99"/>
      <c r="H376" s="99"/>
      <c r="I376" s="99"/>
      <c r="J376" s="131"/>
      <c r="K376" s="131"/>
      <c r="L376" s="131"/>
      <c r="M376" s="131"/>
      <c r="N376" s="131"/>
      <c r="O376" s="131"/>
      <c r="P376" s="131"/>
      <c r="Q376" s="131"/>
      <c r="R376" s="131"/>
      <c r="S376" s="131"/>
      <c r="T376" s="131"/>
      <c r="U376" s="131"/>
      <c r="V376" s="131"/>
      <c r="W376" s="131"/>
      <c r="X376" s="131"/>
      <c r="Y376" s="131"/>
      <c r="Z376" s="131"/>
    </row>
    <row r="377">
      <c r="A377" s="99"/>
      <c r="B377" s="99"/>
      <c r="C377" s="99"/>
      <c r="D377" s="99"/>
      <c r="E377" s="99"/>
      <c r="F377" s="99"/>
      <c r="G377" s="99"/>
      <c r="H377" s="99"/>
      <c r="I377" s="99"/>
      <c r="J377" s="131"/>
      <c r="K377" s="131"/>
      <c r="L377" s="131"/>
      <c r="M377" s="131"/>
      <c r="N377" s="131"/>
      <c r="O377" s="131"/>
      <c r="P377" s="131"/>
      <c r="Q377" s="131"/>
      <c r="R377" s="131"/>
      <c r="S377" s="131"/>
      <c r="T377" s="131"/>
      <c r="U377" s="131"/>
      <c r="V377" s="131"/>
      <c r="W377" s="131"/>
      <c r="X377" s="131"/>
      <c r="Y377" s="131"/>
      <c r="Z377" s="131"/>
    </row>
    <row r="378">
      <c r="A378" s="99"/>
      <c r="B378" s="99"/>
      <c r="C378" s="99"/>
      <c r="D378" s="99"/>
      <c r="E378" s="99"/>
      <c r="F378" s="99"/>
      <c r="G378" s="99"/>
      <c r="H378" s="99"/>
      <c r="I378" s="99"/>
      <c r="J378" s="131"/>
      <c r="K378" s="131"/>
      <c r="L378" s="131"/>
      <c r="M378" s="131"/>
      <c r="N378" s="131"/>
      <c r="O378" s="131"/>
      <c r="P378" s="131"/>
      <c r="Q378" s="131"/>
      <c r="R378" s="131"/>
      <c r="S378" s="131"/>
      <c r="T378" s="131"/>
      <c r="U378" s="131"/>
      <c r="V378" s="131"/>
      <c r="W378" s="131"/>
      <c r="X378" s="131"/>
      <c r="Y378" s="131"/>
      <c r="Z378" s="131"/>
    </row>
    <row r="379">
      <c r="A379" s="99"/>
      <c r="B379" s="99"/>
      <c r="C379" s="99"/>
      <c r="D379" s="99"/>
      <c r="E379" s="99"/>
      <c r="F379" s="99"/>
      <c r="G379" s="99"/>
      <c r="H379" s="99"/>
      <c r="I379" s="99"/>
      <c r="J379" s="131"/>
      <c r="K379" s="131"/>
      <c r="L379" s="131"/>
      <c r="M379" s="131"/>
      <c r="N379" s="131"/>
      <c r="O379" s="131"/>
      <c r="P379" s="131"/>
      <c r="Q379" s="131"/>
      <c r="R379" s="131"/>
      <c r="S379" s="131"/>
      <c r="T379" s="131"/>
      <c r="U379" s="131"/>
      <c r="V379" s="131"/>
      <c r="W379" s="131"/>
      <c r="X379" s="131"/>
      <c r="Y379" s="131"/>
      <c r="Z379" s="131"/>
    </row>
    <row r="380">
      <c r="A380" s="99"/>
      <c r="B380" s="99"/>
      <c r="C380" s="99"/>
      <c r="D380" s="99"/>
      <c r="E380" s="99"/>
      <c r="F380" s="99"/>
      <c r="G380" s="99"/>
      <c r="H380" s="99"/>
      <c r="I380" s="99"/>
      <c r="J380" s="131"/>
      <c r="K380" s="131"/>
      <c r="L380" s="131"/>
      <c r="M380" s="131"/>
      <c r="N380" s="131"/>
      <c r="O380" s="131"/>
      <c r="P380" s="131"/>
      <c r="Q380" s="131"/>
      <c r="R380" s="131"/>
      <c r="S380" s="131"/>
      <c r="T380" s="131"/>
      <c r="U380" s="131"/>
      <c r="V380" s="131"/>
      <c r="W380" s="131"/>
      <c r="X380" s="131"/>
      <c r="Y380" s="131"/>
      <c r="Z380" s="131"/>
    </row>
    <row r="381">
      <c r="A381" s="99"/>
      <c r="B381" s="99"/>
      <c r="C381" s="99"/>
      <c r="D381" s="99"/>
      <c r="E381" s="99"/>
      <c r="F381" s="99"/>
      <c r="G381" s="99"/>
      <c r="H381" s="99"/>
      <c r="I381" s="99"/>
      <c r="J381" s="131"/>
      <c r="K381" s="131"/>
      <c r="L381" s="131"/>
      <c r="M381" s="131"/>
      <c r="N381" s="131"/>
      <c r="O381" s="131"/>
      <c r="P381" s="131"/>
      <c r="Q381" s="131"/>
      <c r="R381" s="131"/>
      <c r="S381" s="131"/>
      <c r="T381" s="131"/>
      <c r="U381" s="131"/>
      <c r="V381" s="131"/>
      <c r="W381" s="131"/>
      <c r="X381" s="131"/>
      <c r="Y381" s="131"/>
      <c r="Z381" s="131"/>
    </row>
    <row r="382">
      <c r="A382" s="99"/>
      <c r="B382" s="99"/>
      <c r="C382" s="99"/>
      <c r="D382" s="99"/>
      <c r="E382" s="99"/>
      <c r="F382" s="99"/>
      <c r="G382" s="99"/>
      <c r="H382" s="99"/>
      <c r="I382" s="99"/>
      <c r="J382" s="131"/>
      <c r="K382" s="131"/>
      <c r="L382" s="131"/>
      <c r="M382" s="131"/>
      <c r="N382" s="131"/>
      <c r="O382" s="131"/>
      <c r="P382" s="131"/>
      <c r="Q382" s="131"/>
      <c r="R382" s="131"/>
      <c r="S382" s="131"/>
      <c r="T382" s="131"/>
      <c r="U382" s="131"/>
      <c r="V382" s="131"/>
      <c r="W382" s="131"/>
      <c r="X382" s="131"/>
      <c r="Y382" s="131"/>
      <c r="Z382" s="131"/>
    </row>
    <row r="383">
      <c r="A383" s="99"/>
      <c r="B383" s="99"/>
      <c r="C383" s="99"/>
      <c r="D383" s="99"/>
      <c r="E383" s="99"/>
      <c r="F383" s="99"/>
      <c r="G383" s="99"/>
      <c r="H383" s="99"/>
      <c r="I383" s="99"/>
      <c r="J383" s="131"/>
      <c r="K383" s="131"/>
      <c r="L383" s="131"/>
      <c r="M383" s="131"/>
      <c r="N383" s="131"/>
      <c r="O383" s="131"/>
      <c r="P383" s="131"/>
      <c r="Q383" s="131"/>
      <c r="R383" s="131"/>
      <c r="S383" s="131"/>
      <c r="T383" s="131"/>
      <c r="U383" s="131"/>
      <c r="V383" s="131"/>
      <c r="W383" s="131"/>
      <c r="X383" s="131"/>
      <c r="Y383" s="131"/>
      <c r="Z383" s="131"/>
    </row>
    <row r="384">
      <c r="A384" s="99"/>
      <c r="B384" s="99"/>
      <c r="C384" s="99"/>
      <c r="D384" s="99"/>
      <c r="E384" s="99"/>
      <c r="F384" s="99"/>
      <c r="G384" s="99"/>
      <c r="H384" s="99"/>
      <c r="I384" s="99"/>
      <c r="J384" s="131"/>
      <c r="K384" s="131"/>
      <c r="L384" s="131"/>
      <c r="M384" s="131"/>
      <c r="N384" s="131"/>
      <c r="O384" s="131"/>
      <c r="P384" s="131"/>
      <c r="Q384" s="131"/>
      <c r="R384" s="131"/>
      <c r="S384" s="131"/>
      <c r="T384" s="131"/>
      <c r="U384" s="131"/>
      <c r="V384" s="131"/>
      <c r="W384" s="131"/>
      <c r="X384" s="131"/>
      <c r="Y384" s="131"/>
      <c r="Z384" s="131"/>
    </row>
    <row r="385">
      <c r="A385" s="99"/>
      <c r="B385" s="99"/>
      <c r="C385" s="99"/>
      <c r="D385" s="99"/>
      <c r="E385" s="99"/>
      <c r="F385" s="99"/>
      <c r="G385" s="99"/>
      <c r="H385" s="99"/>
      <c r="I385" s="99"/>
      <c r="J385" s="131"/>
      <c r="K385" s="131"/>
      <c r="L385" s="131"/>
      <c r="M385" s="131"/>
      <c r="N385" s="131"/>
      <c r="O385" s="131"/>
      <c r="P385" s="131"/>
      <c r="Q385" s="131"/>
      <c r="R385" s="131"/>
      <c r="S385" s="131"/>
      <c r="T385" s="131"/>
      <c r="U385" s="131"/>
      <c r="V385" s="131"/>
      <c r="W385" s="131"/>
      <c r="X385" s="131"/>
      <c r="Y385" s="131"/>
      <c r="Z385" s="131"/>
    </row>
    <row r="386">
      <c r="A386" s="99"/>
      <c r="B386" s="99"/>
      <c r="C386" s="99"/>
      <c r="D386" s="99"/>
      <c r="E386" s="99"/>
      <c r="F386" s="99"/>
      <c r="G386" s="99"/>
      <c r="H386" s="99"/>
      <c r="I386" s="99"/>
      <c r="J386" s="131"/>
      <c r="K386" s="131"/>
      <c r="L386" s="131"/>
      <c r="M386" s="131"/>
      <c r="N386" s="131"/>
      <c r="O386" s="131"/>
      <c r="P386" s="131"/>
      <c r="Q386" s="131"/>
      <c r="R386" s="131"/>
      <c r="S386" s="131"/>
      <c r="T386" s="131"/>
      <c r="U386" s="131"/>
      <c r="V386" s="131"/>
      <c r="W386" s="131"/>
      <c r="X386" s="131"/>
      <c r="Y386" s="131"/>
      <c r="Z386" s="131"/>
    </row>
    <row r="387">
      <c r="A387" s="99"/>
      <c r="B387" s="99"/>
      <c r="C387" s="99"/>
      <c r="D387" s="99"/>
      <c r="E387" s="99"/>
      <c r="F387" s="99"/>
      <c r="G387" s="99"/>
      <c r="H387" s="99"/>
      <c r="I387" s="99"/>
      <c r="J387" s="131"/>
      <c r="K387" s="131"/>
      <c r="L387" s="131"/>
      <c r="M387" s="131"/>
      <c r="N387" s="131"/>
      <c r="O387" s="131"/>
      <c r="P387" s="131"/>
      <c r="Q387" s="131"/>
      <c r="R387" s="131"/>
      <c r="S387" s="131"/>
      <c r="T387" s="131"/>
      <c r="U387" s="131"/>
      <c r="V387" s="131"/>
      <c r="W387" s="131"/>
      <c r="X387" s="131"/>
      <c r="Y387" s="131"/>
      <c r="Z387" s="131"/>
    </row>
    <row r="388">
      <c r="A388" s="99"/>
      <c r="B388" s="99"/>
      <c r="C388" s="99"/>
      <c r="D388" s="99"/>
      <c r="E388" s="99"/>
      <c r="F388" s="99"/>
      <c r="G388" s="99"/>
      <c r="H388" s="99"/>
      <c r="I388" s="99"/>
      <c r="J388" s="131"/>
      <c r="K388" s="131"/>
      <c r="L388" s="131"/>
      <c r="M388" s="131"/>
      <c r="N388" s="131"/>
      <c r="O388" s="131"/>
      <c r="P388" s="131"/>
      <c r="Q388" s="131"/>
      <c r="R388" s="131"/>
      <c r="S388" s="131"/>
      <c r="T388" s="131"/>
      <c r="U388" s="131"/>
      <c r="V388" s="131"/>
      <c r="W388" s="131"/>
      <c r="X388" s="131"/>
      <c r="Y388" s="131"/>
      <c r="Z388" s="131"/>
    </row>
    <row r="389">
      <c r="A389" s="99"/>
      <c r="B389" s="99"/>
      <c r="C389" s="99"/>
      <c r="D389" s="99"/>
      <c r="E389" s="99"/>
      <c r="F389" s="99"/>
      <c r="G389" s="99"/>
      <c r="H389" s="99"/>
      <c r="I389" s="99"/>
      <c r="J389" s="131"/>
      <c r="K389" s="131"/>
      <c r="L389" s="131"/>
      <c r="M389" s="131"/>
      <c r="N389" s="131"/>
      <c r="O389" s="131"/>
      <c r="P389" s="131"/>
      <c r="Q389" s="131"/>
      <c r="R389" s="131"/>
      <c r="S389" s="131"/>
      <c r="T389" s="131"/>
      <c r="U389" s="131"/>
      <c r="V389" s="131"/>
      <c r="W389" s="131"/>
      <c r="X389" s="131"/>
      <c r="Y389" s="131"/>
      <c r="Z389" s="131"/>
    </row>
    <row r="390">
      <c r="A390" s="99"/>
      <c r="B390" s="99"/>
      <c r="C390" s="99"/>
      <c r="D390" s="99"/>
      <c r="E390" s="99"/>
      <c r="F390" s="99"/>
      <c r="G390" s="99"/>
      <c r="H390" s="99"/>
      <c r="I390" s="99"/>
      <c r="J390" s="131"/>
      <c r="K390" s="131"/>
      <c r="L390" s="131"/>
      <c r="M390" s="131"/>
      <c r="N390" s="131"/>
      <c r="O390" s="131"/>
      <c r="P390" s="131"/>
      <c r="Q390" s="131"/>
      <c r="R390" s="131"/>
      <c r="S390" s="131"/>
      <c r="T390" s="131"/>
      <c r="U390" s="131"/>
      <c r="V390" s="131"/>
      <c r="W390" s="131"/>
      <c r="X390" s="131"/>
      <c r="Y390" s="131"/>
      <c r="Z390" s="131"/>
    </row>
    <row r="391">
      <c r="A391" s="99"/>
      <c r="B391" s="99"/>
      <c r="C391" s="99"/>
      <c r="D391" s="99"/>
      <c r="E391" s="99"/>
      <c r="F391" s="99"/>
      <c r="G391" s="99"/>
      <c r="H391" s="99"/>
      <c r="I391" s="99"/>
      <c r="J391" s="131"/>
      <c r="K391" s="131"/>
      <c r="L391" s="131"/>
      <c r="M391" s="131"/>
      <c r="N391" s="131"/>
      <c r="O391" s="131"/>
      <c r="P391" s="131"/>
      <c r="Q391" s="131"/>
      <c r="R391" s="131"/>
      <c r="S391" s="131"/>
      <c r="T391" s="131"/>
      <c r="U391" s="131"/>
      <c r="V391" s="131"/>
      <c r="W391" s="131"/>
      <c r="X391" s="131"/>
      <c r="Y391" s="131"/>
      <c r="Z391" s="131"/>
    </row>
    <row r="392">
      <c r="A392" s="99"/>
      <c r="B392" s="99"/>
      <c r="C392" s="99"/>
      <c r="D392" s="99"/>
      <c r="E392" s="99"/>
      <c r="F392" s="99"/>
      <c r="G392" s="99"/>
      <c r="H392" s="99"/>
      <c r="I392" s="99"/>
      <c r="J392" s="131"/>
      <c r="K392" s="131"/>
      <c r="L392" s="131"/>
      <c r="M392" s="131"/>
      <c r="N392" s="131"/>
      <c r="O392" s="131"/>
      <c r="P392" s="131"/>
      <c r="Q392" s="131"/>
      <c r="R392" s="131"/>
      <c r="S392" s="131"/>
      <c r="T392" s="131"/>
      <c r="U392" s="131"/>
      <c r="V392" s="131"/>
      <c r="W392" s="131"/>
      <c r="X392" s="131"/>
      <c r="Y392" s="131"/>
      <c r="Z392" s="131"/>
    </row>
    <row r="393">
      <c r="A393" s="99"/>
      <c r="B393" s="99"/>
      <c r="C393" s="99"/>
      <c r="D393" s="99"/>
      <c r="E393" s="99"/>
      <c r="F393" s="99"/>
      <c r="G393" s="99"/>
      <c r="H393" s="99"/>
      <c r="I393" s="99"/>
      <c r="J393" s="131"/>
      <c r="K393" s="131"/>
      <c r="L393" s="131"/>
      <c r="M393" s="131"/>
      <c r="N393" s="131"/>
      <c r="O393" s="131"/>
      <c r="P393" s="131"/>
      <c r="Q393" s="131"/>
      <c r="R393" s="131"/>
      <c r="S393" s="131"/>
      <c r="T393" s="131"/>
      <c r="U393" s="131"/>
      <c r="V393" s="131"/>
      <c r="W393" s="131"/>
      <c r="X393" s="131"/>
      <c r="Y393" s="131"/>
      <c r="Z393" s="131"/>
    </row>
    <row r="394">
      <c r="A394" s="99"/>
      <c r="B394" s="99"/>
      <c r="C394" s="99"/>
      <c r="D394" s="99"/>
      <c r="E394" s="99"/>
      <c r="F394" s="99"/>
      <c r="G394" s="99"/>
      <c r="H394" s="99"/>
      <c r="I394" s="99"/>
      <c r="J394" s="131"/>
      <c r="K394" s="131"/>
      <c r="L394" s="131"/>
      <c r="M394" s="131"/>
      <c r="N394" s="131"/>
      <c r="O394" s="131"/>
      <c r="P394" s="131"/>
      <c r="Q394" s="131"/>
      <c r="R394" s="131"/>
      <c r="S394" s="131"/>
      <c r="T394" s="131"/>
      <c r="U394" s="131"/>
      <c r="V394" s="131"/>
      <c r="W394" s="131"/>
      <c r="X394" s="131"/>
      <c r="Y394" s="131"/>
      <c r="Z394" s="131"/>
    </row>
    <row r="395">
      <c r="A395" s="99"/>
      <c r="B395" s="99"/>
      <c r="C395" s="99"/>
      <c r="D395" s="99"/>
      <c r="E395" s="99"/>
      <c r="F395" s="99"/>
      <c r="G395" s="99"/>
      <c r="H395" s="99"/>
      <c r="I395" s="99"/>
      <c r="J395" s="131"/>
      <c r="K395" s="131"/>
      <c r="L395" s="131"/>
      <c r="M395" s="131"/>
      <c r="N395" s="131"/>
      <c r="O395" s="131"/>
      <c r="P395" s="131"/>
      <c r="Q395" s="131"/>
      <c r="R395" s="131"/>
      <c r="S395" s="131"/>
      <c r="T395" s="131"/>
      <c r="U395" s="131"/>
      <c r="V395" s="131"/>
      <c r="W395" s="131"/>
      <c r="X395" s="131"/>
      <c r="Y395" s="131"/>
      <c r="Z395" s="131"/>
    </row>
    <row r="396">
      <c r="A396" s="99"/>
      <c r="B396" s="99"/>
      <c r="C396" s="99"/>
      <c r="D396" s="99"/>
      <c r="E396" s="99"/>
      <c r="F396" s="99"/>
      <c r="G396" s="99"/>
      <c r="H396" s="99"/>
      <c r="I396" s="99"/>
      <c r="J396" s="131"/>
      <c r="K396" s="131"/>
      <c r="L396" s="131"/>
      <c r="M396" s="131"/>
      <c r="N396" s="131"/>
      <c r="O396" s="131"/>
      <c r="P396" s="131"/>
      <c r="Q396" s="131"/>
      <c r="R396" s="131"/>
      <c r="S396" s="131"/>
      <c r="T396" s="131"/>
      <c r="U396" s="131"/>
      <c r="V396" s="131"/>
      <c r="W396" s="131"/>
      <c r="X396" s="131"/>
      <c r="Y396" s="131"/>
      <c r="Z396" s="131"/>
    </row>
    <row r="397">
      <c r="A397" s="99"/>
      <c r="B397" s="99"/>
      <c r="C397" s="99"/>
      <c r="D397" s="99"/>
      <c r="E397" s="99"/>
      <c r="F397" s="99"/>
      <c r="G397" s="99"/>
      <c r="H397" s="99"/>
      <c r="I397" s="99"/>
      <c r="J397" s="131"/>
      <c r="K397" s="131"/>
      <c r="L397" s="131"/>
      <c r="M397" s="131"/>
      <c r="N397" s="131"/>
      <c r="O397" s="131"/>
      <c r="P397" s="131"/>
      <c r="Q397" s="131"/>
      <c r="R397" s="131"/>
      <c r="S397" s="131"/>
      <c r="T397" s="131"/>
      <c r="U397" s="131"/>
      <c r="V397" s="131"/>
      <c r="W397" s="131"/>
      <c r="X397" s="131"/>
      <c r="Y397" s="131"/>
      <c r="Z397" s="131"/>
    </row>
    <row r="398">
      <c r="A398" s="99"/>
      <c r="B398" s="99"/>
      <c r="C398" s="99"/>
      <c r="D398" s="99"/>
      <c r="E398" s="99"/>
      <c r="F398" s="99"/>
      <c r="G398" s="99"/>
      <c r="H398" s="99"/>
      <c r="I398" s="99"/>
      <c r="J398" s="131"/>
      <c r="K398" s="131"/>
      <c r="L398" s="131"/>
      <c r="M398" s="131"/>
      <c r="N398" s="131"/>
      <c r="O398" s="131"/>
      <c r="P398" s="131"/>
      <c r="Q398" s="131"/>
      <c r="R398" s="131"/>
      <c r="S398" s="131"/>
      <c r="T398" s="131"/>
      <c r="U398" s="131"/>
      <c r="V398" s="131"/>
      <c r="W398" s="131"/>
      <c r="X398" s="131"/>
      <c r="Y398" s="131"/>
      <c r="Z398" s="131"/>
    </row>
    <row r="399">
      <c r="A399" s="99"/>
      <c r="B399" s="99"/>
      <c r="C399" s="99"/>
      <c r="D399" s="99"/>
      <c r="E399" s="99"/>
      <c r="F399" s="99"/>
      <c r="G399" s="99"/>
      <c r="H399" s="99"/>
      <c r="I399" s="99"/>
      <c r="J399" s="131"/>
      <c r="K399" s="131"/>
      <c r="L399" s="131"/>
      <c r="M399" s="131"/>
      <c r="N399" s="131"/>
      <c r="O399" s="131"/>
      <c r="P399" s="131"/>
      <c r="Q399" s="131"/>
      <c r="R399" s="131"/>
      <c r="S399" s="131"/>
      <c r="T399" s="131"/>
      <c r="U399" s="131"/>
      <c r="V399" s="131"/>
      <c r="W399" s="131"/>
      <c r="X399" s="131"/>
      <c r="Y399" s="131"/>
      <c r="Z399" s="131"/>
    </row>
    <row r="400">
      <c r="A400" s="99"/>
      <c r="B400" s="99"/>
      <c r="C400" s="99"/>
      <c r="D400" s="99"/>
      <c r="E400" s="99"/>
      <c r="F400" s="99"/>
      <c r="G400" s="99"/>
      <c r="H400" s="99"/>
      <c r="I400" s="99"/>
      <c r="J400" s="131"/>
      <c r="K400" s="131"/>
      <c r="L400" s="131"/>
      <c r="M400" s="131"/>
      <c r="N400" s="131"/>
      <c r="O400" s="131"/>
      <c r="P400" s="131"/>
      <c r="Q400" s="131"/>
      <c r="R400" s="131"/>
      <c r="S400" s="131"/>
      <c r="T400" s="131"/>
      <c r="U400" s="131"/>
      <c r="V400" s="131"/>
      <c r="W400" s="131"/>
      <c r="X400" s="131"/>
      <c r="Y400" s="131"/>
      <c r="Z400" s="131"/>
    </row>
    <row r="401">
      <c r="A401" s="99"/>
      <c r="B401" s="99"/>
      <c r="C401" s="99"/>
      <c r="D401" s="99"/>
      <c r="E401" s="99"/>
      <c r="F401" s="99"/>
      <c r="G401" s="99"/>
      <c r="H401" s="99"/>
      <c r="I401" s="99"/>
      <c r="J401" s="131"/>
      <c r="K401" s="131"/>
      <c r="L401" s="131"/>
      <c r="M401" s="131"/>
      <c r="N401" s="131"/>
      <c r="O401" s="131"/>
      <c r="P401" s="131"/>
      <c r="Q401" s="131"/>
      <c r="R401" s="131"/>
      <c r="S401" s="131"/>
      <c r="T401" s="131"/>
      <c r="U401" s="131"/>
      <c r="V401" s="131"/>
      <c r="W401" s="131"/>
      <c r="X401" s="131"/>
      <c r="Y401" s="131"/>
      <c r="Z401" s="131"/>
    </row>
    <row r="402">
      <c r="A402" s="99"/>
      <c r="B402" s="99"/>
      <c r="C402" s="99"/>
      <c r="D402" s="99"/>
      <c r="E402" s="99"/>
      <c r="F402" s="99"/>
      <c r="G402" s="99"/>
      <c r="H402" s="99"/>
      <c r="I402" s="99"/>
      <c r="J402" s="131"/>
      <c r="K402" s="131"/>
      <c r="L402" s="131"/>
      <c r="M402" s="131"/>
      <c r="N402" s="131"/>
      <c r="O402" s="131"/>
      <c r="P402" s="131"/>
      <c r="Q402" s="131"/>
      <c r="R402" s="131"/>
      <c r="S402" s="131"/>
      <c r="T402" s="131"/>
      <c r="U402" s="131"/>
      <c r="V402" s="131"/>
      <c r="W402" s="131"/>
      <c r="X402" s="131"/>
      <c r="Y402" s="131"/>
      <c r="Z402" s="131"/>
    </row>
    <row r="403">
      <c r="A403" s="99"/>
      <c r="B403" s="99"/>
      <c r="C403" s="99"/>
      <c r="D403" s="99"/>
      <c r="E403" s="99"/>
      <c r="F403" s="99"/>
      <c r="G403" s="99"/>
      <c r="H403" s="99"/>
      <c r="I403" s="99"/>
      <c r="J403" s="131"/>
      <c r="K403" s="131"/>
      <c r="L403" s="131"/>
      <c r="M403" s="131"/>
      <c r="N403" s="131"/>
      <c r="O403" s="131"/>
      <c r="P403" s="131"/>
      <c r="Q403" s="131"/>
      <c r="R403" s="131"/>
      <c r="S403" s="131"/>
      <c r="T403" s="131"/>
      <c r="U403" s="131"/>
      <c r="V403" s="131"/>
      <c r="W403" s="131"/>
      <c r="X403" s="131"/>
      <c r="Y403" s="131"/>
      <c r="Z403" s="131"/>
    </row>
    <row r="404">
      <c r="A404" s="99"/>
      <c r="B404" s="99"/>
      <c r="C404" s="99"/>
      <c r="D404" s="99"/>
      <c r="E404" s="99"/>
      <c r="F404" s="99"/>
      <c r="G404" s="99"/>
      <c r="H404" s="99"/>
      <c r="I404" s="99"/>
      <c r="J404" s="131"/>
      <c r="K404" s="131"/>
      <c r="L404" s="131"/>
      <c r="M404" s="131"/>
      <c r="N404" s="131"/>
      <c r="O404" s="131"/>
      <c r="P404" s="131"/>
      <c r="Q404" s="131"/>
      <c r="R404" s="131"/>
      <c r="S404" s="131"/>
      <c r="T404" s="131"/>
      <c r="U404" s="131"/>
      <c r="V404" s="131"/>
      <c r="W404" s="131"/>
      <c r="X404" s="131"/>
      <c r="Y404" s="131"/>
      <c r="Z404" s="131"/>
    </row>
    <row r="405">
      <c r="A405" s="99"/>
      <c r="B405" s="99"/>
      <c r="C405" s="99"/>
      <c r="D405" s="99"/>
      <c r="E405" s="99"/>
      <c r="F405" s="99"/>
      <c r="G405" s="99"/>
      <c r="H405" s="99"/>
      <c r="I405" s="99"/>
      <c r="J405" s="131"/>
      <c r="K405" s="131"/>
      <c r="L405" s="131"/>
      <c r="M405" s="131"/>
      <c r="N405" s="131"/>
      <c r="O405" s="131"/>
      <c r="P405" s="131"/>
      <c r="Q405" s="131"/>
      <c r="R405" s="131"/>
      <c r="S405" s="131"/>
      <c r="T405" s="131"/>
      <c r="U405" s="131"/>
      <c r="V405" s="131"/>
      <c r="W405" s="131"/>
      <c r="X405" s="131"/>
      <c r="Y405" s="131"/>
      <c r="Z405" s="131"/>
    </row>
    <row r="406">
      <c r="A406" s="99"/>
      <c r="B406" s="99"/>
      <c r="C406" s="99"/>
      <c r="D406" s="99"/>
      <c r="E406" s="99"/>
      <c r="F406" s="99"/>
      <c r="G406" s="99"/>
      <c r="H406" s="99"/>
      <c r="I406" s="99"/>
      <c r="J406" s="131"/>
      <c r="K406" s="131"/>
      <c r="L406" s="131"/>
      <c r="M406" s="131"/>
      <c r="N406" s="131"/>
      <c r="O406" s="131"/>
      <c r="P406" s="131"/>
      <c r="Q406" s="131"/>
      <c r="R406" s="131"/>
      <c r="S406" s="131"/>
      <c r="T406" s="131"/>
      <c r="U406" s="131"/>
      <c r="V406" s="131"/>
      <c r="W406" s="131"/>
      <c r="X406" s="131"/>
      <c r="Y406" s="131"/>
      <c r="Z406" s="131"/>
    </row>
    <row r="407">
      <c r="A407" s="99"/>
      <c r="B407" s="99"/>
      <c r="C407" s="99"/>
      <c r="D407" s="99"/>
      <c r="E407" s="99"/>
      <c r="F407" s="99"/>
      <c r="G407" s="99"/>
      <c r="H407" s="99"/>
      <c r="I407" s="99"/>
      <c r="J407" s="131"/>
      <c r="K407" s="131"/>
      <c r="L407" s="131"/>
      <c r="M407" s="131"/>
      <c r="N407" s="131"/>
      <c r="O407" s="131"/>
      <c r="P407" s="131"/>
      <c r="Q407" s="131"/>
      <c r="R407" s="131"/>
      <c r="S407" s="131"/>
      <c r="T407" s="131"/>
      <c r="U407" s="131"/>
      <c r="V407" s="131"/>
      <c r="W407" s="131"/>
      <c r="X407" s="131"/>
      <c r="Y407" s="131"/>
      <c r="Z407" s="131"/>
    </row>
    <row r="408">
      <c r="A408" s="99"/>
      <c r="B408" s="99"/>
      <c r="C408" s="99"/>
      <c r="D408" s="99"/>
      <c r="E408" s="99"/>
      <c r="F408" s="99"/>
      <c r="G408" s="99"/>
      <c r="H408" s="99"/>
      <c r="I408" s="99"/>
      <c r="J408" s="131"/>
      <c r="K408" s="131"/>
      <c r="L408" s="131"/>
      <c r="M408" s="131"/>
      <c r="N408" s="131"/>
      <c r="O408" s="131"/>
      <c r="P408" s="131"/>
      <c r="Q408" s="131"/>
      <c r="R408" s="131"/>
      <c r="S408" s="131"/>
      <c r="T408" s="131"/>
      <c r="U408" s="131"/>
      <c r="V408" s="131"/>
      <c r="W408" s="131"/>
      <c r="X408" s="131"/>
      <c r="Y408" s="131"/>
      <c r="Z408" s="131"/>
    </row>
    <row r="409">
      <c r="A409" s="99"/>
      <c r="B409" s="99"/>
      <c r="C409" s="99"/>
      <c r="D409" s="99"/>
      <c r="E409" s="99"/>
      <c r="F409" s="99"/>
      <c r="G409" s="99"/>
      <c r="H409" s="99"/>
      <c r="I409" s="99"/>
      <c r="J409" s="131"/>
      <c r="K409" s="131"/>
      <c r="L409" s="131"/>
      <c r="M409" s="131"/>
      <c r="N409" s="131"/>
      <c r="O409" s="131"/>
      <c r="P409" s="131"/>
      <c r="Q409" s="131"/>
      <c r="R409" s="131"/>
      <c r="S409" s="131"/>
      <c r="T409" s="131"/>
      <c r="U409" s="131"/>
      <c r="V409" s="131"/>
      <c r="W409" s="131"/>
      <c r="X409" s="131"/>
      <c r="Y409" s="131"/>
      <c r="Z409" s="131"/>
    </row>
    <row r="410">
      <c r="A410" s="99"/>
      <c r="B410" s="99"/>
      <c r="C410" s="99"/>
      <c r="D410" s="99"/>
      <c r="E410" s="99"/>
      <c r="F410" s="99"/>
      <c r="G410" s="99"/>
      <c r="H410" s="99"/>
      <c r="I410" s="99"/>
      <c r="J410" s="131"/>
      <c r="K410" s="131"/>
      <c r="L410" s="131"/>
      <c r="M410" s="131"/>
      <c r="N410" s="131"/>
      <c r="O410" s="131"/>
      <c r="P410" s="131"/>
      <c r="Q410" s="131"/>
      <c r="R410" s="131"/>
      <c r="S410" s="131"/>
      <c r="T410" s="131"/>
      <c r="U410" s="131"/>
      <c r="V410" s="131"/>
      <c r="W410" s="131"/>
      <c r="X410" s="131"/>
      <c r="Y410" s="131"/>
      <c r="Z410" s="131"/>
    </row>
    <row r="411">
      <c r="A411" s="99"/>
      <c r="B411" s="99"/>
      <c r="C411" s="99"/>
      <c r="D411" s="99"/>
      <c r="E411" s="99"/>
      <c r="F411" s="99"/>
      <c r="G411" s="99"/>
      <c r="H411" s="99"/>
      <c r="I411" s="99"/>
      <c r="J411" s="131"/>
      <c r="K411" s="131"/>
      <c r="L411" s="131"/>
      <c r="M411" s="131"/>
      <c r="N411" s="131"/>
      <c r="O411" s="131"/>
      <c r="P411" s="131"/>
      <c r="Q411" s="131"/>
      <c r="R411" s="131"/>
      <c r="S411" s="131"/>
      <c r="T411" s="131"/>
      <c r="U411" s="131"/>
      <c r="V411" s="131"/>
      <c r="W411" s="131"/>
      <c r="X411" s="131"/>
      <c r="Y411" s="131"/>
      <c r="Z411" s="131"/>
    </row>
    <row r="412">
      <c r="A412" s="99"/>
      <c r="B412" s="99"/>
      <c r="C412" s="99"/>
      <c r="D412" s="99"/>
      <c r="E412" s="99"/>
      <c r="F412" s="99"/>
      <c r="G412" s="99"/>
      <c r="H412" s="99"/>
      <c r="I412" s="99"/>
      <c r="J412" s="131"/>
      <c r="K412" s="131"/>
      <c r="L412" s="131"/>
      <c r="M412" s="131"/>
      <c r="N412" s="131"/>
      <c r="O412" s="131"/>
      <c r="P412" s="131"/>
      <c r="Q412" s="131"/>
      <c r="R412" s="131"/>
      <c r="S412" s="131"/>
      <c r="T412" s="131"/>
      <c r="U412" s="131"/>
      <c r="V412" s="131"/>
      <c r="W412" s="131"/>
      <c r="X412" s="131"/>
      <c r="Y412" s="131"/>
      <c r="Z412" s="131"/>
    </row>
    <row r="413">
      <c r="A413" s="99"/>
      <c r="B413" s="99"/>
      <c r="C413" s="99"/>
      <c r="D413" s="99"/>
      <c r="E413" s="99"/>
      <c r="F413" s="99"/>
      <c r="G413" s="99"/>
      <c r="H413" s="99"/>
      <c r="I413" s="99"/>
      <c r="J413" s="131"/>
      <c r="K413" s="131"/>
      <c r="L413" s="131"/>
      <c r="M413" s="131"/>
      <c r="N413" s="131"/>
      <c r="O413" s="131"/>
      <c r="P413" s="131"/>
      <c r="Q413" s="131"/>
      <c r="R413" s="131"/>
      <c r="S413" s="131"/>
      <c r="T413" s="131"/>
      <c r="U413" s="131"/>
      <c r="V413" s="131"/>
      <c r="W413" s="131"/>
      <c r="X413" s="131"/>
      <c r="Y413" s="131"/>
      <c r="Z413" s="131"/>
    </row>
    <row r="414">
      <c r="A414" s="99"/>
      <c r="B414" s="99"/>
      <c r="C414" s="99"/>
      <c r="D414" s="99"/>
      <c r="E414" s="99"/>
      <c r="F414" s="99"/>
      <c r="G414" s="99"/>
      <c r="H414" s="99"/>
      <c r="I414" s="99"/>
      <c r="J414" s="131"/>
      <c r="K414" s="131"/>
      <c r="L414" s="131"/>
      <c r="M414" s="131"/>
      <c r="N414" s="131"/>
      <c r="O414" s="131"/>
      <c r="P414" s="131"/>
      <c r="Q414" s="131"/>
      <c r="R414" s="131"/>
      <c r="S414" s="131"/>
      <c r="T414" s="131"/>
      <c r="U414" s="131"/>
      <c r="V414" s="131"/>
      <c r="W414" s="131"/>
      <c r="X414" s="131"/>
      <c r="Y414" s="131"/>
      <c r="Z414" s="131"/>
    </row>
    <row r="415">
      <c r="A415" s="99"/>
      <c r="B415" s="99"/>
      <c r="C415" s="99"/>
      <c r="D415" s="99"/>
      <c r="E415" s="99"/>
      <c r="F415" s="99"/>
      <c r="G415" s="99"/>
      <c r="H415" s="99"/>
      <c r="I415" s="99"/>
      <c r="J415" s="131"/>
      <c r="K415" s="131"/>
      <c r="L415" s="131"/>
      <c r="M415" s="131"/>
      <c r="N415" s="131"/>
      <c r="O415" s="131"/>
      <c r="P415" s="131"/>
      <c r="Q415" s="131"/>
      <c r="R415" s="131"/>
      <c r="S415" s="131"/>
      <c r="T415" s="131"/>
      <c r="U415" s="131"/>
      <c r="V415" s="131"/>
      <c r="W415" s="131"/>
      <c r="X415" s="131"/>
      <c r="Y415" s="131"/>
      <c r="Z415" s="131"/>
    </row>
    <row r="416">
      <c r="A416" s="99"/>
      <c r="B416" s="99"/>
      <c r="C416" s="99"/>
      <c r="D416" s="99"/>
      <c r="E416" s="99"/>
      <c r="F416" s="99"/>
      <c r="G416" s="99"/>
      <c r="H416" s="99"/>
      <c r="I416" s="99"/>
      <c r="J416" s="131"/>
      <c r="K416" s="131"/>
      <c r="L416" s="131"/>
      <c r="M416" s="131"/>
      <c r="N416" s="131"/>
      <c r="O416" s="131"/>
      <c r="P416" s="131"/>
      <c r="Q416" s="131"/>
      <c r="R416" s="131"/>
      <c r="S416" s="131"/>
      <c r="T416" s="131"/>
      <c r="U416" s="131"/>
      <c r="V416" s="131"/>
      <c r="W416" s="131"/>
      <c r="X416" s="131"/>
      <c r="Y416" s="131"/>
      <c r="Z416" s="131"/>
    </row>
    <row r="417">
      <c r="A417" s="99"/>
      <c r="B417" s="99"/>
      <c r="C417" s="99"/>
      <c r="D417" s="99"/>
      <c r="E417" s="99"/>
      <c r="F417" s="99"/>
      <c r="G417" s="99"/>
      <c r="H417" s="99"/>
      <c r="I417" s="99"/>
      <c r="J417" s="131"/>
      <c r="K417" s="131"/>
      <c r="L417" s="131"/>
      <c r="M417" s="131"/>
      <c r="N417" s="131"/>
      <c r="O417" s="131"/>
      <c r="P417" s="131"/>
      <c r="Q417" s="131"/>
      <c r="R417" s="131"/>
      <c r="S417" s="131"/>
      <c r="T417" s="131"/>
      <c r="U417" s="131"/>
      <c r="V417" s="131"/>
      <c r="W417" s="131"/>
      <c r="X417" s="131"/>
      <c r="Y417" s="131"/>
      <c r="Z417" s="131"/>
    </row>
    <row r="418">
      <c r="A418" s="99"/>
      <c r="B418" s="99"/>
      <c r="C418" s="99"/>
      <c r="D418" s="99"/>
      <c r="E418" s="99"/>
      <c r="F418" s="99"/>
      <c r="G418" s="99"/>
      <c r="H418" s="99"/>
      <c r="I418" s="99"/>
      <c r="J418" s="131"/>
      <c r="K418" s="131"/>
      <c r="L418" s="131"/>
      <c r="M418" s="131"/>
      <c r="N418" s="131"/>
      <c r="O418" s="131"/>
      <c r="P418" s="131"/>
      <c r="Q418" s="131"/>
      <c r="R418" s="131"/>
      <c r="S418" s="131"/>
      <c r="T418" s="131"/>
      <c r="U418" s="131"/>
      <c r="V418" s="131"/>
      <c r="W418" s="131"/>
      <c r="X418" s="131"/>
      <c r="Y418" s="131"/>
      <c r="Z418" s="131"/>
    </row>
    <row r="419">
      <c r="A419" s="99"/>
      <c r="B419" s="99"/>
      <c r="C419" s="99"/>
      <c r="D419" s="99"/>
      <c r="E419" s="99"/>
      <c r="F419" s="99"/>
      <c r="G419" s="99"/>
      <c r="H419" s="99"/>
      <c r="I419" s="99"/>
      <c r="J419" s="131"/>
      <c r="K419" s="131"/>
      <c r="L419" s="131"/>
      <c r="M419" s="131"/>
      <c r="N419" s="131"/>
      <c r="O419" s="131"/>
      <c r="P419" s="131"/>
      <c r="Q419" s="131"/>
      <c r="R419" s="131"/>
      <c r="S419" s="131"/>
      <c r="T419" s="131"/>
      <c r="U419" s="131"/>
      <c r="V419" s="131"/>
      <c r="W419" s="131"/>
      <c r="X419" s="131"/>
      <c r="Y419" s="131"/>
      <c r="Z419" s="131"/>
    </row>
    <row r="420">
      <c r="A420" s="99"/>
      <c r="B420" s="99"/>
      <c r="C420" s="99"/>
      <c r="D420" s="99"/>
      <c r="E420" s="99"/>
      <c r="F420" s="99"/>
      <c r="G420" s="99"/>
      <c r="H420" s="99"/>
      <c r="I420" s="99"/>
      <c r="J420" s="131"/>
      <c r="K420" s="131"/>
      <c r="L420" s="131"/>
      <c r="M420" s="131"/>
      <c r="N420" s="131"/>
      <c r="O420" s="131"/>
      <c r="P420" s="131"/>
      <c r="Q420" s="131"/>
      <c r="R420" s="131"/>
      <c r="S420" s="131"/>
      <c r="T420" s="131"/>
      <c r="U420" s="131"/>
      <c r="V420" s="131"/>
      <c r="W420" s="131"/>
      <c r="X420" s="131"/>
      <c r="Y420" s="131"/>
      <c r="Z420" s="131"/>
    </row>
    <row r="421">
      <c r="A421" s="99"/>
      <c r="B421" s="99"/>
      <c r="C421" s="99"/>
      <c r="D421" s="99"/>
      <c r="E421" s="99"/>
      <c r="F421" s="99"/>
      <c r="G421" s="99"/>
      <c r="H421" s="99"/>
      <c r="I421" s="99"/>
      <c r="J421" s="131"/>
      <c r="K421" s="131"/>
      <c r="L421" s="131"/>
      <c r="M421" s="131"/>
      <c r="N421" s="131"/>
      <c r="O421" s="131"/>
      <c r="P421" s="131"/>
      <c r="Q421" s="131"/>
      <c r="R421" s="131"/>
      <c r="S421" s="131"/>
      <c r="T421" s="131"/>
      <c r="U421" s="131"/>
      <c r="V421" s="131"/>
      <c r="W421" s="131"/>
      <c r="X421" s="131"/>
      <c r="Y421" s="131"/>
      <c r="Z421" s="131"/>
    </row>
    <row r="422">
      <c r="A422" s="99"/>
      <c r="B422" s="99"/>
      <c r="C422" s="99"/>
      <c r="D422" s="99"/>
      <c r="E422" s="99"/>
      <c r="F422" s="99"/>
      <c r="G422" s="99"/>
      <c r="H422" s="99"/>
      <c r="I422" s="99"/>
      <c r="J422" s="131"/>
      <c r="K422" s="131"/>
      <c r="L422" s="131"/>
      <c r="M422" s="131"/>
      <c r="N422" s="131"/>
      <c r="O422" s="131"/>
      <c r="P422" s="131"/>
      <c r="Q422" s="131"/>
      <c r="R422" s="131"/>
      <c r="S422" s="131"/>
      <c r="T422" s="131"/>
      <c r="U422" s="131"/>
      <c r="V422" s="131"/>
      <c r="W422" s="131"/>
      <c r="X422" s="131"/>
      <c r="Y422" s="131"/>
      <c r="Z422" s="131"/>
    </row>
    <row r="423">
      <c r="A423" s="99"/>
      <c r="B423" s="99"/>
      <c r="C423" s="99"/>
      <c r="D423" s="99"/>
      <c r="E423" s="99"/>
      <c r="F423" s="99"/>
      <c r="G423" s="99"/>
      <c r="H423" s="99"/>
      <c r="I423" s="99"/>
      <c r="J423" s="131"/>
      <c r="K423" s="131"/>
      <c r="L423" s="131"/>
      <c r="M423" s="131"/>
      <c r="N423" s="131"/>
      <c r="O423" s="131"/>
      <c r="P423" s="131"/>
      <c r="Q423" s="131"/>
      <c r="R423" s="131"/>
      <c r="S423" s="131"/>
      <c r="T423" s="131"/>
      <c r="U423" s="131"/>
      <c r="V423" s="131"/>
      <c r="W423" s="131"/>
      <c r="X423" s="131"/>
      <c r="Y423" s="131"/>
      <c r="Z423" s="131"/>
    </row>
    <row r="424">
      <c r="A424" s="99"/>
      <c r="B424" s="99"/>
      <c r="C424" s="99"/>
      <c r="D424" s="99"/>
      <c r="E424" s="99"/>
      <c r="F424" s="99"/>
      <c r="G424" s="99"/>
      <c r="H424" s="99"/>
      <c r="I424" s="99"/>
      <c r="J424" s="131"/>
      <c r="K424" s="131"/>
      <c r="L424" s="131"/>
      <c r="M424" s="131"/>
      <c r="N424" s="131"/>
      <c r="O424" s="131"/>
      <c r="P424" s="131"/>
      <c r="Q424" s="131"/>
      <c r="R424" s="131"/>
      <c r="S424" s="131"/>
      <c r="T424" s="131"/>
      <c r="U424" s="131"/>
      <c r="V424" s="131"/>
      <c r="W424" s="131"/>
      <c r="X424" s="131"/>
      <c r="Y424" s="131"/>
      <c r="Z424" s="131"/>
    </row>
    <row r="425">
      <c r="A425" s="99"/>
      <c r="B425" s="99"/>
      <c r="C425" s="99"/>
      <c r="D425" s="99"/>
      <c r="E425" s="99"/>
      <c r="F425" s="99"/>
      <c r="G425" s="99"/>
      <c r="H425" s="99"/>
      <c r="I425" s="99"/>
      <c r="J425" s="131"/>
      <c r="K425" s="131"/>
      <c r="L425" s="131"/>
      <c r="M425" s="131"/>
      <c r="N425" s="131"/>
      <c r="O425" s="131"/>
      <c r="P425" s="131"/>
      <c r="Q425" s="131"/>
      <c r="R425" s="131"/>
      <c r="S425" s="131"/>
      <c r="T425" s="131"/>
      <c r="U425" s="131"/>
      <c r="V425" s="131"/>
      <c r="W425" s="131"/>
      <c r="X425" s="131"/>
      <c r="Y425" s="131"/>
      <c r="Z425" s="131"/>
    </row>
    <row r="426">
      <c r="A426" s="99"/>
      <c r="B426" s="99"/>
      <c r="C426" s="99"/>
      <c r="D426" s="99"/>
      <c r="E426" s="99"/>
      <c r="F426" s="99"/>
      <c r="G426" s="99"/>
      <c r="H426" s="99"/>
      <c r="I426" s="99"/>
      <c r="J426" s="131"/>
      <c r="K426" s="131"/>
      <c r="L426" s="131"/>
      <c r="M426" s="131"/>
      <c r="N426" s="131"/>
      <c r="O426" s="131"/>
      <c r="P426" s="131"/>
      <c r="Q426" s="131"/>
      <c r="R426" s="131"/>
      <c r="S426" s="131"/>
      <c r="T426" s="131"/>
      <c r="U426" s="131"/>
      <c r="V426" s="131"/>
      <c r="W426" s="131"/>
      <c r="X426" s="131"/>
      <c r="Y426" s="131"/>
      <c r="Z426" s="131"/>
    </row>
    <row r="427">
      <c r="A427" s="99"/>
      <c r="B427" s="99"/>
      <c r="C427" s="99"/>
      <c r="D427" s="99"/>
      <c r="E427" s="99"/>
      <c r="F427" s="99"/>
      <c r="G427" s="99"/>
      <c r="H427" s="99"/>
      <c r="I427" s="99"/>
      <c r="J427" s="131"/>
      <c r="K427" s="131"/>
      <c r="L427" s="131"/>
      <c r="M427" s="131"/>
      <c r="N427" s="131"/>
      <c r="O427" s="131"/>
      <c r="P427" s="131"/>
      <c r="Q427" s="131"/>
      <c r="R427" s="131"/>
      <c r="S427" s="131"/>
      <c r="T427" s="131"/>
      <c r="U427" s="131"/>
      <c r="V427" s="131"/>
      <c r="W427" s="131"/>
      <c r="X427" s="131"/>
      <c r="Y427" s="131"/>
      <c r="Z427" s="131"/>
    </row>
    <row r="428">
      <c r="A428" s="99"/>
      <c r="B428" s="99"/>
      <c r="C428" s="99"/>
      <c r="D428" s="99"/>
      <c r="E428" s="99"/>
      <c r="F428" s="99"/>
      <c r="G428" s="99"/>
      <c r="H428" s="99"/>
      <c r="I428" s="99"/>
      <c r="J428" s="131"/>
      <c r="K428" s="131"/>
      <c r="L428" s="131"/>
      <c r="M428" s="131"/>
      <c r="N428" s="131"/>
      <c r="O428" s="131"/>
      <c r="P428" s="131"/>
      <c r="Q428" s="131"/>
      <c r="R428" s="131"/>
      <c r="S428" s="131"/>
      <c r="T428" s="131"/>
      <c r="U428" s="131"/>
      <c r="V428" s="131"/>
      <c r="W428" s="131"/>
      <c r="X428" s="131"/>
      <c r="Y428" s="131"/>
      <c r="Z428" s="131"/>
    </row>
    <row r="429">
      <c r="A429" s="99"/>
      <c r="B429" s="99"/>
      <c r="C429" s="99"/>
      <c r="D429" s="99"/>
      <c r="E429" s="99"/>
      <c r="F429" s="99"/>
      <c r="G429" s="99"/>
      <c r="H429" s="99"/>
      <c r="I429" s="99"/>
      <c r="J429" s="131"/>
      <c r="K429" s="131"/>
      <c r="L429" s="131"/>
      <c r="M429" s="131"/>
      <c r="N429" s="131"/>
      <c r="O429" s="131"/>
      <c r="P429" s="131"/>
      <c r="Q429" s="131"/>
      <c r="R429" s="131"/>
      <c r="S429" s="131"/>
      <c r="T429" s="131"/>
      <c r="U429" s="131"/>
      <c r="V429" s="131"/>
      <c r="W429" s="131"/>
      <c r="X429" s="131"/>
      <c r="Y429" s="131"/>
      <c r="Z429" s="131"/>
    </row>
    <row r="430">
      <c r="A430" s="99"/>
      <c r="B430" s="99"/>
      <c r="C430" s="99"/>
      <c r="D430" s="99"/>
      <c r="E430" s="99"/>
      <c r="F430" s="99"/>
      <c r="G430" s="99"/>
      <c r="H430" s="99"/>
      <c r="I430" s="99"/>
      <c r="J430" s="131"/>
      <c r="K430" s="131"/>
      <c r="L430" s="131"/>
      <c r="M430" s="131"/>
      <c r="N430" s="131"/>
      <c r="O430" s="131"/>
      <c r="P430" s="131"/>
      <c r="Q430" s="131"/>
      <c r="R430" s="131"/>
      <c r="S430" s="131"/>
      <c r="T430" s="131"/>
      <c r="U430" s="131"/>
      <c r="V430" s="131"/>
      <c r="W430" s="131"/>
      <c r="X430" s="131"/>
      <c r="Y430" s="131"/>
      <c r="Z430" s="131"/>
    </row>
    <row r="431">
      <c r="A431" s="99"/>
      <c r="B431" s="99"/>
      <c r="C431" s="99"/>
      <c r="D431" s="99"/>
      <c r="E431" s="99"/>
      <c r="F431" s="99"/>
      <c r="G431" s="99"/>
      <c r="H431" s="99"/>
      <c r="I431" s="99"/>
      <c r="J431" s="131"/>
      <c r="K431" s="131"/>
      <c r="L431" s="131"/>
      <c r="M431" s="131"/>
      <c r="N431" s="131"/>
      <c r="O431" s="131"/>
      <c r="P431" s="131"/>
      <c r="Q431" s="131"/>
      <c r="R431" s="131"/>
      <c r="S431" s="131"/>
      <c r="T431" s="131"/>
      <c r="U431" s="131"/>
      <c r="V431" s="131"/>
      <c r="W431" s="131"/>
      <c r="X431" s="131"/>
      <c r="Y431" s="131"/>
      <c r="Z431" s="131"/>
    </row>
    <row r="432">
      <c r="A432" s="99"/>
      <c r="B432" s="99"/>
      <c r="C432" s="99"/>
      <c r="D432" s="99"/>
      <c r="E432" s="99"/>
      <c r="F432" s="99"/>
      <c r="G432" s="99"/>
      <c r="H432" s="99"/>
      <c r="I432" s="99"/>
      <c r="J432" s="131"/>
      <c r="K432" s="131"/>
      <c r="L432" s="131"/>
      <c r="M432" s="131"/>
      <c r="N432" s="131"/>
      <c r="O432" s="131"/>
      <c r="P432" s="131"/>
      <c r="Q432" s="131"/>
      <c r="R432" s="131"/>
      <c r="S432" s="131"/>
      <c r="T432" s="131"/>
      <c r="U432" s="131"/>
      <c r="V432" s="131"/>
      <c r="W432" s="131"/>
      <c r="X432" s="131"/>
      <c r="Y432" s="131"/>
      <c r="Z432" s="131"/>
    </row>
    <row r="433">
      <c r="A433" s="99"/>
      <c r="B433" s="99"/>
      <c r="C433" s="99"/>
      <c r="D433" s="99"/>
      <c r="E433" s="99"/>
      <c r="F433" s="99"/>
      <c r="G433" s="99"/>
      <c r="H433" s="99"/>
      <c r="I433" s="99"/>
      <c r="J433" s="131"/>
      <c r="K433" s="131"/>
      <c r="L433" s="131"/>
      <c r="M433" s="131"/>
      <c r="N433" s="131"/>
      <c r="O433" s="131"/>
      <c r="P433" s="131"/>
      <c r="Q433" s="131"/>
      <c r="R433" s="131"/>
      <c r="S433" s="131"/>
      <c r="T433" s="131"/>
      <c r="U433" s="131"/>
      <c r="V433" s="131"/>
      <c r="W433" s="131"/>
      <c r="X433" s="131"/>
      <c r="Y433" s="131"/>
      <c r="Z433" s="131"/>
    </row>
    <row r="434">
      <c r="A434" s="99"/>
      <c r="B434" s="99"/>
      <c r="C434" s="99"/>
      <c r="D434" s="99"/>
      <c r="E434" s="99"/>
      <c r="F434" s="99"/>
      <c r="G434" s="99"/>
      <c r="H434" s="99"/>
      <c r="I434" s="99"/>
      <c r="J434" s="131"/>
      <c r="K434" s="131"/>
      <c r="L434" s="131"/>
      <c r="M434" s="131"/>
      <c r="N434" s="131"/>
      <c r="O434" s="131"/>
      <c r="P434" s="131"/>
      <c r="Q434" s="131"/>
      <c r="R434" s="131"/>
      <c r="S434" s="131"/>
      <c r="T434" s="131"/>
      <c r="U434" s="131"/>
      <c r="V434" s="131"/>
      <c r="W434" s="131"/>
      <c r="X434" s="131"/>
      <c r="Y434" s="131"/>
      <c r="Z434" s="131"/>
    </row>
    <row r="435">
      <c r="A435" s="99"/>
      <c r="B435" s="99"/>
      <c r="C435" s="99"/>
      <c r="D435" s="99"/>
      <c r="E435" s="99"/>
      <c r="F435" s="99"/>
      <c r="G435" s="99"/>
      <c r="H435" s="99"/>
      <c r="I435" s="99"/>
      <c r="J435" s="131"/>
      <c r="K435" s="131"/>
      <c r="L435" s="131"/>
      <c r="M435" s="131"/>
      <c r="N435" s="131"/>
      <c r="O435" s="131"/>
      <c r="P435" s="131"/>
      <c r="Q435" s="131"/>
      <c r="R435" s="131"/>
      <c r="S435" s="131"/>
      <c r="T435" s="131"/>
      <c r="U435" s="131"/>
      <c r="V435" s="131"/>
      <c r="W435" s="131"/>
      <c r="X435" s="131"/>
      <c r="Y435" s="131"/>
      <c r="Z435" s="131"/>
    </row>
    <row r="436">
      <c r="A436" s="99"/>
      <c r="B436" s="99"/>
      <c r="C436" s="99"/>
      <c r="D436" s="99"/>
      <c r="E436" s="99"/>
      <c r="F436" s="99"/>
      <c r="G436" s="99"/>
      <c r="H436" s="99"/>
      <c r="I436" s="99"/>
      <c r="J436" s="131"/>
      <c r="K436" s="131"/>
      <c r="L436" s="131"/>
      <c r="M436" s="131"/>
      <c r="N436" s="131"/>
      <c r="O436" s="131"/>
      <c r="P436" s="131"/>
      <c r="Q436" s="131"/>
      <c r="R436" s="131"/>
      <c r="S436" s="131"/>
      <c r="T436" s="131"/>
      <c r="U436" s="131"/>
      <c r="V436" s="131"/>
      <c r="W436" s="131"/>
      <c r="X436" s="131"/>
      <c r="Y436" s="131"/>
      <c r="Z436" s="131"/>
    </row>
    <row r="437">
      <c r="A437" s="99"/>
      <c r="B437" s="99"/>
      <c r="C437" s="99"/>
      <c r="D437" s="99"/>
      <c r="E437" s="99"/>
      <c r="F437" s="99"/>
      <c r="G437" s="99"/>
      <c r="H437" s="99"/>
      <c r="I437" s="99"/>
      <c r="J437" s="131"/>
      <c r="K437" s="131"/>
      <c r="L437" s="131"/>
      <c r="M437" s="131"/>
      <c r="N437" s="131"/>
      <c r="O437" s="131"/>
      <c r="P437" s="131"/>
      <c r="Q437" s="131"/>
      <c r="R437" s="131"/>
      <c r="S437" s="131"/>
      <c r="T437" s="131"/>
      <c r="U437" s="131"/>
      <c r="V437" s="131"/>
      <c r="W437" s="131"/>
      <c r="X437" s="131"/>
      <c r="Y437" s="131"/>
      <c r="Z437" s="131"/>
    </row>
    <row r="438">
      <c r="A438" s="99"/>
      <c r="B438" s="99"/>
      <c r="C438" s="99"/>
      <c r="D438" s="99"/>
      <c r="E438" s="99"/>
      <c r="F438" s="99"/>
      <c r="G438" s="99"/>
      <c r="H438" s="99"/>
      <c r="I438" s="99"/>
      <c r="J438" s="131"/>
      <c r="K438" s="131"/>
      <c r="L438" s="131"/>
      <c r="M438" s="131"/>
      <c r="N438" s="131"/>
      <c r="O438" s="131"/>
      <c r="P438" s="131"/>
      <c r="Q438" s="131"/>
      <c r="R438" s="131"/>
      <c r="S438" s="131"/>
      <c r="T438" s="131"/>
      <c r="U438" s="131"/>
      <c r="V438" s="131"/>
      <c r="W438" s="131"/>
      <c r="X438" s="131"/>
      <c r="Y438" s="131"/>
      <c r="Z438" s="131"/>
    </row>
    <row r="439">
      <c r="A439" s="99"/>
      <c r="B439" s="99"/>
      <c r="C439" s="99"/>
      <c r="D439" s="99"/>
      <c r="E439" s="99"/>
      <c r="F439" s="99"/>
      <c r="G439" s="99"/>
      <c r="H439" s="99"/>
      <c r="I439" s="99"/>
      <c r="J439" s="131"/>
      <c r="K439" s="131"/>
      <c r="L439" s="131"/>
      <c r="M439" s="131"/>
      <c r="N439" s="131"/>
      <c r="O439" s="131"/>
      <c r="P439" s="131"/>
      <c r="Q439" s="131"/>
      <c r="R439" s="131"/>
      <c r="S439" s="131"/>
      <c r="T439" s="131"/>
      <c r="U439" s="131"/>
      <c r="V439" s="131"/>
      <c r="W439" s="131"/>
      <c r="X439" s="131"/>
      <c r="Y439" s="131"/>
      <c r="Z439" s="131"/>
    </row>
    <row r="440">
      <c r="A440" s="99"/>
      <c r="B440" s="99"/>
      <c r="C440" s="99"/>
      <c r="D440" s="99"/>
      <c r="E440" s="99"/>
      <c r="F440" s="99"/>
      <c r="G440" s="99"/>
      <c r="H440" s="99"/>
      <c r="I440" s="99"/>
      <c r="J440" s="131"/>
      <c r="K440" s="131"/>
      <c r="L440" s="131"/>
      <c r="M440" s="131"/>
      <c r="N440" s="131"/>
      <c r="O440" s="131"/>
      <c r="P440" s="131"/>
      <c r="Q440" s="131"/>
      <c r="R440" s="131"/>
      <c r="S440" s="131"/>
      <c r="T440" s="131"/>
      <c r="U440" s="131"/>
      <c r="V440" s="131"/>
      <c r="W440" s="131"/>
      <c r="X440" s="131"/>
      <c r="Y440" s="131"/>
      <c r="Z440" s="131"/>
    </row>
    <row r="441">
      <c r="A441" s="99"/>
      <c r="B441" s="99"/>
      <c r="C441" s="99"/>
      <c r="D441" s="99"/>
      <c r="E441" s="99"/>
      <c r="F441" s="99"/>
      <c r="G441" s="99"/>
      <c r="H441" s="99"/>
      <c r="I441" s="99"/>
      <c r="J441" s="131"/>
      <c r="K441" s="131"/>
      <c r="L441" s="131"/>
      <c r="M441" s="131"/>
      <c r="N441" s="131"/>
      <c r="O441" s="131"/>
      <c r="P441" s="131"/>
      <c r="Q441" s="131"/>
      <c r="R441" s="131"/>
      <c r="S441" s="131"/>
      <c r="T441" s="131"/>
      <c r="U441" s="131"/>
      <c r="V441" s="131"/>
      <c r="W441" s="131"/>
      <c r="X441" s="131"/>
      <c r="Y441" s="131"/>
      <c r="Z441" s="131"/>
    </row>
    <row r="442">
      <c r="A442" s="99"/>
      <c r="B442" s="99"/>
      <c r="C442" s="99"/>
      <c r="D442" s="99"/>
      <c r="E442" s="99"/>
      <c r="F442" s="99"/>
      <c r="G442" s="99"/>
      <c r="H442" s="99"/>
      <c r="I442" s="99"/>
      <c r="J442" s="131"/>
      <c r="K442" s="131"/>
      <c r="L442" s="131"/>
      <c r="M442" s="131"/>
      <c r="N442" s="131"/>
      <c r="O442" s="131"/>
      <c r="P442" s="131"/>
      <c r="Q442" s="131"/>
      <c r="R442" s="131"/>
      <c r="S442" s="131"/>
      <c r="T442" s="131"/>
      <c r="U442" s="131"/>
      <c r="V442" s="131"/>
      <c r="W442" s="131"/>
      <c r="X442" s="131"/>
      <c r="Y442" s="131"/>
      <c r="Z442" s="131"/>
    </row>
    <row r="443">
      <c r="A443" s="99"/>
      <c r="B443" s="99"/>
      <c r="C443" s="99"/>
      <c r="D443" s="99"/>
      <c r="E443" s="99"/>
      <c r="F443" s="99"/>
      <c r="G443" s="99"/>
      <c r="H443" s="99"/>
      <c r="I443" s="99"/>
      <c r="J443" s="131"/>
      <c r="K443" s="131"/>
      <c r="L443" s="131"/>
      <c r="M443" s="131"/>
      <c r="N443" s="131"/>
      <c r="O443" s="131"/>
      <c r="P443" s="131"/>
      <c r="Q443" s="131"/>
      <c r="R443" s="131"/>
      <c r="S443" s="131"/>
      <c r="T443" s="131"/>
      <c r="U443" s="131"/>
      <c r="V443" s="131"/>
      <c r="W443" s="131"/>
      <c r="X443" s="131"/>
      <c r="Y443" s="131"/>
      <c r="Z443" s="131"/>
    </row>
    <row r="444">
      <c r="A444" s="99"/>
      <c r="B444" s="99"/>
      <c r="C444" s="99"/>
      <c r="D444" s="99"/>
      <c r="E444" s="99"/>
      <c r="F444" s="99"/>
      <c r="G444" s="99"/>
      <c r="H444" s="99"/>
      <c r="I444" s="99"/>
      <c r="J444" s="131"/>
      <c r="K444" s="131"/>
      <c r="L444" s="131"/>
      <c r="M444" s="131"/>
      <c r="N444" s="131"/>
      <c r="O444" s="131"/>
      <c r="P444" s="131"/>
      <c r="Q444" s="131"/>
      <c r="R444" s="131"/>
      <c r="S444" s="131"/>
      <c r="T444" s="131"/>
      <c r="U444" s="131"/>
      <c r="V444" s="131"/>
      <c r="W444" s="131"/>
      <c r="X444" s="131"/>
      <c r="Y444" s="131"/>
      <c r="Z444" s="131"/>
    </row>
    <row r="445">
      <c r="A445" s="99"/>
      <c r="B445" s="99"/>
      <c r="C445" s="99"/>
      <c r="D445" s="99"/>
      <c r="E445" s="99"/>
      <c r="F445" s="99"/>
      <c r="G445" s="99"/>
      <c r="H445" s="99"/>
      <c r="I445" s="99"/>
      <c r="J445" s="131"/>
      <c r="K445" s="131"/>
      <c r="L445" s="131"/>
      <c r="M445" s="131"/>
      <c r="N445" s="131"/>
      <c r="O445" s="131"/>
      <c r="P445" s="131"/>
      <c r="Q445" s="131"/>
      <c r="R445" s="131"/>
      <c r="S445" s="131"/>
      <c r="T445" s="131"/>
      <c r="U445" s="131"/>
      <c r="V445" s="131"/>
      <c r="W445" s="131"/>
      <c r="X445" s="131"/>
      <c r="Y445" s="131"/>
      <c r="Z445" s="131"/>
    </row>
    <row r="446">
      <c r="A446" s="99"/>
      <c r="B446" s="99"/>
      <c r="C446" s="99"/>
      <c r="D446" s="99"/>
      <c r="E446" s="99"/>
      <c r="F446" s="99"/>
      <c r="G446" s="99"/>
      <c r="H446" s="99"/>
      <c r="I446" s="99"/>
      <c r="J446" s="131"/>
      <c r="K446" s="131"/>
      <c r="L446" s="131"/>
      <c r="M446" s="131"/>
      <c r="N446" s="131"/>
      <c r="O446" s="131"/>
      <c r="P446" s="131"/>
      <c r="Q446" s="131"/>
      <c r="R446" s="131"/>
      <c r="S446" s="131"/>
      <c r="T446" s="131"/>
      <c r="U446" s="131"/>
      <c r="V446" s="131"/>
      <c r="W446" s="131"/>
      <c r="X446" s="131"/>
      <c r="Y446" s="131"/>
      <c r="Z446" s="131"/>
    </row>
    <row r="447">
      <c r="A447" s="99"/>
      <c r="B447" s="99"/>
      <c r="C447" s="99"/>
      <c r="D447" s="99"/>
      <c r="E447" s="99"/>
      <c r="F447" s="99"/>
      <c r="G447" s="99"/>
      <c r="H447" s="99"/>
      <c r="I447" s="99"/>
      <c r="J447" s="131"/>
      <c r="K447" s="131"/>
      <c r="L447" s="131"/>
      <c r="M447" s="131"/>
      <c r="N447" s="131"/>
      <c r="O447" s="131"/>
      <c r="P447" s="131"/>
      <c r="Q447" s="131"/>
      <c r="R447" s="131"/>
      <c r="S447" s="131"/>
      <c r="T447" s="131"/>
      <c r="U447" s="131"/>
      <c r="V447" s="131"/>
      <c r="W447" s="131"/>
      <c r="X447" s="131"/>
      <c r="Y447" s="131"/>
      <c r="Z447" s="131"/>
    </row>
    <row r="448">
      <c r="A448" s="99"/>
      <c r="B448" s="99"/>
      <c r="C448" s="99"/>
      <c r="D448" s="99"/>
      <c r="E448" s="99"/>
      <c r="F448" s="99"/>
      <c r="G448" s="99"/>
      <c r="H448" s="99"/>
      <c r="I448" s="99"/>
      <c r="J448" s="131"/>
      <c r="K448" s="131"/>
      <c r="L448" s="131"/>
      <c r="M448" s="131"/>
      <c r="N448" s="131"/>
      <c r="O448" s="131"/>
      <c r="P448" s="131"/>
      <c r="Q448" s="131"/>
      <c r="R448" s="131"/>
      <c r="S448" s="131"/>
      <c r="T448" s="131"/>
      <c r="U448" s="131"/>
      <c r="V448" s="131"/>
      <c r="W448" s="131"/>
      <c r="X448" s="131"/>
      <c r="Y448" s="131"/>
      <c r="Z448" s="131"/>
    </row>
    <row r="449">
      <c r="A449" s="99"/>
      <c r="B449" s="99"/>
      <c r="C449" s="99"/>
      <c r="D449" s="99"/>
      <c r="E449" s="99"/>
      <c r="F449" s="99"/>
      <c r="G449" s="99"/>
      <c r="H449" s="99"/>
      <c r="I449" s="99"/>
      <c r="J449" s="131"/>
      <c r="K449" s="131"/>
      <c r="L449" s="131"/>
      <c r="M449" s="131"/>
      <c r="N449" s="131"/>
      <c r="O449" s="131"/>
      <c r="P449" s="131"/>
      <c r="Q449" s="131"/>
      <c r="R449" s="131"/>
      <c r="S449" s="131"/>
      <c r="T449" s="131"/>
      <c r="U449" s="131"/>
      <c r="V449" s="131"/>
      <c r="W449" s="131"/>
      <c r="X449" s="131"/>
      <c r="Y449" s="131"/>
      <c r="Z449" s="131"/>
    </row>
    <row r="450">
      <c r="A450" s="99"/>
      <c r="B450" s="99"/>
      <c r="C450" s="99"/>
      <c r="D450" s="99"/>
      <c r="E450" s="99"/>
      <c r="F450" s="99"/>
      <c r="G450" s="99"/>
      <c r="H450" s="99"/>
      <c r="I450" s="99"/>
      <c r="J450" s="131"/>
      <c r="K450" s="131"/>
      <c r="L450" s="131"/>
      <c r="M450" s="131"/>
      <c r="N450" s="131"/>
      <c r="O450" s="131"/>
      <c r="P450" s="131"/>
      <c r="Q450" s="131"/>
      <c r="R450" s="131"/>
      <c r="S450" s="131"/>
      <c r="T450" s="131"/>
      <c r="U450" s="131"/>
      <c r="V450" s="131"/>
      <c r="W450" s="131"/>
      <c r="X450" s="131"/>
      <c r="Y450" s="131"/>
      <c r="Z450" s="131"/>
    </row>
    <row r="451">
      <c r="A451" s="99"/>
      <c r="B451" s="99"/>
      <c r="C451" s="99"/>
      <c r="D451" s="99"/>
      <c r="E451" s="99"/>
      <c r="F451" s="99"/>
      <c r="G451" s="99"/>
      <c r="H451" s="99"/>
      <c r="I451" s="99"/>
      <c r="J451" s="131"/>
      <c r="K451" s="131"/>
      <c r="L451" s="131"/>
      <c r="M451" s="131"/>
      <c r="N451" s="131"/>
      <c r="O451" s="131"/>
      <c r="P451" s="131"/>
      <c r="Q451" s="131"/>
      <c r="R451" s="131"/>
      <c r="S451" s="131"/>
      <c r="T451" s="131"/>
      <c r="U451" s="131"/>
      <c r="V451" s="131"/>
      <c r="W451" s="131"/>
      <c r="X451" s="131"/>
      <c r="Y451" s="131"/>
      <c r="Z451" s="131"/>
    </row>
    <row r="452">
      <c r="A452" s="99"/>
      <c r="B452" s="99"/>
      <c r="C452" s="99"/>
      <c r="D452" s="99"/>
      <c r="E452" s="99"/>
      <c r="F452" s="99"/>
      <c r="G452" s="99"/>
      <c r="H452" s="99"/>
      <c r="I452" s="99"/>
      <c r="J452" s="131"/>
      <c r="K452" s="131"/>
      <c r="L452" s="131"/>
      <c r="M452" s="131"/>
      <c r="N452" s="131"/>
      <c r="O452" s="131"/>
      <c r="P452" s="131"/>
      <c r="Q452" s="131"/>
      <c r="R452" s="131"/>
      <c r="S452" s="131"/>
      <c r="T452" s="131"/>
      <c r="U452" s="131"/>
      <c r="V452" s="131"/>
      <c r="W452" s="131"/>
      <c r="X452" s="131"/>
      <c r="Y452" s="131"/>
      <c r="Z452" s="131"/>
    </row>
    <row r="453">
      <c r="A453" s="99"/>
      <c r="B453" s="99"/>
      <c r="C453" s="99"/>
      <c r="D453" s="99"/>
      <c r="E453" s="99"/>
      <c r="F453" s="99"/>
      <c r="G453" s="99"/>
      <c r="H453" s="99"/>
      <c r="I453" s="99"/>
      <c r="J453" s="131"/>
      <c r="K453" s="131"/>
      <c r="L453" s="131"/>
      <c r="M453" s="131"/>
      <c r="N453" s="131"/>
      <c r="O453" s="131"/>
      <c r="P453" s="131"/>
      <c r="Q453" s="131"/>
      <c r="R453" s="131"/>
      <c r="S453" s="131"/>
      <c r="T453" s="131"/>
      <c r="U453" s="131"/>
      <c r="V453" s="131"/>
      <c r="W453" s="131"/>
      <c r="X453" s="131"/>
      <c r="Y453" s="131"/>
      <c r="Z453" s="131"/>
    </row>
    <row r="454">
      <c r="A454" s="99"/>
      <c r="B454" s="99"/>
      <c r="C454" s="99"/>
      <c r="D454" s="99"/>
      <c r="E454" s="99"/>
      <c r="F454" s="99"/>
      <c r="G454" s="99"/>
      <c r="H454" s="99"/>
      <c r="I454" s="99"/>
      <c r="J454" s="131"/>
      <c r="K454" s="131"/>
      <c r="L454" s="131"/>
      <c r="M454" s="131"/>
      <c r="N454" s="131"/>
      <c r="O454" s="131"/>
      <c r="P454" s="131"/>
      <c r="Q454" s="131"/>
      <c r="R454" s="131"/>
      <c r="S454" s="131"/>
      <c r="T454" s="131"/>
      <c r="U454" s="131"/>
      <c r="V454" s="131"/>
      <c r="W454" s="131"/>
      <c r="X454" s="131"/>
      <c r="Y454" s="131"/>
      <c r="Z454" s="131"/>
    </row>
    <row r="455">
      <c r="A455" s="99"/>
      <c r="B455" s="99"/>
      <c r="C455" s="99"/>
      <c r="D455" s="99"/>
      <c r="E455" s="99"/>
      <c r="F455" s="99"/>
      <c r="G455" s="99"/>
      <c r="H455" s="99"/>
      <c r="I455" s="99"/>
      <c r="J455" s="131"/>
      <c r="K455" s="131"/>
      <c r="L455" s="131"/>
      <c r="M455" s="131"/>
      <c r="N455" s="131"/>
      <c r="O455" s="131"/>
      <c r="P455" s="131"/>
      <c r="Q455" s="131"/>
      <c r="R455" s="131"/>
      <c r="S455" s="131"/>
      <c r="T455" s="131"/>
      <c r="U455" s="131"/>
      <c r="V455" s="131"/>
      <c r="W455" s="131"/>
      <c r="X455" s="131"/>
      <c r="Y455" s="131"/>
      <c r="Z455" s="131"/>
    </row>
    <row r="456">
      <c r="A456" s="99"/>
      <c r="B456" s="99"/>
      <c r="C456" s="99"/>
      <c r="D456" s="99"/>
      <c r="E456" s="99"/>
      <c r="F456" s="99"/>
      <c r="G456" s="99"/>
      <c r="H456" s="99"/>
      <c r="I456" s="99"/>
      <c r="J456" s="131"/>
      <c r="K456" s="131"/>
      <c r="L456" s="131"/>
      <c r="M456" s="131"/>
      <c r="N456" s="131"/>
      <c r="O456" s="131"/>
      <c r="P456" s="131"/>
      <c r="Q456" s="131"/>
      <c r="R456" s="131"/>
      <c r="S456" s="131"/>
      <c r="T456" s="131"/>
      <c r="U456" s="131"/>
      <c r="V456" s="131"/>
      <c r="W456" s="131"/>
      <c r="X456" s="131"/>
      <c r="Y456" s="131"/>
      <c r="Z456" s="131"/>
    </row>
    <row r="457">
      <c r="A457" s="99"/>
      <c r="B457" s="99"/>
      <c r="C457" s="99"/>
      <c r="D457" s="99"/>
      <c r="E457" s="99"/>
      <c r="F457" s="99"/>
      <c r="G457" s="99"/>
      <c r="H457" s="99"/>
      <c r="I457" s="99"/>
      <c r="J457" s="131"/>
      <c r="K457" s="131"/>
      <c r="L457" s="131"/>
      <c r="M457" s="131"/>
      <c r="N457" s="131"/>
      <c r="O457" s="131"/>
      <c r="P457" s="131"/>
      <c r="Q457" s="131"/>
      <c r="R457" s="131"/>
      <c r="S457" s="131"/>
      <c r="T457" s="131"/>
      <c r="U457" s="131"/>
      <c r="V457" s="131"/>
      <c r="W457" s="131"/>
      <c r="X457" s="131"/>
      <c r="Y457" s="131"/>
      <c r="Z457" s="131"/>
    </row>
    <row r="458">
      <c r="A458" s="99"/>
      <c r="B458" s="99"/>
      <c r="C458" s="99"/>
      <c r="D458" s="99"/>
      <c r="E458" s="99"/>
      <c r="F458" s="99"/>
      <c r="G458" s="99"/>
      <c r="H458" s="99"/>
      <c r="I458" s="99"/>
      <c r="J458" s="131"/>
      <c r="K458" s="131"/>
      <c r="L458" s="131"/>
      <c r="M458" s="131"/>
      <c r="N458" s="131"/>
      <c r="O458" s="131"/>
      <c r="P458" s="131"/>
      <c r="Q458" s="131"/>
      <c r="R458" s="131"/>
      <c r="S458" s="131"/>
      <c r="T458" s="131"/>
      <c r="U458" s="131"/>
      <c r="V458" s="131"/>
      <c r="W458" s="131"/>
      <c r="X458" s="131"/>
      <c r="Y458" s="131"/>
      <c r="Z458" s="131"/>
    </row>
    <row r="459">
      <c r="A459" s="99"/>
      <c r="B459" s="99"/>
      <c r="C459" s="99"/>
      <c r="D459" s="99"/>
      <c r="E459" s="99"/>
      <c r="F459" s="99"/>
      <c r="G459" s="99"/>
      <c r="H459" s="99"/>
      <c r="I459" s="99"/>
      <c r="J459" s="131"/>
      <c r="K459" s="131"/>
      <c r="L459" s="131"/>
      <c r="M459" s="131"/>
      <c r="N459" s="131"/>
      <c r="O459" s="131"/>
      <c r="P459" s="131"/>
      <c r="Q459" s="131"/>
      <c r="R459" s="131"/>
      <c r="S459" s="131"/>
      <c r="T459" s="131"/>
      <c r="U459" s="131"/>
      <c r="V459" s="131"/>
      <c r="W459" s="131"/>
      <c r="X459" s="131"/>
      <c r="Y459" s="131"/>
      <c r="Z459" s="131"/>
    </row>
    <row r="460">
      <c r="A460" s="99"/>
      <c r="B460" s="99"/>
      <c r="C460" s="99"/>
      <c r="D460" s="99"/>
      <c r="E460" s="99"/>
      <c r="F460" s="99"/>
      <c r="G460" s="99"/>
      <c r="H460" s="99"/>
      <c r="I460" s="99"/>
      <c r="J460" s="131"/>
      <c r="K460" s="131"/>
      <c r="L460" s="131"/>
      <c r="M460" s="131"/>
      <c r="N460" s="131"/>
      <c r="O460" s="131"/>
      <c r="P460" s="131"/>
      <c r="Q460" s="131"/>
      <c r="R460" s="131"/>
      <c r="S460" s="131"/>
      <c r="T460" s="131"/>
      <c r="U460" s="131"/>
      <c r="V460" s="131"/>
      <c r="W460" s="131"/>
      <c r="X460" s="131"/>
      <c r="Y460" s="131"/>
      <c r="Z460" s="131"/>
    </row>
    <row r="461">
      <c r="A461" s="99"/>
      <c r="B461" s="99"/>
      <c r="C461" s="99"/>
      <c r="D461" s="99"/>
      <c r="E461" s="99"/>
      <c r="F461" s="99"/>
      <c r="G461" s="99"/>
      <c r="H461" s="99"/>
      <c r="I461" s="99"/>
      <c r="J461" s="131"/>
      <c r="K461" s="131"/>
      <c r="L461" s="131"/>
      <c r="M461" s="131"/>
      <c r="N461" s="131"/>
      <c r="O461" s="131"/>
      <c r="P461" s="131"/>
      <c r="Q461" s="131"/>
      <c r="R461" s="131"/>
      <c r="S461" s="131"/>
      <c r="T461" s="131"/>
      <c r="U461" s="131"/>
      <c r="V461" s="131"/>
      <c r="W461" s="131"/>
      <c r="X461" s="131"/>
      <c r="Y461" s="131"/>
      <c r="Z461" s="131"/>
    </row>
    <row r="462">
      <c r="A462" s="99"/>
      <c r="B462" s="99"/>
      <c r="C462" s="99"/>
      <c r="D462" s="99"/>
      <c r="E462" s="99"/>
      <c r="F462" s="99"/>
      <c r="G462" s="99"/>
      <c r="H462" s="99"/>
      <c r="I462" s="99"/>
      <c r="J462" s="131"/>
      <c r="K462" s="131"/>
      <c r="L462" s="131"/>
      <c r="M462" s="131"/>
      <c r="N462" s="131"/>
      <c r="O462" s="131"/>
      <c r="P462" s="131"/>
      <c r="Q462" s="131"/>
      <c r="R462" s="131"/>
      <c r="S462" s="131"/>
      <c r="T462" s="131"/>
      <c r="U462" s="131"/>
      <c r="V462" s="131"/>
      <c r="W462" s="131"/>
      <c r="X462" s="131"/>
      <c r="Y462" s="131"/>
      <c r="Z462" s="131"/>
    </row>
    <row r="463">
      <c r="A463" s="99"/>
      <c r="B463" s="99"/>
      <c r="C463" s="99"/>
      <c r="D463" s="99"/>
      <c r="E463" s="99"/>
      <c r="F463" s="99"/>
      <c r="G463" s="99"/>
      <c r="H463" s="99"/>
      <c r="I463" s="99"/>
      <c r="J463" s="131"/>
      <c r="K463" s="131"/>
      <c r="L463" s="131"/>
      <c r="M463" s="131"/>
      <c r="N463" s="131"/>
      <c r="O463" s="131"/>
      <c r="P463" s="131"/>
      <c r="Q463" s="131"/>
      <c r="R463" s="131"/>
      <c r="S463" s="131"/>
      <c r="T463" s="131"/>
      <c r="U463" s="131"/>
      <c r="V463" s="131"/>
      <c r="W463" s="131"/>
      <c r="X463" s="131"/>
      <c r="Y463" s="131"/>
      <c r="Z463" s="131"/>
    </row>
    <row r="464">
      <c r="A464" s="99"/>
      <c r="B464" s="99"/>
      <c r="C464" s="99"/>
      <c r="D464" s="99"/>
      <c r="E464" s="99"/>
      <c r="F464" s="99"/>
      <c r="G464" s="99"/>
      <c r="H464" s="99"/>
      <c r="I464" s="99"/>
      <c r="J464" s="131"/>
      <c r="K464" s="131"/>
      <c r="L464" s="131"/>
      <c r="M464" s="131"/>
      <c r="N464" s="131"/>
      <c r="O464" s="131"/>
      <c r="P464" s="131"/>
      <c r="Q464" s="131"/>
      <c r="R464" s="131"/>
      <c r="S464" s="131"/>
      <c r="T464" s="131"/>
      <c r="U464" s="131"/>
      <c r="V464" s="131"/>
      <c r="W464" s="131"/>
      <c r="X464" s="131"/>
      <c r="Y464" s="131"/>
      <c r="Z464" s="131"/>
    </row>
    <row r="465">
      <c r="A465" s="99"/>
      <c r="B465" s="99"/>
      <c r="C465" s="99"/>
      <c r="D465" s="99"/>
      <c r="E465" s="99"/>
      <c r="F465" s="99"/>
      <c r="G465" s="99"/>
      <c r="H465" s="99"/>
      <c r="I465" s="99"/>
      <c r="J465" s="131"/>
      <c r="K465" s="131"/>
      <c r="L465" s="131"/>
      <c r="M465" s="131"/>
      <c r="N465" s="131"/>
      <c r="O465" s="131"/>
      <c r="P465" s="131"/>
      <c r="Q465" s="131"/>
      <c r="R465" s="131"/>
      <c r="S465" s="131"/>
      <c r="T465" s="131"/>
      <c r="U465" s="131"/>
      <c r="V465" s="131"/>
      <c r="W465" s="131"/>
      <c r="X465" s="131"/>
      <c r="Y465" s="131"/>
      <c r="Z465" s="131"/>
    </row>
    <row r="466">
      <c r="A466" s="99"/>
      <c r="B466" s="99"/>
      <c r="C466" s="99"/>
      <c r="D466" s="99"/>
      <c r="E466" s="99"/>
      <c r="F466" s="99"/>
      <c r="G466" s="99"/>
      <c r="H466" s="99"/>
      <c r="I466" s="99"/>
      <c r="J466" s="131"/>
      <c r="K466" s="131"/>
      <c r="L466" s="131"/>
      <c r="M466" s="131"/>
      <c r="N466" s="131"/>
      <c r="O466" s="131"/>
      <c r="P466" s="131"/>
      <c r="Q466" s="131"/>
      <c r="R466" s="131"/>
      <c r="S466" s="131"/>
      <c r="T466" s="131"/>
      <c r="U466" s="131"/>
      <c r="V466" s="131"/>
      <c r="W466" s="131"/>
      <c r="X466" s="131"/>
      <c r="Y466" s="131"/>
      <c r="Z466" s="131"/>
    </row>
    <row r="467">
      <c r="A467" s="99"/>
      <c r="B467" s="99"/>
      <c r="C467" s="99"/>
      <c r="D467" s="99"/>
      <c r="E467" s="99"/>
      <c r="F467" s="99"/>
      <c r="G467" s="99"/>
      <c r="H467" s="99"/>
      <c r="I467" s="99"/>
      <c r="J467" s="131"/>
      <c r="K467" s="131"/>
      <c r="L467" s="131"/>
      <c r="M467" s="131"/>
      <c r="N467" s="131"/>
      <c r="O467" s="131"/>
      <c r="P467" s="131"/>
      <c r="Q467" s="131"/>
      <c r="R467" s="131"/>
      <c r="S467" s="131"/>
      <c r="T467" s="131"/>
      <c r="U467" s="131"/>
      <c r="V467" s="131"/>
      <c r="W467" s="131"/>
      <c r="X467" s="131"/>
      <c r="Y467" s="131"/>
      <c r="Z467" s="131"/>
    </row>
    <row r="468">
      <c r="A468" s="99"/>
      <c r="B468" s="99"/>
      <c r="C468" s="99"/>
      <c r="D468" s="99"/>
      <c r="E468" s="99"/>
      <c r="F468" s="99"/>
      <c r="G468" s="99"/>
      <c r="H468" s="99"/>
      <c r="I468" s="99"/>
      <c r="J468" s="131"/>
      <c r="K468" s="131"/>
      <c r="L468" s="131"/>
      <c r="M468" s="131"/>
      <c r="N468" s="131"/>
      <c r="O468" s="131"/>
      <c r="P468" s="131"/>
      <c r="Q468" s="131"/>
      <c r="R468" s="131"/>
      <c r="S468" s="131"/>
      <c r="T468" s="131"/>
      <c r="U468" s="131"/>
      <c r="V468" s="131"/>
      <c r="W468" s="131"/>
      <c r="X468" s="131"/>
      <c r="Y468" s="131"/>
      <c r="Z468" s="131"/>
    </row>
    <row r="469">
      <c r="A469" s="99"/>
      <c r="B469" s="99"/>
      <c r="C469" s="99"/>
      <c r="D469" s="99"/>
      <c r="E469" s="99"/>
      <c r="F469" s="99"/>
      <c r="G469" s="99"/>
      <c r="H469" s="99"/>
      <c r="I469" s="99"/>
      <c r="J469" s="131"/>
      <c r="K469" s="131"/>
      <c r="L469" s="131"/>
      <c r="M469" s="131"/>
      <c r="N469" s="131"/>
      <c r="O469" s="131"/>
      <c r="P469" s="131"/>
      <c r="Q469" s="131"/>
      <c r="R469" s="131"/>
      <c r="S469" s="131"/>
      <c r="T469" s="131"/>
      <c r="U469" s="131"/>
      <c r="V469" s="131"/>
      <c r="W469" s="131"/>
      <c r="X469" s="131"/>
      <c r="Y469" s="131"/>
      <c r="Z469" s="131"/>
    </row>
    <row r="470">
      <c r="A470" s="99"/>
      <c r="B470" s="99"/>
      <c r="C470" s="99"/>
      <c r="D470" s="99"/>
      <c r="E470" s="99"/>
      <c r="F470" s="99"/>
      <c r="G470" s="99"/>
      <c r="H470" s="99"/>
      <c r="I470" s="99"/>
      <c r="J470" s="131"/>
      <c r="K470" s="131"/>
      <c r="L470" s="131"/>
      <c r="M470" s="131"/>
      <c r="N470" s="131"/>
      <c r="O470" s="131"/>
      <c r="P470" s="131"/>
      <c r="Q470" s="131"/>
      <c r="R470" s="131"/>
      <c r="S470" s="131"/>
      <c r="T470" s="131"/>
      <c r="U470" s="131"/>
      <c r="V470" s="131"/>
      <c r="W470" s="131"/>
      <c r="X470" s="131"/>
      <c r="Y470" s="131"/>
      <c r="Z470" s="131"/>
    </row>
    <row r="471">
      <c r="A471" s="99"/>
      <c r="B471" s="99"/>
      <c r="C471" s="99"/>
      <c r="D471" s="99"/>
      <c r="E471" s="99"/>
      <c r="F471" s="99"/>
      <c r="G471" s="99"/>
      <c r="H471" s="99"/>
      <c r="I471" s="99"/>
      <c r="J471" s="131"/>
      <c r="K471" s="131"/>
      <c r="L471" s="131"/>
      <c r="M471" s="131"/>
      <c r="N471" s="131"/>
      <c r="O471" s="131"/>
      <c r="P471" s="131"/>
      <c r="Q471" s="131"/>
      <c r="R471" s="131"/>
      <c r="S471" s="131"/>
      <c r="T471" s="131"/>
      <c r="U471" s="131"/>
      <c r="V471" s="131"/>
      <c r="W471" s="131"/>
      <c r="X471" s="131"/>
      <c r="Y471" s="131"/>
      <c r="Z471" s="131"/>
    </row>
    <row r="472">
      <c r="A472" s="99"/>
      <c r="B472" s="99"/>
      <c r="C472" s="99"/>
      <c r="D472" s="99"/>
      <c r="E472" s="99"/>
      <c r="F472" s="99"/>
      <c r="G472" s="99"/>
      <c r="H472" s="99"/>
      <c r="I472" s="99"/>
      <c r="J472" s="131"/>
      <c r="K472" s="131"/>
      <c r="L472" s="131"/>
      <c r="M472" s="131"/>
      <c r="N472" s="131"/>
      <c r="O472" s="131"/>
      <c r="P472" s="131"/>
      <c r="Q472" s="131"/>
      <c r="R472" s="131"/>
      <c r="S472" s="131"/>
      <c r="T472" s="131"/>
      <c r="U472" s="131"/>
      <c r="V472" s="131"/>
      <c r="W472" s="131"/>
      <c r="X472" s="131"/>
      <c r="Y472" s="131"/>
      <c r="Z472" s="131"/>
    </row>
    <row r="473">
      <c r="A473" s="99"/>
      <c r="B473" s="99"/>
      <c r="C473" s="99"/>
      <c r="D473" s="99"/>
      <c r="E473" s="99"/>
      <c r="F473" s="99"/>
      <c r="G473" s="99"/>
      <c r="H473" s="99"/>
      <c r="I473" s="99"/>
      <c r="J473" s="131"/>
      <c r="K473" s="131"/>
      <c r="L473" s="131"/>
      <c r="M473" s="131"/>
      <c r="N473" s="131"/>
      <c r="O473" s="131"/>
      <c r="P473" s="131"/>
      <c r="Q473" s="131"/>
      <c r="R473" s="131"/>
      <c r="S473" s="131"/>
      <c r="T473" s="131"/>
      <c r="U473" s="131"/>
      <c r="V473" s="131"/>
      <c r="W473" s="131"/>
      <c r="X473" s="131"/>
      <c r="Y473" s="131"/>
      <c r="Z473" s="131"/>
    </row>
    <row r="474">
      <c r="A474" s="99"/>
      <c r="B474" s="99"/>
      <c r="C474" s="99"/>
      <c r="D474" s="99"/>
      <c r="E474" s="99"/>
      <c r="F474" s="99"/>
      <c r="G474" s="99"/>
      <c r="H474" s="99"/>
      <c r="I474" s="99"/>
      <c r="J474" s="131"/>
      <c r="K474" s="131"/>
      <c r="L474" s="131"/>
      <c r="M474" s="131"/>
      <c r="N474" s="131"/>
      <c r="O474" s="131"/>
      <c r="P474" s="131"/>
      <c r="Q474" s="131"/>
      <c r="R474" s="131"/>
      <c r="S474" s="131"/>
      <c r="T474" s="131"/>
      <c r="U474" s="131"/>
      <c r="V474" s="131"/>
      <c r="W474" s="131"/>
      <c r="X474" s="131"/>
      <c r="Y474" s="131"/>
      <c r="Z474" s="131"/>
    </row>
    <row r="475">
      <c r="A475" s="99"/>
      <c r="B475" s="99"/>
      <c r="C475" s="99"/>
      <c r="D475" s="99"/>
      <c r="E475" s="99"/>
      <c r="F475" s="99"/>
      <c r="G475" s="99"/>
      <c r="H475" s="99"/>
      <c r="I475" s="99"/>
      <c r="J475" s="131"/>
      <c r="K475" s="131"/>
      <c r="L475" s="131"/>
      <c r="M475" s="131"/>
      <c r="N475" s="131"/>
      <c r="O475" s="131"/>
      <c r="P475" s="131"/>
      <c r="Q475" s="131"/>
      <c r="R475" s="131"/>
      <c r="S475" s="131"/>
      <c r="T475" s="131"/>
      <c r="U475" s="131"/>
      <c r="V475" s="131"/>
      <c r="W475" s="131"/>
      <c r="X475" s="131"/>
      <c r="Y475" s="131"/>
      <c r="Z475" s="131"/>
    </row>
    <row r="476">
      <c r="A476" s="99"/>
      <c r="B476" s="99"/>
      <c r="C476" s="99"/>
      <c r="D476" s="99"/>
      <c r="E476" s="99"/>
      <c r="F476" s="99"/>
      <c r="G476" s="99"/>
      <c r="H476" s="99"/>
      <c r="I476" s="99"/>
      <c r="J476" s="131"/>
      <c r="K476" s="131"/>
      <c r="L476" s="131"/>
      <c r="M476" s="131"/>
      <c r="N476" s="131"/>
      <c r="O476" s="131"/>
      <c r="P476" s="131"/>
      <c r="Q476" s="131"/>
      <c r="R476" s="131"/>
      <c r="S476" s="131"/>
      <c r="T476" s="131"/>
      <c r="U476" s="131"/>
      <c r="V476" s="131"/>
      <c r="W476" s="131"/>
      <c r="X476" s="131"/>
      <c r="Y476" s="131"/>
      <c r="Z476" s="131"/>
    </row>
    <row r="477">
      <c r="A477" s="99"/>
      <c r="B477" s="99"/>
      <c r="C477" s="99"/>
      <c r="D477" s="99"/>
      <c r="E477" s="99"/>
      <c r="F477" s="99"/>
      <c r="G477" s="99"/>
      <c r="H477" s="99"/>
      <c r="I477" s="99"/>
      <c r="J477" s="131"/>
      <c r="K477" s="131"/>
      <c r="L477" s="131"/>
      <c r="M477" s="131"/>
      <c r="N477" s="131"/>
      <c r="O477" s="131"/>
      <c r="P477" s="131"/>
      <c r="Q477" s="131"/>
      <c r="R477" s="131"/>
      <c r="S477" s="131"/>
      <c r="T477" s="131"/>
      <c r="U477" s="131"/>
      <c r="V477" s="131"/>
      <c r="W477" s="131"/>
      <c r="X477" s="131"/>
      <c r="Y477" s="131"/>
      <c r="Z477" s="131"/>
    </row>
    <row r="478">
      <c r="A478" s="99"/>
      <c r="B478" s="99"/>
      <c r="C478" s="99"/>
      <c r="D478" s="99"/>
      <c r="E478" s="99"/>
      <c r="F478" s="99"/>
      <c r="G478" s="99"/>
      <c r="H478" s="99"/>
      <c r="I478" s="99"/>
      <c r="J478" s="131"/>
      <c r="K478" s="131"/>
      <c r="L478" s="131"/>
      <c r="M478" s="131"/>
      <c r="N478" s="131"/>
      <c r="O478" s="131"/>
      <c r="P478" s="131"/>
      <c r="Q478" s="131"/>
      <c r="R478" s="131"/>
      <c r="S478" s="131"/>
      <c r="T478" s="131"/>
      <c r="U478" s="131"/>
      <c r="V478" s="131"/>
      <c r="W478" s="131"/>
      <c r="X478" s="131"/>
      <c r="Y478" s="131"/>
      <c r="Z478" s="131"/>
    </row>
    <row r="479">
      <c r="A479" s="99"/>
      <c r="B479" s="99"/>
      <c r="C479" s="99"/>
      <c r="D479" s="99"/>
      <c r="E479" s="99"/>
      <c r="F479" s="99"/>
      <c r="G479" s="99"/>
      <c r="H479" s="99"/>
      <c r="I479" s="99"/>
      <c r="J479" s="131"/>
      <c r="K479" s="131"/>
      <c r="L479" s="131"/>
      <c r="M479" s="131"/>
      <c r="N479" s="131"/>
      <c r="O479" s="131"/>
      <c r="P479" s="131"/>
      <c r="Q479" s="131"/>
      <c r="R479" s="131"/>
      <c r="S479" s="131"/>
      <c r="T479" s="131"/>
      <c r="U479" s="131"/>
      <c r="V479" s="131"/>
      <c r="W479" s="131"/>
      <c r="X479" s="131"/>
      <c r="Y479" s="131"/>
      <c r="Z479" s="131"/>
    </row>
    <row r="480">
      <c r="A480" s="99"/>
      <c r="B480" s="99"/>
      <c r="C480" s="99"/>
      <c r="D480" s="99"/>
      <c r="E480" s="99"/>
      <c r="F480" s="99"/>
      <c r="G480" s="99"/>
      <c r="H480" s="99"/>
      <c r="I480" s="99"/>
      <c r="J480" s="131"/>
      <c r="K480" s="131"/>
      <c r="L480" s="131"/>
      <c r="M480" s="131"/>
      <c r="N480" s="131"/>
      <c r="O480" s="131"/>
      <c r="P480" s="131"/>
      <c r="Q480" s="131"/>
      <c r="R480" s="131"/>
      <c r="S480" s="131"/>
      <c r="T480" s="131"/>
      <c r="U480" s="131"/>
      <c r="V480" s="131"/>
      <c r="W480" s="131"/>
      <c r="X480" s="131"/>
      <c r="Y480" s="131"/>
      <c r="Z480" s="131"/>
    </row>
    <row r="481">
      <c r="A481" s="99"/>
      <c r="B481" s="99"/>
      <c r="C481" s="99"/>
      <c r="D481" s="99"/>
      <c r="E481" s="99"/>
      <c r="F481" s="99"/>
      <c r="G481" s="99"/>
      <c r="H481" s="99"/>
      <c r="I481" s="99"/>
      <c r="J481" s="131"/>
      <c r="K481" s="131"/>
      <c r="L481" s="131"/>
      <c r="M481" s="131"/>
      <c r="N481" s="131"/>
      <c r="O481" s="131"/>
      <c r="P481" s="131"/>
      <c r="Q481" s="131"/>
      <c r="R481" s="131"/>
      <c r="S481" s="131"/>
      <c r="T481" s="131"/>
      <c r="U481" s="131"/>
      <c r="V481" s="131"/>
      <c r="W481" s="131"/>
      <c r="X481" s="131"/>
      <c r="Y481" s="131"/>
      <c r="Z481" s="131"/>
    </row>
    <row r="482">
      <c r="A482" s="99"/>
      <c r="B482" s="99"/>
      <c r="C482" s="99"/>
      <c r="D482" s="99"/>
      <c r="E482" s="99"/>
      <c r="F482" s="99"/>
      <c r="G482" s="99"/>
      <c r="H482" s="99"/>
      <c r="I482" s="99"/>
      <c r="J482" s="131"/>
      <c r="K482" s="131"/>
      <c r="L482" s="131"/>
      <c r="M482" s="131"/>
      <c r="N482" s="131"/>
      <c r="O482" s="131"/>
      <c r="P482" s="131"/>
      <c r="Q482" s="131"/>
      <c r="R482" s="131"/>
      <c r="S482" s="131"/>
      <c r="T482" s="131"/>
      <c r="U482" s="131"/>
      <c r="V482" s="131"/>
      <c r="W482" s="131"/>
      <c r="X482" s="131"/>
      <c r="Y482" s="131"/>
      <c r="Z482" s="131"/>
    </row>
    <row r="483">
      <c r="A483" s="99"/>
      <c r="B483" s="99"/>
      <c r="C483" s="99"/>
      <c r="D483" s="99"/>
      <c r="E483" s="99"/>
      <c r="F483" s="99"/>
      <c r="G483" s="99"/>
      <c r="H483" s="99"/>
      <c r="I483" s="99"/>
      <c r="J483" s="131"/>
      <c r="K483" s="131"/>
      <c r="L483" s="131"/>
      <c r="M483" s="131"/>
      <c r="N483" s="131"/>
      <c r="O483" s="131"/>
      <c r="P483" s="131"/>
      <c r="Q483" s="131"/>
      <c r="R483" s="131"/>
      <c r="S483" s="131"/>
      <c r="T483" s="131"/>
      <c r="U483" s="131"/>
      <c r="V483" s="131"/>
      <c r="W483" s="131"/>
      <c r="X483" s="131"/>
      <c r="Y483" s="131"/>
      <c r="Z483" s="131"/>
    </row>
    <row r="484">
      <c r="A484" s="99"/>
      <c r="B484" s="99"/>
      <c r="C484" s="99"/>
      <c r="D484" s="99"/>
      <c r="E484" s="99"/>
      <c r="F484" s="99"/>
      <c r="G484" s="99"/>
      <c r="H484" s="99"/>
      <c r="I484" s="99"/>
      <c r="J484" s="131"/>
      <c r="K484" s="131"/>
      <c r="L484" s="131"/>
      <c r="M484" s="131"/>
      <c r="N484" s="131"/>
      <c r="O484" s="131"/>
      <c r="P484" s="131"/>
      <c r="Q484" s="131"/>
      <c r="R484" s="131"/>
      <c r="S484" s="131"/>
      <c r="T484" s="131"/>
      <c r="U484" s="131"/>
      <c r="V484" s="131"/>
      <c r="W484" s="131"/>
      <c r="X484" s="131"/>
      <c r="Y484" s="131"/>
      <c r="Z484" s="131"/>
    </row>
    <row r="485">
      <c r="A485" s="99"/>
      <c r="B485" s="99"/>
      <c r="C485" s="99"/>
      <c r="D485" s="99"/>
      <c r="E485" s="99"/>
      <c r="F485" s="99"/>
      <c r="G485" s="99"/>
      <c r="H485" s="99"/>
      <c r="I485" s="99"/>
      <c r="J485" s="131"/>
      <c r="K485" s="131"/>
      <c r="L485" s="131"/>
      <c r="M485" s="131"/>
      <c r="N485" s="131"/>
      <c r="O485" s="131"/>
      <c r="P485" s="131"/>
      <c r="Q485" s="131"/>
      <c r="R485" s="131"/>
      <c r="S485" s="131"/>
      <c r="T485" s="131"/>
      <c r="U485" s="131"/>
      <c r="V485" s="131"/>
      <c r="W485" s="131"/>
      <c r="X485" s="131"/>
      <c r="Y485" s="131"/>
      <c r="Z485" s="131"/>
    </row>
    <row r="486">
      <c r="A486" s="99"/>
      <c r="B486" s="99"/>
      <c r="C486" s="99"/>
      <c r="D486" s="99"/>
      <c r="E486" s="99"/>
      <c r="F486" s="99"/>
      <c r="G486" s="99"/>
      <c r="H486" s="99"/>
      <c r="I486" s="99"/>
      <c r="J486" s="131"/>
      <c r="K486" s="131"/>
      <c r="L486" s="131"/>
      <c r="M486" s="131"/>
      <c r="N486" s="131"/>
      <c r="O486" s="131"/>
      <c r="P486" s="131"/>
      <c r="Q486" s="131"/>
      <c r="R486" s="131"/>
      <c r="S486" s="131"/>
      <c r="T486" s="131"/>
      <c r="U486" s="131"/>
      <c r="V486" s="131"/>
      <c r="W486" s="131"/>
      <c r="X486" s="131"/>
      <c r="Y486" s="131"/>
      <c r="Z486" s="131"/>
    </row>
    <row r="487">
      <c r="A487" s="99"/>
      <c r="B487" s="99"/>
      <c r="C487" s="99"/>
      <c r="D487" s="99"/>
      <c r="E487" s="99"/>
      <c r="F487" s="99"/>
      <c r="G487" s="99"/>
      <c r="H487" s="99"/>
      <c r="I487" s="99"/>
      <c r="J487" s="131"/>
      <c r="K487" s="131"/>
      <c r="L487" s="131"/>
      <c r="M487" s="131"/>
      <c r="N487" s="131"/>
      <c r="O487" s="131"/>
      <c r="P487" s="131"/>
      <c r="Q487" s="131"/>
      <c r="R487" s="131"/>
      <c r="S487" s="131"/>
      <c r="T487" s="131"/>
      <c r="U487" s="131"/>
      <c r="V487" s="131"/>
      <c r="W487" s="131"/>
      <c r="X487" s="131"/>
      <c r="Y487" s="131"/>
      <c r="Z487" s="131"/>
    </row>
    <row r="488">
      <c r="A488" s="99"/>
      <c r="B488" s="99"/>
      <c r="C488" s="99"/>
      <c r="D488" s="99"/>
      <c r="E488" s="99"/>
      <c r="F488" s="99"/>
      <c r="G488" s="99"/>
      <c r="H488" s="99"/>
      <c r="I488" s="99"/>
      <c r="J488" s="131"/>
      <c r="K488" s="131"/>
      <c r="L488" s="131"/>
      <c r="M488" s="131"/>
      <c r="N488" s="131"/>
      <c r="O488" s="131"/>
      <c r="P488" s="131"/>
      <c r="Q488" s="131"/>
      <c r="R488" s="131"/>
      <c r="S488" s="131"/>
      <c r="T488" s="131"/>
      <c r="U488" s="131"/>
      <c r="V488" s="131"/>
      <c r="W488" s="131"/>
      <c r="X488" s="131"/>
      <c r="Y488" s="131"/>
      <c r="Z488" s="131"/>
    </row>
    <row r="489">
      <c r="A489" s="99"/>
      <c r="B489" s="99"/>
      <c r="C489" s="99"/>
      <c r="D489" s="99"/>
      <c r="E489" s="99"/>
      <c r="F489" s="99"/>
      <c r="G489" s="99"/>
      <c r="H489" s="99"/>
      <c r="I489" s="99"/>
      <c r="J489" s="131"/>
      <c r="K489" s="131"/>
      <c r="L489" s="131"/>
      <c r="M489" s="131"/>
      <c r="N489" s="131"/>
      <c r="O489" s="131"/>
      <c r="P489" s="131"/>
      <c r="Q489" s="131"/>
      <c r="R489" s="131"/>
      <c r="S489" s="131"/>
      <c r="T489" s="131"/>
      <c r="U489" s="131"/>
      <c r="V489" s="131"/>
      <c r="W489" s="131"/>
      <c r="X489" s="131"/>
      <c r="Y489" s="131"/>
      <c r="Z489" s="131"/>
    </row>
    <row r="490">
      <c r="A490" s="99"/>
      <c r="B490" s="99"/>
      <c r="C490" s="99"/>
      <c r="D490" s="99"/>
      <c r="E490" s="99"/>
      <c r="F490" s="99"/>
      <c r="G490" s="99"/>
      <c r="H490" s="99"/>
      <c r="I490" s="99"/>
      <c r="J490" s="131"/>
      <c r="K490" s="131"/>
      <c r="L490" s="131"/>
      <c r="M490" s="131"/>
      <c r="N490" s="131"/>
      <c r="O490" s="131"/>
      <c r="P490" s="131"/>
      <c r="Q490" s="131"/>
      <c r="R490" s="131"/>
      <c r="S490" s="131"/>
      <c r="T490" s="131"/>
      <c r="U490" s="131"/>
      <c r="V490" s="131"/>
      <c r="W490" s="131"/>
      <c r="X490" s="131"/>
      <c r="Y490" s="131"/>
      <c r="Z490" s="131"/>
    </row>
    <row r="491">
      <c r="A491" s="99"/>
      <c r="B491" s="99"/>
      <c r="C491" s="99"/>
      <c r="D491" s="99"/>
      <c r="E491" s="99"/>
      <c r="F491" s="99"/>
      <c r="G491" s="99"/>
      <c r="H491" s="99"/>
      <c r="I491" s="99"/>
      <c r="J491" s="131"/>
      <c r="K491" s="131"/>
      <c r="L491" s="131"/>
      <c r="M491" s="131"/>
      <c r="N491" s="131"/>
      <c r="O491" s="131"/>
      <c r="P491" s="131"/>
      <c r="Q491" s="131"/>
      <c r="R491" s="131"/>
      <c r="S491" s="131"/>
      <c r="T491" s="131"/>
      <c r="U491" s="131"/>
      <c r="V491" s="131"/>
      <c r="W491" s="131"/>
      <c r="X491" s="131"/>
      <c r="Y491" s="131"/>
      <c r="Z491" s="131"/>
    </row>
    <row r="492">
      <c r="A492" s="99"/>
      <c r="B492" s="99"/>
      <c r="C492" s="99"/>
      <c r="D492" s="99"/>
      <c r="E492" s="99"/>
      <c r="F492" s="99"/>
      <c r="G492" s="99"/>
      <c r="H492" s="99"/>
      <c r="I492" s="99"/>
      <c r="J492" s="131"/>
      <c r="K492" s="131"/>
      <c r="L492" s="131"/>
      <c r="M492" s="131"/>
      <c r="N492" s="131"/>
      <c r="O492" s="131"/>
      <c r="P492" s="131"/>
      <c r="Q492" s="131"/>
      <c r="R492" s="131"/>
      <c r="S492" s="131"/>
      <c r="T492" s="131"/>
      <c r="U492" s="131"/>
      <c r="V492" s="131"/>
      <c r="W492" s="131"/>
      <c r="X492" s="131"/>
      <c r="Y492" s="131"/>
      <c r="Z492" s="131"/>
    </row>
    <row r="493">
      <c r="A493" s="99"/>
      <c r="B493" s="99"/>
      <c r="C493" s="99"/>
      <c r="D493" s="99"/>
      <c r="E493" s="99"/>
      <c r="F493" s="99"/>
      <c r="G493" s="99"/>
      <c r="H493" s="99"/>
      <c r="I493" s="99"/>
      <c r="J493" s="131"/>
      <c r="K493" s="131"/>
      <c r="L493" s="131"/>
      <c r="M493" s="131"/>
      <c r="N493" s="131"/>
      <c r="O493" s="131"/>
      <c r="P493" s="131"/>
      <c r="Q493" s="131"/>
      <c r="R493" s="131"/>
      <c r="S493" s="131"/>
      <c r="T493" s="131"/>
      <c r="U493" s="131"/>
      <c r="V493" s="131"/>
      <c r="W493" s="131"/>
      <c r="X493" s="131"/>
      <c r="Y493" s="131"/>
      <c r="Z493" s="131"/>
    </row>
    <row r="494">
      <c r="A494" s="99"/>
      <c r="B494" s="99"/>
      <c r="C494" s="99"/>
      <c r="D494" s="99"/>
      <c r="E494" s="99"/>
      <c r="F494" s="99"/>
      <c r="G494" s="99"/>
      <c r="H494" s="99"/>
      <c r="I494" s="99"/>
      <c r="J494" s="131"/>
      <c r="K494" s="131"/>
      <c r="L494" s="131"/>
      <c r="M494" s="131"/>
      <c r="N494" s="131"/>
      <c r="O494" s="131"/>
      <c r="P494" s="131"/>
      <c r="Q494" s="131"/>
      <c r="R494" s="131"/>
      <c r="S494" s="131"/>
      <c r="T494" s="131"/>
      <c r="U494" s="131"/>
      <c r="V494" s="131"/>
      <c r="W494" s="131"/>
      <c r="X494" s="131"/>
      <c r="Y494" s="131"/>
      <c r="Z494" s="131"/>
    </row>
    <row r="495">
      <c r="A495" s="99"/>
      <c r="B495" s="99"/>
      <c r="C495" s="99"/>
      <c r="D495" s="99"/>
      <c r="E495" s="99"/>
      <c r="F495" s="99"/>
      <c r="G495" s="99"/>
      <c r="H495" s="99"/>
      <c r="I495" s="99"/>
      <c r="J495" s="131"/>
      <c r="K495" s="131"/>
      <c r="L495" s="131"/>
      <c r="M495" s="131"/>
      <c r="N495" s="131"/>
      <c r="O495" s="131"/>
      <c r="P495" s="131"/>
      <c r="Q495" s="131"/>
      <c r="R495" s="131"/>
      <c r="S495" s="131"/>
      <c r="T495" s="131"/>
      <c r="U495" s="131"/>
      <c r="V495" s="131"/>
      <c r="W495" s="131"/>
      <c r="X495" s="131"/>
      <c r="Y495" s="131"/>
      <c r="Z495" s="131"/>
    </row>
    <row r="496">
      <c r="A496" s="99"/>
      <c r="B496" s="99"/>
      <c r="C496" s="99"/>
      <c r="D496" s="99"/>
      <c r="E496" s="99"/>
      <c r="F496" s="99"/>
      <c r="G496" s="99"/>
      <c r="H496" s="99"/>
      <c r="I496" s="99"/>
      <c r="J496" s="131"/>
      <c r="K496" s="131"/>
      <c r="L496" s="131"/>
      <c r="M496" s="131"/>
      <c r="N496" s="131"/>
      <c r="O496" s="131"/>
      <c r="P496" s="131"/>
      <c r="Q496" s="131"/>
      <c r="R496" s="131"/>
      <c r="S496" s="131"/>
      <c r="T496" s="131"/>
      <c r="U496" s="131"/>
      <c r="V496" s="131"/>
      <c r="W496" s="131"/>
      <c r="X496" s="131"/>
      <c r="Y496" s="131"/>
      <c r="Z496" s="131"/>
    </row>
    <row r="497">
      <c r="A497" s="99"/>
      <c r="B497" s="99"/>
      <c r="C497" s="99"/>
      <c r="D497" s="99"/>
      <c r="E497" s="99"/>
      <c r="F497" s="99"/>
      <c r="G497" s="99"/>
      <c r="H497" s="99"/>
      <c r="I497" s="99"/>
      <c r="J497" s="131"/>
      <c r="K497" s="131"/>
      <c r="L497" s="131"/>
      <c r="M497" s="131"/>
      <c r="N497" s="131"/>
      <c r="O497" s="131"/>
      <c r="P497" s="131"/>
      <c r="Q497" s="131"/>
      <c r="R497" s="131"/>
      <c r="S497" s="131"/>
      <c r="T497" s="131"/>
      <c r="U497" s="131"/>
      <c r="V497" s="131"/>
      <c r="W497" s="131"/>
      <c r="X497" s="131"/>
      <c r="Y497" s="131"/>
      <c r="Z497" s="131"/>
    </row>
    <row r="498">
      <c r="A498" s="99"/>
      <c r="B498" s="99"/>
      <c r="C498" s="99"/>
      <c r="D498" s="99"/>
      <c r="E498" s="99"/>
      <c r="F498" s="99"/>
      <c r="G498" s="99"/>
      <c r="H498" s="99"/>
      <c r="I498" s="99"/>
      <c r="J498" s="131"/>
      <c r="K498" s="131"/>
      <c r="L498" s="131"/>
      <c r="M498" s="131"/>
      <c r="N498" s="131"/>
      <c r="O498" s="131"/>
      <c r="P498" s="131"/>
      <c r="Q498" s="131"/>
      <c r="R498" s="131"/>
      <c r="S498" s="131"/>
      <c r="T498" s="131"/>
      <c r="U498" s="131"/>
      <c r="V498" s="131"/>
      <c r="W498" s="131"/>
      <c r="X498" s="131"/>
      <c r="Y498" s="131"/>
      <c r="Z498" s="131"/>
    </row>
    <row r="499">
      <c r="A499" s="99"/>
      <c r="B499" s="99"/>
      <c r="C499" s="99"/>
      <c r="D499" s="99"/>
      <c r="E499" s="99"/>
      <c r="F499" s="99"/>
      <c r="G499" s="99"/>
      <c r="H499" s="99"/>
      <c r="I499" s="99"/>
      <c r="J499" s="131"/>
      <c r="K499" s="131"/>
      <c r="L499" s="131"/>
      <c r="M499" s="131"/>
      <c r="N499" s="131"/>
      <c r="O499" s="131"/>
      <c r="P499" s="131"/>
      <c r="Q499" s="131"/>
      <c r="R499" s="131"/>
      <c r="S499" s="131"/>
      <c r="T499" s="131"/>
      <c r="U499" s="131"/>
      <c r="V499" s="131"/>
      <c r="W499" s="131"/>
      <c r="X499" s="131"/>
      <c r="Y499" s="131"/>
      <c r="Z499" s="131"/>
    </row>
    <row r="500">
      <c r="A500" s="99"/>
      <c r="B500" s="99"/>
      <c r="C500" s="99"/>
      <c r="D500" s="99"/>
      <c r="E500" s="99"/>
      <c r="F500" s="99"/>
      <c r="G500" s="99"/>
      <c r="H500" s="99"/>
      <c r="I500" s="99"/>
      <c r="J500" s="131"/>
      <c r="K500" s="131"/>
      <c r="L500" s="131"/>
      <c r="M500" s="131"/>
      <c r="N500" s="131"/>
      <c r="O500" s="131"/>
      <c r="P500" s="131"/>
      <c r="Q500" s="131"/>
      <c r="R500" s="131"/>
      <c r="S500" s="131"/>
      <c r="T500" s="131"/>
      <c r="U500" s="131"/>
      <c r="V500" s="131"/>
      <c r="W500" s="131"/>
      <c r="X500" s="131"/>
      <c r="Y500" s="131"/>
      <c r="Z500" s="131"/>
    </row>
    <row r="501">
      <c r="A501" s="99"/>
      <c r="B501" s="99"/>
      <c r="C501" s="99"/>
      <c r="D501" s="99"/>
      <c r="E501" s="99"/>
      <c r="F501" s="99"/>
      <c r="G501" s="99"/>
      <c r="H501" s="99"/>
      <c r="I501" s="99"/>
      <c r="J501" s="131"/>
      <c r="K501" s="131"/>
      <c r="L501" s="131"/>
      <c r="M501" s="131"/>
      <c r="N501" s="131"/>
      <c r="O501" s="131"/>
      <c r="P501" s="131"/>
      <c r="Q501" s="131"/>
      <c r="R501" s="131"/>
      <c r="S501" s="131"/>
      <c r="T501" s="131"/>
      <c r="U501" s="131"/>
      <c r="V501" s="131"/>
      <c r="W501" s="131"/>
      <c r="X501" s="131"/>
      <c r="Y501" s="131"/>
      <c r="Z501" s="131"/>
    </row>
    <row r="502">
      <c r="A502" s="99"/>
      <c r="B502" s="99"/>
      <c r="C502" s="99"/>
      <c r="D502" s="99"/>
      <c r="E502" s="99"/>
      <c r="F502" s="99"/>
      <c r="G502" s="99"/>
      <c r="H502" s="99"/>
      <c r="I502" s="99"/>
      <c r="J502" s="131"/>
      <c r="K502" s="131"/>
      <c r="L502" s="131"/>
      <c r="M502" s="131"/>
      <c r="N502" s="131"/>
      <c r="O502" s="131"/>
      <c r="P502" s="131"/>
      <c r="Q502" s="131"/>
      <c r="R502" s="131"/>
      <c r="S502" s="131"/>
      <c r="T502" s="131"/>
      <c r="U502" s="131"/>
      <c r="V502" s="131"/>
      <c r="W502" s="131"/>
      <c r="X502" s="131"/>
      <c r="Y502" s="131"/>
      <c r="Z502" s="131"/>
    </row>
    <row r="503">
      <c r="A503" s="99"/>
      <c r="B503" s="99"/>
      <c r="C503" s="99"/>
      <c r="D503" s="99"/>
      <c r="E503" s="99"/>
      <c r="F503" s="99"/>
      <c r="G503" s="99"/>
      <c r="H503" s="99"/>
      <c r="I503" s="99"/>
      <c r="J503" s="131"/>
      <c r="K503" s="131"/>
      <c r="L503" s="131"/>
      <c r="M503" s="131"/>
      <c r="N503" s="131"/>
      <c r="O503" s="131"/>
      <c r="P503" s="131"/>
      <c r="Q503" s="131"/>
      <c r="R503" s="131"/>
      <c r="S503" s="131"/>
      <c r="T503" s="131"/>
      <c r="U503" s="131"/>
      <c r="V503" s="131"/>
      <c r="W503" s="131"/>
      <c r="X503" s="131"/>
      <c r="Y503" s="131"/>
      <c r="Z503" s="131"/>
    </row>
    <row r="504">
      <c r="A504" s="99"/>
      <c r="B504" s="99"/>
      <c r="C504" s="99"/>
      <c r="D504" s="99"/>
      <c r="E504" s="99"/>
      <c r="F504" s="99"/>
      <c r="G504" s="99"/>
      <c r="H504" s="99"/>
      <c r="I504" s="99"/>
      <c r="J504" s="131"/>
      <c r="K504" s="131"/>
      <c r="L504" s="131"/>
      <c r="M504" s="131"/>
      <c r="N504" s="131"/>
      <c r="O504" s="131"/>
      <c r="P504" s="131"/>
      <c r="Q504" s="131"/>
      <c r="R504" s="131"/>
      <c r="S504" s="131"/>
      <c r="T504" s="131"/>
      <c r="U504" s="131"/>
      <c r="V504" s="131"/>
      <c r="W504" s="131"/>
      <c r="X504" s="131"/>
      <c r="Y504" s="131"/>
      <c r="Z504" s="131"/>
    </row>
    <row r="505">
      <c r="A505" s="99"/>
      <c r="B505" s="99"/>
      <c r="C505" s="99"/>
      <c r="D505" s="99"/>
      <c r="E505" s="99"/>
      <c r="F505" s="99"/>
      <c r="G505" s="99"/>
      <c r="H505" s="99"/>
      <c r="I505" s="99"/>
      <c r="J505" s="131"/>
      <c r="K505" s="131"/>
      <c r="L505" s="131"/>
      <c r="M505" s="131"/>
      <c r="N505" s="131"/>
      <c r="O505" s="131"/>
      <c r="P505" s="131"/>
      <c r="Q505" s="131"/>
      <c r="R505" s="131"/>
      <c r="S505" s="131"/>
      <c r="T505" s="131"/>
      <c r="U505" s="131"/>
      <c r="V505" s="131"/>
      <c r="W505" s="131"/>
      <c r="X505" s="131"/>
      <c r="Y505" s="131"/>
      <c r="Z505" s="131"/>
    </row>
    <row r="506">
      <c r="A506" s="99"/>
      <c r="B506" s="99"/>
      <c r="C506" s="99"/>
      <c r="D506" s="99"/>
      <c r="E506" s="99"/>
      <c r="F506" s="99"/>
      <c r="G506" s="99"/>
      <c r="H506" s="99"/>
      <c r="I506" s="99"/>
      <c r="J506" s="131"/>
      <c r="K506" s="131"/>
      <c r="L506" s="131"/>
      <c r="M506" s="131"/>
      <c r="N506" s="131"/>
      <c r="O506" s="131"/>
      <c r="P506" s="131"/>
      <c r="Q506" s="131"/>
      <c r="R506" s="131"/>
      <c r="S506" s="131"/>
      <c r="T506" s="131"/>
      <c r="U506" s="131"/>
      <c r="V506" s="131"/>
      <c r="W506" s="131"/>
      <c r="X506" s="131"/>
      <c r="Y506" s="131"/>
      <c r="Z506" s="131"/>
    </row>
    <row r="507">
      <c r="A507" s="99"/>
      <c r="B507" s="99"/>
      <c r="C507" s="99"/>
      <c r="D507" s="99"/>
      <c r="E507" s="99"/>
      <c r="F507" s="99"/>
      <c r="G507" s="99"/>
      <c r="H507" s="99"/>
      <c r="I507" s="99"/>
      <c r="J507" s="131"/>
      <c r="K507" s="131"/>
      <c r="L507" s="131"/>
      <c r="M507" s="131"/>
      <c r="N507" s="131"/>
      <c r="O507" s="131"/>
      <c r="P507" s="131"/>
      <c r="Q507" s="131"/>
      <c r="R507" s="131"/>
      <c r="S507" s="131"/>
      <c r="T507" s="131"/>
      <c r="U507" s="131"/>
      <c r="V507" s="131"/>
      <c r="W507" s="131"/>
      <c r="X507" s="131"/>
      <c r="Y507" s="131"/>
      <c r="Z507" s="131"/>
    </row>
    <row r="508">
      <c r="A508" s="99"/>
      <c r="B508" s="99"/>
      <c r="C508" s="99"/>
      <c r="D508" s="99"/>
      <c r="E508" s="99"/>
      <c r="F508" s="99"/>
      <c r="G508" s="99"/>
      <c r="H508" s="99"/>
      <c r="I508" s="99"/>
      <c r="J508" s="131"/>
      <c r="K508" s="131"/>
      <c r="L508" s="131"/>
      <c r="M508" s="131"/>
      <c r="N508" s="131"/>
      <c r="O508" s="131"/>
      <c r="P508" s="131"/>
      <c r="Q508" s="131"/>
      <c r="R508" s="131"/>
      <c r="S508" s="131"/>
      <c r="T508" s="131"/>
      <c r="U508" s="131"/>
      <c r="V508" s="131"/>
      <c r="W508" s="131"/>
      <c r="X508" s="131"/>
      <c r="Y508" s="131"/>
      <c r="Z508" s="131"/>
    </row>
    <row r="509">
      <c r="A509" s="99"/>
      <c r="B509" s="99"/>
      <c r="C509" s="99"/>
      <c r="D509" s="99"/>
      <c r="E509" s="99"/>
      <c r="F509" s="99"/>
      <c r="G509" s="99"/>
      <c r="H509" s="99"/>
      <c r="I509" s="99"/>
      <c r="J509" s="131"/>
      <c r="K509" s="131"/>
      <c r="L509" s="131"/>
      <c r="M509" s="131"/>
      <c r="N509" s="131"/>
      <c r="O509" s="131"/>
      <c r="P509" s="131"/>
      <c r="Q509" s="131"/>
      <c r="R509" s="131"/>
      <c r="S509" s="131"/>
      <c r="T509" s="131"/>
      <c r="U509" s="131"/>
      <c r="V509" s="131"/>
      <c r="W509" s="131"/>
      <c r="X509" s="131"/>
      <c r="Y509" s="131"/>
      <c r="Z509" s="131"/>
    </row>
    <row r="510">
      <c r="A510" s="99"/>
      <c r="B510" s="99"/>
      <c r="C510" s="99"/>
      <c r="D510" s="99"/>
      <c r="E510" s="99"/>
      <c r="F510" s="99"/>
      <c r="G510" s="99"/>
      <c r="H510" s="99"/>
      <c r="I510" s="99"/>
      <c r="J510" s="131"/>
      <c r="K510" s="131"/>
      <c r="L510" s="131"/>
      <c r="M510" s="131"/>
      <c r="N510" s="131"/>
      <c r="O510" s="131"/>
      <c r="P510" s="131"/>
      <c r="Q510" s="131"/>
      <c r="R510" s="131"/>
      <c r="S510" s="131"/>
      <c r="T510" s="131"/>
      <c r="U510" s="131"/>
      <c r="V510" s="131"/>
      <c r="W510" s="131"/>
      <c r="X510" s="131"/>
      <c r="Y510" s="131"/>
      <c r="Z510" s="131"/>
    </row>
    <row r="511">
      <c r="A511" s="99"/>
      <c r="B511" s="99"/>
      <c r="C511" s="99"/>
      <c r="D511" s="99"/>
      <c r="E511" s="99"/>
      <c r="F511" s="99"/>
      <c r="G511" s="99"/>
      <c r="H511" s="99"/>
      <c r="I511" s="99"/>
      <c r="J511" s="131"/>
      <c r="K511" s="131"/>
      <c r="L511" s="131"/>
      <c r="M511" s="131"/>
      <c r="N511" s="131"/>
      <c r="O511" s="131"/>
      <c r="P511" s="131"/>
      <c r="Q511" s="131"/>
      <c r="R511" s="131"/>
      <c r="S511" s="131"/>
      <c r="T511" s="131"/>
      <c r="U511" s="131"/>
      <c r="V511" s="131"/>
      <c r="W511" s="131"/>
      <c r="X511" s="131"/>
      <c r="Y511" s="131"/>
      <c r="Z511" s="131"/>
    </row>
    <row r="512">
      <c r="A512" s="99"/>
      <c r="B512" s="99"/>
      <c r="C512" s="99"/>
      <c r="D512" s="99"/>
      <c r="E512" s="99"/>
      <c r="F512" s="99"/>
      <c r="G512" s="99"/>
      <c r="H512" s="99"/>
      <c r="I512" s="99"/>
      <c r="J512" s="131"/>
      <c r="K512" s="131"/>
      <c r="L512" s="131"/>
      <c r="M512" s="131"/>
      <c r="N512" s="131"/>
      <c r="O512" s="131"/>
      <c r="P512" s="131"/>
      <c r="Q512" s="131"/>
      <c r="R512" s="131"/>
      <c r="S512" s="131"/>
      <c r="T512" s="131"/>
      <c r="U512" s="131"/>
      <c r="V512" s="131"/>
      <c r="W512" s="131"/>
      <c r="X512" s="131"/>
      <c r="Y512" s="131"/>
      <c r="Z512" s="131"/>
    </row>
    <row r="513">
      <c r="A513" s="99"/>
      <c r="B513" s="99"/>
      <c r="C513" s="99"/>
      <c r="D513" s="99"/>
      <c r="E513" s="99"/>
      <c r="F513" s="99"/>
      <c r="G513" s="99"/>
      <c r="H513" s="99"/>
      <c r="I513" s="99"/>
      <c r="J513" s="131"/>
      <c r="K513" s="131"/>
      <c r="L513" s="131"/>
      <c r="M513" s="131"/>
      <c r="N513" s="131"/>
      <c r="O513" s="131"/>
      <c r="P513" s="131"/>
      <c r="Q513" s="131"/>
      <c r="R513" s="131"/>
      <c r="S513" s="131"/>
      <c r="T513" s="131"/>
      <c r="U513" s="131"/>
      <c r="V513" s="131"/>
      <c r="W513" s="131"/>
      <c r="X513" s="131"/>
      <c r="Y513" s="131"/>
      <c r="Z513" s="131"/>
    </row>
    <row r="514">
      <c r="A514" s="99"/>
      <c r="B514" s="99"/>
      <c r="C514" s="99"/>
      <c r="D514" s="99"/>
      <c r="E514" s="99"/>
      <c r="F514" s="99"/>
      <c r="G514" s="99"/>
      <c r="H514" s="99"/>
      <c r="I514" s="99"/>
      <c r="J514" s="131"/>
      <c r="K514" s="131"/>
      <c r="L514" s="131"/>
      <c r="M514" s="131"/>
      <c r="N514" s="131"/>
      <c r="O514" s="131"/>
      <c r="P514" s="131"/>
      <c r="Q514" s="131"/>
      <c r="R514" s="131"/>
      <c r="S514" s="131"/>
      <c r="T514" s="131"/>
      <c r="U514" s="131"/>
      <c r="V514" s="131"/>
      <c r="W514" s="131"/>
      <c r="X514" s="131"/>
      <c r="Y514" s="131"/>
      <c r="Z514" s="131"/>
    </row>
    <row r="515">
      <c r="A515" s="99"/>
      <c r="B515" s="99"/>
      <c r="C515" s="99"/>
      <c r="D515" s="99"/>
      <c r="E515" s="99"/>
      <c r="F515" s="99"/>
      <c r="G515" s="99"/>
      <c r="H515" s="99"/>
      <c r="I515" s="99"/>
      <c r="J515" s="131"/>
      <c r="K515" s="131"/>
      <c r="L515" s="131"/>
      <c r="M515" s="131"/>
      <c r="N515" s="131"/>
      <c r="O515" s="131"/>
      <c r="P515" s="131"/>
      <c r="Q515" s="131"/>
      <c r="R515" s="131"/>
      <c r="S515" s="131"/>
      <c r="T515" s="131"/>
      <c r="U515" s="131"/>
      <c r="V515" s="131"/>
      <c r="W515" s="131"/>
      <c r="X515" s="131"/>
      <c r="Y515" s="131"/>
      <c r="Z515" s="131"/>
    </row>
    <row r="516">
      <c r="A516" s="99"/>
      <c r="B516" s="99"/>
      <c r="C516" s="99"/>
      <c r="D516" s="99"/>
      <c r="E516" s="99"/>
      <c r="F516" s="99"/>
      <c r="G516" s="99"/>
      <c r="H516" s="99"/>
      <c r="I516" s="99"/>
      <c r="J516" s="131"/>
      <c r="K516" s="131"/>
      <c r="L516" s="131"/>
      <c r="M516" s="131"/>
      <c r="N516" s="131"/>
      <c r="O516" s="131"/>
      <c r="P516" s="131"/>
      <c r="Q516" s="131"/>
      <c r="R516" s="131"/>
      <c r="S516" s="131"/>
      <c r="T516" s="131"/>
      <c r="U516" s="131"/>
      <c r="V516" s="131"/>
      <c r="W516" s="131"/>
      <c r="X516" s="131"/>
      <c r="Y516" s="131"/>
      <c r="Z516" s="131"/>
    </row>
    <row r="517">
      <c r="A517" s="99"/>
      <c r="B517" s="99"/>
      <c r="C517" s="99"/>
      <c r="D517" s="99"/>
      <c r="E517" s="99"/>
      <c r="F517" s="99"/>
      <c r="G517" s="99"/>
      <c r="H517" s="99"/>
      <c r="I517" s="99"/>
      <c r="J517" s="131"/>
      <c r="K517" s="131"/>
      <c r="L517" s="131"/>
      <c r="M517" s="131"/>
      <c r="N517" s="131"/>
      <c r="O517" s="131"/>
      <c r="P517" s="131"/>
      <c r="Q517" s="131"/>
      <c r="R517" s="131"/>
      <c r="S517" s="131"/>
      <c r="T517" s="131"/>
      <c r="U517" s="131"/>
      <c r="V517" s="131"/>
      <c r="W517" s="131"/>
      <c r="X517" s="131"/>
      <c r="Y517" s="131"/>
      <c r="Z517" s="131"/>
    </row>
    <row r="518">
      <c r="A518" s="99"/>
      <c r="B518" s="99"/>
      <c r="C518" s="99"/>
      <c r="D518" s="99"/>
      <c r="E518" s="99"/>
      <c r="F518" s="99"/>
      <c r="G518" s="99"/>
      <c r="H518" s="99"/>
      <c r="I518" s="99"/>
      <c r="J518" s="131"/>
      <c r="K518" s="131"/>
      <c r="L518" s="131"/>
      <c r="M518" s="131"/>
      <c r="N518" s="131"/>
      <c r="O518" s="131"/>
      <c r="P518" s="131"/>
      <c r="Q518" s="131"/>
      <c r="R518" s="131"/>
      <c r="S518" s="131"/>
      <c r="T518" s="131"/>
      <c r="U518" s="131"/>
      <c r="V518" s="131"/>
      <c r="W518" s="131"/>
      <c r="X518" s="131"/>
      <c r="Y518" s="131"/>
      <c r="Z518" s="131"/>
    </row>
    <row r="519">
      <c r="A519" s="99"/>
      <c r="B519" s="99"/>
      <c r="C519" s="99"/>
      <c r="D519" s="99"/>
      <c r="E519" s="99"/>
      <c r="F519" s="99"/>
      <c r="G519" s="99"/>
      <c r="H519" s="99"/>
      <c r="I519" s="99"/>
      <c r="J519" s="131"/>
      <c r="K519" s="131"/>
      <c r="L519" s="131"/>
      <c r="M519" s="131"/>
      <c r="N519" s="131"/>
      <c r="O519" s="131"/>
      <c r="P519" s="131"/>
      <c r="Q519" s="131"/>
      <c r="R519" s="131"/>
      <c r="S519" s="131"/>
      <c r="T519" s="131"/>
      <c r="U519" s="131"/>
      <c r="V519" s="131"/>
      <c r="W519" s="131"/>
      <c r="X519" s="131"/>
      <c r="Y519" s="131"/>
      <c r="Z519" s="131"/>
    </row>
    <row r="520">
      <c r="A520" s="99"/>
      <c r="B520" s="99"/>
      <c r="C520" s="99"/>
      <c r="D520" s="99"/>
      <c r="E520" s="99"/>
      <c r="F520" s="99"/>
      <c r="G520" s="99"/>
      <c r="H520" s="99"/>
      <c r="I520" s="99"/>
      <c r="J520" s="131"/>
      <c r="K520" s="131"/>
      <c r="L520" s="131"/>
      <c r="M520" s="131"/>
      <c r="N520" s="131"/>
      <c r="O520" s="131"/>
      <c r="P520" s="131"/>
      <c r="Q520" s="131"/>
      <c r="R520" s="131"/>
      <c r="S520" s="131"/>
      <c r="T520" s="131"/>
      <c r="U520" s="131"/>
      <c r="V520" s="131"/>
      <c r="W520" s="131"/>
      <c r="X520" s="131"/>
      <c r="Y520" s="131"/>
      <c r="Z520" s="131"/>
    </row>
    <row r="521">
      <c r="A521" s="99"/>
      <c r="B521" s="99"/>
      <c r="C521" s="99"/>
      <c r="D521" s="99"/>
      <c r="E521" s="99"/>
      <c r="F521" s="99"/>
      <c r="G521" s="99"/>
      <c r="H521" s="99"/>
      <c r="I521" s="99"/>
      <c r="J521" s="131"/>
      <c r="K521" s="131"/>
      <c r="L521" s="131"/>
      <c r="M521" s="131"/>
      <c r="N521" s="131"/>
      <c r="O521" s="131"/>
      <c r="P521" s="131"/>
      <c r="Q521" s="131"/>
      <c r="R521" s="131"/>
      <c r="S521" s="131"/>
      <c r="T521" s="131"/>
      <c r="U521" s="131"/>
      <c r="V521" s="131"/>
      <c r="W521" s="131"/>
      <c r="X521" s="131"/>
      <c r="Y521" s="131"/>
      <c r="Z521" s="131"/>
    </row>
    <row r="522">
      <c r="A522" s="99"/>
      <c r="B522" s="99"/>
      <c r="C522" s="99"/>
      <c r="D522" s="99"/>
      <c r="E522" s="99"/>
      <c r="F522" s="99"/>
      <c r="G522" s="99"/>
      <c r="H522" s="99"/>
      <c r="I522" s="99"/>
      <c r="J522" s="131"/>
      <c r="K522" s="131"/>
      <c r="L522" s="131"/>
      <c r="M522" s="131"/>
      <c r="N522" s="131"/>
      <c r="O522" s="131"/>
      <c r="P522" s="131"/>
      <c r="Q522" s="131"/>
      <c r="R522" s="131"/>
      <c r="S522" s="131"/>
      <c r="T522" s="131"/>
      <c r="U522" s="131"/>
      <c r="V522" s="131"/>
      <c r="W522" s="131"/>
      <c r="X522" s="131"/>
      <c r="Y522" s="131"/>
      <c r="Z522" s="131"/>
    </row>
    <row r="523">
      <c r="A523" s="99"/>
      <c r="B523" s="99"/>
      <c r="C523" s="99"/>
      <c r="D523" s="99"/>
      <c r="E523" s="99"/>
      <c r="F523" s="99"/>
      <c r="G523" s="99"/>
      <c r="H523" s="99"/>
      <c r="I523" s="99"/>
      <c r="J523" s="131"/>
      <c r="K523" s="131"/>
      <c r="L523" s="131"/>
      <c r="M523" s="131"/>
      <c r="N523" s="131"/>
      <c r="O523" s="131"/>
      <c r="P523" s="131"/>
      <c r="Q523" s="131"/>
      <c r="R523" s="131"/>
      <c r="S523" s="131"/>
      <c r="T523" s="131"/>
      <c r="U523" s="131"/>
      <c r="V523" s="131"/>
      <c r="W523" s="131"/>
      <c r="X523" s="131"/>
      <c r="Y523" s="131"/>
      <c r="Z523" s="131"/>
    </row>
    <row r="524">
      <c r="A524" s="99"/>
      <c r="B524" s="99"/>
      <c r="C524" s="99"/>
      <c r="D524" s="99"/>
      <c r="E524" s="99"/>
      <c r="F524" s="99"/>
      <c r="G524" s="99"/>
      <c r="H524" s="99"/>
      <c r="I524" s="99"/>
      <c r="J524" s="131"/>
      <c r="K524" s="131"/>
      <c r="L524" s="131"/>
      <c r="M524" s="131"/>
      <c r="N524" s="131"/>
      <c r="O524" s="131"/>
      <c r="P524" s="131"/>
      <c r="Q524" s="131"/>
      <c r="R524" s="131"/>
      <c r="S524" s="131"/>
      <c r="T524" s="131"/>
      <c r="U524" s="131"/>
      <c r="V524" s="131"/>
      <c r="W524" s="131"/>
      <c r="X524" s="131"/>
      <c r="Y524" s="131"/>
      <c r="Z524" s="131"/>
    </row>
    <row r="525">
      <c r="A525" s="99"/>
      <c r="B525" s="99"/>
      <c r="C525" s="99"/>
      <c r="D525" s="99"/>
      <c r="E525" s="99"/>
      <c r="F525" s="99"/>
      <c r="G525" s="99"/>
      <c r="H525" s="99"/>
      <c r="I525" s="99"/>
      <c r="J525" s="131"/>
      <c r="K525" s="131"/>
      <c r="L525" s="131"/>
      <c r="M525" s="131"/>
      <c r="N525" s="131"/>
      <c r="O525" s="131"/>
      <c r="P525" s="131"/>
      <c r="Q525" s="131"/>
      <c r="R525" s="131"/>
      <c r="S525" s="131"/>
      <c r="T525" s="131"/>
      <c r="U525" s="131"/>
      <c r="V525" s="131"/>
      <c r="W525" s="131"/>
      <c r="X525" s="131"/>
      <c r="Y525" s="131"/>
      <c r="Z525" s="131"/>
    </row>
    <row r="526">
      <c r="A526" s="99"/>
      <c r="B526" s="99"/>
      <c r="C526" s="99"/>
      <c r="D526" s="99"/>
      <c r="E526" s="99"/>
      <c r="F526" s="99"/>
      <c r="G526" s="99"/>
      <c r="H526" s="99"/>
      <c r="I526" s="99"/>
      <c r="J526" s="131"/>
      <c r="K526" s="131"/>
      <c r="L526" s="131"/>
      <c r="M526" s="131"/>
      <c r="N526" s="131"/>
      <c r="O526" s="131"/>
      <c r="P526" s="131"/>
      <c r="Q526" s="131"/>
      <c r="R526" s="131"/>
      <c r="S526" s="131"/>
      <c r="T526" s="131"/>
      <c r="U526" s="131"/>
      <c r="V526" s="131"/>
      <c r="W526" s="131"/>
      <c r="X526" s="131"/>
      <c r="Y526" s="131"/>
      <c r="Z526" s="131"/>
    </row>
    <row r="527">
      <c r="A527" s="99"/>
      <c r="B527" s="99"/>
      <c r="C527" s="99"/>
      <c r="D527" s="99"/>
      <c r="E527" s="99"/>
      <c r="F527" s="99"/>
      <c r="G527" s="99"/>
      <c r="H527" s="99"/>
      <c r="I527" s="99"/>
      <c r="J527" s="131"/>
      <c r="K527" s="131"/>
      <c r="L527" s="131"/>
      <c r="M527" s="131"/>
      <c r="N527" s="131"/>
      <c r="O527" s="131"/>
      <c r="P527" s="131"/>
      <c r="Q527" s="131"/>
      <c r="R527" s="131"/>
      <c r="S527" s="131"/>
      <c r="T527" s="131"/>
      <c r="U527" s="131"/>
      <c r="V527" s="131"/>
      <c r="W527" s="131"/>
      <c r="X527" s="131"/>
      <c r="Y527" s="131"/>
      <c r="Z527" s="131"/>
    </row>
    <row r="528">
      <c r="A528" s="99"/>
      <c r="B528" s="99"/>
      <c r="C528" s="99"/>
      <c r="D528" s="99"/>
      <c r="E528" s="99"/>
      <c r="F528" s="99"/>
      <c r="G528" s="99"/>
      <c r="H528" s="99"/>
      <c r="I528" s="99"/>
      <c r="J528" s="131"/>
      <c r="K528" s="131"/>
      <c r="L528" s="131"/>
      <c r="M528" s="131"/>
      <c r="N528" s="131"/>
      <c r="O528" s="131"/>
      <c r="P528" s="131"/>
      <c r="Q528" s="131"/>
      <c r="R528" s="131"/>
      <c r="S528" s="131"/>
      <c r="T528" s="131"/>
      <c r="U528" s="131"/>
      <c r="V528" s="131"/>
      <c r="W528" s="131"/>
      <c r="X528" s="131"/>
      <c r="Y528" s="131"/>
      <c r="Z528" s="131"/>
    </row>
    <row r="529">
      <c r="A529" s="99"/>
      <c r="B529" s="99"/>
      <c r="C529" s="99"/>
      <c r="D529" s="99"/>
      <c r="E529" s="99"/>
      <c r="F529" s="99"/>
      <c r="G529" s="99"/>
      <c r="H529" s="99"/>
      <c r="I529" s="99"/>
      <c r="J529" s="131"/>
      <c r="K529" s="131"/>
      <c r="L529" s="131"/>
      <c r="M529" s="131"/>
      <c r="N529" s="131"/>
      <c r="O529" s="131"/>
      <c r="P529" s="131"/>
      <c r="Q529" s="131"/>
      <c r="R529" s="131"/>
      <c r="S529" s="131"/>
      <c r="T529" s="131"/>
      <c r="U529" s="131"/>
      <c r="V529" s="131"/>
      <c r="W529" s="131"/>
      <c r="X529" s="131"/>
      <c r="Y529" s="131"/>
      <c r="Z529" s="131"/>
    </row>
    <row r="530">
      <c r="A530" s="99"/>
      <c r="B530" s="99"/>
      <c r="C530" s="99"/>
      <c r="D530" s="99"/>
      <c r="E530" s="99"/>
      <c r="F530" s="99"/>
      <c r="G530" s="99"/>
      <c r="H530" s="99"/>
      <c r="I530" s="99"/>
      <c r="J530" s="131"/>
      <c r="K530" s="131"/>
      <c r="L530" s="131"/>
      <c r="M530" s="131"/>
      <c r="N530" s="131"/>
      <c r="O530" s="131"/>
      <c r="P530" s="131"/>
      <c r="Q530" s="131"/>
      <c r="R530" s="131"/>
      <c r="S530" s="131"/>
      <c r="T530" s="131"/>
      <c r="U530" s="131"/>
      <c r="V530" s="131"/>
      <c r="W530" s="131"/>
      <c r="X530" s="131"/>
      <c r="Y530" s="131"/>
      <c r="Z530" s="131"/>
    </row>
    <row r="531">
      <c r="A531" s="99"/>
      <c r="B531" s="99"/>
      <c r="C531" s="99"/>
      <c r="D531" s="99"/>
      <c r="E531" s="99"/>
      <c r="F531" s="99"/>
      <c r="G531" s="99"/>
      <c r="H531" s="99"/>
      <c r="I531" s="99"/>
      <c r="J531" s="131"/>
      <c r="K531" s="131"/>
      <c r="L531" s="131"/>
      <c r="M531" s="131"/>
      <c r="N531" s="131"/>
      <c r="O531" s="131"/>
      <c r="P531" s="131"/>
      <c r="Q531" s="131"/>
      <c r="R531" s="131"/>
      <c r="S531" s="131"/>
      <c r="T531" s="131"/>
      <c r="U531" s="131"/>
      <c r="V531" s="131"/>
      <c r="W531" s="131"/>
      <c r="X531" s="131"/>
      <c r="Y531" s="131"/>
      <c r="Z531" s="131"/>
    </row>
    <row r="532">
      <c r="A532" s="99"/>
      <c r="B532" s="99"/>
      <c r="C532" s="99"/>
      <c r="D532" s="99"/>
      <c r="E532" s="99"/>
      <c r="F532" s="99"/>
      <c r="G532" s="99"/>
      <c r="H532" s="99"/>
      <c r="I532" s="99"/>
      <c r="J532" s="131"/>
      <c r="K532" s="131"/>
      <c r="L532" s="131"/>
      <c r="M532" s="131"/>
      <c r="N532" s="131"/>
      <c r="O532" s="131"/>
      <c r="P532" s="131"/>
      <c r="Q532" s="131"/>
      <c r="R532" s="131"/>
      <c r="S532" s="131"/>
      <c r="T532" s="131"/>
      <c r="U532" s="131"/>
      <c r="V532" s="131"/>
      <c r="W532" s="131"/>
      <c r="X532" s="131"/>
      <c r="Y532" s="131"/>
      <c r="Z532" s="131"/>
    </row>
    <row r="533">
      <c r="A533" s="99"/>
      <c r="B533" s="99"/>
      <c r="C533" s="99"/>
      <c r="D533" s="99"/>
      <c r="E533" s="99"/>
      <c r="F533" s="99"/>
      <c r="G533" s="99"/>
      <c r="H533" s="99"/>
      <c r="I533" s="99"/>
      <c r="J533" s="131"/>
      <c r="K533" s="131"/>
      <c r="L533" s="131"/>
      <c r="M533" s="131"/>
      <c r="N533" s="131"/>
      <c r="O533" s="131"/>
      <c r="P533" s="131"/>
      <c r="Q533" s="131"/>
      <c r="R533" s="131"/>
      <c r="S533" s="131"/>
      <c r="T533" s="131"/>
      <c r="U533" s="131"/>
      <c r="V533" s="131"/>
      <c r="W533" s="131"/>
      <c r="X533" s="131"/>
      <c r="Y533" s="131"/>
      <c r="Z533" s="131"/>
    </row>
    <row r="534">
      <c r="A534" s="99"/>
      <c r="B534" s="99"/>
      <c r="C534" s="99"/>
      <c r="D534" s="99"/>
      <c r="E534" s="99"/>
      <c r="F534" s="99"/>
      <c r="G534" s="99"/>
      <c r="H534" s="99"/>
      <c r="I534" s="99"/>
      <c r="J534" s="131"/>
      <c r="K534" s="131"/>
      <c r="L534" s="131"/>
      <c r="M534" s="131"/>
      <c r="N534" s="131"/>
      <c r="O534" s="131"/>
      <c r="P534" s="131"/>
      <c r="Q534" s="131"/>
      <c r="R534" s="131"/>
      <c r="S534" s="131"/>
      <c r="T534" s="131"/>
      <c r="U534" s="131"/>
      <c r="V534" s="131"/>
      <c r="W534" s="131"/>
      <c r="X534" s="131"/>
      <c r="Y534" s="131"/>
      <c r="Z534" s="131"/>
    </row>
    <row r="535">
      <c r="A535" s="99"/>
      <c r="B535" s="99"/>
      <c r="C535" s="99"/>
      <c r="D535" s="99"/>
      <c r="E535" s="99"/>
      <c r="F535" s="99"/>
      <c r="G535" s="99"/>
      <c r="H535" s="99"/>
      <c r="I535" s="99"/>
      <c r="J535" s="131"/>
      <c r="K535" s="131"/>
      <c r="L535" s="131"/>
      <c r="M535" s="131"/>
      <c r="N535" s="131"/>
      <c r="O535" s="131"/>
      <c r="P535" s="131"/>
      <c r="Q535" s="131"/>
      <c r="R535" s="131"/>
      <c r="S535" s="131"/>
      <c r="T535" s="131"/>
      <c r="U535" s="131"/>
      <c r="V535" s="131"/>
      <c r="W535" s="131"/>
      <c r="X535" s="131"/>
      <c r="Y535" s="131"/>
      <c r="Z535" s="131"/>
    </row>
    <row r="536">
      <c r="A536" s="99"/>
      <c r="B536" s="99"/>
      <c r="C536" s="99"/>
      <c r="D536" s="99"/>
      <c r="E536" s="99"/>
      <c r="F536" s="99"/>
      <c r="G536" s="99"/>
      <c r="H536" s="99"/>
      <c r="I536" s="99"/>
      <c r="J536" s="131"/>
      <c r="K536" s="131"/>
      <c r="L536" s="131"/>
      <c r="M536" s="131"/>
      <c r="N536" s="131"/>
      <c r="O536" s="131"/>
      <c r="P536" s="131"/>
      <c r="Q536" s="131"/>
      <c r="R536" s="131"/>
      <c r="S536" s="131"/>
      <c r="T536" s="131"/>
      <c r="U536" s="131"/>
      <c r="V536" s="131"/>
      <c r="W536" s="131"/>
      <c r="X536" s="131"/>
      <c r="Y536" s="131"/>
      <c r="Z536" s="131"/>
    </row>
    <row r="537">
      <c r="A537" s="99"/>
      <c r="B537" s="99"/>
      <c r="C537" s="99"/>
      <c r="D537" s="99"/>
      <c r="E537" s="99"/>
      <c r="F537" s="99"/>
      <c r="G537" s="99"/>
      <c r="H537" s="99"/>
      <c r="I537" s="99"/>
      <c r="J537" s="131"/>
      <c r="K537" s="131"/>
      <c r="L537" s="131"/>
      <c r="M537" s="131"/>
      <c r="N537" s="131"/>
      <c r="O537" s="131"/>
      <c r="P537" s="131"/>
      <c r="Q537" s="131"/>
      <c r="R537" s="131"/>
      <c r="S537" s="131"/>
      <c r="T537" s="131"/>
      <c r="U537" s="131"/>
      <c r="V537" s="131"/>
      <c r="W537" s="131"/>
      <c r="X537" s="131"/>
      <c r="Y537" s="131"/>
      <c r="Z537" s="131"/>
    </row>
    <row r="538">
      <c r="A538" s="99"/>
      <c r="B538" s="99"/>
      <c r="C538" s="99"/>
      <c r="D538" s="99"/>
      <c r="E538" s="99"/>
      <c r="F538" s="99"/>
      <c r="G538" s="99"/>
      <c r="H538" s="99"/>
      <c r="I538" s="99"/>
      <c r="J538" s="131"/>
      <c r="K538" s="131"/>
      <c r="L538" s="131"/>
      <c r="M538" s="131"/>
      <c r="N538" s="131"/>
      <c r="O538" s="131"/>
      <c r="P538" s="131"/>
      <c r="Q538" s="131"/>
      <c r="R538" s="131"/>
      <c r="S538" s="131"/>
      <c r="T538" s="131"/>
      <c r="U538" s="131"/>
      <c r="V538" s="131"/>
      <c r="W538" s="131"/>
      <c r="X538" s="131"/>
      <c r="Y538" s="131"/>
      <c r="Z538" s="131"/>
    </row>
    <row r="539">
      <c r="A539" s="99"/>
      <c r="B539" s="99"/>
      <c r="C539" s="99"/>
      <c r="D539" s="99"/>
      <c r="E539" s="99"/>
      <c r="F539" s="99"/>
      <c r="G539" s="99"/>
      <c r="H539" s="99"/>
      <c r="I539" s="99"/>
      <c r="J539" s="131"/>
      <c r="K539" s="131"/>
      <c r="L539" s="131"/>
      <c r="M539" s="131"/>
      <c r="N539" s="131"/>
      <c r="O539" s="131"/>
      <c r="P539" s="131"/>
      <c r="Q539" s="131"/>
      <c r="R539" s="131"/>
      <c r="S539" s="131"/>
      <c r="T539" s="131"/>
      <c r="U539" s="131"/>
      <c r="V539" s="131"/>
      <c r="W539" s="131"/>
      <c r="X539" s="131"/>
      <c r="Y539" s="131"/>
      <c r="Z539" s="131"/>
    </row>
    <row r="540">
      <c r="A540" s="99"/>
      <c r="B540" s="99"/>
      <c r="C540" s="99"/>
      <c r="D540" s="99"/>
      <c r="E540" s="99"/>
      <c r="F540" s="99"/>
      <c r="G540" s="99"/>
      <c r="H540" s="99"/>
      <c r="I540" s="99"/>
      <c r="J540" s="131"/>
      <c r="K540" s="131"/>
      <c r="L540" s="131"/>
      <c r="M540" s="131"/>
      <c r="N540" s="131"/>
      <c r="O540" s="131"/>
      <c r="P540" s="131"/>
      <c r="Q540" s="131"/>
      <c r="R540" s="131"/>
      <c r="S540" s="131"/>
      <c r="T540" s="131"/>
      <c r="U540" s="131"/>
      <c r="V540" s="131"/>
      <c r="W540" s="131"/>
      <c r="X540" s="131"/>
      <c r="Y540" s="131"/>
      <c r="Z540" s="131"/>
    </row>
    <row r="541">
      <c r="A541" s="99"/>
      <c r="B541" s="99"/>
      <c r="C541" s="99"/>
      <c r="D541" s="99"/>
      <c r="E541" s="99"/>
      <c r="F541" s="99"/>
      <c r="G541" s="99"/>
      <c r="H541" s="99"/>
      <c r="I541" s="99"/>
      <c r="J541" s="131"/>
      <c r="K541" s="131"/>
      <c r="L541" s="131"/>
      <c r="M541" s="131"/>
      <c r="N541" s="131"/>
      <c r="O541" s="131"/>
      <c r="P541" s="131"/>
      <c r="Q541" s="131"/>
      <c r="R541" s="131"/>
      <c r="S541" s="131"/>
      <c r="T541" s="131"/>
      <c r="U541" s="131"/>
      <c r="V541" s="131"/>
      <c r="W541" s="131"/>
      <c r="X541" s="131"/>
      <c r="Y541" s="131"/>
      <c r="Z541" s="131"/>
    </row>
    <row r="542">
      <c r="A542" s="99"/>
      <c r="B542" s="99"/>
      <c r="C542" s="99"/>
      <c r="D542" s="99"/>
      <c r="E542" s="99"/>
      <c r="F542" s="99"/>
      <c r="G542" s="99"/>
      <c r="H542" s="99"/>
      <c r="I542" s="99"/>
      <c r="J542" s="131"/>
      <c r="K542" s="131"/>
      <c r="L542" s="131"/>
      <c r="M542" s="131"/>
      <c r="N542" s="131"/>
      <c r="O542" s="131"/>
      <c r="P542" s="131"/>
      <c r="Q542" s="131"/>
      <c r="R542" s="131"/>
      <c r="S542" s="131"/>
      <c r="T542" s="131"/>
      <c r="U542" s="131"/>
      <c r="V542" s="131"/>
      <c r="W542" s="131"/>
      <c r="X542" s="131"/>
      <c r="Y542" s="131"/>
      <c r="Z542" s="131"/>
    </row>
    <row r="543">
      <c r="A543" s="99"/>
      <c r="B543" s="99"/>
      <c r="C543" s="99"/>
      <c r="D543" s="99"/>
      <c r="E543" s="99"/>
      <c r="F543" s="99"/>
      <c r="G543" s="99"/>
      <c r="H543" s="99"/>
      <c r="I543" s="99"/>
      <c r="J543" s="131"/>
      <c r="K543" s="131"/>
      <c r="L543" s="131"/>
      <c r="M543" s="131"/>
      <c r="N543" s="131"/>
      <c r="O543" s="131"/>
      <c r="P543" s="131"/>
      <c r="Q543" s="131"/>
      <c r="R543" s="131"/>
      <c r="S543" s="131"/>
      <c r="T543" s="131"/>
      <c r="U543" s="131"/>
      <c r="V543" s="131"/>
      <c r="W543" s="131"/>
      <c r="X543" s="131"/>
      <c r="Y543" s="131"/>
      <c r="Z543" s="131"/>
    </row>
    <row r="544">
      <c r="A544" s="99"/>
      <c r="B544" s="99"/>
      <c r="C544" s="99"/>
      <c r="D544" s="99"/>
      <c r="E544" s="99"/>
      <c r="F544" s="99"/>
      <c r="G544" s="99"/>
      <c r="H544" s="99"/>
      <c r="I544" s="99"/>
      <c r="J544" s="131"/>
      <c r="K544" s="131"/>
      <c r="L544" s="131"/>
      <c r="M544" s="131"/>
      <c r="N544" s="131"/>
      <c r="O544" s="131"/>
      <c r="P544" s="131"/>
      <c r="Q544" s="131"/>
      <c r="R544" s="131"/>
      <c r="S544" s="131"/>
      <c r="T544" s="131"/>
      <c r="U544" s="131"/>
      <c r="V544" s="131"/>
      <c r="W544" s="131"/>
      <c r="X544" s="131"/>
      <c r="Y544" s="131"/>
      <c r="Z544" s="131"/>
    </row>
    <row r="545">
      <c r="A545" s="99"/>
      <c r="B545" s="99"/>
      <c r="C545" s="99"/>
      <c r="D545" s="99"/>
      <c r="E545" s="99"/>
      <c r="F545" s="99"/>
      <c r="G545" s="99"/>
      <c r="H545" s="99"/>
      <c r="I545" s="99"/>
      <c r="J545" s="131"/>
      <c r="K545" s="131"/>
      <c r="L545" s="131"/>
      <c r="M545" s="131"/>
      <c r="N545" s="131"/>
      <c r="O545" s="131"/>
      <c r="P545" s="131"/>
      <c r="Q545" s="131"/>
      <c r="R545" s="131"/>
      <c r="S545" s="131"/>
      <c r="T545" s="131"/>
      <c r="U545" s="131"/>
      <c r="V545" s="131"/>
      <c r="W545" s="131"/>
      <c r="X545" s="131"/>
      <c r="Y545" s="131"/>
      <c r="Z545" s="131"/>
    </row>
    <row r="546">
      <c r="A546" s="99"/>
      <c r="B546" s="99"/>
      <c r="C546" s="99"/>
      <c r="D546" s="99"/>
      <c r="E546" s="99"/>
      <c r="F546" s="99"/>
      <c r="G546" s="99"/>
      <c r="H546" s="99"/>
      <c r="I546" s="99"/>
      <c r="J546" s="131"/>
      <c r="K546" s="131"/>
      <c r="L546" s="131"/>
      <c r="M546" s="131"/>
      <c r="N546" s="131"/>
      <c r="O546" s="131"/>
      <c r="P546" s="131"/>
      <c r="Q546" s="131"/>
      <c r="R546" s="131"/>
      <c r="S546" s="131"/>
      <c r="T546" s="131"/>
      <c r="U546" s="131"/>
      <c r="V546" s="131"/>
      <c r="W546" s="131"/>
      <c r="X546" s="131"/>
      <c r="Y546" s="131"/>
      <c r="Z546" s="131"/>
    </row>
    <row r="547">
      <c r="A547" s="99"/>
      <c r="B547" s="99"/>
      <c r="C547" s="99"/>
      <c r="D547" s="99"/>
      <c r="E547" s="99"/>
      <c r="F547" s="99"/>
      <c r="G547" s="99"/>
      <c r="H547" s="99"/>
      <c r="I547" s="99"/>
      <c r="J547" s="131"/>
      <c r="K547" s="131"/>
      <c r="L547" s="131"/>
      <c r="M547" s="131"/>
      <c r="N547" s="131"/>
      <c r="O547" s="131"/>
      <c r="P547" s="131"/>
      <c r="Q547" s="131"/>
      <c r="R547" s="131"/>
      <c r="S547" s="131"/>
      <c r="T547" s="131"/>
      <c r="U547" s="131"/>
      <c r="V547" s="131"/>
      <c r="W547" s="131"/>
      <c r="X547" s="131"/>
      <c r="Y547" s="131"/>
      <c r="Z547" s="131"/>
    </row>
    <row r="548">
      <c r="A548" s="99"/>
      <c r="B548" s="99"/>
      <c r="C548" s="99"/>
      <c r="D548" s="99"/>
      <c r="E548" s="99"/>
      <c r="F548" s="99"/>
      <c r="G548" s="99"/>
      <c r="H548" s="99"/>
      <c r="I548" s="99"/>
      <c r="J548" s="131"/>
      <c r="K548" s="131"/>
      <c r="L548" s="131"/>
      <c r="M548" s="131"/>
      <c r="N548" s="131"/>
      <c r="O548" s="131"/>
      <c r="P548" s="131"/>
      <c r="Q548" s="131"/>
      <c r="R548" s="131"/>
      <c r="S548" s="131"/>
      <c r="T548" s="131"/>
      <c r="U548" s="131"/>
      <c r="V548" s="131"/>
      <c r="W548" s="131"/>
      <c r="X548" s="131"/>
      <c r="Y548" s="131"/>
      <c r="Z548" s="131"/>
    </row>
    <row r="549">
      <c r="A549" s="99"/>
      <c r="B549" s="99"/>
      <c r="C549" s="99"/>
      <c r="D549" s="99"/>
      <c r="E549" s="99"/>
      <c r="F549" s="99"/>
      <c r="G549" s="99"/>
      <c r="H549" s="99"/>
      <c r="I549" s="99"/>
      <c r="J549" s="131"/>
      <c r="K549" s="131"/>
      <c r="L549" s="131"/>
      <c r="M549" s="131"/>
      <c r="N549" s="131"/>
      <c r="O549" s="131"/>
      <c r="P549" s="131"/>
      <c r="Q549" s="131"/>
      <c r="R549" s="131"/>
      <c r="S549" s="131"/>
      <c r="T549" s="131"/>
      <c r="U549" s="131"/>
      <c r="V549" s="131"/>
      <c r="W549" s="131"/>
      <c r="X549" s="131"/>
      <c r="Y549" s="131"/>
      <c r="Z549" s="131"/>
    </row>
    <row r="550">
      <c r="A550" s="99"/>
      <c r="B550" s="99"/>
      <c r="C550" s="99"/>
      <c r="D550" s="99"/>
      <c r="E550" s="99"/>
      <c r="F550" s="99"/>
      <c r="G550" s="99"/>
      <c r="H550" s="99"/>
      <c r="I550" s="99"/>
      <c r="J550" s="131"/>
      <c r="K550" s="131"/>
      <c r="L550" s="131"/>
      <c r="M550" s="131"/>
      <c r="N550" s="131"/>
      <c r="O550" s="131"/>
      <c r="P550" s="131"/>
      <c r="Q550" s="131"/>
      <c r="R550" s="131"/>
      <c r="S550" s="131"/>
      <c r="T550" s="131"/>
      <c r="U550" s="131"/>
      <c r="V550" s="131"/>
      <c r="W550" s="131"/>
      <c r="X550" s="131"/>
      <c r="Y550" s="131"/>
      <c r="Z550" s="131"/>
    </row>
    <row r="551">
      <c r="A551" s="99"/>
      <c r="B551" s="99"/>
      <c r="C551" s="99"/>
      <c r="D551" s="99"/>
      <c r="E551" s="99"/>
      <c r="F551" s="99"/>
      <c r="G551" s="99"/>
      <c r="H551" s="99"/>
      <c r="I551" s="99"/>
      <c r="J551" s="131"/>
      <c r="K551" s="131"/>
      <c r="L551" s="131"/>
      <c r="M551" s="131"/>
      <c r="N551" s="131"/>
      <c r="O551" s="131"/>
      <c r="P551" s="131"/>
      <c r="Q551" s="131"/>
      <c r="R551" s="131"/>
      <c r="S551" s="131"/>
      <c r="T551" s="131"/>
      <c r="U551" s="131"/>
      <c r="V551" s="131"/>
      <c r="W551" s="131"/>
      <c r="X551" s="131"/>
      <c r="Y551" s="131"/>
      <c r="Z551" s="131"/>
    </row>
    <row r="552">
      <c r="A552" s="99"/>
      <c r="B552" s="99"/>
      <c r="C552" s="99"/>
      <c r="D552" s="99"/>
      <c r="E552" s="99"/>
      <c r="F552" s="99"/>
      <c r="G552" s="99"/>
      <c r="H552" s="99"/>
      <c r="I552" s="99"/>
      <c r="J552" s="131"/>
      <c r="K552" s="131"/>
      <c r="L552" s="131"/>
      <c r="M552" s="131"/>
      <c r="N552" s="131"/>
      <c r="O552" s="131"/>
      <c r="P552" s="131"/>
      <c r="Q552" s="131"/>
      <c r="R552" s="131"/>
      <c r="S552" s="131"/>
      <c r="T552" s="131"/>
      <c r="U552" s="131"/>
      <c r="V552" s="131"/>
      <c r="W552" s="131"/>
      <c r="X552" s="131"/>
      <c r="Y552" s="131"/>
      <c r="Z552" s="131"/>
    </row>
    <row r="553">
      <c r="A553" s="99"/>
      <c r="B553" s="99"/>
      <c r="C553" s="99"/>
      <c r="D553" s="99"/>
      <c r="E553" s="99"/>
      <c r="F553" s="99"/>
      <c r="G553" s="99"/>
      <c r="H553" s="99"/>
      <c r="I553" s="99"/>
      <c r="J553" s="131"/>
      <c r="K553" s="131"/>
      <c r="L553" s="131"/>
      <c r="M553" s="131"/>
      <c r="N553" s="131"/>
      <c r="O553" s="131"/>
      <c r="P553" s="131"/>
      <c r="Q553" s="131"/>
      <c r="R553" s="131"/>
      <c r="S553" s="131"/>
      <c r="T553" s="131"/>
      <c r="U553" s="131"/>
      <c r="V553" s="131"/>
      <c r="W553" s="131"/>
      <c r="X553" s="131"/>
      <c r="Y553" s="131"/>
      <c r="Z553" s="131"/>
    </row>
    <row r="554">
      <c r="A554" s="99"/>
      <c r="B554" s="99"/>
      <c r="C554" s="99"/>
      <c r="D554" s="99"/>
      <c r="E554" s="99"/>
      <c r="F554" s="99"/>
      <c r="G554" s="99"/>
      <c r="H554" s="99"/>
      <c r="I554" s="99"/>
      <c r="J554" s="131"/>
      <c r="K554" s="131"/>
      <c r="L554" s="131"/>
      <c r="M554" s="131"/>
      <c r="N554" s="131"/>
      <c r="O554" s="131"/>
      <c r="P554" s="131"/>
      <c r="Q554" s="131"/>
      <c r="R554" s="131"/>
      <c r="S554" s="131"/>
      <c r="T554" s="131"/>
      <c r="U554" s="131"/>
      <c r="V554" s="131"/>
      <c r="W554" s="131"/>
      <c r="X554" s="131"/>
      <c r="Y554" s="131"/>
      <c r="Z554" s="131"/>
    </row>
    <row r="555">
      <c r="A555" s="99"/>
      <c r="B555" s="99"/>
      <c r="C555" s="99"/>
      <c r="D555" s="99"/>
      <c r="E555" s="99"/>
      <c r="F555" s="99"/>
      <c r="G555" s="99"/>
      <c r="H555" s="99"/>
      <c r="I555" s="99"/>
      <c r="J555" s="131"/>
      <c r="K555" s="131"/>
      <c r="L555" s="131"/>
      <c r="M555" s="131"/>
      <c r="N555" s="131"/>
      <c r="O555" s="131"/>
      <c r="P555" s="131"/>
      <c r="Q555" s="131"/>
      <c r="R555" s="131"/>
      <c r="S555" s="131"/>
      <c r="T555" s="131"/>
      <c r="U555" s="131"/>
      <c r="V555" s="131"/>
      <c r="W555" s="131"/>
      <c r="X555" s="131"/>
      <c r="Y555" s="131"/>
      <c r="Z555" s="131"/>
    </row>
    <row r="556">
      <c r="A556" s="99"/>
      <c r="B556" s="99"/>
      <c r="C556" s="99"/>
      <c r="D556" s="99"/>
      <c r="E556" s="99"/>
      <c r="F556" s="99"/>
      <c r="G556" s="99"/>
      <c r="H556" s="99"/>
      <c r="I556" s="99"/>
      <c r="J556" s="131"/>
      <c r="K556" s="131"/>
      <c r="L556" s="131"/>
      <c r="M556" s="131"/>
      <c r="N556" s="131"/>
      <c r="O556" s="131"/>
      <c r="P556" s="131"/>
      <c r="Q556" s="131"/>
      <c r="R556" s="131"/>
      <c r="S556" s="131"/>
      <c r="T556" s="131"/>
      <c r="U556" s="131"/>
      <c r="V556" s="131"/>
      <c r="W556" s="131"/>
      <c r="X556" s="131"/>
      <c r="Y556" s="131"/>
      <c r="Z556" s="131"/>
    </row>
    <row r="557">
      <c r="A557" s="99"/>
      <c r="B557" s="99"/>
      <c r="C557" s="99"/>
      <c r="D557" s="99"/>
      <c r="E557" s="99"/>
      <c r="F557" s="99"/>
      <c r="G557" s="99"/>
      <c r="H557" s="99"/>
      <c r="I557" s="99"/>
      <c r="J557" s="131"/>
      <c r="K557" s="131"/>
      <c r="L557" s="131"/>
      <c r="M557" s="131"/>
      <c r="N557" s="131"/>
      <c r="O557" s="131"/>
      <c r="P557" s="131"/>
      <c r="Q557" s="131"/>
      <c r="R557" s="131"/>
      <c r="S557" s="131"/>
      <c r="T557" s="131"/>
      <c r="U557" s="131"/>
      <c r="V557" s="131"/>
      <c r="W557" s="131"/>
      <c r="X557" s="131"/>
      <c r="Y557" s="131"/>
      <c r="Z557" s="131"/>
    </row>
    <row r="558">
      <c r="A558" s="99"/>
      <c r="B558" s="99"/>
      <c r="C558" s="99"/>
      <c r="D558" s="99"/>
      <c r="E558" s="99"/>
      <c r="F558" s="99"/>
      <c r="G558" s="99"/>
      <c r="H558" s="99"/>
      <c r="I558" s="99"/>
      <c r="J558" s="131"/>
      <c r="K558" s="131"/>
      <c r="L558" s="131"/>
      <c r="M558" s="131"/>
      <c r="N558" s="131"/>
      <c r="O558" s="131"/>
      <c r="P558" s="131"/>
      <c r="Q558" s="131"/>
      <c r="R558" s="131"/>
      <c r="S558" s="131"/>
      <c r="T558" s="131"/>
      <c r="U558" s="131"/>
      <c r="V558" s="131"/>
      <c r="W558" s="131"/>
      <c r="X558" s="131"/>
      <c r="Y558" s="131"/>
      <c r="Z558" s="131"/>
    </row>
    <row r="559">
      <c r="A559" s="99"/>
      <c r="B559" s="99"/>
      <c r="C559" s="99"/>
      <c r="D559" s="99"/>
      <c r="E559" s="99"/>
      <c r="F559" s="99"/>
      <c r="G559" s="99"/>
      <c r="H559" s="99"/>
      <c r="I559" s="99"/>
      <c r="J559" s="131"/>
      <c r="K559" s="131"/>
      <c r="L559" s="131"/>
      <c r="M559" s="131"/>
      <c r="N559" s="131"/>
      <c r="O559" s="131"/>
      <c r="P559" s="131"/>
      <c r="Q559" s="131"/>
      <c r="R559" s="131"/>
      <c r="S559" s="131"/>
      <c r="T559" s="131"/>
      <c r="U559" s="131"/>
      <c r="V559" s="131"/>
      <c r="W559" s="131"/>
      <c r="X559" s="131"/>
      <c r="Y559" s="131"/>
      <c r="Z559" s="131"/>
    </row>
    <row r="560">
      <c r="A560" s="99"/>
      <c r="B560" s="99"/>
      <c r="C560" s="99"/>
      <c r="D560" s="99"/>
      <c r="E560" s="99"/>
      <c r="F560" s="99"/>
      <c r="G560" s="99"/>
      <c r="H560" s="99"/>
      <c r="I560" s="99"/>
      <c r="J560" s="131"/>
      <c r="K560" s="131"/>
      <c r="L560" s="131"/>
      <c r="M560" s="131"/>
      <c r="N560" s="131"/>
      <c r="O560" s="131"/>
      <c r="P560" s="131"/>
      <c r="Q560" s="131"/>
      <c r="R560" s="131"/>
      <c r="S560" s="131"/>
      <c r="T560" s="131"/>
      <c r="U560" s="131"/>
      <c r="V560" s="131"/>
      <c r="W560" s="131"/>
      <c r="X560" s="131"/>
      <c r="Y560" s="131"/>
      <c r="Z560" s="131"/>
    </row>
    <row r="561">
      <c r="A561" s="99"/>
      <c r="B561" s="99"/>
      <c r="C561" s="99"/>
      <c r="D561" s="99"/>
      <c r="E561" s="99"/>
      <c r="F561" s="99"/>
      <c r="G561" s="99"/>
      <c r="H561" s="99"/>
      <c r="I561" s="99"/>
      <c r="J561" s="131"/>
      <c r="K561" s="131"/>
      <c r="L561" s="131"/>
      <c r="M561" s="131"/>
      <c r="N561" s="131"/>
      <c r="O561" s="131"/>
      <c r="P561" s="131"/>
      <c r="Q561" s="131"/>
      <c r="R561" s="131"/>
      <c r="S561" s="131"/>
      <c r="T561" s="131"/>
      <c r="U561" s="131"/>
      <c r="V561" s="131"/>
      <c r="W561" s="131"/>
      <c r="X561" s="131"/>
      <c r="Y561" s="131"/>
      <c r="Z561" s="131"/>
    </row>
    <row r="562">
      <c r="A562" s="99"/>
      <c r="B562" s="99"/>
      <c r="C562" s="99"/>
      <c r="D562" s="99"/>
      <c r="E562" s="99"/>
      <c r="F562" s="99"/>
      <c r="G562" s="99"/>
      <c r="H562" s="99"/>
      <c r="I562" s="99"/>
      <c r="J562" s="131"/>
      <c r="K562" s="131"/>
      <c r="L562" s="131"/>
      <c r="M562" s="131"/>
      <c r="N562" s="131"/>
      <c r="O562" s="131"/>
      <c r="P562" s="131"/>
      <c r="Q562" s="131"/>
      <c r="R562" s="131"/>
      <c r="S562" s="131"/>
      <c r="T562" s="131"/>
      <c r="U562" s="131"/>
      <c r="V562" s="131"/>
      <c r="W562" s="131"/>
      <c r="X562" s="131"/>
      <c r="Y562" s="131"/>
      <c r="Z562" s="131"/>
    </row>
    <row r="563">
      <c r="A563" s="99"/>
      <c r="B563" s="99"/>
      <c r="C563" s="99"/>
      <c r="D563" s="99"/>
      <c r="E563" s="99"/>
      <c r="F563" s="99"/>
      <c r="G563" s="99"/>
      <c r="H563" s="99"/>
      <c r="I563" s="99"/>
      <c r="J563" s="131"/>
      <c r="K563" s="131"/>
      <c r="L563" s="131"/>
      <c r="M563" s="131"/>
      <c r="N563" s="131"/>
      <c r="O563" s="131"/>
      <c r="P563" s="131"/>
      <c r="Q563" s="131"/>
      <c r="R563" s="131"/>
      <c r="S563" s="131"/>
      <c r="T563" s="131"/>
      <c r="U563" s="131"/>
      <c r="V563" s="131"/>
      <c r="W563" s="131"/>
      <c r="X563" s="131"/>
      <c r="Y563" s="131"/>
      <c r="Z563" s="131"/>
    </row>
    <row r="564">
      <c r="A564" s="99"/>
      <c r="B564" s="99"/>
      <c r="C564" s="99"/>
      <c r="D564" s="99"/>
      <c r="E564" s="99"/>
      <c r="F564" s="99"/>
      <c r="G564" s="99"/>
      <c r="H564" s="99"/>
      <c r="I564" s="99"/>
      <c r="J564" s="131"/>
      <c r="K564" s="131"/>
      <c r="L564" s="131"/>
      <c r="M564" s="131"/>
      <c r="N564" s="131"/>
      <c r="O564" s="131"/>
      <c r="P564" s="131"/>
      <c r="Q564" s="131"/>
      <c r="R564" s="131"/>
      <c r="S564" s="131"/>
      <c r="T564" s="131"/>
      <c r="U564" s="131"/>
      <c r="V564" s="131"/>
      <c r="W564" s="131"/>
      <c r="X564" s="131"/>
      <c r="Y564" s="131"/>
      <c r="Z564" s="131"/>
    </row>
    <row r="565">
      <c r="A565" s="99"/>
      <c r="B565" s="99"/>
      <c r="C565" s="99"/>
      <c r="D565" s="99"/>
      <c r="E565" s="99"/>
      <c r="F565" s="99"/>
      <c r="G565" s="99"/>
      <c r="H565" s="99"/>
      <c r="I565" s="99"/>
      <c r="J565" s="131"/>
      <c r="K565" s="131"/>
      <c r="L565" s="131"/>
      <c r="M565" s="131"/>
      <c r="N565" s="131"/>
      <c r="O565" s="131"/>
      <c r="P565" s="131"/>
      <c r="Q565" s="131"/>
      <c r="R565" s="131"/>
      <c r="S565" s="131"/>
      <c r="T565" s="131"/>
      <c r="U565" s="131"/>
      <c r="V565" s="131"/>
      <c r="W565" s="131"/>
      <c r="X565" s="131"/>
      <c r="Y565" s="131"/>
      <c r="Z565" s="131"/>
    </row>
    <row r="566">
      <c r="A566" s="99"/>
      <c r="B566" s="99"/>
      <c r="C566" s="99"/>
      <c r="D566" s="99"/>
      <c r="E566" s="99"/>
      <c r="F566" s="99"/>
      <c r="G566" s="99"/>
      <c r="H566" s="99"/>
      <c r="I566" s="99"/>
      <c r="J566" s="131"/>
      <c r="K566" s="131"/>
      <c r="L566" s="131"/>
      <c r="M566" s="131"/>
      <c r="N566" s="131"/>
      <c r="O566" s="131"/>
      <c r="P566" s="131"/>
      <c r="Q566" s="131"/>
      <c r="R566" s="131"/>
      <c r="S566" s="131"/>
      <c r="T566" s="131"/>
      <c r="U566" s="131"/>
      <c r="V566" s="131"/>
      <c r="W566" s="131"/>
      <c r="X566" s="131"/>
      <c r="Y566" s="131"/>
      <c r="Z566" s="131"/>
    </row>
    <row r="567">
      <c r="A567" s="99"/>
      <c r="B567" s="99"/>
      <c r="C567" s="99"/>
      <c r="D567" s="99"/>
      <c r="E567" s="99"/>
      <c r="F567" s="99"/>
      <c r="G567" s="99"/>
      <c r="H567" s="99"/>
      <c r="I567" s="99"/>
      <c r="J567" s="131"/>
      <c r="K567" s="131"/>
      <c r="L567" s="131"/>
      <c r="M567" s="131"/>
      <c r="N567" s="131"/>
      <c r="O567" s="131"/>
      <c r="P567" s="131"/>
      <c r="Q567" s="131"/>
      <c r="R567" s="131"/>
      <c r="S567" s="131"/>
      <c r="T567" s="131"/>
      <c r="U567" s="131"/>
      <c r="V567" s="131"/>
      <c r="W567" s="131"/>
      <c r="X567" s="131"/>
      <c r="Y567" s="131"/>
      <c r="Z567" s="131"/>
    </row>
    <row r="568">
      <c r="A568" s="99"/>
      <c r="B568" s="99"/>
      <c r="C568" s="99"/>
      <c r="D568" s="99"/>
      <c r="E568" s="99"/>
      <c r="F568" s="99"/>
      <c r="G568" s="99"/>
      <c r="H568" s="99"/>
      <c r="I568" s="99"/>
      <c r="J568" s="131"/>
      <c r="K568" s="131"/>
      <c r="L568" s="131"/>
      <c r="M568" s="131"/>
      <c r="N568" s="131"/>
      <c r="O568" s="131"/>
      <c r="P568" s="131"/>
      <c r="Q568" s="131"/>
      <c r="R568" s="131"/>
      <c r="S568" s="131"/>
      <c r="T568" s="131"/>
      <c r="U568" s="131"/>
      <c r="V568" s="131"/>
      <c r="W568" s="131"/>
      <c r="X568" s="131"/>
      <c r="Y568" s="131"/>
      <c r="Z568" s="131"/>
    </row>
    <row r="569">
      <c r="A569" s="99"/>
      <c r="B569" s="99"/>
      <c r="C569" s="99"/>
      <c r="D569" s="99"/>
      <c r="E569" s="99"/>
      <c r="F569" s="99"/>
      <c r="G569" s="99"/>
      <c r="H569" s="99"/>
      <c r="I569" s="99"/>
      <c r="J569" s="131"/>
      <c r="K569" s="131"/>
      <c r="L569" s="131"/>
      <c r="M569" s="131"/>
      <c r="N569" s="131"/>
      <c r="O569" s="131"/>
      <c r="P569" s="131"/>
      <c r="Q569" s="131"/>
      <c r="R569" s="131"/>
      <c r="S569" s="131"/>
      <c r="T569" s="131"/>
      <c r="U569" s="131"/>
      <c r="V569" s="131"/>
      <c r="W569" s="131"/>
      <c r="X569" s="131"/>
      <c r="Y569" s="131"/>
      <c r="Z569" s="131"/>
    </row>
    <row r="570">
      <c r="A570" s="99"/>
      <c r="B570" s="99"/>
      <c r="C570" s="99"/>
      <c r="D570" s="99"/>
      <c r="E570" s="99"/>
      <c r="F570" s="99"/>
      <c r="G570" s="99"/>
      <c r="H570" s="99"/>
      <c r="I570" s="99"/>
      <c r="J570" s="131"/>
      <c r="K570" s="131"/>
      <c r="L570" s="131"/>
      <c r="M570" s="131"/>
      <c r="N570" s="131"/>
      <c r="O570" s="131"/>
      <c r="P570" s="131"/>
      <c r="Q570" s="131"/>
      <c r="R570" s="131"/>
      <c r="S570" s="131"/>
      <c r="T570" s="131"/>
      <c r="U570" s="131"/>
      <c r="V570" s="131"/>
      <c r="W570" s="131"/>
      <c r="X570" s="131"/>
      <c r="Y570" s="131"/>
      <c r="Z570" s="131"/>
    </row>
    <row r="571">
      <c r="A571" s="99"/>
      <c r="B571" s="99"/>
      <c r="C571" s="99"/>
      <c r="D571" s="99"/>
      <c r="E571" s="99"/>
      <c r="F571" s="99"/>
      <c r="G571" s="99"/>
      <c r="H571" s="99"/>
      <c r="I571" s="99"/>
      <c r="J571" s="131"/>
      <c r="K571" s="131"/>
      <c r="L571" s="131"/>
      <c r="M571" s="131"/>
      <c r="N571" s="131"/>
      <c r="O571" s="131"/>
      <c r="P571" s="131"/>
      <c r="Q571" s="131"/>
      <c r="R571" s="131"/>
      <c r="S571" s="131"/>
      <c r="T571" s="131"/>
      <c r="U571" s="131"/>
      <c r="V571" s="131"/>
      <c r="W571" s="131"/>
      <c r="X571" s="131"/>
      <c r="Y571" s="131"/>
      <c r="Z571" s="131"/>
    </row>
    <row r="572">
      <c r="A572" s="99"/>
      <c r="B572" s="99"/>
      <c r="C572" s="99"/>
      <c r="D572" s="99"/>
      <c r="E572" s="99"/>
      <c r="F572" s="99"/>
      <c r="G572" s="99"/>
      <c r="H572" s="99"/>
      <c r="I572" s="99"/>
      <c r="J572" s="131"/>
      <c r="K572" s="131"/>
      <c r="L572" s="131"/>
      <c r="M572" s="131"/>
      <c r="N572" s="131"/>
      <c r="O572" s="131"/>
      <c r="P572" s="131"/>
      <c r="Q572" s="131"/>
      <c r="R572" s="131"/>
      <c r="S572" s="131"/>
      <c r="T572" s="131"/>
      <c r="U572" s="131"/>
      <c r="V572" s="131"/>
      <c r="W572" s="131"/>
      <c r="X572" s="131"/>
      <c r="Y572" s="131"/>
      <c r="Z572" s="131"/>
    </row>
    <row r="573">
      <c r="A573" s="99"/>
      <c r="B573" s="99"/>
      <c r="C573" s="99"/>
      <c r="D573" s="99"/>
      <c r="E573" s="99"/>
      <c r="F573" s="99"/>
      <c r="G573" s="99"/>
      <c r="H573" s="99"/>
      <c r="I573" s="99"/>
      <c r="J573" s="131"/>
      <c r="K573" s="131"/>
      <c r="L573" s="131"/>
      <c r="M573" s="131"/>
      <c r="N573" s="131"/>
      <c r="O573" s="131"/>
      <c r="P573" s="131"/>
      <c r="Q573" s="131"/>
      <c r="R573" s="131"/>
      <c r="S573" s="131"/>
      <c r="T573" s="131"/>
      <c r="U573" s="131"/>
      <c r="V573" s="131"/>
      <c r="W573" s="131"/>
      <c r="X573" s="131"/>
      <c r="Y573" s="131"/>
      <c r="Z573" s="131"/>
    </row>
    <row r="574">
      <c r="A574" s="99"/>
      <c r="B574" s="99"/>
      <c r="C574" s="99"/>
      <c r="D574" s="99"/>
      <c r="E574" s="99"/>
      <c r="F574" s="99"/>
      <c r="G574" s="99"/>
      <c r="H574" s="99"/>
      <c r="I574" s="99"/>
      <c r="J574" s="131"/>
      <c r="K574" s="131"/>
      <c r="L574" s="131"/>
      <c r="M574" s="131"/>
      <c r="N574" s="131"/>
      <c r="O574" s="131"/>
      <c r="P574" s="131"/>
      <c r="Q574" s="131"/>
      <c r="R574" s="131"/>
      <c r="S574" s="131"/>
      <c r="T574" s="131"/>
      <c r="U574" s="131"/>
      <c r="V574" s="131"/>
      <c r="W574" s="131"/>
      <c r="X574" s="131"/>
      <c r="Y574" s="131"/>
      <c r="Z574" s="131"/>
    </row>
    <row r="575">
      <c r="A575" s="99"/>
      <c r="B575" s="99"/>
      <c r="C575" s="99"/>
      <c r="D575" s="99"/>
      <c r="E575" s="99"/>
      <c r="F575" s="99"/>
      <c r="G575" s="99"/>
      <c r="H575" s="99"/>
      <c r="I575" s="99"/>
      <c r="J575" s="131"/>
      <c r="K575" s="131"/>
      <c r="L575" s="131"/>
      <c r="M575" s="131"/>
      <c r="N575" s="131"/>
      <c r="O575" s="131"/>
      <c r="P575" s="131"/>
      <c r="Q575" s="131"/>
      <c r="R575" s="131"/>
      <c r="S575" s="131"/>
      <c r="T575" s="131"/>
      <c r="U575" s="131"/>
      <c r="V575" s="131"/>
      <c r="W575" s="131"/>
      <c r="X575" s="131"/>
      <c r="Y575" s="131"/>
      <c r="Z575" s="131"/>
    </row>
    <row r="576">
      <c r="A576" s="99"/>
      <c r="B576" s="99"/>
      <c r="C576" s="99"/>
      <c r="D576" s="99"/>
      <c r="E576" s="99"/>
      <c r="F576" s="99"/>
      <c r="G576" s="99"/>
      <c r="H576" s="99"/>
      <c r="I576" s="99"/>
      <c r="J576" s="131"/>
      <c r="K576" s="131"/>
      <c r="L576" s="131"/>
      <c r="M576" s="131"/>
      <c r="N576" s="131"/>
      <c r="O576" s="131"/>
      <c r="P576" s="131"/>
      <c r="Q576" s="131"/>
      <c r="R576" s="131"/>
      <c r="S576" s="131"/>
      <c r="T576" s="131"/>
      <c r="U576" s="131"/>
      <c r="V576" s="131"/>
      <c r="W576" s="131"/>
      <c r="X576" s="131"/>
      <c r="Y576" s="131"/>
      <c r="Z576" s="131"/>
    </row>
    <row r="577">
      <c r="A577" s="99"/>
      <c r="B577" s="99"/>
      <c r="C577" s="99"/>
      <c r="D577" s="99"/>
      <c r="E577" s="99"/>
      <c r="F577" s="99"/>
      <c r="G577" s="99"/>
      <c r="H577" s="99"/>
      <c r="I577" s="99"/>
      <c r="J577" s="131"/>
      <c r="K577" s="131"/>
      <c r="L577" s="131"/>
      <c r="M577" s="131"/>
      <c r="N577" s="131"/>
      <c r="O577" s="131"/>
      <c r="P577" s="131"/>
      <c r="Q577" s="131"/>
      <c r="R577" s="131"/>
      <c r="S577" s="131"/>
      <c r="T577" s="131"/>
      <c r="U577" s="131"/>
      <c r="V577" s="131"/>
      <c r="W577" s="131"/>
      <c r="X577" s="131"/>
      <c r="Y577" s="131"/>
      <c r="Z577" s="131"/>
    </row>
    <row r="578">
      <c r="A578" s="99"/>
      <c r="B578" s="99"/>
      <c r="C578" s="99"/>
      <c r="D578" s="99"/>
      <c r="E578" s="99"/>
      <c r="F578" s="99"/>
      <c r="G578" s="99"/>
      <c r="H578" s="99"/>
      <c r="I578" s="99"/>
      <c r="J578" s="131"/>
      <c r="K578" s="131"/>
      <c r="L578" s="131"/>
      <c r="M578" s="131"/>
      <c r="N578" s="131"/>
      <c r="O578" s="131"/>
      <c r="P578" s="131"/>
      <c r="Q578" s="131"/>
      <c r="R578" s="131"/>
      <c r="S578" s="131"/>
      <c r="T578" s="131"/>
      <c r="U578" s="131"/>
      <c r="V578" s="131"/>
      <c r="W578" s="131"/>
      <c r="X578" s="131"/>
      <c r="Y578" s="131"/>
      <c r="Z578" s="131"/>
    </row>
    <row r="579">
      <c r="A579" s="99"/>
      <c r="B579" s="99"/>
      <c r="C579" s="99"/>
      <c r="D579" s="99"/>
      <c r="E579" s="99"/>
      <c r="F579" s="99"/>
      <c r="G579" s="99"/>
      <c r="H579" s="99"/>
      <c r="I579" s="99"/>
      <c r="J579" s="131"/>
      <c r="K579" s="131"/>
      <c r="L579" s="131"/>
      <c r="M579" s="131"/>
      <c r="N579" s="131"/>
      <c r="O579" s="131"/>
      <c r="P579" s="131"/>
      <c r="Q579" s="131"/>
      <c r="R579" s="131"/>
      <c r="S579" s="131"/>
      <c r="T579" s="131"/>
      <c r="U579" s="131"/>
      <c r="V579" s="131"/>
      <c r="W579" s="131"/>
      <c r="X579" s="131"/>
      <c r="Y579" s="131"/>
      <c r="Z579" s="131"/>
    </row>
    <row r="580">
      <c r="A580" s="99"/>
      <c r="B580" s="99"/>
      <c r="C580" s="99"/>
      <c r="D580" s="99"/>
      <c r="E580" s="99"/>
      <c r="F580" s="99"/>
      <c r="G580" s="99"/>
      <c r="H580" s="99"/>
      <c r="I580" s="99"/>
      <c r="J580" s="131"/>
      <c r="K580" s="131"/>
      <c r="L580" s="131"/>
      <c r="M580" s="131"/>
      <c r="N580" s="131"/>
      <c r="O580" s="131"/>
      <c r="P580" s="131"/>
      <c r="Q580" s="131"/>
      <c r="R580" s="131"/>
      <c r="S580" s="131"/>
      <c r="T580" s="131"/>
      <c r="U580" s="131"/>
      <c r="V580" s="131"/>
      <c r="W580" s="131"/>
      <c r="X580" s="131"/>
      <c r="Y580" s="131"/>
      <c r="Z580" s="131"/>
    </row>
    <row r="581">
      <c r="A581" s="99"/>
      <c r="B581" s="99"/>
      <c r="C581" s="99"/>
      <c r="D581" s="99"/>
      <c r="E581" s="99"/>
      <c r="F581" s="99"/>
      <c r="G581" s="99"/>
      <c r="H581" s="99"/>
      <c r="I581" s="99"/>
      <c r="J581" s="131"/>
      <c r="K581" s="131"/>
      <c r="L581" s="131"/>
      <c r="M581" s="131"/>
      <c r="N581" s="131"/>
      <c r="O581" s="131"/>
      <c r="P581" s="131"/>
      <c r="Q581" s="131"/>
      <c r="R581" s="131"/>
      <c r="S581" s="131"/>
      <c r="T581" s="131"/>
      <c r="U581" s="131"/>
      <c r="V581" s="131"/>
      <c r="W581" s="131"/>
      <c r="X581" s="131"/>
      <c r="Y581" s="131"/>
      <c r="Z581" s="131"/>
    </row>
    <row r="582">
      <c r="A582" s="99"/>
      <c r="B582" s="99"/>
      <c r="C582" s="99"/>
      <c r="D582" s="99"/>
      <c r="E582" s="99"/>
      <c r="F582" s="99"/>
      <c r="G582" s="99"/>
      <c r="H582" s="99"/>
      <c r="I582" s="99"/>
      <c r="J582" s="131"/>
      <c r="K582" s="131"/>
      <c r="L582" s="131"/>
      <c r="M582" s="131"/>
      <c r="N582" s="131"/>
      <c r="O582" s="131"/>
      <c r="P582" s="131"/>
      <c r="Q582" s="131"/>
      <c r="R582" s="131"/>
      <c r="S582" s="131"/>
      <c r="T582" s="131"/>
      <c r="U582" s="131"/>
      <c r="V582" s="131"/>
      <c r="W582" s="131"/>
      <c r="X582" s="131"/>
      <c r="Y582" s="131"/>
      <c r="Z582" s="131"/>
    </row>
    <row r="583">
      <c r="A583" s="99"/>
      <c r="B583" s="99"/>
      <c r="C583" s="99"/>
      <c r="D583" s="99"/>
      <c r="E583" s="99"/>
      <c r="F583" s="99"/>
      <c r="G583" s="99"/>
      <c r="H583" s="99"/>
      <c r="I583" s="99"/>
      <c r="J583" s="131"/>
      <c r="K583" s="131"/>
      <c r="L583" s="131"/>
      <c r="M583" s="131"/>
      <c r="N583" s="131"/>
      <c r="O583" s="131"/>
      <c r="P583" s="131"/>
      <c r="Q583" s="131"/>
      <c r="R583" s="131"/>
      <c r="S583" s="131"/>
      <c r="T583" s="131"/>
      <c r="U583" s="131"/>
      <c r="V583" s="131"/>
      <c r="W583" s="131"/>
      <c r="X583" s="131"/>
      <c r="Y583" s="131"/>
      <c r="Z583" s="131"/>
    </row>
    <row r="584">
      <c r="A584" s="99"/>
      <c r="B584" s="99"/>
      <c r="C584" s="99"/>
      <c r="D584" s="99"/>
      <c r="E584" s="99"/>
      <c r="F584" s="99"/>
      <c r="G584" s="99"/>
      <c r="H584" s="99"/>
      <c r="I584" s="99"/>
      <c r="J584" s="131"/>
      <c r="K584" s="131"/>
      <c r="L584" s="131"/>
      <c r="M584" s="131"/>
      <c r="N584" s="131"/>
      <c r="O584" s="131"/>
      <c r="P584" s="131"/>
      <c r="Q584" s="131"/>
      <c r="R584" s="131"/>
      <c r="S584" s="131"/>
      <c r="T584" s="131"/>
      <c r="U584" s="131"/>
      <c r="V584" s="131"/>
      <c r="W584" s="131"/>
      <c r="X584" s="131"/>
      <c r="Y584" s="131"/>
      <c r="Z584" s="131"/>
    </row>
    <row r="585">
      <c r="A585" s="99"/>
      <c r="B585" s="99"/>
      <c r="C585" s="99"/>
      <c r="D585" s="99"/>
      <c r="E585" s="99"/>
      <c r="F585" s="99"/>
      <c r="G585" s="99"/>
      <c r="H585" s="99"/>
      <c r="I585" s="99"/>
      <c r="J585" s="131"/>
      <c r="K585" s="131"/>
      <c r="L585" s="131"/>
      <c r="M585" s="131"/>
      <c r="N585" s="131"/>
      <c r="O585" s="131"/>
      <c r="P585" s="131"/>
      <c r="Q585" s="131"/>
      <c r="R585" s="131"/>
      <c r="S585" s="131"/>
      <c r="T585" s="131"/>
      <c r="U585" s="131"/>
      <c r="V585" s="131"/>
      <c r="W585" s="131"/>
      <c r="X585" s="131"/>
      <c r="Y585" s="131"/>
      <c r="Z585" s="131"/>
    </row>
    <row r="586">
      <c r="A586" s="99"/>
      <c r="B586" s="99"/>
      <c r="C586" s="99"/>
      <c r="D586" s="99"/>
      <c r="E586" s="99"/>
      <c r="F586" s="99"/>
      <c r="G586" s="99"/>
      <c r="H586" s="99"/>
      <c r="I586" s="99"/>
      <c r="J586" s="131"/>
      <c r="K586" s="131"/>
      <c r="L586" s="131"/>
      <c r="M586" s="131"/>
      <c r="N586" s="131"/>
      <c r="O586" s="131"/>
      <c r="P586" s="131"/>
      <c r="Q586" s="131"/>
      <c r="R586" s="131"/>
      <c r="S586" s="131"/>
      <c r="T586" s="131"/>
      <c r="U586" s="131"/>
      <c r="V586" s="131"/>
      <c r="W586" s="131"/>
      <c r="X586" s="131"/>
      <c r="Y586" s="131"/>
      <c r="Z586" s="131"/>
    </row>
    <row r="587">
      <c r="A587" s="99"/>
      <c r="B587" s="99"/>
      <c r="C587" s="99"/>
      <c r="D587" s="99"/>
      <c r="E587" s="99"/>
      <c r="F587" s="99"/>
      <c r="G587" s="99"/>
      <c r="H587" s="99"/>
      <c r="I587" s="99"/>
      <c r="J587" s="131"/>
      <c r="K587" s="131"/>
      <c r="L587" s="131"/>
      <c r="M587" s="131"/>
      <c r="N587" s="131"/>
      <c r="O587" s="131"/>
      <c r="P587" s="131"/>
      <c r="Q587" s="131"/>
      <c r="R587" s="131"/>
      <c r="S587" s="131"/>
      <c r="T587" s="131"/>
      <c r="U587" s="131"/>
      <c r="V587" s="131"/>
      <c r="W587" s="131"/>
      <c r="X587" s="131"/>
      <c r="Y587" s="131"/>
      <c r="Z587" s="131"/>
    </row>
    <row r="588">
      <c r="A588" s="99"/>
      <c r="B588" s="99"/>
      <c r="C588" s="99"/>
      <c r="D588" s="99"/>
      <c r="E588" s="99"/>
      <c r="F588" s="99"/>
      <c r="G588" s="99"/>
      <c r="H588" s="99"/>
      <c r="I588" s="99"/>
      <c r="J588" s="131"/>
      <c r="K588" s="131"/>
      <c r="L588" s="131"/>
      <c r="M588" s="131"/>
      <c r="N588" s="131"/>
      <c r="O588" s="131"/>
      <c r="P588" s="131"/>
      <c r="Q588" s="131"/>
      <c r="R588" s="131"/>
      <c r="S588" s="131"/>
      <c r="T588" s="131"/>
      <c r="U588" s="131"/>
      <c r="V588" s="131"/>
      <c r="W588" s="131"/>
      <c r="X588" s="131"/>
      <c r="Y588" s="131"/>
      <c r="Z588" s="131"/>
    </row>
    <row r="589">
      <c r="A589" s="99"/>
      <c r="B589" s="99"/>
      <c r="C589" s="99"/>
      <c r="D589" s="99"/>
      <c r="E589" s="99"/>
      <c r="F589" s="99"/>
      <c r="G589" s="99"/>
      <c r="H589" s="99"/>
      <c r="I589" s="99"/>
      <c r="J589" s="131"/>
      <c r="K589" s="131"/>
      <c r="L589" s="131"/>
      <c r="M589" s="131"/>
      <c r="N589" s="131"/>
      <c r="O589" s="131"/>
      <c r="P589" s="131"/>
      <c r="Q589" s="131"/>
      <c r="R589" s="131"/>
      <c r="S589" s="131"/>
      <c r="T589" s="131"/>
      <c r="U589" s="131"/>
      <c r="V589" s="131"/>
      <c r="W589" s="131"/>
      <c r="X589" s="131"/>
      <c r="Y589" s="131"/>
      <c r="Z589" s="131"/>
    </row>
    <row r="590">
      <c r="A590" s="99"/>
      <c r="B590" s="99"/>
      <c r="C590" s="99"/>
      <c r="D590" s="99"/>
      <c r="E590" s="99"/>
      <c r="F590" s="99"/>
      <c r="G590" s="99"/>
      <c r="H590" s="99"/>
      <c r="I590" s="99"/>
      <c r="J590" s="131"/>
      <c r="K590" s="131"/>
      <c r="L590" s="131"/>
      <c r="M590" s="131"/>
      <c r="N590" s="131"/>
      <c r="O590" s="131"/>
      <c r="P590" s="131"/>
      <c r="Q590" s="131"/>
      <c r="R590" s="131"/>
      <c r="S590" s="131"/>
      <c r="T590" s="131"/>
      <c r="U590" s="131"/>
      <c r="V590" s="131"/>
      <c r="W590" s="131"/>
      <c r="X590" s="131"/>
      <c r="Y590" s="131"/>
      <c r="Z590" s="131"/>
    </row>
    <row r="591">
      <c r="A591" s="99"/>
      <c r="B591" s="99"/>
      <c r="C591" s="99"/>
      <c r="D591" s="99"/>
      <c r="E591" s="99"/>
      <c r="F591" s="99"/>
      <c r="G591" s="99"/>
      <c r="H591" s="99"/>
      <c r="I591" s="99"/>
      <c r="J591" s="131"/>
      <c r="K591" s="131"/>
      <c r="L591" s="131"/>
      <c r="M591" s="131"/>
      <c r="N591" s="131"/>
      <c r="O591" s="131"/>
      <c r="P591" s="131"/>
      <c r="Q591" s="131"/>
      <c r="R591" s="131"/>
      <c r="S591" s="131"/>
      <c r="T591" s="131"/>
      <c r="U591" s="131"/>
      <c r="V591" s="131"/>
      <c r="W591" s="131"/>
      <c r="X591" s="131"/>
      <c r="Y591" s="131"/>
      <c r="Z591" s="131"/>
    </row>
    <row r="592">
      <c r="A592" s="99"/>
      <c r="B592" s="99"/>
      <c r="C592" s="99"/>
      <c r="D592" s="99"/>
      <c r="E592" s="99"/>
      <c r="F592" s="99"/>
      <c r="G592" s="99"/>
      <c r="H592" s="99"/>
      <c r="I592" s="99"/>
      <c r="J592" s="131"/>
      <c r="K592" s="131"/>
      <c r="L592" s="131"/>
      <c r="M592" s="131"/>
      <c r="N592" s="131"/>
      <c r="O592" s="131"/>
      <c r="P592" s="131"/>
      <c r="Q592" s="131"/>
      <c r="R592" s="131"/>
      <c r="S592" s="131"/>
      <c r="T592" s="131"/>
      <c r="U592" s="131"/>
      <c r="V592" s="131"/>
      <c r="W592" s="131"/>
      <c r="X592" s="131"/>
      <c r="Y592" s="131"/>
      <c r="Z592" s="131"/>
    </row>
    <row r="593">
      <c r="A593" s="99"/>
      <c r="B593" s="99"/>
      <c r="C593" s="99"/>
      <c r="D593" s="99"/>
      <c r="E593" s="99"/>
      <c r="F593" s="99"/>
      <c r="G593" s="99"/>
      <c r="H593" s="99"/>
      <c r="I593" s="99"/>
      <c r="J593" s="131"/>
      <c r="K593" s="131"/>
      <c r="L593" s="131"/>
      <c r="M593" s="131"/>
      <c r="N593" s="131"/>
      <c r="O593" s="131"/>
      <c r="P593" s="131"/>
      <c r="Q593" s="131"/>
      <c r="R593" s="131"/>
      <c r="S593" s="131"/>
      <c r="T593" s="131"/>
      <c r="U593" s="131"/>
      <c r="V593" s="131"/>
      <c r="W593" s="131"/>
      <c r="X593" s="131"/>
      <c r="Y593" s="131"/>
      <c r="Z593" s="131"/>
    </row>
    <row r="594">
      <c r="A594" s="99"/>
      <c r="B594" s="99"/>
      <c r="C594" s="99"/>
      <c r="D594" s="99"/>
      <c r="E594" s="99"/>
      <c r="F594" s="99"/>
      <c r="G594" s="99"/>
      <c r="H594" s="99"/>
      <c r="I594" s="99"/>
      <c r="J594" s="131"/>
      <c r="K594" s="131"/>
      <c r="L594" s="131"/>
      <c r="M594" s="131"/>
      <c r="N594" s="131"/>
      <c r="O594" s="131"/>
      <c r="P594" s="131"/>
      <c r="Q594" s="131"/>
      <c r="R594" s="131"/>
      <c r="S594" s="131"/>
      <c r="T594" s="131"/>
      <c r="U594" s="131"/>
      <c r="V594" s="131"/>
      <c r="W594" s="131"/>
      <c r="X594" s="131"/>
      <c r="Y594" s="131"/>
      <c r="Z594" s="131"/>
    </row>
    <row r="595">
      <c r="A595" s="99"/>
      <c r="B595" s="99"/>
      <c r="C595" s="99"/>
      <c r="D595" s="99"/>
      <c r="E595" s="99"/>
      <c r="F595" s="99"/>
      <c r="G595" s="99"/>
      <c r="H595" s="99"/>
      <c r="I595" s="99"/>
      <c r="J595" s="131"/>
      <c r="K595" s="131"/>
      <c r="L595" s="131"/>
      <c r="M595" s="131"/>
      <c r="N595" s="131"/>
      <c r="O595" s="131"/>
      <c r="P595" s="131"/>
      <c r="Q595" s="131"/>
      <c r="R595" s="131"/>
      <c r="S595" s="131"/>
      <c r="T595" s="131"/>
      <c r="U595" s="131"/>
      <c r="V595" s="131"/>
      <c r="W595" s="131"/>
      <c r="X595" s="131"/>
      <c r="Y595" s="131"/>
      <c r="Z595" s="131"/>
    </row>
    <row r="596">
      <c r="A596" s="99"/>
      <c r="B596" s="99"/>
      <c r="C596" s="99"/>
      <c r="D596" s="99"/>
      <c r="E596" s="99"/>
      <c r="F596" s="99"/>
      <c r="G596" s="99"/>
      <c r="H596" s="99"/>
      <c r="I596" s="99"/>
      <c r="J596" s="131"/>
      <c r="K596" s="131"/>
      <c r="L596" s="131"/>
      <c r="M596" s="131"/>
      <c r="N596" s="131"/>
      <c r="O596" s="131"/>
      <c r="P596" s="131"/>
      <c r="Q596" s="131"/>
      <c r="R596" s="131"/>
      <c r="S596" s="131"/>
      <c r="T596" s="131"/>
      <c r="U596" s="131"/>
      <c r="V596" s="131"/>
      <c r="W596" s="131"/>
      <c r="X596" s="131"/>
      <c r="Y596" s="131"/>
      <c r="Z596" s="131"/>
    </row>
    <row r="597">
      <c r="A597" s="99"/>
      <c r="B597" s="99"/>
      <c r="C597" s="99"/>
      <c r="D597" s="99"/>
      <c r="E597" s="99"/>
      <c r="F597" s="99"/>
      <c r="G597" s="99"/>
      <c r="H597" s="99"/>
      <c r="I597" s="99"/>
      <c r="J597" s="131"/>
      <c r="K597" s="131"/>
      <c r="L597" s="131"/>
      <c r="M597" s="131"/>
      <c r="N597" s="131"/>
      <c r="O597" s="131"/>
      <c r="P597" s="131"/>
      <c r="Q597" s="131"/>
      <c r="R597" s="131"/>
      <c r="S597" s="131"/>
      <c r="T597" s="131"/>
      <c r="U597" s="131"/>
      <c r="V597" s="131"/>
      <c r="W597" s="131"/>
      <c r="X597" s="131"/>
      <c r="Y597" s="131"/>
      <c r="Z597" s="131"/>
    </row>
    <row r="598">
      <c r="A598" s="99"/>
      <c r="B598" s="99"/>
      <c r="C598" s="99"/>
      <c r="D598" s="99"/>
      <c r="E598" s="99"/>
      <c r="F598" s="99"/>
      <c r="G598" s="99"/>
      <c r="H598" s="99"/>
      <c r="I598" s="99"/>
      <c r="J598" s="131"/>
      <c r="K598" s="131"/>
      <c r="L598" s="131"/>
      <c r="M598" s="131"/>
      <c r="N598" s="131"/>
      <c r="O598" s="131"/>
      <c r="P598" s="131"/>
      <c r="Q598" s="131"/>
      <c r="R598" s="131"/>
      <c r="S598" s="131"/>
      <c r="T598" s="131"/>
      <c r="U598" s="131"/>
      <c r="V598" s="131"/>
      <c r="W598" s="131"/>
      <c r="X598" s="131"/>
      <c r="Y598" s="131"/>
      <c r="Z598" s="131"/>
    </row>
    <row r="599">
      <c r="A599" s="99"/>
      <c r="B599" s="99"/>
      <c r="C599" s="99"/>
      <c r="D599" s="99"/>
      <c r="E599" s="99"/>
      <c r="F599" s="99"/>
      <c r="G599" s="99"/>
      <c r="H599" s="99"/>
      <c r="I599" s="99"/>
      <c r="J599" s="131"/>
      <c r="K599" s="131"/>
      <c r="L599" s="131"/>
      <c r="M599" s="131"/>
      <c r="N599" s="131"/>
      <c r="O599" s="131"/>
      <c r="P599" s="131"/>
      <c r="Q599" s="131"/>
      <c r="R599" s="131"/>
      <c r="S599" s="131"/>
      <c r="T599" s="131"/>
      <c r="U599" s="131"/>
      <c r="V599" s="131"/>
      <c r="W599" s="131"/>
      <c r="X599" s="131"/>
      <c r="Y599" s="131"/>
      <c r="Z599" s="131"/>
    </row>
    <row r="600">
      <c r="A600" s="99"/>
      <c r="B600" s="99"/>
      <c r="C600" s="99"/>
      <c r="D600" s="99"/>
      <c r="E600" s="99"/>
      <c r="F600" s="99"/>
      <c r="G600" s="99"/>
      <c r="H600" s="99"/>
      <c r="I600" s="99"/>
      <c r="J600" s="131"/>
      <c r="K600" s="131"/>
      <c r="L600" s="131"/>
      <c r="M600" s="131"/>
      <c r="N600" s="131"/>
      <c r="O600" s="131"/>
      <c r="P600" s="131"/>
      <c r="Q600" s="131"/>
      <c r="R600" s="131"/>
      <c r="S600" s="131"/>
      <c r="T600" s="131"/>
      <c r="U600" s="131"/>
      <c r="V600" s="131"/>
      <c r="W600" s="131"/>
      <c r="X600" s="131"/>
      <c r="Y600" s="131"/>
      <c r="Z600" s="131"/>
    </row>
    <row r="601">
      <c r="A601" s="99"/>
      <c r="B601" s="99"/>
      <c r="C601" s="99"/>
      <c r="D601" s="99"/>
      <c r="E601" s="99"/>
      <c r="F601" s="99"/>
      <c r="G601" s="99"/>
      <c r="H601" s="99"/>
      <c r="I601" s="99"/>
      <c r="J601" s="131"/>
      <c r="K601" s="131"/>
      <c r="L601" s="131"/>
      <c r="M601" s="131"/>
      <c r="N601" s="131"/>
      <c r="O601" s="131"/>
      <c r="P601" s="131"/>
      <c r="Q601" s="131"/>
      <c r="R601" s="131"/>
      <c r="S601" s="131"/>
      <c r="T601" s="131"/>
      <c r="U601" s="131"/>
      <c r="V601" s="131"/>
      <c r="W601" s="131"/>
      <c r="X601" s="131"/>
      <c r="Y601" s="131"/>
      <c r="Z601" s="131"/>
    </row>
    <row r="602">
      <c r="A602" s="99"/>
      <c r="B602" s="99"/>
      <c r="C602" s="99"/>
      <c r="D602" s="99"/>
      <c r="E602" s="99"/>
      <c r="F602" s="99"/>
      <c r="G602" s="99"/>
      <c r="H602" s="99"/>
      <c r="I602" s="99"/>
      <c r="J602" s="131"/>
      <c r="K602" s="131"/>
      <c r="L602" s="131"/>
      <c r="M602" s="131"/>
      <c r="N602" s="131"/>
      <c r="O602" s="131"/>
      <c r="P602" s="131"/>
      <c r="Q602" s="131"/>
      <c r="R602" s="131"/>
      <c r="S602" s="131"/>
      <c r="T602" s="131"/>
      <c r="U602" s="131"/>
      <c r="V602" s="131"/>
      <c r="W602" s="131"/>
      <c r="X602" s="131"/>
      <c r="Y602" s="131"/>
      <c r="Z602" s="131"/>
    </row>
    <row r="603">
      <c r="A603" s="99"/>
      <c r="B603" s="99"/>
      <c r="C603" s="99"/>
      <c r="D603" s="99"/>
      <c r="E603" s="99"/>
      <c r="F603" s="99"/>
      <c r="G603" s="99"/>
      <c r="H603" s="99"/>
      <c r="I603" s="99"/>
      <c r="J603" s="131"/>
      <c r="K603" s="131"/>
      <c r="L603" s="131"/>
      <c r="M603" s="131"/>
      <c r="N603" s="131"/>
      <c r="O603" s="131"/>
      <c r="P603" s="131"/>
      <c r="Q603" s="131"/>
      <c r="R603" s="131"/>
      <c r="S603" s="131"/>
      <c r="T603" s="131"/>
      <c r="U603" s="131"/>
      <c r="V603" s="131"/>
      <c r="W603" s="131"/>
      <c r="X603" s="131"/>
      <c r="Y603" s="131"/>
      <c r="Z603" s="131"/>
    </row>
    <row r="604">
      <c r="A604" s="99"/>
      <c r="B604" s="99"/>
      <c r="C604" s="99"/>
      <c r="D604" s="99"/>
      <c r="E604" s="99"/>
      <c r="F604" s="99"/>
      <c r="G604" s="99"/>
      <c r="H604" s="99"/>
      <c r="I604" s="99"/>
      <c r="J604" s="131"/>
      <c r="K604" s="131"/>
      <c r="L604" s="131"/>
      <c r="M604" s="131"/>
      <c r="N604" s="131"/>
      <c r="O604" s="131"/>
      <c r="P604" s="131"/>
      <c r="Q604" s="131"/>
      <c r="R604" s="131"/>
      <c r="S604" s="131"/>
      <c r="T604" s="131"/>
      <c r="U604" s="131"/>
      <c r="V604" s="131"/>
      <c r="W604" s="131"/>
      <c r="X604" s="131"/>
      <c r="Y604" s="131"/>
      <c r="Z604" s="131"/>
    </row>
    <row r="605">
      <c r="A605" s="99"/>
      <c r="B605" s="99"/>
      <c r="C605" s="99"/>
      <c r="D605" s="99"/>
      <c r="E605" s="99"/>
      <c r="F605" s="99"/>
      <c r="G605" s="99"/>
      <c r="H605" s="99"/>
      <c r="I605" s="99"/>
      <c r="J605" s="131"/>
      <c r="K605" s="131"/>
      <c r="L605" s="131"/>
      <c r="M605" s="131"/>
      <c r="N605" s="131"/>
      <c r="O605" s="131"/>
      <c r="P605" s="131"/>
      <c r="Q605" s="131"/>
      <c r="R605" s="131"/>
      <c r="S605" s="131"/>
      <c r="T605" s="131"/>
      <c r="U605" s="131"/>
      <c r="V605" s="131"/>
      <c r="W605" s="131"/>
      <c r="X605" s="131"/>
      <c r="Y605" s="131"/>
      <c r="Z605" s="131"/>
    </row>
    <row r="606">
      <c r="A606" s="99"/>
      <c r="B606" s="99"/>
      <c r="C606" s="99"/>
      <c r="D606" s="99"/>
      <c r="E606" s="99"/>
      <c r="F606" s="99"/>
      <c r="G606" s="99"/>
      <c r="H606" s="99"/>
      <c r="I606" s="99"/>
      <c r="J606" s="131"/>
      <c r="K606" s="131"/>
      <c r="L606" s="131"/>
      <c r="M606" s="131"/>
      <c r="N606" s="131"/>
      <c r="O606" s="131"/>
      <c r="P606" s="131"/>
      <c r="Q606" s="131"/>
      <c r="R606" s="131"/>
      <c r="S606" s="131"/>
      <c r="T606" s="131"/>
      <c r="U606" s="131"/>
      <c r="V606" s="131"/>
      <c r="W606" s="131"/>
      <c r="X606" s="131"/>
      <c r="Y606" s="131"/>
      <c r="Z606" s="131"/>
    </row>
    <row r="607">
      <c r="A607" s="99"/>
      <c r="B607" s="99"/>
      <c r="C607" s="99"/>
      <c r="D607" s="99"/>
      <c r="E607" s="99"/>
      <c r="F607" s="99"/>
      <c r="G607" s="99"/>
      <c r="H607" s="99"/>
      <c r="I607" s="99"/>
      <c r="J607" s="131"/>
      <c r="K607" s="131"/>
      <c r="L607" s="131"/>
      <c r="M607" s="131"/>
      <c r="N607" s="131"/>
      <c r="O607" s="131"/>
      <c r="P607" s="131"/>
      <c r="Q607" s="131"/>
      <c r="R607" s="131"/>
      <c r="S607" s="131"/>
      <c r="T607" s="131"/>
      <c r="U607" s="131"/>
      <c r="V607" s="131"/>
      <c r="W607" s="131"/>
      <c r="X607" s="131"/>
      <c r="Y607" s="131"/>
      <c r="Z607" s="131"/>
    </row>
    <row r="608">
      <c r="A608" s="99"/>
      <c r="B608" s="99"/>
      <c r="C608" s="99"/>
      <c r="D608" s="99"/>
      <c r="E608" s="99"/>
      <c r="F608" s="99"/>
      <c r="G608" s="99"/>
      <c r="H608" s="99"/>
      <c r="I608" s="99"/>
      <c r="J608" s="131"/>
      <c r="K608" s="131"/>
      <c r="L608" s="131"/>
      <c r="M608" s="131"/>
      <c r="N608" s="131"/>
      <c r="O608" s="131"/>
      <c r="P608" s="131"/>
      <c r="Q608" s="131"/>
      <c r="R608" s="131"/>
      <c r="S608" s="131"/>
      <c r="T608" s="131"/>
      <c r="U608" s="131"/>
      <c r="V608" s="131"/>
      <c r="W608" s="131"/>
      <c r="X608" s="131"/>
      <c r="Y608" s="131"/>
      <c r="Z608" s="131"/>
    </row>
    <row r="609">
      <c r="A609" s="99"/>
      <c r="B609" s="99"/>
      <c r="C609" s="99"/>
      <c r="D609" s="99"/>
      <c r="E609" s="99"/>
      <c r="F609" s="99"/>
      <c r="G609" s="99"/>
      <c r="H609" s="99"/>
      <c r="I609" s="99"/>
      <c r="J609" s="131"/>
      <c r="K609" s="131"/>
      <c r="L609" s="131"/>
      <c r="M609" s="131"/>
      <c r="N609" s="131"/>
      <c r="O609" s="131"/>
      <c r="P609" s="131"/>
      <c r="Q609" s="131"/>
      <c r="R609" s="131"/>
      <c r="S609" s="131"/>
      <c r="T609" s="131"/>
      <c r="U609" s="131"/>
      <c r="V609" s="131"/>
      <c r="W609" s="131"/>
      <c r="X609" s="131"/>
      <c r="Y609" s="131"/>
      <c r="Z609" s="131"/>
    </row>
    <row r="610">
      <c r="A610" s="99"/>
      <c r="B610" s="99"/>
      <c r="C610" s="99"/>
      <c r="D610" s="99"/>
      <c r="E610" s="99"/>
      <c r="F610" s="99"/>
      <c r="G610" s="99"/>
      <c r="H610" s="99"/>
      <c r="I610" s="99"/>
      <c r="J610" s="131"/>
      <c r="K610" s="131"/>
      <c r="L610" s="131"/>
      <c r="M610" s="131"/>
      <c r="N610" s="131"/>
      <c r="O610" s="131"/>
      <c r="P610" s="131"/>
      <c r="Q610" s="131"/>
      <c r="R610" s="131"/>
      <c r="S610" s="131"/>
      <c r="T610" s="131"/>
      <c r="U610" s="131"/>
      <c r="V610" s="131"/>
      <c r="W610" s="131"/>
      <c r="X610" s="131"/>
      <c r="Y610" s="131"/>
      <c r="Z610" s="131"/>
    </row>
    <row r="611">
      <c r="A611" s="99"/>
      <c r="B611" s="99"/>
      <c r="C611" s="99"/>
      <c r="D611" s="99"/>
      <c r="E611" s="99"/>
      <c r="F611" s="99"/>
      <c r="G611" s="99"/>
      <c r="H611" s="99"/>
      <c r="I611" s="99"/>
      <c r="J611" s="131"/>
      <c r="K611" s="131"/>
      <c r="L611" s="131"/>
      <c r="M611" s="131"/>
      <c r="N611" s="131"/>
      <c r="O611" s="131"/>
      <c r="P611" s="131"/>
      <c r="Q611" s="131"/>
      <c r="R611" s="131"/>
      <c r="S611" s="131"/>
      <c r="T611" s="131"/>
      <c r="U611" s="131"/>
      <c r="V611" s="131"/>
      <c r="W611" s="131"/>
      <c r="X611" s="131"/>
      <c r="Y611" s="131"/>
      <c r="Z611" s="131"/>
    </row>
    <row r="612">
      <c r="A612" s="99"/>
      <c r="B612" s="99"/>
      <c r="C612" s="99"/>
      <c r="D612" s="99"/>
      <c r="E612" s="99"/>
      <c r="F612" s="99"/>
      <c r="G612" s="99"/>
      <c r="H612" s="99"/>
      <c r="I612" s="99"/>
      <c r="J612" s="131"/>
      <c r="K612" s="131"/>
      <c r="L612" s="131"/>
      <c r="M612" s="131"/>
      <c r="N612" s="131"/>
      <c r="O612" s="131"/>
      <c r="P612" s="131"/>
      <c r="Q612" s="131"/>
      <c r="R612" s="131"/>
      <c r="S612" s="131"/>
      <c r="T612" s="131"/>
      <c r="U612" s="131"/>
      <c r="V612" s="131"/>
      <c r="W612" s="131"/>
      <c r="X612" s="131"/>
      <c r="Y612" s="131"/>
      <c r="Z612" s="131"/>
    </row>
    <row r="613">
      <c r="A613" s="99"/>
      <c r="B613" s="99"/>
      <c r="C613" s="99"/>
      <c r="D613" s="99"/>
      <c r="E613" s="99"/>
      <c r="F613" s="99"/>
      <c r="G613" s="99"/>
      <c r="H613" s="99"/>
      <c r="I613" s="99"/>
      <c r="J613" s="131"/>
      <c r="K613" s="131"/>
      <c r="L613" s="131"/>
      <c r="M613" s="131"/>
      <c r="N613" s="131"/>
      <c r="O613" s="131"/>
      <c r="P613" s="131"/>
      <c r="Q613" s="131"/>
      <c r="R613" s="131"/>
      <c r="S613" s="131"/>
      <c r="T613" s="131"/>
      <c r="U613" s="131"/>
      <c r="V613" s="131"/>
      <c r="W613" s="131"/>
      <c r="X613" s="131"/>
      <c r="Y613" s="131"/>
      <c r="Z613" s="131"/>
    </row>
    <row r="614">
      <c r="A614" s="99"/>
      <c r="B614" s="99"/>
      <c r="C614" s="99"/>
      <c r="D614" s="99"/>
      <c r="E614" s="99"/>
      <c r="F614" s="99"/>
      <c r="G614" s="99"/>
      <c r="H614" s="99"/>
      <c r="I614" s="99"/>
      <c r="J614" s="131"/>
      <c r="K614" s="131"/>
      <c r="L614" s="131"/>
      <c r="M614" s="131"/>
      <c r="N614" s="131"/>
      <c r="O614" s="131"/>
      <c r="P614" s="131"/>
      <c r="Q614" s="131"/>
      <c r="R614" s="131"/>
      <c r="S614" s="131"/>
      <c r="T614" s="131"/>
      <c r="U614" s="131"/>
      <c r="V614" s="131"/>
      <c r="W614" s="131"/>
      <c r="X614" s="131"/>
      <c r="Y614" s="131"/>
      <c r="Z614" s="131"/>
    </row>
    <row r="615">
      <c r="A615" s="99"/>
      <c r="B615" s="99"/>
      <c r="C615" s="99"/>
      <c r="D615" s="99"/>
      <c r="E615" s="99"/>
      <c r="F615" s="99"/>
      <c r="G615" s="99"/>
      <c r="H615" s="99"/>
      <c r="I615" s="99"/>
      <c r="J615" s="131"/>
      <c r="K615" s="131"/>
      <c r="L615" s="131"/>
      <c r="M615" s="131"/>
      <c r="N615" s="131"/>
      <c r="O615" s="131"/>
      <c r="P615" s="131"/>
      <c r="Q615" s="131"/>
      <c r="R615" s="131"/>
      <c r="S615" s="131"/>
      <c r="T615" s="131"/>
      <c r="U615" s="131"/>
      <c r="V615" s="131"/>
      <c r="W615" s="131"/>
      <c r="X615" s="131"/>
      <c r="Y615" s="131"/>
      <c r="Z615" s="131"/>
    </row>
    <row r="616">
      <c r="A616" s="99"/>
      <c r="B616" s="99"/>
      <c r="C616" s="99"/>
      <c r="D616" s="99"/>
      <c r="E616" s="99"/>
      <c r="F616" s="99"/>
      <c r="G616" s="99"/>
      <c r="H616" s="99"/>
      <c r="I616" s="99"/>
      <c r="J616" s="131"/>
      <c r="K616" s="131"/>
      <c r="L616" s="131"/>
      <c r="M616" s="131"/>
      <c r="N616" s="131"/>
      <c r="O616" s="131"/>
      <c r="P616" s="131"/>
      <c r="Q616" s="131"/>
      <c r="R616" s="131"/>
      <c r="S616" s="131"/>
      <c r="T616" s="131"/>
      <c r="U616" s="131"/>
      <c r="V616" s="131"/>
      <c r="W616" s="131"/>
      <c r="X616" s="131"/>
      <c r="Y616" s="131"/>
      <c r="Z616" s="131"/>
    </row>
    <row r="617">
      <c r="A617" s="99"/>
      <c r="B617" s="99"/>
      <c r="C617" s="99"/>
      <c r="D617" s="99"/>
      <c r="E617" s="99"/>
      <c r="F617" s="99"/>
      <c r="G617" s="99"/>
      <c r="H617" s="99"/>
      <c r="I617" s="99"/>
      <c r="J617" s="131"/>
      <c r="K617" s="131"/>
      <c r="L617" s="131"/>
      <c r="M617" s="131"/>
      <c r="N617" s="131"/>
      <c r="O617" s="131"/>
      <c r="P617" s="131"/>
      <c r="Q617" s="131"/>
      <c r="R617" s="131"/>
      <c r="S617" s="131"/>
      <c r="T617" s="131"/>
      <c r="U617" s="131"/>
      <c r="V617" s="131"/>
      <c r="W617" s="131"/>
      <c r="X617" s="131"/>
      <c r="Y617" s="131"/>
      <c r="Z617" s="131"/>
    </row>
    <row r="618">
      <c r="A618" s="99"/>
      <c r="B618" s="99"/>
      <c r="C618" s="99"/>
      <c r="D618" s="99"/>
      <c r="E618" s="99"/>
      <c r="F618" s="99"/>
      <c r="G618" s="99"/>
      <c r="H618" s="99"/>
      <c r="I618" s="99"/>
      <c r="J618" s="131"/>
      <c r="K618" s="131"/>
      <c r="L618" s="131"/>
      <c r="M618" s="131"/>
      <c r="N618" s="131"/>
      <c r="O618" s="131"/>
      <c r="P618" s="131"/>
      <c r="Q618" s="131"/>
      <c r="R618" s="131"/>
      <c r="S618" s="131"/>
      <c r="T618" s="131"/>
      <c r="U618" s="131"/>
      <c r="V618" s="131"/>
      <c r="W618" s="131"/>
      <c r="X618" s="131"/>
      <c r="Y618" s="131"/>
      <c r="Z618" s="131"/>
    </row>
    <row r="619">
      <c r="A619" s="99"/>
      <c r="B619" s="99"/>
      <c r="C619" s="99"/>
      <c r="D619" s="99"/>
      <c r="E619" s="99"/>
      <c r="F619" s="99"/>
      <c r="G619" s="99"/>
      <c r="H619" s="99"/>
      <c r="I619" s="99"/>
      <c r="J619" s="131"/>
      <c r="K619" s="131"/>
      <c r="L619" s="131"/>
      <c r="M619" s="131"/>
      <c r="N619" s="131"/>
      <c r="O619" s="131"/>
      <c r="P619" s="131"/>
      <c r="Q619" s="131"/>
      <c r="R619" s="131"/>
      <c r="S619" s="131"/>
      <c r="T619" s="131"/>
      <c r="U619" s="131"/>
      <c r="V619" s="131"/>
      <c r="W619" s="131"/>
      <c r="X619" s="131"/>
      <c r="Y619" s="131"/>
      <c r="Z619" s="131"/>
    </row>
    <row r="620">
      <c r="A620" s="99"/>
      <c r="B620" s="99"/>
      <c r="C620" s="99"/>
      <c r="D620" s="99"/>
      <c r="E620" s="99"/>
      <c r="F620" s="99"/>
      <c r="G620" s="99"/>
      <c r="H620" s="99"/>
      <c r="I620" s="99"/>
      <c r="J620" s="131"/>
      <c r="K620" s="131"/>
      <c r="L620" s="131"/>
      <c r="M620" s="131"/>
      <c r="N620" s="131"/>
      <c r="O620" s="131"/>
      <c r="P620" s="131"/>
      <c r="Q620" s="131"/>
      <c r="R620" s="131"/>
      <c r="S620" s="131"/>
      <c r="T620" s="131"/>
      <c r="U620" s="131"/>
      <c r="V620" s="131"/>
      <c r="W620" s="131"/>
      <c r="X620" s="131"/>
      <c r="Y620" s="131"/>
      <c r="Z620" s="131"/>
    </row>
    <row r="621">
      <c r="A621" s="99"/>
      <c r="B621" s="99"/>
      <c r="C621" s="99"/>
      <c r="D621" s="99"/>
      <c r="E621" s="99"/>
      <c r="F621" s="99"/>
      <c r="G621" s="99"/>
      <c r="H621" s="99"/>
      <c r="I621" s="99"/>
      <c r="J621" s="131"/>
      <c r="K621" s="131"/>
      <c r="L621" s="131"/>
      <c r="M621" s="131"/>
      <c r="N621" s="131"/>
      <c r="O621" s="131"/>
      <c r="P621" s="131"/>
      <c r="Q621" s="131"/>
      <c r="R621" s="131"/>
      <c r="S621" s="131"/>
      <c r="T621" s="131"/>
      <c r="U621" s="131"/>
      <c r="V621" s="131"/>
      <c r="W621" s="131"/>
      <c r="X621" s="131"/>
      <c r="Y621" s="131"/>
      <c r="Z621" s="131"/>
    </row>
    <row r="622">
      <c r="A622" s="99"/>
      <c r="B622" s="99"/>
      <c r="C622" s="99"/>
      <c r="D622" s="99"/>
      <c r="E622" s="99"/>
      <c r="F622" s="99"/>
      <c r="G622" s="99"/>
      <c r="H622" s="99"/>
      <c r="I622" s="99"/>
      <c r="J622" s="131"/>
      <c r="K622" s="131"/>
      <c r="L622" s="131"/>
      <c r="M622" s="131"/>
      <c r="N622" s="131"/>
      <c r="O622" s="131"/>
      <c r="P622" s="131"/>
      <c r="Q622" s="131"/>
      <c r="R622" s="131"/>
      <c r="S622" s="131"/>
      <c r="T622" s="131"/>
      <c r="U622" s="131"/>
      <c r="V622" s="131"/>
      <c r="W622" s="131"/>
      <c r="X622" s="131"/>
      <c r="Y622" s="131"/>
      <c r="Z622" s="131"/>
    </row>
    <row r="623">
      <c r="A623" s="99"/>
      <c r="B623" s="99"/>
      <c r="C623" s="99"/>
      <c r="D623" s="99"/>
      <c r="E623" s="99"/>
      <c r="F623" s="99"/>
      <c r="G623" s="99"/>
      <c r="H623" s="99"/>
      <c r="I623" s="99"/>
      <c r="J623" s="131"/>
      <c r="K623" s="131"/>
      <c r="L623" s="131"/>
      <c r="M623" s="131"/>
      <c r="N623" s="131"/>
      <c r="O623" s="131"/>
      <c r="P623" s="131"/>
      <c r="Q623" s="131"/>
      <c r="R623" s="131"/>
      <c r="S623" s="131"/>
      <c r="T623" s="131"/>
      <c r="U623" s="131"/>
      <c r="V623" s="131"/>
      <c r="W623" s="131"/>
      <c r="X623" s="131"/>
      <c r="Y623" s="131"/>
      <c r="Z623" s="131"/>
    </row>
    <row r="624">
      <c r="A624" s="99"/>
      <c r="B624" s="99"/>
      <c r="C624" s="99"/>
      <c r="D624" s="99"/>
      <c r="E624" s="99"/>
      <c r="F624" s="99"/>
      <c r="G624" s="99"/>
      <c r="H624" s="99"/>
      <c r="I624" s="99"/>
      <c r="J624" s="131"/>
      <c r="K624" s="131"/>
      <c r="L624" s="131"/>
      <c r="M624" s="131"/>
      <c r="N624" s="131"/>
      <c r="O624" s="131"/>
      <c r="P624" s="131"/>
      <c r="Q624" s="131"/>
      <c r="R624" s="131"/>
      <c r="S624" s="131"/>
      <c r="T624" s="131"/>
      <c r="U624" s="131"/>
      <c r="V624" s="131"/>
      <c r="W624" s="131"/>
      <c r="X624" s="131"/>
      <c r="Y624" s="131"/>
      <c r="Z624" s="131"/>
    </row>
    <row r="625">
      <c r="A625" s="99"/>
      <c r="B625" s="99"/>
      <c r="C625" s="99"/>
      <c r="D625" s="99"/>
      <c r="E625" s="99"/>
      <c r="F625" s="99"/>
      <c r="G625" s="99"/>
      <c r="H625" s="99"/>
      <c r="I625" s="99"/>
      <c r="J625" s="131"/>
      <c r="K625" s="131"/>
      <c r="L625" s="131"/>
      <c r="M625" s="131"/>
      <c r="N625" s="131"/>
      <c r="O625" s="131"/>
      <c r="P625" s="131"/>
      <c r="Q625" s="131"/>
      <c r="R625" s="131"/>
      <c r="S625" s="131"/>
      <c r="T625" s="131"/>
      <c r="U625" s="131"/>
      <c r="V625" s="131"/>
      <c r="W625" s="131"/>
      <c r="X625" s="131"/>
      <c r="Y625" s="131"/>
      <c r="Z625" s="131"/>
    </row>
    <row r="626">
      <c r="A626" s="99"/>
      <c r="B626" s="99"/>
      <c r="C626" s="99"/>
      <c r="D626" s="99"/>
      <c r="E626" s="99"/>
      <c r="F626" s="99"/>
      <c r="G626" s="99"/>
      <c r="H626" s="99"/>
      <c r="I626" s="99"/>
      <c r="J626" s="131"/>
      <c r="K626" s="131"/>
      <c r="L626" s="131"/>
      <c r="M626" s="131"/>
      <c r="N626" s="131"/>
      <c r="O626" s="131"/>
      <c r="P626" s="131"/>
      <c r="Q626" s="131"/>
      <c r="R626" s="131"/>
      <c r="S626" s="131"/>
      <c r="T626" s="131"/>
      <c r="U626" s="131"/>
      <c r="V626" s="131"/>
      <c r="W626" s="131"/>
      <c r="X626" s="131"/>
      <c r="Y626" s="131"/>
      <c r="Z626" s="131"/>
    </row>
    <row r="627">
      <c r="A627" s="99"/>
      <c r="B627" s="99"/>
      <c r="C627" s="99"/>
      <c r="D627" s="99"/>
      <c r="E627" s="99"/>
      <c r="F627" s="99"/>
      <c r="G627" s="99"/>
      <c r="H627" s="99"/>
      <c r="I627" s="99"/>
      <c r="J627" s="131"/>
      <c r="K627" s="131"/>
      <c r="L627" s="131"/>
      <c r="M627" s="131"/>
      <c r="N627" s="131"/>
      <c r="O627" s="131"/>
      <c r="P627" s="131"/>
      <c r="Q627" s="131"/>
      <c r="R627" s="131"/>
      <c r="S627" s="131"/>
      <c r="T627" s="131"/>
      <c r="U627" s="131"/>
      <c r="V627" s="131"/>
      <c r="W627" s="131"/>
      <c r="X627" s="131"/>
      <c r="Y627" s="131"/>
      <c r="Z627" s="131"/>
    </row>
    <row r="628">
      <c r="A628" s="99"/>
      <c r="B628" s="99"/>
      <c r="C628" s="99"/>
      <c r="D628" s="99"/>
      <c r="E628" s="99"/>
      <c r="F628" s="99"/>
      <c r="G628" s="99"/>
      <c r="H628" s="99"/>
      <c r="I628" s="99"/>
      <c r="J628" s="131"/>
      <c r="K628" s="131"/>
      <c r="L628" s="131"/>
      <c r="M628" s="131"/>
      <c r="N628" s="131"/>
      <c r="O628" s="131"/>
      <c r="P628" s="131"/>
      <c r="Q628" s="131"/>
      <c r="R628" s="131"/>
      <c r="S628" s="131"/>
      <c r="T628" s="131"/>
      <c r="U628" s="131"/>
      <c r="V628" s="131"/>
      <c r="W628" s="131"/>
      <c r="X628" s="131"/>
      <c r="Y628" s="131"/>
      <c r="Z628" s="131"/>
    </row>
    <row r="629">
      <c r="A629" s="99"/>
      <c r="B629" s="99"/>
      <c r="C629" s="99"/>
      <c r="D629" s="99"/>
      <c r="E629" s="99"/>
      <c r="F629" s="99"/>
      <c r="G629" s="99"/>
      <c r="H629" s="99"/>
      <c r="I629" s="99"/>
      <c r="J629" s="131"/>
      <c r="K629" s="131"/>
      <c r="L629" s="131"/>
      <c r="M629" s="131"/>
      <c r="N629" s="131"/>
      <c r="O629" s="131"/>
      <c r="P629" s="131"/>
      <c r="Q629" s="131"/>
      <c r="R629" s="131"/>
      <c r="S629" s="131"/>
      <c r="T629" s="131"/>
      <c r="U629" s="131"/>
      <c r="V629" s="131"/>
      <c r="W629" s="131"/>
      <c r="X629" s="131"/>
      <c r="Y629" s="131"/>
      <c r="Z629" s="131"/>
    </row>
    <row r="630">
      <c r="A630" s="99"/>
      <c r="B630" s="99"/>
      <c r="C630" s="99"/>
      <c r="D630" s="99"/>
      <c r="E630" s="99"/>
      <c r="F630" s="99"/>
      <c r="G630" s="99"/>
      <c r="H630" s="99"/>
      <c r="I630" s="99"/>
      <c r="J630" s="131"/>
      <c r="K630" s="131"/>
      <c r="L630" s="131"/>
      <c r="M630" s="131"/>
      <c r="N630" s="131"/>
      <c r="O630" s="131"/>
      <c r="P630" s="131"/>
      <c r="Q630" s="131"/>
      <c r="R630" s="131"/>
      <c r="S630" s="131"/>
      <c r="T630" s="131"/>
      <c r="U630" s="131"/>
      <c r="V630" s="131"/>
      <c r="W630" s="131"/>
      <c r="X630" s="131"/>
      <c r="Y630" s="131"/>
      <c r="Z630" s="131"/>
    </row>
    <row r="631">
      <c r="A631" s="99"/>
      <c r="B631" s="99"/>
      <c r="C631" s="99"/>
      <c r="D631" s="99"/>
      <c r="E631" s="99"/>
      <c r="F631" s="99"/>
      <c r="G631" s="99"/>
      <c r="H631" s="99"/>
      <c r="I631" s="99"/>
      <c r="J631" s="131"/>
      <c r="K631" s="131"/>
      <c r="L631" s="131"/>
      <c r="M631" s="131"/>
      <c r="N631" s="131"/>
      <c r="O631" s="131"/>
      <c r="P631" s="131"/>
      <c r="Q631" s="131"/>
      <c r="R631" s="131"/>
      <c r="S631" s="131"/>
      <c r="T631" s="131"/>
      <c r="U631" s="131"/>
      <c r="V631" s="131"/>
      <c r="W631" s="131"/>
      <c r="X631" s="131"/>
      <c r="Y631" s="131"/>
      <c r="Z631" s="131"/>
    </row>
    <row r="632">
      <c r="A632" s="99"/>
      <c r="B632" s="99"/>
      <c r="C632" s="99"/>
      <c r="D632" s="99"/>
      <c r="E632" s="99"/>
      <c r="F632" s="99"/>
      <c r="G632" s="99"/>
      <c r="H632" s="99"/>
      <c r="I632" s="99"/>
      <c r="J632" s="131"/>
      <c r="K632" s="131"/>
      <c r="L632" s="131"/>
      <c r="M632" s="131"/>
      <c r="N632" s="131"/>
      <c r="O632" s="131"/>
      <c r="P632" s="131"/>
      <c r="Q632" s="131"/>
      <c r="R632" s="131"/>
      <c r="S632" s="131"/>
      <c r="T632" s="131"/>
      <c r="U632" s="131"/>
      <c r="V632" s="131"/>
      <c r="W632" s="131"/>
      <c r="X632" s="131"/>
      <c r="Y632" s="131"/>
      <c r="Z632" s="131"/>
    </row>
    <row r="633">
      <c r="A633" s="99"/>
      <c r="B633" s="99"/>
      <c r="C633" s="99"/>
      <c r="D633" s="99"/>
      <c r="E633" s="99"/>
      <c r="F633" s="99"/>
      <c r="G633" s="99"/>
      <c r="H633" s="99"/>
      <c r="I633" s="99"/>
      <c r="J633" s="131"/>
      <c r="K633" s="131"/>
      <c r="L633" s="131"/>
      <c r="M633" s="131"/>
      <c r="N633" s="131"/>
      <c r="O633" s="131"/>
      <c r="P633" s="131"/>
      <c r="Q633" s="131"/>
      <c r="R633" s="131"/>
      <c r="S633" s="131"/>
      <c r="T633" s="131"/>
      <c r="U633" s="131"/>
      <c r="V633" s="131"/>
      <c r="W633" s="131"/>
      <c r="X633" s="131"/>
      <c r="Y633" s="131"/>
      <c r="Z633" s="131"/>
    </row>
    <row r="634">
      <c r="A634" s="99"/>
      <c r="B634" s="99"/>
      <c r="C634" s="99"/>
      <c r="D634" s="99"/>
      <c r="E634" s="99"/>
      <c r="F634" s="99"/>
      <c r="G634" s="99"/>
      <c r="H634" s="99"/>
      <c r="I634" s="99"/>
      <c r="J634" s="131"/>
      <c r="K634" s="131"/>
      <c r="L634" s="131"/>
      <c r="M634" s="131"/>
      <c r="N634" s="131"/>
      <c r="O634" s="131"/>
      <c r="P634" s="131"/>
      <c r="Q634" s="131"/>
      <c r="R634" s="131"/>
      <c r="S634" s="131"/>
      <c r="T634" s="131"/>
      <c r="U634" s="131"/>
      <c r="V634" s="131"/>
      <c r="W634" s="131"/>
      <c r="X634" s="131"/>
      <c r="Y634" s="131"/>
      <c r="Z634" s="131"/>
    </row>
    <row r="635">
      <c r="A635" s="99"/>
      <c r="B635" s="99"/>
      <c r="C635" s="99"/>
      <c r="D635" s="99"/>
      <c r="E635" s="99"/>
      <c r="F635" s="99"/>
      <c r="G635" s="99"/>
      <c r="H635" s="99"/>
      <c r="I635" s="99"/>
      <c r="J635" s="131"/>
      <c r="K635" s="131"/>
      <c r="L635" s="131"/>
      <c r="M635" s="131"/>
      <c r="N635" s="131"/>
      <c r="O635" s="131"/>
      <c r="P635" s="131"/>
      <c r="Q635" s="131"/>
      <c r="R635" s="131"/>
      <c r="S635" s="131"/>
      <c r="T635" s="131"/>
      <c r="U635" s="131"/>
      <c r="V635" s="131"/>
      <c r="W635" s="131"/>
      <c r="X635" s="131"/>
      <c r="Y635" s="131"/>
      <c r="Z635" s="131"/>
    </row>
    <row r="636">
      <c r="A636" s="99"/>
      <c r="B636" s="99"/>
      <c r="C636" s="99"/>
      <c r="D636" s="99"/>
      <c r="E636" s="99"/>
      <c r="F636" s="99"/>
      <c r="G636" s="99"/>
      <c r="H636" s="99"/>
      <c r="I636" s="99"/>
      <c r="J636" s="131"/>
      <c r="K636" s="131"/>
      <c r="L636" s="131"/>
      <c r="M636" s="131"/>
      <c r="N636" s="131"/>
      <c r="O636" s="131"/>
      <c r="P636" s="131"/>
      <c r="Q636" s="131"/>
      <c r="R636" s="131"/>
      <c r="S636" s="131"/>
      <c r="T636" s="131"/>
      <c r="U636" s="131"/>
      <c r="V636" s="131"/>
      <c r="W636" s="131"/>
      <c r="X636" s="131"/>
      <c r="Y636" s="131"/>
      <c r="Z636" s="131"/>
    </row>
    <row r="637">
      <c r="A637" s="99"/>
      <c r="B637" s="99"/>
      <c r="C637" s="99"/>
      <c r="D637" s="99"/>
      <c r="E637" s="99"/>
      <c r="F637" s="99"/>
      <c r="G637" s="99"/>
      <c r="H637" s="99"/>
      <c r="I637" s="99"/>
      <c r="J637" s="131"/>
      <c r="K637" s="131"/>
      <c r="L637" s="131"/>
      <c r="M637" s="131"/>
      <c r="N637" s="131"/>
      <c r="O637" s="131"/>
      <c r="P637" s="131"/>
      <c r="Q637" s="131"/>
      <c r="R637" s="131"/>
      <c r="S637" s="131"/>
      <c r="T637" s="131"/>
      <c r="U637" s="131"/>
      <c r="V637" s="131"/>
      <c r="W637" s="131"/>
      <c r="X637" s="131"/>
      <c r="Y637" s="131"/>
      <c r="Z637" s="131"/>
    </row>
    <row r="638">
      <c r="A638" s="99"/>
      <c r="B638" s="99"/>
      <c r="C638" s="99"/>
      <c r="D638" s="99"/>
      <c r="E638" s="99"/>
      <c r="F638" s="99"/>
      <c r="G638" s="99"/>
      <c r="H638" s="99"/>
      <c r="I638" s="99"/>
      <c r="J638" s="131"/>
      <c r="K638" s="131"/>
      <c r="L638" s="131"/>
      <c r="M638" s="131"/>
      <c r="N638" s="131"/>
      <c r="O638" s="131"/>
      <c r="P638" s="131"/>
      <c r="Q638" s="131"/>
      <c r="R638" s="131"/>
      <c r="S638" s="131"/>
      <c r="T638" s="131"/>
      <c r="U638" s="131"/>
      <c r="V638" s="131"/>
      <c r="W638" s="131"/>
      <c r="X638" s="131"/>
      <c r="Y638" s="131"/>
      <c r="Z638" s="131"/>
    </row>
    <row r="639">
      <c r="A639" s="99"/>
      <c r="B639" s="99"/>
      <c r="C639" s="99"/>
      <c r="D639" s="99"/>
      <c r="E639" s="99"/>
      <c r="F639" s="99"/>
      <c r="G639" s="99"/>
      <c r="H639" s="99"/>
      <c r="I639" s="99"/>
      <c r="J639" s="131"/>
      <c r="K639" s="131"/>
      <c r="L639" s="131"/>
      <c r="M639" s="131"/>
      <c r="N639" s="131"/>
      <c r="O639" s="131"/>
      <c r="P639" s="131"/>
      <c r="Q639" s="131"/>
      <c r="R639" s="131"/>
      <c r="S639" s="131"/>
      <c r="T639" s="131"/>
      <c r="U639" s="131"/>
      <c r="V639" s="131"/>
      <c r="W639" s="131"/>
      <c r="X639" s="131"/>
      <c r="Y639" s="131"/>
      <c r="Z639" s="131"/>
    </row>
    <row r="640">
      <c r="A640" s="99"/>
      <c r="B640" s="99"/>
      <c r="C640" s="99"/>
      <c r="D640" s="99"/>
      <c r="E640" s="99"/>
      <c r="F640" s="99"/>
      <c r="G640" s="99"/>
      <c r="H640" s="99"/>
      <c r="I640" s="99"/>
      <c r="J640" s="131"/>
      <c r="K640" s="131"/>
      <c r="L640" s="131"/>
      <c r="M640" s="131"/>
      <c r="N640" s="131"/>
      <c r="O640" s="131"/>
      <c r="P640" s="131"/>
      <c r="Q640" s="131"/>
      <c r="R640" s="131"/>
      <c r="S640" s="131"/>
      <c r="T640" s="131"/>
      <c r="U640" s="131"/>
      <c r="V640" s="131"/>
      <c r="W640" s="131"/>
      <c r="X640" s="131"/>
      <c r="Y640" s="131"/>
      <c r="Z640" s="131"/>
    </row>
    <row r="641">
      <c r="A641" s="99"/>
      <c r="B641" s="99"/>
      <c r="C641" s="99"/>
      <c r="D641" s="99"/>
      <c r="E641" s="99"/>
      <c r="F641" s="99"/>
      <c r="G641" s="99"/>
      <c r="H641" s="99"/>
      <c r="I641" s="99"/>
      <c r="J641" s="131"/>
      <c r="K641" s="131"/>
      <c r="L641" s="131"/>
      <c r="M641" s="131"/>
      <c r="N641" s="131"/>
      <c r="O641" s="131"/>
      <c r="P641" s="131"/>
      <c r="Q641" s="131"/>
      <c r="R641" s="131"/>
      <c r="S641" s="131"/>
      <c r="T641" s="131"/>
      <c r="U641" s="131"/>
      <c r="V641" s="131"/>
      <c r="W641" s="131"/>
      <c r="X641" s="131"/>
      <c r="Y641" s="131"/>
      <c r="Z641" s="131"/>
    </row>
    <row r="642">
      <c r="A642" s="99"/>
      <c r="B642" s="99"/>
      <c r="C642" s="99"/>
      <c r="D642" s="99"/>
      <c r="E642" s="99"/>
      <c r="F642" s="99"/>
      <c r="G642" s="99"/>
      <c r="H642" s="99"/>
      <c r="I642" s="99"/>
      <c r="J642" s="131"/>
      <c r="K642" s="131"/>
      <c r="L642" s="131"/>
      <c r="M642" s="131"/>
      <c r="N642" s="131"/>
      <c r="O642" s="131"/>
      <c r="P642" s="131"/>
      <c r="Q642" s="131"/>
      <c r="R642" s="131"/>
      <c r="S642" s="131"/>
      <c r="T642" s="131"/>
      <c r="U642" s="131"/>
      <c r="V642" s="131"/>
      <c r="W642" s="131"/>
      <c r="X642" s="131"/>
      <c r="Y642" s="131"/>
      <c r="Z642" s="131"/>
    </row>
    <row r="643">
      <c r="A643" s="99"/>
      <c r="B643" s="99"/>
      <c r="C643" s="99"/>
      <c r="D643" s="99"/>
      <c r="E643" s="99"/>
      <c r="F643" s="99"/>
      <c r="G643" s="99"/>
      <c r="H643" s="99"/>
      <c r="I643" s="99"/>
      <c r="J643" s="131"/>
      <c r="K643" s="131"/>
      <c r="L643" s="131"/>
      <c r="M643" s="131"/>
      <c r="N643" s="131"/>
      <c r="O643" s="131"/>
      <c r="P643" s="131"/>
      <c r="Q643" s="131"/>
      <c r="R643" s="131"/>
      <c r="S643" s="131"/>
      <c r="T643" s="131"/>
      <c r="U643" s="131"/>
      <c r="V643" s="131"/>
      <c r="W643" s="131"/>
      <c r="X643" s="131"/>
      <c r="Y643" s="131"/>
      <c r="Z643" s="131"/>
    </row>
    <row r="644">
      <c r="A644" s="99"/>
      <c r="B644" s="99"/>
      <c r="C644" s="99"/>
      <c r="D644" s="99"/>
      <c r="E644" s="99"/>
      <c r="F644" s="99"/>
      <c r="G644" s="99"/>
      <c r="H644" s="99"/>
      <c r="I644" s="99"/>
      <c r="J644" s="131"/>
      <c r="K644" s="131"/>
      <c r="L644" s="131"/>
      <c r="M644" s="131"/>
      <c r="N644" s="131"/>
      <c r="O644" s="131"/>
      <c r="P644" s="131"/>
      <c r="Q644" s="131"/>
      <c r="R644" s="131"/>
      <c r="S644" s="131"/>
      <c r="T644" s="131"/>
      <c r="U644" s="131"/>
      <c r="V644" s="131"/>
      <c r="W644" s="131"/>
      <c r="X644" s="131"/>
      <c r="Y644" s="131"/>
      <c r="Z644" s="131"/>
    </row>
    <row r="645">
      <c r="A645" s="99"/>
      <c r="B645" s="99"/>
      <c r="C645" s="99"/>
      <c r="D645" s="99"/>
      <c r="E645" s="99"/>
      <c r="F645" s="99"/>
      <c r="G645" s="99"/>
      <c r="H645" s="99"/>
      <c r="I645" s="99"/>
      <c r="J645" s="131"/>
      <c r="K645" s="131"/>
      <c r="L645" s="131"/>
      <c r="M645" s="131"/>
      <c r="N645" s="131"/>
      <c r="O645" s="131"/>
      <c r="P645" s="131"/>
      <c r="Q645" s="131"/>
      <c r="R645" s="131"/>
      <c r="S645" s="131"/>
      <c r="T645" s="131"/>
      <c r="U645" s="131"/>
      <c r="V645" s="131"/>
      <c r="W645" s="131"/>
      <c r="X645" s="131"/>
      <c r="Y645" s="131"/>
      <c r="Z645" s="131"/>
    </row>
    <row r="646">
      <c r="A646" s="99"/>
      <c r="B646" s="99"/>
      <c r="C646" s="99"/>
      <c r="D646" s="99"/>
      <c r="E646" s="99"/>
      <c r="F646" s="99"/>
      <c r="G646" s="99"/>
      <c r="H646" s="99"/>
      <c r="I646" s="99"/>
      <c r="J646" s="131"/>
      <c r="K646" s="131"/>
      <c r="L646" s="131"/>
      <c r="M646" s="131"/>
      <c r="N646" s="131"/>
      <c r="O646" s="131"/>
      <c r="P646" s="131"/>
      <c r="Q646" s="131"/>
      <c r="R646" s="131"/>
      <c r="S646" s="131"/>
      <c r="T646" s="131"/>
      <c r="U646" s="131"/>
      <c r="V646" s="131"/>
      <c r="W646" s="131"/>
      <c r="X646" s="131"/>
      <c r="Y646" s="131"/>
      <c r="Z646" s="131"/>
    </row>
    <row r="647">
      <c r="A647" s="99"/>
      <c r="B647" s="99"/>
      <c r="C647" s="99"/>
      <c r="D647" s="99"/>
      <c r="E647" s="99"/>
      <c r="F647" s="99"/>
      <c r="G647" s="99"/>
      <c r="H647" s="99"/>
      <c r="I647" s="99"/>
      <c r="J647" s="131"/>
      <c r="K647" s="131"/>
      <c r="L647" s="131"/>
      <c r="M647" s="131"/>
      <c r="N647" s="131"/>
      <c r="O647" s="131"/>
      <c r="P647" s="131"/>
      <c r="Q647" s="131"/>
      <c r="R647" s="131"/>
      <c r="S647" s="131"/>
      <c r="T647" s="131"/>
      <c r="U647" s="131"/>
      <c r="V647" s="131"/>
      <c r="W647" s="131"/>
      <c r="X647" s="131"/>
      <c r="Y647" s="131"/>
      <c r="Z647" s="131"/>
    </row>
    <row r="648">
      <c r="A648" s="99"/>
      <c r="B648" s="99"/>
      <c r="C648" s="99"/>
      <c r="D648" s="99"/>
      <c r="E648" s="99"/>
      <c r="F648" s="99"/>
      <c r="G648" s="99"/>
      <c r="H648" s="99"/>
      <c r="I648" s="99"/>
      <c r="J648" s="131"/>
      <c r="K648" s="131"/>
      <c r="L648" s="131"/>
      <c r="M648" s="131"/>
      <c r="N648" s="131"/>
      <c r="O648" s="131"/>
      <c r="P648" s="131"/>
      <c r="Q648" s="131"/>
      <c r="R648" s="131"/>
      <c r="S648" s="131"/>
      <c r="T648" s="131"/>
      <c r="U648" s="131"/>
      <c r="V648" s="131"/>
      <c r="W648" s="131"/>
      <c r="X648" s="131"/>
      <c r="Y648" s="131"/>
      <c r="Z648" s="131"/>
    </row>
    <row r="649">
      <c r="A649" s="99"/>
      <c r="B649" s="99"/>
      <c r="C649" s="99"/>
      <c r="D649" s="99"/>
      <c r="E649" s="99"/>
      <c r="F649" s="99"/>
      <c r="G649" s="99"/>
      <c r="H649" s="99"/>
      <c r="I649" s="99"/>
      <c r="J649" s="131"/>
      <c r="K649" s="131"/>
      <c r="L649" s="131"/>
      <c r="M649" s="131"/>
      <c r="N649" s="131"/>
      <c r="O649" s="131"/>
      <c r="P649" s="131"/>
      <c r="Q649" s="131"/>
      <c r="R649" s="131"/>
      <c r="S649" s="131"/>
      <c r="T649" s="131"/>
      <c r="U649" s="131"/>
      <c r="V649" s="131"/>
      <c r="W649" s="131"/>
      <c r="X649" s="131"/>
      <c r="Y649" s="131"/>
      <c r="Z649" s="131"/>
    </row>
    <row r="650">
      <c r="A650" s="99"/>
      <c r="B650" s="99"/>
      <c r="C650" s="99"/>
      <c r="D650" s="99"/>
      <c r="E650" s="99"/>
      <c r="F650" s="99"/>
      <c r="G650" s="99"/>
      <c r="H650" s="99"/>
      <c r="I650" s="99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31"/>
      <c r="U650" s="131"/>
      <c r="V650" s="131"/>
      <c r="W650" s="131"/>
      <c r="X650" s="131"/>
      <c r="Y650" s="131"/>
      <c r="Z650" s="131"/>
    </row>
    <row r="651">
      <c r="A651" s="99"/>
      <c r="B651" s="99"/>
      <c r="C651" s="99"/>
      <c r="D651" s="99"/>
      <c r="E651" s="99"/>
      <c r="F651" s="99"/>
      <c r="G651" s="99"/>
      <c r="H651" s="99"/>
      <c r="I651" s="99"/>
      <c r="J651" s="131"/>
      <c r="K651" s="131"/>
      <c r="L651" s="131"/>
      <c r="M651" s="131"/>
      <c r="N651" s="131"/>
      <c r="O651" s="131"/>
      <c r="P651" s="131"/>
      <c r="Q651" s="131"/>
      <c r="R651" s="131"/>
      <c r="S651" s="131"/>
      <c r="T651" s="131"/>
      <c r="U651" s="131"/>
      <c r="V651" s="131"/>
      <c r="W651" s="131"/>
      <c r="X651" s="131"/>
      <c r="Y651" s="131"/>
      <c r="Z651" s="131"/>
    </row>
    <row r="652">
      <c r="A652" s="99"/>
      <c r="B652" s="99"/>
      <c r="C652" s="99"/>
      <c r="D652" s="99"/>
      <c r="E652" s="99"/>
      <c r="F652" s="99"/>
      <c r="G652" s="99"/>
      <c r="H652" s="99"/>
      <c r="I652" s="99"/>
      <c r="J652" s="131"/>
      <c r="K652" s="131"/>
      <c r="L652" s="131"/>
      <c r="M652" s="131"/>
      <c r="N652" s="131"/>
      <c r="O652" s="131"/>
      <c r="P652" s="131"/>
      <c r="Q652" s="131"/>
      <c r="R652" s="131"/>
      <c r="S652" s="131"/>
      <c r="T652" s="131"/>
      <c r="U652" s="131"/>
      <c r="V652" s="131"/>
      <c r="W652" s="131"/>
      <c r="X652" s="131"/>
      <c r="Y652" s="131"/>
      <c r="Z652" s="131"/>
    </row>
    <row r="653">
      <c r="A653" s="99"/>
      <c r="B653" s="99"/>
      <c r="C653" s="99"/>
      <c r="D653" s="99"/>
      <c r="E653" s="99"/>
      <c r="F653" s="99"/>
      <c r="G653" s="99"/>
      <c r="H653" s="99"/>
      <c r="I653" s="99"/>
      <c r="J653" s="131"/>
      <c r="K653" s="131"/>
      <c r="L653" s="131"/>
      <c r="M653" s="131"/>
      <c r="N653" s="131"/>
      <c r="O653" s="131"/>
      <c r="P653" s="131"/>
      <c r="Q653" s="131"/>
      <c r="R653" s="131"/>
      <c r="S653" s="131"/>
      <c r="T653" s="131"/>
      <c r="U653" s="131"/>
      <c r="V653" s="131"/>
      <c r="W653" s="131"/>
      <c r="X653" s="131"/>
      <c r="Y653" s="131"/>
      <c r="Z653" s="131"/>
    </row>
    <row r="654">
      <c r="A654" s="99"/>
      <c r="B654" s="99"/>
      <c r="C654" s="99"/>
      <c r="D654" s="99"/>
      <c r="E654" s="99"/>
      <c r="F654" s="99"/>
      <c r="G654" s="99"/>
      <c r="H654" s="99"/>
      <c r="I654" s="99"/>
      <c r="J654" s="131"/>
      <c r="K654" s="131"/>
      <c r="L654" s="131"/>
      <c r="M654" s="131"/>
      <c r="N654" s="131"/>
      <c r="O654" s="131"/>
      <c r="P654" s="131"/>
      <c r="Q654" s="131"/>
      <c r="R654" s="131"/>
      <c r="S654" s="131"/>
      <c r="T654" s="131"/>
      <c r="U654" s="131"/>
      <c r="V654" s="131"/>
      <c r="W654" s="131"/>
      <c r="X654" s="131"/>
      <c r="Y654" s="131"/>
      <c r="Z654" s="131"/>
    </row>
    <row r="655">
      <c r="A655" s="99"/>
      <c r="B655" s="99"/>
      <c r="C655" s="99"/>
      <c r="D655" s="99"/>
      <c r="E655" s="99"/>
      <c r="F655" s="99"/>
      <c r="G655" s="99"/>
      <c r="H655" s="99"/>
      <c r="I655" s="99"/>
      <c r="J655" s="131"/>
      <c r="K655" s="131"/>
      <c r="L655" s="131"/>
      <c r="M655" s="131"/>
      <c r="N655" s="131"/>
      <c r="O655" s="131"/>
      <c r="P655" s="131"/>
      <c r="Q655" s="131"/>
      <c r="R655" s="131"/>
      <c r="S655" s="131"/>
      <c r="T655" s="131"/>
      <c r="U655" s="131"/>
      <c r="V655" s="131"/>
      <c r="W655" s="131"/>
      <c r="X655" s="131"/>
      <c r="Y655" s="131"/>
      <c r="Z655" s="131"/>
    </row>
    <row r="656">
      <c r="A656" s="99"/>
      <c r="B656" s="99"/>
      <c r="C656" s="99"/>
      <c r="D656" s="99"/>
      <c r="E656" s="99"/>
      <c r="F656" s="99"/>
      <c r="G656" s="99"/>
      <c r="H656" s="99"/>
      <c r="I656" s="99"/>
      <c r="J656" s="131"/>
      <c r="K656" s="131"/>
      <c r="L656" s="131"/>
      <c r="M656" s="131"/>
      <c r="N656" s="131"/>
      <c r="O656" s="131"/>
      <c r="P656" s="131"/>
      <c r="Q656" s="131"/>
      <c r="R656" s="131"/>
      <c r="S656" s="131"/>
      <c r="T656" s="131"/>
      <c r="U656" s="131"/>
      <c r="V656" s="131"/>
      <c r="W656" s="131"/>
      <c r="X656" s="131"/>
      <c r="Y656" s="131"/>
      <c r="Z656" s="131"/>
    </row>
    <row r="657">
      <c r="A657" s="99"/>
      <c r="B657" s="99"/>
      <c r="C657" s="99"/>
      <c r="D657" s="99"/>
      <c r="E657" s="99"/>
      <c r="F657" s="99"/>
      <c r="G657" s="99"/>
      <c r="H657" s="99"/>
      <c r="I657" s="99"/>
      <c r="J657" s="131"/>
      <c r="K657" s="131"/>
      <c r="L657" s="131"/>
      <c r="M657" s="131"/>
      <c r="N657" s="131"/>
      <c r="O657" s="131"/>
      <c r="P657" s="131"/>
      <c r="Q657" s="131"/>
      <c r="R657" s="131"/>
      <c r="S657" s="131"/>
      <c r="T657" s="131"/>
      <c r="U657" s="131"/>
      <c r="V657" s="131"/>
      <c r="W657" s="131"/>
      <c r="X657" s="131"/>
      <c r="Y657" s="131"/>
      <c r="Z657" s="131"/>
    </row>
    <row r="658">
      <c r="A658" s="99"/>
      <c r="B658" s="99"/>
      <c r="C658" s="99"/>
      <c r="D658" s="99"/>
      <c r="E658" s="99"/>
      <c r="F658" s="99"/>
      <c r="G658" s="99"/>
      <c r="H658" s="99"/>
      <c r="I658" s="99"/>
      <c r="J658" s="131"/>
      <c r="K658" s="131"/>
      <c r="L658" s="131"/>
      <c r="M658" s="131"/>
      <c r="N658" s="131"/>
      <c r="O658" s="131"/>
      <c r="P658" s="131"/>
      <c r="Q658" s="131"/>
      <c r="R658" s="131"/>
      <c r="S658" s="131"/>
      <c r="T658" s="131"/>
      <c r="U658" s="131"/>
      <c r="V658" s="131"/>
      <c r="W658" s="131"/>
      <c r="X658" s="131"/>
      <c r="Y658" s="131"/>
      <c r="Z658" s="131"/>
    </row>
    <row r="659">
      <c r="A659" s="99"/>
      <c r="B659" s="99"/>
      <c r="C659" s="99"/>
      <c r="D659" s="99"/>
      <c r="E659" s="99"/>
      <c r="F659" s="99"/>
      <c r="G659" s="99"/>
      <c r="H659" s="99"/>
      <c r="I659" s="99"/>
      <c r="J659" s="131"/>
      <c r="K659" s="131"/>
      <c r="L659" s="131"/>
      <c r="M659" s="131"/>
      <c r="N659" s="131"/>
      <c r="O659" s="131"/>
      <c r="P659" s="131"/>
      <c r="Q659" s="131"/>
      <c r="R659" s="131"/>
      <c r="S659" s="131"/>
      <c r="T659" s="131"/>
      <c r="U659" s="131"/>
      <c r="V659" s="131"/>
      <c r="W659" s="131"/>
      <c r="X659" s="131"/>
      <c r="Y659" s="131"/>
      <c r="Z659" s="131"/>
    </row>
    <row r="660">
      <c r="A660" s="99"/>
      <c r="B660" s="99"/>
      <c r="C660" s="99"/>
      <c r="D660" s="99"/>
      <c r="E660" s="99"/>
      <c r="F660" s="99"/>
      <c r="G660" s="99"/>
      <c r="H660" s="99"/>
      <c r="I660" s="99"/>
      <c r="J660" s="131"/>
      <c r="K660" s="131"/>
      <c r="L660" s="131"/>
      <c r="M660" s="131"/>
      <c r="N660" s="131"/>
      <c r="O660" s="131"/>
      <c r="P660" s="131"/>
      <c r="Q660" s="131"/>
      <c r="R660" s="131"/>
      <c r="S660" s="131"/>
      <c r="T660" s="131"/>
      <c r="U660" s="131"/>
      <c r="V660" s="131"/>
      <c r="W660" s="131"/>
      <c r="X660" s="131"/>
      <c r="Y660" s="131"/>
      <c r="Z660" s="131"/>
    </row>
    <row r="661">
      <c r="A661" s="99"/>
      <c r="B661" s="99"/>
      <c r="C661" s="99"/>
      <c r="D661" s="99"/>
      <c r="E661" s="99"/>
      <c r="F661" s="99"/>
      <c r="G661" s="99"/>
      <c r="H661" s="99"/>
      <c r="I661" s="99"/>
      <c r="J661" s="131"/>
      <c r="K661" s="131"/>
      <c r="L661" s="131"/>
      <c r="M661" s="131"/>
      <c r="N661" s="131"/>
      <c r="O661" s="131"/>
      <c r="P661" s="131"/>
      <c r="Q661" s="131"/>
      <c r="R661" s="131"/>
      <c r="S661" s="131"/>
      <c r="T661" s="131"/>
      <c r="U661" s="131"/>
      <c r="V661" s="131"/>
      <c r="W661" s="131"/>
      <c r="X661" s="131"/>
      <c r="Y661" s="131"/>
      <c r="Z661" s="131"/>
    </row>
    <row r="662">
      <c r="A662" s="99"/>
      <c r="B662" s="99"/>
      <c r="C662" s="99"/>
      <c r="D662" s="99"/>
      <c r="E662" s="99"/>
      <c r="F662" s="99"/>
      <c r="G662" s="99"/>
      <c r="H662" s="99"/>
      <c r="I662" s="99"/>
      <c r="J662" s="131"/>
      <c r="K662" s="131"/>
      <c r="L662" s="131"/>
      <c r="M662" s="131"/>
      <c r="N662" s="131"/>
      <c r="O662" s="131"/>
      <c r="P662" s="131"/>
      <c r="Q662" s="131"/>
      <c r="R662" s="131"/>
      <c r="S662" s="131"/>
      <c r="T662" s="131"/>
      <c r="U662" s="131"/>
      <c r="V662" s="131"/>
      <c r="W662" s="131"/>
      <c r="X662" s="131"/>
      <c r="Y662" s="131"/>
      <c r="Z662" s="131"/>
    </row>
    <row r="663">
      <c r="A663" s="99"/>
      <c r="B663" s="99"/>
      <c r="C663" s="99"/>
      <c r="D663" s="99"/>
      <c r="E663" s="99"/>
      <c r="F663" s="99"/>
      <c r="G663" s="99"/>
      <c r="H663" s="99"/>
      <c r="I663" s="99"/>
      <c r="J663" s="131"/>
      <c r="K663" s="131"/>
      <c r="L663" s="131"/>
      <c r="M663" s="131"/>
      <c r="N663" s="131"/>
      <c r="O663" s="131"/>
      <c r="P663" s="131"/>
      <c r="Q663" s="131"/>
      <c r="R663" s="131"/>
      <c r="S663" s="131"/>
      <c r="T663" s="131"/>
      <c r="U663" s="131"/>
      <c r="V663" s="131"/>
      <c r="W663" s="131"/>
      <c r="X663" s="131"/>
      <c r="Y663" s="131"/>
      <c r="Z663" s="131"/>
    </row>
    <row r="664">
      <c r="A664" s="99"/>
      <c r="B664" s="99"/>
      <c r="C664" s="99"/>
      <c r="D664" s="99"/>
      <c r="E664" s="99"/>
      <c r="F664" s="99"/>
      <c r="G664" s="99"/>
      <c r="H664" s="99"/>
      <c r="I664" s="99"/>
      <c r="J664" s="131"/>
      <c r="K664" s="131"/>
      <c r="L664" s="131"/>
      <c r="M664" s="131"/>
      <c r="N664" s="131"/>
      <c r="O664" s="131"/>
      <c r="P664" s="131"/>
      <c r="Q664" s="131"/>
      <c r="R664" s="131"/>
      <c r="S664" s="131"/>
      <c r="T664" s="131"/>
      <c r="U664" s="131"/>
      <c r="V664" s="131"/>
      <c r="W664" s="131"/>
      <c r="X664" s="131"/>
      <c r="Y664" s="131"/>
      <c r="Z664" s="131"/>
    </row>
    <row r="665">
      <c r="A665" s="99"/>
      <c r="B665" s="99"/>
      <c r="C665" s="99"/>
      <c r="D665" s="99"/>
      <c r="E665" s="99"/>
      <c r="F665" s="99"/>
      <c r="G665" s="99"/>
      <c r="H665" s="99"/>
      <c r="I665" s="99"/>
      <c r="J665" s="131"/>
      <c r="K665" s="131"/>
      <c r="L665" s="131"/>
      <c r="M665" s="131"/>
      <c r="N665" s="131"/>
      <c r="O665" s="131"/>
      <c r="P665" s="131"/>
      <c r="Q665" s="131"/>
      <c r="R665" s="131"/>
      <c r="S665" s="131"/>
      <c r="T665" s="131"/>
      <c r="U665" s="131"/>
      <c r="V665" s="131"/>
      <c r="W665" s="131"/>
      <c r="X665" s="131"/>
      <c r="Y665" s="131"/>
      <c r="Z665" s="131"/>
    </row>
    <row r="666">
      <c r="A666" s="99"/>
      <c r="B666" s="99"/>
      <c r="C666" s="99"/>
      <c r="D666" s="99"/>
      <c r="E666" s="99"/>
      <c r="F666" s="99"/>
      <c r="G666" s="99"/>
      <c r="H666" s="99"/>
      <c r="I666" s="99"/>
      <c r="J666" s="131"/>
      <c r="K666" s="131"/>
      <c r="L666" s="131"/>
      <c r="M666" s="131"/>
      <c r="N666" s="131"/>
      <c r="O666" s="131"/>
      <c r="P666" s="131"/>
      <c r="Q666" s="131"/>
      <c r="R666" s="131"/>
      <c r="S666" s="131"/>
      <c r="T666" s="131"/>
      <c r="U666" s="131"/>
      <c r="V666" s="131"/>
      <c r="W666" s="131"/>
      <c r="X666" s="131"/>
      <c r="Y666" s="131"/>
      <c r="Z666" s="131"/>
    </row>
    <row r="667">
      <c r="A667" s="99"/>
      <c r="B667" s="99"/>
      <c r="C667" s="99"/>
      <c r="D667" s="99"/>
      <c r="E667" s="99"/>
      <c r="F667" s="99"/>
      <c r="G667" s="99"/>
      <c r="H667" s="99"/>
      <c r="I667" s="99"/>
      <c r="J667" s="131"/>
      <c r="K667" s="131"/>
      <c r="L667" s="131"/>
      <c r="M667" s="131"/>
      <c r="N667" s="131"/>
      <c r="O667" s="131"/>
      <c r="P667" s="131"/>
      <c r="Q667" s="131"/>
      <c r="R667" s="131"/>
      <c r="S667" s="131"/>
      <c r="T667" s="131"/>
      <c r="U667" s="131"/>
      <c r="V667" s="131"/>
      <c r="W667" s="131"/>
      <c r="X667" s="131"/>
      <c r="Y667" s="131"/>
      <c r="Z667" s="131"/>
    </row>
    <row r="668">
      <c r="A668" s="99"/>
      <c r="B668" s="99"/>
      <c r="C668" s="99"/>
      <c r="D668" s="99"/>
      <c r="E668" s="99"/>
      <c r="F668" s="99"/>
      <c r="G668" s="99"/>
      <c r="H668" s="99"/>
      <c r="I668" s="99"/>
      <c r="J668" s="131"/>
      <c r="K668" s="131"/>
      <c r="L668" s="131"/>
      <c r="M668" s="131"/>
      <c r="N668" s="131"/>
      <c r="O668" s="131"/>
      <c r="P668" s="131"/>
      <c r="Q668" s="131"/>
      <c r="R668" s="131"/>
      <c r="S668" s="131"/>
      <c r="T668" s="131"/>
      <c r="U668" s="131"/>
      <c r="V668" s="131"/>
      <c r="W668" s="131"/>
      <c r="X668" s="131"/>
      <c r="Y668" s="131"/>
      <c r="Z668" s="131"/>
    </row>
    <row r="669">
      <c r="A669" s="99"/>
      <c r="B669" s="99"/>
      <c r="C669" s="99"/>
      <c r="D669" s="99"/>
      <c r="E669" s="99"/>
      <c r="F669" s="99"/>
      <c r="G669" s="99"/>
      <c r="H669" s="99"/>
      <c r="I669" s="99"/>
      <c r="J669" s="131"/>
      <c r="K669" s="131"/>
      <c r="L669" s="131"/>
      <c r="M669" s="131"/>
      <c r="N669" s="131"/>
      <c r="O669" s="131"/>
      <c r="P669" s="131"/>
      <c r="Q669" s="131"/>
      <c r="R669" s="131"/>
      <c r="S669" s="131"/>
      <c r="T669" s="131"/>
      <c r="U669" s="131"/>
      <c r="V669" s="131"/>
      <c r="W669" s="131"/>
      <c r="X669" s="131"/>
      <c r="Y669" s="131"/>
      <c r="Z669" s="131"/>
    </row>
    <row r="670">
      <c r="A670" s="99"/>
      <c r="B670" s="99"/>
      <c r="C670" s="99"/>
      <c r="D670" s="99"/>
      <c r="E670" s="99"/>
      <c r="F670" s="99"/>
      <c r="G670" s="99"/>
      <c r="H670" s="99"/>
      <c r="I670" s="99"/>
      <c r="J670" s="131"/>
      <c r="K670" s="131"/>
      <c r="L670" s="131"/>
      <c r="M670" s="131"/>
      <c r="N670" s="131"/>
      <c r="O670" s="131"/>
      <c r="P670" s="131"/>
      <c r="Q670" s="131"/>
      <c r="R670" s="131"/>
      <c r="S670" s="131"/>
      <c r="T670" s="131"/>
      <c r="U670" s="131"/>
      <c r="V670" s="131"/>
      <c r="W670" s="131"/>
      <c r="X670" s="131"/>
      <c r="Y670" s="131"/>
      <c r="Z670" s="131"/>
    </row>
    <row r="671">
      <c r="A671" s="99"/>
      <c r="B671" s="99"/>
      <c r="C671" s="99"/>
      <c r="D671" s="99"/>
      <c r="E671" s="99"/>
      <c r="F671" s="99"/>
      <c r="G671" s="99"/>
      <c r="H671" s="99"/>
      <c r="I671" s="99"/>
      <c r="J671" s="131"/>
      <c r="K671" s="131"/>
      <c r="L671" s="131"/>
      <c r="M671" s="131"/>
      <c r="N671" s="131"/>
      <c r="O671" s="131"/>
      <c r="P671" s="131"/>
      <c r="Q671" s="131"/>
      <c r="R671" s="131"/>
      <c r="S671" s="131"/>
      <c r="T671" s="131"/>
      <c r="U671" s="131"/>
      <c r="V671" s="131"/>
      <c r="W671" s="131"/>
      <c r="X671" s="131"/>
      <c r="Y671" s="131"/>
      <c r="Z671" s="131"/>
    </row>
    <row r="672">
      <c r="A672" s="99"/>
      <c r="B672" s="99"/>
      <c r="C672" s="99"/>
      <c r="D672" s="99"/>
      <c r="E672" s="99"/>
      <c r="F672" s="99"/>
      <c r="G672" s="99"/>
      <c r="H672" s="99"/>
      <c r="I672" s="99"/>
      <c r="J672" s="131"/>
      <c r="K672" s="131"/>
      <c r="L672" s="131"/>
      <c r="M672" s="131"/>
      <c r="N672" s="131"/>
      <c r="O672" s="131"/>
      <c r="P672" s="131"/>
      <c r="Q672" s="131"/>
      <c r="R672" s="131"/>
      <c r="S672" s="131"/>
      <c r="T672" s="131"/>
      <c r="U672" s="131"/>
      <c r="V672" s="131"/>
      <c r="W672" s="131"/>
      <c r="X672" s="131"/>
      <c r="Y672" s="131"/>
      <c r="Z672" s="131"/>
    </row>
    <row r="673">
      <c r="A673" s="99"/>
      <c r="B673" s="99"/>
      <c r="C673" s="99"/>
      <c r="D673" s="99"/>
      <c r="E673" s="99"/>
      <c r="F673" s="99"/>
      <c r="G673" s="99"/>
      <c r="H673" s="99"/>
      <c r="I673" s="99"/>
      <c r="J673" s="131"/>
      <c r="K673" s="131"/>
      <c r="L673" s="131"/>
      <c r="M673" s="131"/>
      <c r="N673" s="131"/>
      <c r="O673" s="131"/>
      <c r="P673" s="131"/>
      <c r="Q673" s="131"/>
      <c r="R673" s="131"/>
      <c r="S673" s="131"/>
      <c r="T673" s="131"/>
      <c r="U673" s="131"/>
      <c r="V673" s="131"/>
      <c r="W673" s="131"/>
      <c r="X673" s="131"/>
      <c r="Y673" s="131"/>
      <c r="Z673" s="131"/>
    </row>
    <row r="674">
      <c r="A674" s="99"/>
      <c r="B674" s="99"/>
      <c r="C674" s="99"/>
      <c r="D674" s="99"/>
      <c r="E674" s="99"/>
      <c r="F674" s="99"/>
      <c r="G674" s="99"/>
      <c r="H674" s="99"/>
      <c r="I674" s="99"/>
      <c r="J674" s="131"/>
      <c r="K674" s="131"/>
      <c r="L674" s="131"/>
      <c r="M674" s="131"/>
      <c r="N674" s="131"/>
      <c r="O674" s="131"/>
      <c r="P674" s="131"/>
      <c r="Q674" s="131"/>
      <c r="R674" s="131"/>
      <c r="S674" s="131"/>
      <c r="T674" s="131"/>
      <c r="U674" s="131"/>
      <c r="V674" s="131"/>
      <c r="W674" s="131"/>
      <c r="X674" s="131"/>
      <c r="Y674" s="131"/>
      <c r="Z674" s="131"/>
    </row>
    <row r="675">
      <c r="A675" s="99"/>
      <c r="B675" s="99"/>
      <c r="C675" s="99"/>
      <c r="D675" s="99"/>
      <c r="E675" s="99"/>
      <c r="F675" s="99"/>
      <c r="G675" s="99"/>
      <c r="H675" s="99"/>
      <c r="I675" s="99"/>
      <c r="J675" s="131"/>
      <c r="K675" s="131"/>
      <c r="L675" s="131"/>
      <c r="M675" s="131"/>
      <c r="N675" s="131"/>
      <c r="O675" s="131"/>
      <c r="P675" s="131"/>
      <c r="Q675" s="131"/>
      <c r="R675" s="131"/>
      <c r="S675" s="131"/>
      <c r="T675" s="131"/>
      <c r="U675" s="131"/>
      <c r="V675" s="131"/>
      <c r="W675" s="131"/>
      <c r="X675" s="131"/>
      <c r="Y675" s="131"/>
      <c r="Z675" s="131"/>
    </row>
    <row r="676">
      <c r="A676" s="99"/>
      <c r="B676" s="99"/>
      <c r="C676" s="99"/>
      <c r="D676" s="99"/>
      <c r="E676" s="99"/>
      <c r="F676" s="99"/>
      <c r="G676" s="99"/>
      <c r="H676" s="99"/>
      <c r="I676" s="99"/>
      <c r="J676" s="131"/>
      <c r="K676" s="131"/>
      <c r="L676" s="131"/>
      <c r="M676" s="131"/>
      <c r="N676" s="131"/>
      <c r="O676" s="131"/>
      <c r="P676" s="131"/>
      <c r="Q676" s="131"/>
      <c r="R676" s="131"/>
      <c r="S676" s="131"/>
      <c r="T676" s="131"/>
      <c r="U676" s="131"/>
      <c r="V676" s="131"/>
      <c r="W676" s="131"/>
      <c r="X676" s="131"/>
      <c r="Y676" s="131"/>
      <c r="Z676" s="131"/>
    </row>
    <row r="677">
      <c r="A677" s="99"/>
      <c r="B677" s="99"/>
      <c r="C677" s="99"/>
      <c r="D677" s="99"/>
      <c r="E677" s="99"/>
      <c r="F677" s="99"/>
      <c r="G677" s="99"/>
      <c r="H677" s="99"/>
      <c r="I677" s="99"/>
      <c r="J677" s="131"/>
      <c r="K677" s="131"/>
      <c r="L677" s="131"/>
      <c r="M677" s="131"/>
      <c r="N677" s="131"/>
      <c r="O677" s="131"/>
      <c r="P677" s="131"/>
      <c r="Q677" s="131"/>
      <c r="R677" s="131"/>
      <c r="S677" s="131"/>
      <c r="T677" s="131"/>
      <c r="U677" s="131"/>
      <c r="V677" s="131"/>
      <c r="W677" s="131"/>
      <c r="X677" s="131"/>
      <c r="Y677" s="131"/>
      <c r="Z677" s="131"/>
    </row>
    <row r="678">
      <c r="A678" s="99"/>
      <c r="B678" s="99"/>
      <c r="C678" s="99"/>
      <c r="D678" s="99"/>
      <c r="E678" s="99"/>
      <c r="F678" s="99"/>
      <c r="G678" s="99"/>
      <c r="H678" s="99"/>
      <c r="I678" s="99"/>
      <c r="J678" s="131"/>
      <c r="K678" s="131"/>
      <c r="L678" s="131"/>
      <c r="M678" s="131"/>
      <c r="N678" s="131"/>
      <c r="O678" s="131"/>
      <c r="P678" s="131"/>
      <c r="Q678" s="131"/>
      <c r="R678" s="131"/>
      <c r="S678" s="131"/>
      <c r="T678" s="131"/>
      <c r="U678" s="131"/>
      <c r="V678" s="131"/>
      <c r="W678" s="131"/>
      <c r="X678" s="131"/>
      <c r="Y678" s="131"/>
      <c r="Z678" s="131"/>
    </row>
    <row r="679">
      <c r="A679" s="99"/>
      <c r="B679" s="99"/>
      <c r="C679" s="99"/>
      <c r="D679" s="99"/>
      <c r="E679" s="99"/>
      <c r="F679" s="99"/>
      <c r="G679" s="99"/>
      <c r="H679" s="99"/>
      <c r="I679" s="99"/>
      <c r="J679" s="131"/>
      <c r="K679" s="131"/>
      <c r="L679" s="131"/>
      <c r="M679" s="131"/>
      <c r="N679" s="131"/>
      <c r="O679" s="131"/>
      <c r="P679" s="131"/>
      <c r="Q679" s="131"/>
      <c r="R679" s="131"/>
      <c r="S679" s="131"/>
      <c r="T679" s="131"/>
      <c r="U679" s="131"/>
      <c r="V679" s="131"/>
      <c r="W679" s="131"/>
      <c r="X679" s="131"/>
      <c r="Y679" s="131"/>
      <c r="Z679" s="131"/>
    </row>
    <row r="680">
      <c r="A680" s="99"/>
      <c r="B680" s="99"/>
      <c r="C680" s="99"/>
      <c r="D680" s="99"/>
      <c r="E680" s="99"/>
      <c r="F680" s="99"/>
      <c r="G680" s="99"/>
      <c r="H680" s="99"/>
      <c r="I680" s="99"/>
      <c r="J680" s="131"/>
      <c r="K680" s="131"/>
      <c r="L680" s="131"/>
      <c r="M680" s="131"/>
      <c r="N680" s="131"/>
      <c r="O680" s="131"/>
      <c r="P680" s="131"/>
      <c r="Q680" s="131"/>
      <c r="R680" s="131"/>
      <c r="S680" s="131"/>
      <c r="T680" s="131"/>
      <c r="U680" s="131"/>
      <c r="V680" s="131"/>
      <c r="W680" s="131"/>
      <c r="X680" s="131"/>
      <c r="Y680" s="131"/>
      <c r="Z680" s="131"/>
    </row>
    <row r="681">
      <c r="A681" s="99"/>
      <c r="B681" s="99"/>
      <c r="C681" s="99"/>
      <c r="D681" s="99"/>
      <c r="E681" s="99"/>
      <c r="F681" s="99"/>
      <c r="G681" s="99"/>
      <c r="H681" s="99"/>
      <c r="I681" s="99"/>
      <c r="J681" s="131"/>
      <c r="K681" s="131"/>
      <c r="L681" s="131"/>
      <c r="M681" s="131"/>
      <c r="N681" s="131"/>
      <c r="O681" s="131"/>
      <c r="P681" s="131"/>
      <c r="Q681" s="131"/>
      <c r="R681" s="131"/>
      <c r="S681" s="131"/>
      <c r="T681" s="131"/>
      <c r="U681" s="131"/>
      <c r="V681" s="131"/>
      <c r="W681" s="131"/>
      <c r="X681" s="131"/>
      <c r="Y681" s="131"/>
      <c r="Z681" s="131"/>
    </row>
    <row r="682">
      <c r="A682" s="99"/>
      <c r="B682" s="99"/>
      <c r="C682" s="99"/>
      <c r="D682" s="99"/>
      <c r="E682" s="99"/>
      <c r="F682" s="99"/>
      <c r="G682" s="99"/>
      <c r="H682" s="99"/>
      <c r="I682" s="99"/>
      <c r="J682" s="131"/>
      <c r="K682" s="131"/>
      <c r="L682" s="131"/>
      <c r="M682" s="131"/>
      <c r="N682" s="131"/>
      <c r="O682" s="131"/>
      <c r="P682" s="131"/>
      <c r="Q682" s="131"/>
      <c r="R682" s="131"/>
      <c r="S682" s="131"/>
      <c r="T682" s="131"/>
      <c r="U682" s="131"/>
      <c r="V682" s="131"/>
      <c r="W682" s="131"/>
      <c r="X682" s="131"/>
      <c r="Y682" s="131"/>
      <c r="Z682" s="131"/>
    </row>
    <row r="683">
      <c r="A683" s="99"/>
      <c r="B683" s="99"/>
      <c r="C683" s="99"/>
      <c r="D683" s="99"/>
      <c r="E683" s="99"/>
      <c r="F683" s="99"/>
      <c r="G683" s="99"/>
      <c r="H683" s="99"/>
      <c r="I683" s="99"/>
      <c r="J683" s="131"/>
      <c r="K683" s="131"/>
      <c r="L683" s="131"/>
      <c r="M683" s="131"/>
      <c r="N683" s="131"/>
      <c r="O683" s="131"/>
      <c r="P683" s="131"/>
      <c r="Q683" s="131"/>
      <c r="R683" s="131"/>
      <c r="S683" s="131"/>
      <c r="T683" s="131"/>
      <c r="U683" s="131"/>
      <c r="V683" s="131"/>
      <c r="W683" s="131"/>
      <c r="X683" s="131"/>
      <c r="Y683" s="131"/>
      <c r="Z683" s="131"/>
    </row>
    <row r="684">
      <c r="A684" s="99"/>
      <c r="B684" s="99"/>
      <c r="C684" s="99"/>
      <c r="D684" s="99"/>
      <c r="E684" s="99"/>
      <c r="F684" s="99"/>
      <c r="G684" s="99"/>
      <c r="H684" s="99"/>
      <c r="I684" s="99"/>
      <c r="J684" s="131"/>
      <c r="K684" s="131"/>
      <c r="L684" s="131"/>
      <c r="M684" s="131"/>
      <c r="N684" s="131"/>
      <c r="O684" s="131"/>
      <c r="P684" s="131"/>
      <c r="Q684" s="131"/>
      <c r="R684" s="131"/>
      <c r="S684" s="131"/>
      <c r="T684" s="131"/>
      <c r="U684" s="131"/>
      <c r="V684" s="131"/>
      <c r="W684" s="131"/>
      <c r="X684" s="131"/>
      <c r="Y684" s="131"/>
      <c r="Z684" s="131"/>
    </row>
    <row r="685">
      <c r="A685" s="99"/>
      <c r="B685" s="99"/>
      <c r="C685" s="99"/>
      <c r="D685" s="99"/>
      <c r="E685" s="99"/>
      <c r="F685" s="99"/>
      <c r="G685" s="99"/>
      <c r="H685" s="99"/>
      <c r="I685" s="99"/>
      <c r="J685" s="131"/>
      <c r="K685" s="131"/>
      <c r="L685" s="131"/>
      <c r="M685" s="131"/>
      <c r="N685" s="131"/>
      <c r="O685" s="131"/>
      <c r="P685" s="131"/>
      <c r="Q685" s="131"/>
      <c r="R685" s="131"/>
      <c r="S685" s="131"/>
      <c r="T685" s="131"/>
      <c r="U685" s="131"/>
      <c r="V685" s="131"/>
      <c r="W685" s="131"/>
      <c r="X685" s="131"/>
      <c r="Y685" s="131"/>
      <c r="Z685" s="131"/>
    </row>
    <row r="686">
      <c r="A686" s="99"/>
      <c r="B686" s="99"/>
      <c r="C686" s="99"/>
      <c r="D686" s="99"/>
      <c r="E686" s="99"/>
      <c r="F686" s="99"/>
      <c r="G686" s="99"/>
      <c r="H686" s="99"/>
      <c r="I686" s="99"/>
      <c r="J686" s="131"/>
      <c r="K686" s="131"/>
      <c r="L686" s="131"/>
      <c r="M686" s="131"/>
      <c r="N686" s="131"/>
      <c r="O686" s="131"/>
      <c r="P686" s="131"/>
      <c r="Q686" s="131"/>
      <c r="R686" s="131"/>
      <c r="S686" s="131"/>
      <c r="T686" s="131"/>
      <c r="U686" s="131"/>
      <c r="V686" s="131"/>
      <c r="W686" s="131"/>
      <c r="X686" s="131"/>
      <c r="Y686" s="131"/>
      <c r="Z686" s="131"/>
    </row>
    <row r="687">
      <c r="A687" s="99"/>
      <c r="B687" s="99"/>
      <c r="C687" s="99"/>
      <c r="D687" s="99"/>
      <c r="E687" s="99"/>
      <c r="F687" s="99"/>
      <c r="G687" s="99"/>
      <c r="H687" s="99"/>
      <c r="I687" s="99"/>
      <c r="J687" s="131"/>
      <c r="K687" s="131"/>
      <c r="L687" s="131"/>
      <c r="M687" s="131"/>
      <c r="N687" s="131"/>
      <c r="O687" s="131"/>
      <c r="P687" s="131"/>
      <c r="Q687" s="131"/>
      <c r="R687" s="131"/>
      <c r="S687" s="131"/>
      <c r="T687" s="131"/>
      <c r="U687" s="131"/>
      <c r="V687" s="131"/>
      <c r="W687" s="131"/>
      <c r="X687" s="131"/>
      <c r="Y687" s="131"/>
      <c r="Z687" s="131"/>
    </row>
    <row r="688">
      <c r="A688" s="99"/>
      <c r="B688" s="99"/>
      <c r="C688" s="99"/>
      <c r="D688" s="99"/>
      <c r="E688" s="99"/>
      <c r="F688" s="99"/>
      <c r="G688" s="99"/>
      <c r="H688" s="99"/>
      <c r="I688" s="99"/>
      <c r="J688" s="131"/>
      <c r="K688" s="131"/>
      <c r="L688" s="131"/>
      <c r="M688" s="131"/>
      <c r="N688" s="131"/>
      <c r="O688" s="131"/>
      <c r="P688" s="131"/>
      <c r="Q688" s="131"/>
      <c r="R688" s="131"/>
      <c r="S688" s="131"/>
      <c r="T688" s="131"/>
      <c r="U688" s="131"/>
      <c r="V688" s="131"/>
      <c r="W688" s="131"/>
      <c r="X688" s="131"/>
      <c r="Y688" s="131"/>
      <c r="Z688" s="131"/>
    </row>
    <row r="689">
      <c r="A689" s="99"/>
      <c r="B689" s="99"/>
      <c r="C689" s="99"/>
      <c r="D689" s="99"/>
      <c r="E689" s="99"/>
      <c r="F689" s="99"/>
      <c r="G689" s="99"/>
      <c r="H689" s="99"/>
      <c r="I689" s="99"/>
      <c r="J689" s="131"/>
      <c r="K689" s="131"/>
      <c r="L689" s="131"/>
      <c r="M689" s="131"/>
      <c r="N689" s="131"/>
      <c r="O689" s="131"/>
      <c r="P689" s="131"/>
      <c r="Q689" s="131"/>
      <c r="R689" s="131"/>
      <c r="S689" s="131"/>
      <c r="T689" s="131"/>
      <c r="U689" s="131"/>
      <c r="V689" s="131"/>
      <c r="W689" s="131"/>
      <c r="X689" s="131"/>
      <c r="Y689" s="131"/>
      <c r="Z689" s="131"/>
    </row>
    <row r="690">
      <c r="A690" s="99"/>
      <c r="B690" s="99"/>
      <c r="C690" s="99"/>
      <c r="D690" s="99"/>
      <c r="E690" s="99"/>
      <c r="F690" s="99"/>
      <c r="G690" s="99"/>
      <c r="H690" s="99"/>
      <c r="I690" s="99"/>
      <c r="J690" s="131"/>
      <c r="K690" s="131"/>
      <c r="L690" s="131"/>
      <c r="M690" s="131"/>
      <c r="N690" s="131"/>
      <c r="O690" s="131"/>
      <c r="P690" s="131"/>
      <c r="Q690" s="131"/>
      <c r="R690" s="131"/>
      <c r="S690" s="131"/>
      <c r="T690" s="131"/>
      <c r="U690" s="131"/>
      <c r="V690" s="131"/>
      <c r="W690" s="131"/>
      <c r="X690" s="131"/>
      <c r="Y690" s="131"/>
      <c r="Z690" s="131"/>
    </row>
    <row r="691">
      <c r="A691" s="99"/>
      <c r="B691" s="99"/>
      <c r="C691" s="99"/>
      <c r="D691" s="99"/>
      <c r="E691" s="99"/>
      <c r="F691" s="99"/>
      <c r="G691" s="99"/>
      <c r="H691" s="99"/>
      <c r="I691" s="99"/>
      <c r="J691" s="131"/>
      <c r="K691" s="131"/>
      <c r="L691" s="131"/>
      <c r="M691" s="131"/>
      <c r="N691" s="131"/>
      <c r="O691" s="131"/>
      <c r="P691" s="131"/>
      <c r="Q691" s="131"/>
      <c r="R691" s="131"/>
      <c r="S691" s="131"/>
      <c r="T691" s="131"/>
      <c r="U691" s="131"/>
      <c r="V691" s="131"/>
      <c r="W691" s="131"/>
      <c r="X691" s="131"/>
      <c r="Y691" s="131"/>
      <c r="Z691" s="131"/>
    </row>
    <row r="692">
      <c r="A692" s="99"/>
      <c r="B692" s="99"/>
      <c r="C692" s="99"/>
      <c r="D692" s="99"/>
      <c r="E692" s="99"/>
      <c r="F692" s="99"/>
      <c r="G692" s="99"/>
      <c r="H692" s="99"/>
      <c r="I692" s="99"/>
      <c r="J692" s="131"/>
      <c r="K692" s="131"/>
      <c r="L692" s="131"/>
      <c r="M692" s="131"/>
      <c r="N692" s="131"/>
      <c r="O692" s="131"/>
      <c r="P692" s="131"/>
      <c r="Q692" s="131"/>
      <c r="R692" s="131"/>
      <c r="S692" s="131"/>
      <c r="T692" s="131"/>
      <c r="U692" s="131"/>
      <c r="V692" s="131"/>
      <c r="W692" s="131"/>
      <c r="X692" s="131"/>
      <c r="Y692" s="131"/>
      <c r="Z692" s="131"/>
    </row>
    <row r="693">
      <c r="A693" s="99"/>
      <c r="B693" s="99"/>
      <c r="C693" s="99"/>
      <c r="D693" s="99"/>
      <c r="E693" s="99"/>
      <c r="F693" s="99"/>
      <c r="G693" s="99"/>
      <c r="H693" s="99"/>
      <c r="I693" s="99"/>
      <c r="J693" s="131"/>
      <c r="K693" s="131"/>
      <c r="L693" s="131"/>
      <c r="M693" s="131"/>
      <c r="N693" s="131"/>
      <c r="O693" s="131"/>
      <c r="P693" s="131"/>
      <c r="Q693" s="131"/>
      <c r="R693" s="131"/>
      <c r="S693" s="131"/>
      <c r="T693" s="131"/>
      <c r="U693" s="131"/>
      <c r="V693" s="131"/>
      <c r="W693" s="131"/>
      <c r="X693" s="131"/>
      <c r="Y693" s="131"/>
      <c r="Z693" s="131"/>
    </row>
    <row r="694">
      <c r="A694" s="99"/>
      <c r="B694" s="99"/>
      <c r="C694" s="99"/>
      <c r="D694" s="99"/>
      <c r="E694" s="99"/>
      <c r="F694" s="99"/>
      <c r="G694" s="99"/>
      <c r="H694" s="99"/>
      <c r="I694" s="99"/>
      <c r="J694" s="131"/>
      <c r="K694" s="131"/>
      <c r="L694" s="131"/>
      <c r="M694" s="131"/>
      <c r="N694" s="131"/>
      <c r="O694" s="131"/>
      <c r="P694" s="131"/>
      <c r="Q694" s="131"/>
      <c r="R694" s="131"/>
      <c r="S694" s="131"/>
      <c r="T694" s="131"/>
      <c r="U694" s="131"/>
      <c r="V694" s="131"/>
      <c r="W694" s="131"/>
      <c r="X694" s="131"/>
      <c r="Y694" s="131"/>
      <c r="Z694" s="131"/>
    </row>
    <row r="695">
      <c r="A695" s="99"/>
      <c r="B695" s="99"/>
      <c r="C695" s="99"/>
      <c r="D695" s="99"/>
      <c r="E695" s="99"/>
      <c r="F695" s="99"/>
      <c r="G695" s="99"/>
      <c r="H695" s="99"/>
      <c r="I695" s="99"/>
      <c r="J695" s="131"/>
      <c r="K695" s="131"/>
      <c r="L695" s="131"/>
      <c r="M695" s="131"/>
      <c r="N695" s="131"/>
      <c r="O695" s="131"/>
      <c r="P695" s="131"/>
      <c r="Q695" s="131"/>
      <c r="R695" s="131"/>
      <c r="S695" s="131"/>
      <c r="T695" s="131"/>
      <c r="U695" s="131"/>
      <c r="V695" s="131"/>
      <c r="W695" s="131"/>
      <c r="X695" s="131"/>
      <c r="Y695" s="131"/>
      <c r="Z695" s="131"/>
    </row>
    <row r="696">
      <c r="A696" s="99"/>
      <c r="B696" s="99"/>
      <c r="C696" s="99"/>
      <c r="D696" s="99"/>
      <c r="E696" s="99"/>
      <c r="F696" s="99"/>
      <c r="G696" s="99"/>
      <c r="H696" s="99"/>
      <c r="I696" s="99"/>
      <c r="J696" s="131"/>
      <c r="K696" s="131"/>
      <c r="L696" s="131"/>
      <c r="M696" s="131"/>
      <c r="N696" s="131"/>
      <c r="O696" s="131"/>
      <c r="P696" s="131"/>
      <c r="Q696" s="131"/>
      <c r="R696" s="131"/>
      <c r="S696" s="131"/>
      <c r="T696" s="131"/>
      <c r="U696" s="131"/>
      <c r="V696" s="131"/>
      <c r="W696" s="131"/>
      <c r="X696" s="131"/>
      <c r="Y696" s="131"/>
      <c r="Z696" s="131"/>
    </row>
    <row r="697">
      <c r="A697" s="99"/>
      <c r="B697" s="99"/>
      <c r="C697" s="99"/>
      <c r="D697" s="99"/>
      <c r="E697" s="99"/>
      <c r="F697" s="99"/>
      <c r="G697" s="99"/>
      <c r="H697" s="99"/>
      <c r="I697" s="99"/>
      <c r="J697" s="131"/>
      <c r="K697" s="131"/>
      <c r="L697" s="131"/>
      <c r="M697" s="131"/>
      <c r="N697" s="131"/>
      <c r="O697" s="131"/>
      <c r="P697" s="131"/>
      <c r="Q697" s="131"/>
      <c r="R697" s="131"/>
      <c r="S697" s="131"/>
      <c r="T697" s="131"/>
      <c r="U697" s="131"/>
      <c r="V697" s="131"/>
      <c r="W697" s="131"/>
      <c r="X697" s="131"/>
      <c r="Y697" s="131"/>
      <c r="Z697" s="131"/>
    </row>
    <row r="698">
      <c r="A698" s="99"/>
      <c r="B698" s="99"/>
      <c r="C698" s="99"/>
      <c r="D698" s="99"/>
      <c r="E698" s="99"/>
      <c r="F698" s="99"/>
      <c r="G698" s="99"/>
      <c r="H698" s="99"/>
      <c r="I698" s="99"/>
      <c r="J698" s="131"/>
      <c r="K698" s="131"/>
      <c r="L698" s="131"/>
      <c r="M698" s="131"/>
      <c r="N698" s="131"/>
      <c r="O698" s="131"/>
      <c r="P698" s="131"/>
      <c r="Q698" s="131"/>
      <c r="R698" s="131"/>
      <c r="S698" s="131"/>
      <c r="T698" s="131"/>
      <c r="U698" s="131"/>
      <c r="V698" s="131"/>
      <c r="W698" s="131"/>
      <c r="X698" s="131"/>
      <c r="Y698" s="131"/>
      <c r="Z698" s="131"/>
    </row>
    <row r="699">
      <c r="A699" s="99"/>
      <c r="B699" s="99"/>
      <c r="C699" s="99"/>
      <c r="D699" s="99"/>
      <c r="E699" s="99"/>
      <c r="F699" s="99"/>
      <c r="G699" s="99"/>
      <c r="H699" s="99"/>
      <c r="I699" s="99"/>
      <c r="J699" s="131"/>
      <c r="K699" s="131"/>
      <c r="L699" s="131"/>
      <c r="M699" s="131"/>
      <c r="N699" s="131"/>
      <c r="O699" s="131"/>
      <c r="P699" s="131"/>
      <c r="Q699" s="131"/>
      <c r="R699" s="131"/>
      <c r="S699" s="131"/>
      <c r="T699" s="131"/>
      <c r="U699" s="131"/>
      <c r="V699" s="131"/>
      <c r="W699" s="131"/>
      <c r="X699" s="131"/>
      <c r="Y699" s="131"/>
      <c r="Z699" s="131"/>
    </row>
    <row r="700">
      <c r="A700" s="99"/>
      <c r="B700" s="99"/>
      <c r="C700" s="99"/>
      <c r="D700" s="99"/>
      <c r="E700" s="99"/>
      <c r="F700" s="99"/>
      <c r="G700" s="99"/>
      <c r="H700" s="99"/>
      <c r="I700" s="99"/>
      <c r="J700" s="131"/>
      <c r="K700" s="131"/>
      <c r="L700" s="131"/>
      <c r="M700" s="131"/>
      <c r="N700" s="131"/>
      <c r="O700" s="131"/>
      <c r="P700" s="131"/>
      <c r="Q700" s="131"/>
      <c r="R700" s="131"/>
      <c r="S700" s="131"/>
      <c r="T700" s="131"/>
      <c r="U700" s="131"/>
      <c r="V700" s="131"/>
      <c r="W700" s="131"/>
      <c r="X700" s="131"/>
      <c r="Y700" s="131"/>
      <c r="Z700" s="131"/>
    </row>
    <row r="701">
      <c r="A701" s="99"/>
      <c r="B701" s="99"/>
      <c r="C701" s="99"/>
      <c r="D701" s="99"/>
      <c r="E701" s="99"/>
      <c r="F701" s="99"/>
      <c r="G701" s="99"/>
      <c r="H701" s="99"/>
      <c r="I701" s="99"/>
      <c r="J701" s="131"/>
      <c r="K701" s="131"/>
      <c r="L701" s="131"/>
      <c r="M701" s="131"/>
      <c r="N701" s="131"/>
      <c r="O701" s="131"/>
      <c r="P701" s="131"/>
      <c r="Q701" s="131"/>
      <c r="R701" s="131"/>
      <c r="S701" s="131"/>
      <c r="T701" s="131"/>
      <c r="U701" s="131"/>
      <c r="V701" s="131"/>
      <c r="W701" s="131"/>
      <c r="X701" s="131"/>
      <c r="Y701" s="131"/>
      <c r="Z701" s="131"/>
    </row>
    <row r="702">
      <c r="A702" s="99"/>
      <c r="B702" s="99"/>
      <c r="C702" s="99"/>
      <c r="D702" s="99"/>
      <c r="E702" s="99"/>
      <c r="F702" s="99"/>
      <c r="G702" s="99"/>
      <c r="H702" s="99"/>
      <c r="I702" s="99"/>
      <c r="J702" s="131"/>
      <c r="K702" s="131"/>
      <c r="L702" s="131"/>
      <c r="M702" s="131"/>
      <c r="N702" s="131"/>
      <c r="O702" s="131"/>
      <c r="P702" s="131"/>
      <c r="Q702" s="131"/>
      <c r="R702" s="131"/>
      <c r="S702" s="131"/>
      <c r="T702" s="131"/>
      <c r="U702" s="131"/>
      <c r="V702" s="131"/>
      <c r="W702" s="131"/>
      <c r="X702" s="131"/>
      <c r="Y702" s="131"/>
      <c r="Z702" s="131"/>
    </row>
    <row r="703">
      <c r="A703" s="99"/>
      <c r="B703" s="99"/>
      <c r="C703" s="99"/>
      <c r="D703" s="99"/>
      <c r="E703" s="99"/>
      <c r="F703" s="99"/>
      <c r="G703" s="99"/>
      <c r="H703" s="99"/>
      <c r="I703" s="99"/>
      <c r="J703" s="131"/>
      <c r="K703" s="131"/>
      <c r="L703" s="131"/>
      <c r="M703" s="131"/>
      <c r="N703" s="131"/>
      <c r="O703" s="131"/>
      <c r="P703" s="131"/>
      <c r="Q703" s="131"/>
      <c r="R703" s="131"/>
      <c r="S703" s="131"/>
      <c r="T703" s="131"/>
      <c r="U703" s="131"/>
      <c r="V703" s="131"/>
      <c r="W703" s="131"/>
      <c r="X703" s="131"/>
      <c r="Y703" s="131"/>
      <c r="Z703" s="131"/>
    </row>
    <row r="704">
      <c r="A704" s="99"/>
      <c r="B704" s="99"/>
      <c r="C704" s="99"/>
      <c r="D704" s="99"/>
      <c r="E704" s="99"/>
      <c r="F704" s="99"/>
      <c r="G704" s="99"/>
      <c r="H704" s="99"/>
      <c r="I704" s="99"/>
      <c r="J704" s="131"/>
      <c r="K704" s="131"/>
      <c r="L704" s="131"/>
      <c r="M704" s="131"/>
      <c r="N704" s="131"/>
      <c r="O704" s="131"/>
      <c r="P704" s="131"/>
      <c r="Q704" s="131"/>
      <c r="R704" s="131"/>
      <c r="S704" s="131"/>
      <c r="T704" s="131"/>
      <c r="U704" s="131"/>
      <c r="V704" s="131"/>
      <c r="W704" s="131"/>
      <c r="X704" s="131"/>
      <c r="Y704" s="131"/>
      <c r="Z704" s="131"/>
    </row>
    <row r="705">
      <c r="A705" s="99"/>
      <c r="B705" s="99"/>
      <c r="C705" s="99"/>
      <c r="D705" s="99"/>
      <c r="E705" s="99"/>
      <c r="F705" s="99"/>
      <c r="G705" s="99"/>
      <c r="H705" s="99"/>
      <c r="I705" s="99"/>
      <c r="J705" s="131"/>
      <c r="K705" s="131"/>
      <c r="L705" s="131"/>
      <c r="M705" s="131"/>
      <c r="N705" s="131"/>
      <c r="O705" s="131"/>
      <c r="P705" s="131"/>
      <c r="Q705" s="131"/>
      <c r="R705" s="131"/>
      <c r="S705" s="131"/>
      <c r="T705" s="131"/>
      <c r="U705" s="131"/>
      <c r="V705" s="131"/>
      <c r="W705" s="131"/>
      <c r="X705" s="131"/>
      <c r="Y705" s="131"/>
      <c r="Z705" s="131"/>
    </row>
    <row r="706">
      <c r="A706" s="99"/>
      <c r="B706" s="99"/>
      <c r="C706" s="99"/>
      <c r="D706" s="99"/>
      <c r="E706" s="99"/>
      <c r="F706" s="99"/>
      <c r="G706" s="99"/>
      <c r="H706" s="99"/>
      <c r="I706" s="99"/>
      <c r="J706" s="131"/>
      <c r="K706" s="131"/>
      <c r="L706" s="131"/>
      <c r="M706" s="131"/>
      <c r="N706" s="131"/>
      <c r="O706" s="131"/>
      <c r="P706" s="131"/>
      <c r="Q706" s="131"/>
      <c r="R706" s="131"/>
      <c r="S706" s="131"/>
      <c r="T706" s="131"/>
      <c r="U706" s="131"/>
      <c r="V706" s="131"/>
      <c r="W706" s="131"/>
      <c r="X706" s="131"/>
      <c r="Y706" s="131"/>
      <c r="Z706" s="131"/>
    </row>
    <row r="707">
      <c r="A707" s="99"/>
      <c r="B707" s="99"/>
      <c r="C707" s="99"/>
      <c r="D707" s="99"/>
      <c r="E707" s="99"/>
      <c r="F707" s="99"/>
      <c r="G707" s="99"/>
      <c r="H707" s="99"/>
      <c r="I707" s="99"/>
      <c r="J707" s="131"/>
      <c r="K707" s="131"/>
      <c r="L707" s="131"/>
      <c r="M707" s="131"/>
      <c r="N707" s="131"/>
      <c r="O707" s="131"/>
      <c r="P707" s="131"/>
      <c r="Q707" s="131"/>
      <c r="R707" s="131"/>
      <c r="S707" s="131"/>
      <c r="T707" s="131"/>
      <c r="U707" s="131"/>
      <c r="V707" s="131"/>
      <c r="W707" s="131"/>
      <c r="X707" s="131"/>
      <c r="Y707" s="131"/>
      <c r="Z707" s="131"/>
    </row>
    <row r="708">
      <c r="A708" s="99"/>
      <c r="B708" s="99"/>
      <c r="C708" s="99"/>
      <c r="D708" s="99"/>
      <c r="E708" s="99"/>
      <c r="F708" s="99"/>
      <c r="G708" s="99"/>
      <c r="H708" s="99"/>
      <c r="I708" s="99"/>
      <c r="J708" s="131"/>
      <c r="K708" s="131"/>
      <c r="L708" s="131"/>
      <c r="M708" s="131"/>
      <c r="N708" s="131"/>
      <c r="O708" s="131"/>
      <c r="P708" s="131"/>
      <c r="Q708" s="131"/>
      <c r="R708" s="131"/>
      <c r="S708" s="131"/>
      <c r="T708" s="131"/>
      <c r="U708" s="131"/>
      <c r="V708" s="131"/>
      <c r="W708" s="131"/>
      <c r="X708" s="131"/>
      <c r="Y708" s="131"/>
      <c r="Z708" s="131"/>
    </row>
    <row r="709">
      <c r="A709" s="99"/>
      <c r="B709" s="99"/>
      <c r="C709" s="99"/>
      <c r="D709" s="99"/>
      <c r="E709" s="99"/>
      <c r="F709" s="99"/>
      <c r="G709" s="99"/>
      <c r="H709" s="99"/>
      <c r="I709" s="99"/>
      <c r="J709" s="131"/>
      <c r="K709" s="131"/>
      <c r="L709" s="131"/>
      <c r="M709" s="131"/>
      <c r="N709" s="131"/>
      <c r="O709" s="131"/>
      <c r="P709" s="131"/>
      <c r="Q709" s="131"/>
      <c r="R709" s="131"/>
      <c r="S709" s="131"/>
      <c r="T709" s="131"/>
      <c r="U709" s="131"/>
      <c r="V709" s="131"/>
      <c r="W709" s="131"/>
      <c r="X709" s="131"/>
      <c r="Y709" s="131"/>
      <c r="Z709" s="131"/>
    </row>
    <row r="710">
      <c r="A710" s="99"/>
      <c r="B710" s="99"/>
      <c r="C710" s="99"/>
      <c r="D710" s="99"/>
      <c r="E710" s="99"/>
      <c r="F710" s="99"/>
      <c r="G710" s="99"/>
      <c r="H710" s="99"/>
      <c r="I710" s="99"/>
      <c r="J710" s="131"/>
      <c r="K710" s="131"/>
      <c r="L710" s="131"/>
      <c r="M710" s="131"/>
      <c r="N710" s="131"/>
      <c r="O710" s="131"/>
      <c r="P710" s="131"/>
      <c r="Q710" s="131"/>
      <c r="R710" s="131"/>
      <c r="S710" s="131"/>
      <c r="T710" s="131"/>
      <c r="U710" s="131"/>
      <c r="V710" s="131"/>
      <c r="W710" s="131"/>
      <c r="X710" s="131"/>
      <c r="Y710" s="131"/>
      <c r="Z710" s="131"/>
    </row>
    <row r="711">
      <c r="A711" s="99"/>
      <c r="B711" s="99"/>
      <c r="C711" s="99"/>
      <c r="D711" s="99"/>
      <c r="E711" s="99"/>
      <c r="F711" s="99"/>
      <c r="G711" s="99"/>
      <c r="H711" s="99"/>
      <c r="I711" s="99"/>
      <c r="J711" s="131"/>
      <c r="K711" s="131"/>
      <c r="L711" s="131"/>
      <c r="M711" s="131"/>
      <c r="N711" s="131"/>
      <c r="O711" s="131"/>
      <c r="P711" s="131"/>
      <c r="Q711" s="131"/>
      <c r="R711" s="131"/>
      <c r="S711" s="131"/>
      <c r="T711" s="131"/>
      <c r="U711" s="131"/>
      <c r="V711" s="131"/>
      <c r="W711" s="131"/>
      <c r="X711" s="131"/>
      <c r="Y711" s="131"/>
      <c r="Z711" s="131"/>
    </row>
    <row r="712">
      <c r="A712" s="99"/>
      <c r="B712" s="99"/>
      <c r="C712" s="99"/>
      <c r="D712" s="99"/>
      <c r="E712" s="99"/>
      <c r="F712" s="99"/>
      <c r="G712" s="99"/>
      <c r="H712" s="99"/>
      <c r="I712" s="99"/>
      <c r="J712" s="131"/>
      <c r="K712" s="131"/>
      <c r="L712" s="131"/>
      <c r="M712" s="131"/>
      <c r="N712" s="131"/>
      <c r="O712" s="131"/>
      <c r="P712" s="131"/>
      <c r="Q712" s="131"/>
      <c r="R712" s="131"/>
      <c r="S712" s="131"/>
      <c r="T712" s="131"/>
      <c r="U712" s="131"/>
      <c r="V712" s="131"/>
      <c r="W712" s="131"/>
      <c r="X712" s="131"/>
      <c r="Y712" s="131"/>
      <c r="Z712" s="131"/>
    </row>
    <row r="713">
      <c r="A713" s="99"/>
      <c r="B713" s="99"/>
      <c r="C713" s="99"/>
      <c r="D713" s="99"/>
      <c r="E713" s="99"/>
      <c r="F713" s="99"/>
      <c r="G713" s="99"/>
      <c r="H713" s="99"/>
      <c r="I713" s="99"/>
      <c r="J713" s="131"/>
      <c r="K713" s="131"/>
      <c r="L713" s="131"/>
      <c r="M713" s="131"/>
      <c r="N713" s="131"/>
      <c r="O713" s="131"/>
      <c r="P713" s="131"/>
      <c r="Q713" s="131"/>
      <c r="R713" s="131"/>
      <c r="S713" s="131"/>
      <c r="T713" s="131"/>
      <c r="U713" s="131"/>
      <c r="V713" s="131"/>
      <c r="W713" s="131"/>
      <c r="X713" s="131"/>
      <c r="Y713" s="131"/>
      <c r="Z713" s="131"/>
    </row>
    <row r="714">
      <c r="A714" s="99"/>
      <c r="B714" s="99"/>
      <c r="C714" s="99"/>
      <c r="D714" s="99"/>
      <c r="E714" s="99"/>
      <c r="F714" s="99"/>
      <c r="G714" s="99"/>
      <c r="H714" s="99"/>
      <c r="I714" s="99"/>
      <c r="J714" s="131"/>
      <c r="K714" s="131"/>
      <c r="L714" s="131"/>
      <c r="M714" s="131"/>
      <c r="N714" s="131"/>
      <c r="O714" s="131"/>
      <c r="P714" s="131"/>
      <c r="Q714" s="131"/>
      <c r="R714" s="131"/>
      <c r="S714" s="131"/>
      <c r="T714" s="131"/>
      <c r="U714" s="131"/>
      <c r="V714" s="131"/>
      <c r="W714" s="131"/>
      <c r="X714" s="131"/>
      <c r="Y714" s="131"/>
      <c r="Z714" s="131"/>
    </row>
    <row r="715">
      <c r="A715" s="99"/>
      <c r="B715" s="99"/>
      <c r="C715" s="99"/>
      <c r="D715" s="99"/>
      <c r="E715" s="99"/>
      <c r="F715" s="99"/>
      <c r="G715" s="99"/>
      <c r="H715" s="99"/>
      <c r="I715" s="99"/>
      <c r="J715" s="131"/>
      <c r="K715" s="131"/>
      <c r="L715" s="131"/>
      <c r="M715" s="131"/>
      <c r="N715" s="131"/>
      <c r="O715" s="131"/>
      <c r="P715" s="131"/>
      <c r="Q715" s="131"/>
      <c r="R715" s="131"/>
      <c r="S715" s="131"/>
      <c r="T715" s="131"/>
      <c r="U715" s="131"/>
      <c r="V715" s="131"/>
      <c r="W715" s="131"/>
      <c r="X715" s="131"/>
      <c r="Y715" s="131"/>
      <c r="Z715" s="131"/>
    </row>
    <row r="716">
      <c r="A716" s="99"/>
      <c r="B716" s="99"/>
      <c r="C716" s="99"/>
      <c r="D716" s="99"/>
      <c r="E716" s="99"/>
      <c r="F716" s="99"/>
      <c r="G716" s="99"/>
      <c r="H716" s="99"/>
      <c r="I716" s="99"/>
      <c r="J716" s="131"/>
      <c r="K716" s="131"/>
      <c r="L716" s="131"/>
      <c r="M716" s="131"/>
      <c r="N716" s="131"/>
      <c r="O716" s="131"/>
      <c r="P716" s="131"/>
      <c r="Q716" s="131"/>
      <c r="R716" s="131"/>
      <c r="S716" s="131"/>
      <c r="T716" s="131"/>
      <c r="U716" s="131"/>
      <c r="V716" s="131"/>
      <c r="W716" s="131"/>
      <c r="X716" s="131"/>
      <c r="Y716" s="131"/>
      <c r="Z716" s="131"/>
    </row>
    <row r="717">
      <c r="A717" s="99"/>
      <c r="B717" s="99"/>
      <c r="C717" s="99"/>
      <c r="D717" s="99"/>
      <c r="E717" s="99"/>
      <c r="F717" s="99"/>
      <c r="G717" s="99"/>
      <c r="H717" s="99"/>
      <c r="I717" s="99"/>
      <c r="J717" s="131"/>
      <c r="K717" s="131"/>
      <c r="L717" s="131"/>
      <c r="M717" s="131"/>
      <c r="N717" s="131"/>
      <c r="O717" s="131"/>
      <c r="P717" s="131"/>
      <c r="Q717" s="131"/>
      <c r="R717" s="131"/>
      <c r="S717" s="131"/>
      <c r="T717" s="131"/>
      <c r="U717" s="131"/>
      <c r="V717" s="131"/>
      <c r="W717" s="131"/>
      <c r="X717" s="131"/>
      <c r="Y717" s="131"/>
      <c r="Z717" s="131"/>
    </row>
    <row r="718">
      <c r="A718" s="99"/>
      <c r="B718" s="99"/>
      <c r="C718" s="99"/>
      <c r="D718" s="99"/>
      <c r="E718" s="99"/>
      <c r="F718" s="99"/>
      <c r="G718" s="99"/>
      <c r="H718" s="99"/>
      <c r="I718" s="99"/>
      <c r="J718" s="131"/>
      <c r="K718" s="131"/>
      <c r="L718" s="131"/>
      <c r="M718" s="131"/>
      <c r="N718" s="131"/>
      <c r="O718" s="131"/>
      <c r="P718" s="131"/>
      <c r="Q718" s="131"/>
      <c r="R718" s="131"/>
      <c r="S718" s="131"/>
      <c r="T718" s="131"/>
      <c r="U718" s="131"/>
      <c r="V718" s="131"/>
      <c r="W718" s="131"/>
      <c r="X718" s="131"/>
      <c r="Y718" s="131"/>
      <c r="Z718" s="131"/>
    </row>
    <row r="719">
      <c r="A719" s="99"/>
      <c r="B719" s="99"/>
      <c r="C719" s="99"/>
      <c r="D719" s="99"/>
      <c r="E719" s="99"/>
      <c r="F719" s="99"/>
      <c r="G719" s="99"/>
      <c r="H719" s="99"/>
      <c r="I719" s="99"/>
      <c r="J719" s="131"/>
      <c r="K719" s="131"/>
      <c r="L719" s="131"/>
      <c r="M719" s="131"/>
      <c r="N719" s="131"/>
      <c r="O719" s="131"/>
      <c r="P719" s="131"/>
      <c r="Q719" s="131"/>
      <c r="R719" s="131"/>
      <c r="S719" s="131"/>
      <c r="T719" s="131"/>
      <c r="U719" s="131"/>
      <c r="V719" s="131"/>
      <c r="W719" s="131"/>
      <c r="X719" s="131"/>
      <c r="Y719" s="131"/>
      <c r="Z719" s="131"/>
    </row>
    <row r="720">
      <c r="A720" s="99"/>
      <c r="B720" s="99"/>
      <c r="C720" s="99"/>
      <c r="D720" s="99"/>
      <c r="E720" s="99"/>
      <c r="F720" s="99"/>
      <c r="G720" s="99"/>
      <c r="H720" s="99"/>
      <c r="I720" s="99"/>
      <c r="J720" s="131"/>
      <c r="K720" s="131"/>
      <c r="L720" s="131"/>
      <c r="M720" s="131"/>
      <c r="N720" s="131"/>
      <c r="O720" s="131"/>
      <c r="P720" s="131"/>
      <c r="Q720" s="131"/>
      <c r="R720" s="131"/>
      <c r="S720" s="131"/>
      <c r="T720" s="131"/>
      <c r="U720" s="131"/>
      <c r="V720" s="131"/>
      <c r="W720" s="131"/>
      <c r="X720" s="131"/>
      <c r="Y720" s="131"/>
      <c r="Z720" s="131"/>
    </row>
    <row r="721">
      <c r="A721" s="99"/>
      <c r="B721" s="99"/>
      <c r="C721" s="99"/>
      <c r="D721" s="99"/>
      <c r="E721" s="99"/>
      <c r="F721" s="99"/>
      <c r="G721" s="99"/>
      <c r="H721" s="99"/>
      <c r="I721" s="99"/>
      <c r="J721" s="131"/>
      <c r="K721" s="131"/>
      <c r="L721" s="131"/>
      <c r="M721" s="131"/>
      <c r="N721" s="131"/>
      <c r="O721" s="131"/>
      <c r="P721" s="131"/>
      <c r="Q721" s="131"/>
      <c r="R721" s="131"/>
      <c r="S721" s="131"/>
      <c r="T721" s="131"/>
      <c r="U721" s="131"/>
      <c r="V721" s="131"/>
      <c r="W721" s="131"/>
      <c r="X721" s="131"/>
      <c r="Y721" s="131"/>
      <c r="Z721" s="131"/>
    </row>
    <row r="722">
      <c r="A722" s="99"/>
      <c r="B722" s="99"/>
      <c r="C722" s="99"/>
      <c r="D722" s="99"/>
      <c r="E722" s="99"/>
      <c r="F722" s="99"/>
      <c r="G722" s="99"/>
      <c r="H722" s="99"/>
      <c r="I722" s="99"/>
      <c r="J722" s="131"/>
      <c r="K722" s="131"/>
      <c r="L722" s="131"/>
      <c r="M722" s="131"/>
      <c r="N722" s="131"/>
      <c r="O722" s="131"/>
      <c r="P722" s="131"/>
      <c r="Q722" s="131"/>
      <c r="R722" s="131"/>
      <c r="S722" s="131"/>
      <c r="T722" s="131"/>
      <c r="U722" s="131"/>
      <c r="V722" s="131"/>
      <c r="W722" s="131"/>
      <c r="X722" s="131"/>
      <c r="Y722" s="131"/>
      <c r="Z722" s="131"/>
    </row>
    <row r="723">
      <c r="A723" s="99"/>
      <c r="B723" s="99"/>
      <c r="C723" s="99"/>
      <c r="D723" s="99"/>
      <c r="E723" s="99"/>
      <c r="F723" s="99"/>
      <c r="G723" s="99"/>
      <c r="H723" s="99"/>
      <c r="I723" s="99"/>
      <c r="J723" s="131"/>
      <c r="K723" s="131"/>
      <c r="L723" s="131"/>
      <c r="M723" s="131"/>
      <c r="N723" s="131"/>
      <c r="O723" s="131"/>
      <c r="P723" s="131"/>
      <c r="Q723" s="131"/>
      <c r="R723" s="131"/>
      <c r="S723" s="131"/>
      <c r="T723" s="131"/>
      <c r="U723" s="131"/>
      <c r="V723" s="131"/>
      <c r="W723" s="131"/>
      <c r="X723" s="131"/>
      <c r="Y723" s="131"/>
      <c r="Z723" s="131"/>
    </row>
    <row r="724">
      <c r="A724" s="99"/>
      <c r="B724" s="99"/>
      <c r="C724" s="99"/>
      <c r="D724" s="99"/>
      <c r="E724" s="99"/>
      <c r="F724" s="99"/>
      <c r="G724" s="99"/>
      <c r="H724" s="99"/>
      <c r="I724" s="99"/>
      <c r="J724" s="131"/>
      <c r="K724" s="131"/>
      <c r="L724" s="131"/>
      <c r="M724" s="131"/>
      <c r="N724" s="131"/>
      <c r="O724" s="131"/>
      <c r="P724" s="131"/>
      <c r="Q724" s="131"/>
      <c r="R724" s="131"/>
      <c r="S724" s="131"/>
      <c r="T724" s="131"/>
      <c r="U724" s="131"/>
      <c r="V724" s="131"/>
      <c r="W724" s="131"/>
      <c r="X724" s="131"/>
      <c r="Y724" s="131"/>
      <c r="Z724" s="131"/>
    </row>
    <row r="725">
      <c r="A725" s="99"/>
      <c r="B725" s="99"/>
      <c r="C725" s="99"/>
      <c r="D725" s="99"/>
      <c r="E725" s="99"/>
      <c r="F725" s="99"/>
      <c r="G725" s="99"/>
      <c r="H725" s="99"/>
      <c r="I725" s="99"/>
      <c r="J725" s="131"/>
      <c r="K725" s="131"/>
      <c r="L725" s="131"/>
      <c r="M725" s="131"/>
      <c r="N725" s="131"/>
      <c r="O725" s="131"/>
      <c r="P725" s="131"/>
      <c r="Q725" s="131"/>
      <c r="R725" s="131"/>
      <c r="S725" s="131"/>
      <c r="T725" s="131"/>
      <c r="U725" s="131"/>
      <c r="V725" s="131"/>
      <c r="W725" s="131"/>
      <c r="X725" s="131"/>
      <c r="Y725" s="131"/>
      <c r="Z725" s="131"/>
    </row>
    <row r="726">
      <c r="A726" s="99"/>
      <c r="B726" s="99"/>
      <c r="C726" s="99"/>
      <c r="D726" s="99"/>
      <c r="E726" s="99"/>
      <c r="F726" s="99"/>
      <c r="G726" s="99"/>
      <c r="H726" s="99"/>
      <c r="I726" s="99"/>
      <c r="J726" s="131"/>
      <c r="K726" s="131"/>
      <c r="L726" s="131"/>
      <c r="M726" s="131"/>
      <c r="N726" s="131"/>
      <c r="O726" s="131"/>
      <c r="P726" s="131"/>
      <c r="Q726" s="131"/>
      <c r="R726" s="131"/>
      <c r="S726" s="131"/>
      <c r="T726" s="131"/>
      <c r="U726" s="131"/>
      <c r="V726" s="131"/>
      <c r="W726" s="131"/>
      <c r="X726" s="131"/>
      <c r="Y726" s="131"/>
      <c r="Z726" s="131"/>
    </row>
    <row r="727">
      <c r="A727" s="99"/>
      <c r="B727" s="99"/>
      <c r="C727" s="99"/>
      <c r="D727" s="99"/>
      <c r="E727" s="99"/>
      <c r="F727" s="99"/>
      <c r="G727" s="99"/>
      <c r="H727" s="99"/>
      <c r="I727" s="99"/>
      <c r="J727" s="131"/>
      <c r="K727" s="131"/>
      <c r="L727" s="131"/>
      <c r="M727" s="131"/>
      <c r="N727" s="131"/>
      <c r="O727" s="131"/>
      <c r="P727" s="131"/>
      <c r="Q727" s="131"/>
      <c r="R727" s="131"/>
      <c r="S727" s="131"/>
      <c r="T727" s="131"/>
      <c r="U727" s="131"/>
      <c r="V727" s="131"/>
      <c r="W727" s="131"/>
      <c r="X727" s="131"/>
      <c r="Y727" s="131"/>
      <c r="Z727" s="131"/>
    </row>
    <row r="728">
      <c r="A728" s="99"/>
      <c r="B728" s="99"/>
      <c r="C728" s="99"/>
      <c r="D728" s="99"/>
      <c r="E728" s="99"/>
      <c r="F728" s="99"/>
      <c r="G728" s="99"/>
      <c r="H728" s="99"/>
      <c r="I728" s="99"/>
      <c r="J728" s="131"/>
      <c r="K728" s="131"/>
      <c r="L728" s="131"/>
      <c r="M728" s="131"/>
      <c r="N728" s="131"/>
      <c r="O728" s="131"/>
      <c r="P728" s="131"/>
      <c r="Q728" s="131"/>
      <c r="R728" s="131"/>
      <c r="S728" s="131"/>
      <c r="T728" s="131"/>
      <c r="U728" s="131"/>
      <c r="V728" s="131"/>
      <c r="W728" s="131"/>
      <c r="X728" s="131"/>
      <c r="Y728" s="131"/>
      <c r="Z728" s="131"/>
    </row>
    <row r="729">
      <c r="A729" s="99"/>
      <c r="B729" s="99"/>
      <c r="C729" s="99"/>
      <c r="D729" s="99"/>
      <c r="E729" s="99"/>
      <c r="F729" s="99"/>
      <c r="G729" s="99"/>
      <c r="H729" s="99"/>
      <c r="I729" s="99"/>
      <c r="J729" s="131"/>
      <c r="K729" s="131"/>
      <c r="L729" s="131"/>
      <c r="M729" s="131"/>
      <c r="N729" s="131"/>
      <c r="O729" s="131"/>
      <c r="P729" s="131"/>
      <c r="Q729" s="131"/>
      <c r="R729" s="131"/>
      <c r="S729" s="131"/>
      <c r="T729" s="131"/>
      <c r="U729" s="131"/>
      <c r="V729" s="131"/>
      <c r="W729" s="131"/>
      <c r="X729" s="131"/>
      <c r="Y729" s="131"/>
      <c r="Z729" s="131"/>
    </row>
    <row r="730">
      <c r="A730" s="99"/>
      <c r="B730" s="99"/>
      <c r="C730" s="99"/>
      <c r="D730" s="99"/>
      <c r="E730" s="99"/>
      <c r="F730" s="99"/>
      <c r="G730" s="99"/>
      <c r="H730" s="99"/>
      <c r="I730" s="99"/>
      <c r="J730" s="131"/>
      <c r="K730" s="131"/>
      <c r="L730" s="131"/>
      <c r="M730" s="131"/>
      <c r="N730" s="131"/>
      <c r="O730" s="131"/>
      <c r="P730" s="131"/>
      <c r="Q730" s="131"/>
      <c r="R730" s="131"/>
      <c r="S730" s="131"/>
      <c r="T730" s="131"/>
      <c r="U730" s="131"/>
      <c r="V730" s="131"/>
      <c r="W730" s="131"/>
      <c r="X730" s="131"/>
      <c r="Y730" s="131"/>
      <c r="Z730" s="131"/>
    </row>
    <row r="731">
      <c r="A731" s="99"/>
      <c r="B731" s="99"/>
      <c r="C731" s="99"/>
      <c r="D731" s="99"/>
      <c r="E731" s="99"/>
      <c r="F731" s="99"/>
      <c r="G731" s="99"/>
      <c r="H731" s="99"/>
      <c r="I731" s="99"/>
      <c r="J731" s="131"/>
      <c r="K731" s="131"/>
      <c r="L731" s="131"/>
      <c r="M731" s="131"/>
      <c r="N731" s="131"/>
      <c r="O731" s="131"/>
      <c r="P731" s="131"/>
      <c r="Q731" s="131"/>
      <c r="R731" s="131"/>
      <c r="S731" s="131"/>
      <c r="T731" s="131"/>
      <c r="U731" s="131"/>
      <c r="V731" s="131"/>
      <c r="W731" s="131"/>
      <c r="X731" s="131"/>
      <c r="Y731" s="131"/>
      <c r="Z731" s="131"/>
    </row>
    <row r="732">
      <c r="A732" s="99"/>
      <c r="B732" s="99"/>
      <c r="C732" s="99"/>
      <c r="D732" s="99"/>
      <c r="E732" s="99"/>
      <c r="F732" s="99"/>
      <c r="G732" s="99"/>
      <c r="H732" s="99"/>
      <c r="I732" s="99"/>
      <c r="J732" s="131"/>
      <c r="K732" s="131"/>
      <c r="L732" s="131"/>
      <c r="M732" s="131"/>
      <c r="N732" s="131"/>
      <c r="O732" s="131"/>
      <c r="P732" s="131"/>
      <c r="Q732" s="131"/>
      <c r="R732" s="131"/>
      <c r="S732" s="131"/>
      <c r="T732" s="131"/>
      <c r="U732" s="131"/>
      <c r="V732" s="131"/>
      <c r="W732" s="131"/>
      <c r="X732" s="131"/>
      <c r="Y732" s="131"/>
      <c r="Z732" s="131"/>
    </row>
    <row r="733">
      <c r="A733" s="99"/>
      <c r="B733" s="99"/>
      <c r="C733" s="99"/>
      <c r="D733" s="99"/>
      <c r="E733" s="99"/>
      <c r="F733" s="99"/>
      <c r="G733" s="99"/>
      <c r="H733" s="99"/>
      <c r="I733" s="99"/>
      <c r="J733" s="131"/>
      <c r="K733" s="131"/>
      <c r="L733" s="131"/>
      <c r="M733" s="131"/>
      <c r="N733" s="131"/>
      <c r="O733" s="131"/>
      <c r="P733" s="131"/>
      <c r="Q733" s="131"/>
      <c r="R733" s="131"/>
      <c r="S733" s="131"/>
      <c r="T733" s="131"/>
      <c r="U733" s="131"/>
      <c r="V733" s="131"/>
      <c r="W733" s="131"/>
      <c r="X733" s="131"/>
      <c r="Y733" s="131"/>
      <c r="Z733" s="131"/>
    </row>
    <row r="734">
      <c r="A734" s="99"/>
      <c r="B734" s="99"/>
      <c r="C734" s="99"/>
      <c r="D734" s="99"/>
      <c r="E734" s="99"/>
      <c r="F734" s="99"/>
      <c r="G734" s="99"/>
      <c r="H734" s="99"/>
      <c r="I734" s="99"/>
      <c r="J734" s="131"/>
      <c r="K734" s="131"/>
      <c r="L734" s="131"/>
      <c r="M734" s="131"/>
      <c r="N734" s="131"/>
      <c r="O734" s="131"/>
      <c r="P734" s="131"/>
      <c r="Q734" s="131"/>
      <c r="R734" s="131"/>
      <c r="S734" s="131"/>
      <c r="T734" s="131"/>
      <c r="U734" s="131"/>
      <c r="V734" s="131"/>
      <c r="W734" s="131"/>
      <c r="X734" s="131"/>
      <c r="Y734" s="131"/>
      <c r="Z734" s="131"/>
    </row>
    <row r="735">
      <c r="A735" s="99"/>
      <c r="B735" s="99"/>
      <c r="C735" s="99"/>
      <c r="D735" s="99"/>
      <c r="E735" s="99"/>
      <c r="F735" s="99"/>
      <c r="G735" s="99"/>
      <c r="H735" s="99"/>
      <c r="I735" s="99"/>
      <c r="J735" s="131"/>
      <c r="K735" s="131"/>
      <c r="L735" s="131"/>
      <c r="M735" s="131"/>
      <c r="N735" s="131"/>
      <c r="O735" s="131"/>
      <c r="P735" s="131"/>
      <c r="Q735" s="131"/>
      <c r="R735" s="131"/>
      <c r="S735" s="131"/>
      <c r="T735" s="131"/>
      <c r="U735" s="131"/>
      <c r="V735" s="131"/>
      <c r="W735" s="131"/>
      <c r="X735" s="131"/>
      <c r="Y735" s="131"/>
      <c r="Z735" s="131"/>
    </row>
    <row r="736">
      <c r="A736" s="99"/>
      <c r="B736" s="99"/>
      <c r="C736" s="99"/>
      <c r="D736" s="99"/>
      <c r="E736" s="99"/>
      <c r="F736" s="99"/>
      <c r="G736" s="99"/>
      <c r="H736" s="99"/>
      <c r="I736" s="99"/>
      <c r="J736" s="131"/>
      <c r="K736" s="131"/>
      <c r="L736" s="131"/>
      <c r="M736" s="131"/>
      <c r="N736" s="131"/>
      <c r="O736" s="131"/>
      <c r="P736" s="131"/>
      <c r="Q736" s="131"/>
      <c r="R736" s="131"/>
      <c r="S736" s="131"/>
      <c r="T736" s="131"/>
      <c r="U736" s="131"/>
      <c r="V736" s="131"/>
      <c r="W736" s="131"/>
      <c r="X736" s="131"/>
      <c r="Y736" s="131"/>
      <c r="Z736" s="131"/>
    </row>
    <row r="737">
      <c r="A737" s="99"/>
      <c r="B737" s="99"/>
      <c r="C737" s="99"/>
      <c r="D737" s="99"/>
      <c r="E737" s="99"/>
      <c r="F737" s="99"/>
      <c r="G737" s="99"/>
      <c r="H737" s="99"/>
      <c r="I737" s="99"/>
      <c r="J737" s="131"/>
      <c r="K737" s="131"/>
      <c r="L737" s="131"/>
      <c r="M737" s="131"/>
      <c r="N737" s="131"/>
      <c r="O737" s="131"/>
      <c r="P737" s="131"/>
      <c r="Q737" s="131"/>
      <c r="R737" s="131"/>
      <c r="S737" s="131"/>
      <c r="T737" s="131"/>
      <c r="U737" s="131"/>
      <c r="V737" s="131"/>
      <c r="W737" s="131"/>
      <c r="X737" s="131"/>
      <c r="Y737" s="131"/>
      <c r="Z737" s="131"/>
    </row>
    <row r="738">
      <c r="A738" s="99"/>
      <c r="B738" s="99"/>
      <c r="C738" s="99"/>
      <c r="D738" s="99"/>
      <c r="E738" s="99"/>
      <c r="F738" s="99"/>
      <c r="G738" s="99"/>
      <c r="H738" s="99"/>
      <c r="I738" s="99"/>
      <c r="J738" s="131"/>
      <c r="K738" s="131"/>
      <c r="L738" s="131"/>
      <c r="M738" s="131"/>
      <c r="N738" s="131"/>
      <c r="O738" s="131"/>
      <c r="P738" s="131"/>
      <c r="Q738" s="131"/>
      <c r="R738" s="131"/>
      <c r="S738" s="131"/>
      <c r="T738" s="131"/>
      <c r="U738" s="131"/>
      <c r="V738" s="131"/>
      <c r="W738" s="131"/>
      <c r="X738" s="131"/>
      <c r="Y738" s="131"/>
      <c r="Z738" s="131"/>
    </row>
    <row r="739">
      <c r="A739" s="99"/>
      <c r="B739" s="99"/>
      <c r="C739" s="99"/>
      <c r="D739" s="99"/>
      <c r="E739" s="99"/>
      <c r="F739" s="99"/>
      <c r="G739" s="99"/>
      <c r="H739" s="99"/>
      <c r="I739" s="99"/>
      <c r="J739" s="131"/>
      <c r="K739" s="131"/>
      <c r="L739" s="131"/>
      <c r="M739" s="131"/>
      <c r="N739" s="131"/>
      <c r="O739" s="131"/>
      <c r="P739" s="131"/>
      <c r="Q739" s="131"/>
      <c r="R739" s="131"/>
      <c r="S739" s="131"/>
      <c r="T739" s="131"/>
      <c r="U739" s="131"/>
      <c r="V739" s="131"/>
      <c r="W739" s="131"/>
      <c r="X739" s="131"/>
      <c r="Y739" s="131"/>
      <c r="Z739" s="131"/>
    </row>
    <row r="740">
      <c r="A740" s="99"/>
      <c r="B740" s="99"/>
      <c r="C740" s="99"/>
      <c r="D740" s="99"/>
      <c r="E740" s="99"/>
      <c r="F740" s="99"/>
      <c r="G740" s="99"/>
      <c r="H740" s="99"/>
      <c r="I740" s="99"/>
      <c r="J740" s="131"/>
      <c r="K740" s="131"/>
      <c r="L740" s="131"/>
      <c r="M740" s="131"/>
      <c r="N740" s="131"/>
      <c r="O740" s="131"/>
      <c r="P740" s="131"/>
      <c r="Q740" s="131"/>
      <c r="R740" s="131"/>
      <c r="S740" s="131"/>
      <c r="T740" s="131"/>
      <c r="U740" s="131"/>
      <c r="V740" s="131"/>
      <c r="W740" s="131"/>
      <c r="X740" s="131"/>
      <c r="Y740" s="131"/>
      <c r="Z740" s="131"/>
    </row>
    <row r="741">
      <c r="A741" s="99"/>
      <c r="B741" s="99"/>
      <c r="C741" s="99"/>
      <c r="D741" s="99"/>
      <c r="E741" s="99"/>
      <c r="F741" s="99"/>
      <c r="G741" s="99"/>
      <c r="H741" s="99"/>
      <c r="I741" s="99"/>
      <c r="J741" s="131"/>
      <c r="K741" s="131"/>
      <c r="L741" s="131"/>
      <c r="M741" s="131"/>
      <c r="N741" s="131"/>
      <c r="O741" s="131"/>
      <c r="P741" s="131"/>
      <c r="Q741" s="131"/>
      <c r="R741" s="131"/>
      <c r="S741" s="131"/>
      <c r="T741" s="131"/>
      <c r="U741" s="131"/>
      <c r="V741" s="131"/>
      <c r="W741" s="131"/>
      <c r="X741" s="131"/>
      <c r="Y741" s="131"/>
      <c r="Z741" s="131"/>
    </row>
    <row r="742">
      <c r="A742" s="99"/>
      <c r="B742" s="99"/>
      <c r="C742" s="99"/>
      <c r="D742" s="99"/>
      <c r="E742" s="99"/>
      <c r="F742" s="99"/>
      <c r="G742" s="99"/>
      <c r="H742" s="99"/>
      <c r="I742" s="99"/>
      <c r="J742" s="131"/>
      <c r="K742" s="131"/>
      <c r="L742" s="131"/>
      <c r="M742" s="131"/>
      <c r="N742" s="131"/>
      <c r="O742" s="131"/>
      <c r="P742" s="131"/>
      <c r="Q742" s="131"/>
      <c r="R742" s="131"/>
      <c r="S742" s="131"/>
      <c r="T742" s="131"/>
      <c r="U742" s="131"/>
      <c r="V742" s="131"/>
      <c r="W742" s="131"/>
      <c r="X742" s="131"/>
      <c r="Y742" s="131"/>
      <c r="Z742" s="131"/>
    </row>
    <row r="743">
      <c r="A743" s="99"/>
      <c r="B743" s="99"/>
      <c r="C743" s="99"/>
      <c r="D743" s="99"/>
      <c r="E743" s="99"/>
      <c r="F743" s="99"/>
      <c r="G743" s="99"/>
      <c r="H743" s="99"/>
      <c r="I743" s="99"/>
      <c r="J743" s="131"/>
      <c r="K743" s="131"/>
      <c r="L743" s="131"/>
      <c r="M743" s="131"/>
      <c r="N743" s="131"/>
      <c r="O743" s="131"/>
      <c r="P743" s="131"/>
      <c r="Q743" s="131"/>
      <c r="R743" s="131"/>
      <c r="S743" s="131"/>
      <c r="T743" s="131"/>
      <c r="U743" s="131"/>
      <c r="V743" s="131"/>
      <c r="W743" s="131"/>
      <c r="X743" s="131"/>
      <c r="Y743" s="131"/>
      <c r="Z743" s="131"/>
    </row>
    <row r="744">
      <c r="A744" s="99"/>
      <c r="B744" s="99"/>
      <c r="C744" s="99"/>
      <c r="D744" s="99"/>
      <c r="E744" s="99"/>
      <c r="F744" s="99"/>
      <c r="G744" s="99"/>
      <c r="H744" s="99"/>
      <c r="I744" s="99"/>
      <c r="J744" s="131"/>
      <c r="K744" s="131"/>
      <c r="L744" s="131"/>
      <c r="M744" s="131"/>
      <c r="N744" s="131"/>
      <c r="O744" s="131"/>
      <c r="P744" s="131"/>
      <c r="Q744" s="131"/>
      <c r="R744" s="131"/>
      <c r="S744" s="131"/>
      <c r="T744" s="131"/>
      <c r="U744" s="131"/>
      <c r="V744" s="131"/>
      <c r="W744" s="131"/>
      <c r="X744" s="131"/>
      <c r="Y744" s="131"/>
      <c r="Z744" s="131"/>
    </row>
    <row r="745">
      <c r="A745" s="99"/>
      <c r="B745" s="99"/>
      <c r="C745" s="99"/>
      <c r="D745" s="99"/>
      <c r="E745" s="99"/>
      <c r="F745" s="99"/>
      <c r="G745" s="99"/>
      <c r="H745" s="99"/>
      <c r="I745" s="99"/>
      <c r="J745" s="131"/>
      <c r="K745" s="131"/>
      <c r="L745" s="131"/>
      <c r="M745" s="131"/>
      <c r="N745" s="131"/>
      <c r="O745" s="131"/>
      <c r="P745" s="131"/>
      <c r="Q745" s="131"/>
      <c r="R745" s="131"/>
      <c r="S745" s="131"/>
      <c r="T745" s="131"/>
      <c r="U745" s="131"/>
      <c r="V745" s="131"/>
      <c r="W745" s="131"/>
      <c r="X745" s="131"/>
      <c r="Y745" s="131"/>
      <c r="Z745" s="131"/>
    </row>
    <row r="746">
      <c r="A746" s="99"/>
      <c r="B746" s="99"/>
      <c r="C746" s="99"/>
      <c r="D746" s="99"/>
      <c r="E746" s="99"/>
      <c r="F746" s="99"/>
      <c r="G746" s="99"/>
      <c r="H746" s="99"/>
      <c r="I746" s="99"/>
      <c r="J746" s="131"/>
      <c r="K746" s="131"/>
      <c r="L746" s="131"/>
      <c r="M746" s="131"/>
      <c r="N746" s="131"/>
      <c r="O746" s="131"/>
      <c r="P746" s="131"/>
      <c r="Q746" s="131"/>
      <c r="R746" s="131"/>
      <c r="S746" s="131"/>
      <c r="T746" s="131"/>
      <c r="U746" s="131"/>
      <c r="V746" s="131"/>
      <c r="W746" s="131"/>
      <c r="X746" s="131"/>
      <c r="Y746" s="131"/>
      <c r="Z746" s="131"/>
    </row>
    <row r="747">
      <c r="A747" s="99"/>
      <c r="B747" s="99"/>
      <c r="C747" s="99"/>
      <c r="D747" s="99"/>
      <c r="E747" s="99"/>
      <c r="F747" s="99"/>
      <c r="G747" s="99"/>
      <c r="H747" s="99"/>
      <c r="I747" s="99"/>
      <c r="J747" s="131"/>
      <c r="K747" s="131"/>
      <c r="L747" s="131"/>
      <c r="M747" s="131"/>
      <c r="N747" s="131"/>
      <c r="O747" s="131"/>
      <c r="P747" s="131"/>
      <c r="Q747" s="131"/>
      <c r="R747" s="131"/>
      <c r="S747" s="131"/>
      <c r="T747" s="131"/>
      <c r="U747" s="131"/>
      <c r="V747" s="131"/>
      <c r="W747" s="131"/>
      <c r="X747" s="131"/>
      <c r="Y747" s="131"/>
      <c r="Z747" s="131"/>
    </row>
    <row r="748">
      <c r="A748" s="99"/>
      <c r="B748" s="99"/>
      <c r="C748" s="99"/>
      <c r="D748" s="99"/>
      <c r="E748" s="99"/>
      <c r="F748" s="99"/>
      <c r="G748" s="99"/>
      <c r="H748" s="99"/>
      <c r="I748" s="99"/>
      <c r="J748" s="131"/>
      <c r="K748" s="131"/>
      <c r="L748" s="131"/>
      <c r="M748" s="131"/>
      <c r="N748" s="131"/>
      <c r="O748" s="131"/>
      <c r="P748" s="131"/>
      <c r="Q748" s="131"/>
      <c r="R748" s="131"/>
      <c r="S748" s="131"/>
      <c r="T748" s="131"/>
      <c r="U748" s="131"/>
      <c r="V748" s="131"/>
      <c r="W748" s="131"/>
      <c r="X748" s="131"/>
      <c r="Y748" s="131"/>
      <c r="Z748" s="131"/>
    </row>
    <row r="749">
      <c r="A749" s="99"/>
      <c r="B749" s="99"/>
      <c r="C749" s="99"/>
      <c r="D749" s="99"/>
      <c r="E749" s="99"/>
      <c r="F749" s="99"/>
      <c r="G749" s="99"/>
      <c r="H749" s="99"/>
      <c r="I749" s="99"/>
      <c r="J749" s="131"/>
      <c r="K749" s="131"/>
      <c r="L749" s="131"/>
      <c r="M749" s="131"/>
      <c r="N749" s="131"/>
      <c r="O749" s="131"/>
      <c r="P749" s="131"/>
      <c r="Q749" s="131"/>
      <c r="R749" s="131"/>
      <c r="S749" s="131"/>
      <c r="T749" s="131"/>
      <c r="U749" s="131"/>
      <c r="V749" s="131"/>
      <c r="W749" s="131"/>
      <c r="X749" s="131"/>
      <c r="Y749" s="131"/>
      <c r="Z749" s="131"/>
    </row>
    <row r="750">
      <c r="A750" s="99"/>
      <c r="B750" s="99"/>
      <c r="C750" s="99"/>
      <c r="D750" s="99"/>
      <c r="E750" s="99"/>
      <c r="F750" s="99"/>
      <c r="G750" s="99"/>
      <c r="H750" s="99"/>
      <c r="I750" s="99"/>
      <c r="J750" s="131"/>
      <c r="K750" s="131"/>
      <c r="L750" s="131"/>
      <c r="M750" s="131"/>
      <c r="N750" s="131"/>
      <c r="O750" s="131"/>
      <c r="P750" s="131"/>
      <c r="Q750" s="131"/>
      <c r="R750" s="131"/>
      <c r="S750" s="131"/>
      <c r="T750" s="131"/>
      <c r="U750" s="131"/>
      <c r="V750" s="131"/>
      <c r="W750" s="131"/>
      <c r="X750" s="131"/>
      <c r="Y750" s="131"/>
      <c r="Z750" s="131"/>
    </row>
    <row r="751">
      <c r="A751" s="99"/>
      <c r="B751" s="99"/>
      <c r="C751" s="99"/>
      <c r="D751" s="99"/>
      <c r="E751" s="99"/>
      <c r="F751" s="99"/>
      <c r="G751" s="99"/>
      <c r="H751" s="99"/>
      <c r="I751" s="99"/>
      <c r="J751" s="131"/>
      <c r="K751" s="131"/>
      <c r="L751" s="131"/>
      <c r="M751" s="131"/>
      <c r="N751" s="131"/>
      <c r="O751" s="131"/>
      <c r="P751" s="131"/>
      <c r="Q751" s="131"/>
      <c r="R751" s="131"/>
      <c r="S751" s="131"/>
      <c r="T751" s="131"/>
      <c r="U751" s="131"/>
      <c r="V751" s="131"/>
      <c r="W751" s="131"/>
      <c r="X751" s="131"/>
      <c r="Y751" s="131"/>
      <c r="Z751" s="131"/>
    </row>
    <row r="752">
      <c r="A752" s="99"/>
      <c r="B752" s="99"/>
      <c r="C752" s="99"/>
      <c r="D752" s="99"/>
      <c r="E752" s="99"/>
      <c r="F752" s="99"/>
      <c r="G752" s="99"/>
      <c r="H752" s="99"/>
      <c r="I752" s="99"/>
      <c r="J752" s="131"/>
      <c r="K752" s="131"/>
      <c r="L752" s="131"/>
      <c r="M752" s="131"/>
      <c r="N752" s="131"/>
      <c r="O752" s="131"/>
      <c r="P752" s="131"/>
      <c r="Q752" s="131"/>
      <c r="R752" s="131"/>
      <c r="S752" s="131"/>
      <c r="T752" s="131"/>
      <c r="U752" s="131"/>
      <c r="V752" s="131"/>
      <c r="W752" s="131"/>
      <c r="X752" s="131"/>
      <c r="Y752" s="131"/>
      <c r="Z752" s="131"/>
    </row>
    <row r="753">
      <c r="A753" s="99"/>
      <c r="B753" s="99"/>
      <c r="C753" s="99"/>
      <c r="D753" s="99"/>
      <c r="E753" s="99"/>
      <c r="F753" s="99"/>
      <c r="G753" s="99"/>
      <c r="H753" s="99"/>
      <c r="I753" s="99"/>
      <c r="J753" s="131"/>
      <c r="K753" s="131"/>
      <c r="L753" s="131"/>
      <c r="M753" s="131"/>
      <c r="N753" s="131"/>
      <c r="O753" s="131"/>
      <c r="P753" s="131"/>
      <c r="Q753" s="131"/>
      <c r="R753" s="131"/>
      <c r="S753" s="131"/>
      <c r="T753" s="131"/>
      <c r="U753" s="131"/>
      <c r="V753" s="131"/>
      <c r="W753" s="131"/>
      <c r="X753" s="131"/>
      <c r="Y753" s="131"/>
      <c r="Z753" s="131"/>
    </row>
    <row r="754">
      <c r="A754" s="99"/>
      <c r="B754" s="99"/>
      <c r="C754" s="99"/>
      <c r="D754" s="99"/>
      <c r="E754" s="99"/>
      <c r="F754" s="99"/>
      <c r="G754" s="99"/>
      <c r="H754" s="99"/>
      <c r="I754" s="99"/>
      <c r="J754" s="131"/>
      <c r="K754" s="131"/>
      <c r="L754" s="131"/>
      <c r="M754" s="131"/>
      <c r="N754" s="131"/>
      <c r="O754" s="131"/>
      <c r="P754" s="131"/>
      <c r="Q754" s="131"/>
      <c r="R754" s="131"/>
      <c r="S754" s="131"/>
      <c r="T754" s="131"/>
      <c r="U754" s="131"/>
      <c r="V754" s="131"/>
      <c r="W754" s="131"/>
      <c r="X754" s="131"/>
      <c r="Y754" s="131"/>
      <c r="Z754" s="131"/>
    </row>
    <row r="755">
      <c r="A755" s="99"/>
      <c r="B755" s="99"/>
      <c r="C755" s="99"/>
      <c r="D755" s="99"/>
      <c r="E755" s="99"/>
      <c r="F755" s="99"/>
      <c r="G755" s="99"/>
      <c r="H755" s="99"/>
      <c r="I755" s="99"/>
      <c r="J755" s="131"/>
      <c r="K755" s="131"/>
      <c r="L755" s="131"/>
      <c r="M755" s="131"/>
      <c r="N755" s="131"/>
      <c r="O755" s="131"/>
      <c r="P755" s="131"/>
      <c r="Q755" s="131"/>
      <c r="R755" s="131"/>
      <c r="S755" s="131"/>
      <c r="T755" s="131"/>
      <c r="U755" s="131"/>
      <c r="V755" s="131"/>
      <c r="W755" s="131"/>
      <c r="X755" s="131"/>
      <c r="Y755" s="131"/>
      <c r="Z755" s="131"/>
    </row>
    <row r="756">
      <c r="A756" s="99"/>
      <c r="B756" s="99"/>
      <c r="C756" s="99"/>
      <c r="D756" s="99"/>
      <c r="E756" s="99"/>
      <c r="F756" s="99"/>
      <c r="G756" s="99"/>
      <c r="H756" s="99"/>
      <c r="I756" s="99"/>
      <c r="J756" s="131"/>
      <c r="K756" s="131"/>
      <c r="L756" s="131"/>
      <c r="M756" s="131"/>
      <c r="N756" s="131"/>
      <c r="O756" s="131"/>
      <c r="P756" s="131"/>
      <c r="Q756" s="131"/>
      <c r="R756" s="131"/>
      <c r="S756" s="131"/>
      <c r="T756" s="131"/>
      <c r="U756" s="131"/>
      <c r="V756" s="131"/>
      <c r="W756" s="131"/>
      <c r="X756" s="131"/>
      <c r="Y756" s="131"/>
      <c r="Z756" s="131"/>
    </row>
    <row r="757">
      <c r="A757" s="99"/>
      <c r="B757" s="99"/>
      <c r="C757" s="99"/>
      <c r="D757" s="99"/>
      <c r="E757" s="99"/>
      <c r="F757" s="99"/>
      <c r="G757" s="99"/>
      <c r="H757" s="99"/>
      <c r="I757" s="99"/>
      <c r="J757" s="131"/>
      <c r="K757" s="131"/>
      <c r="L757" s="131"/>
      <c r="M757" s="131"/>
      <c r="N757" s="131"/>
      <c r="O757" s="131"/>
      <c r="P757" s="131"/>
      <c r="Q757" s="131"/>
      <c r="R757" s="131"/>
      <c r="S757" s="131"/>
      <c r="T757" s="131"/>
      <c r="U757" s="131"/>
      <c r="V757" s="131"/>
      <c r="W757" s="131"/>
      <c r="X757" s="131"/>
      <c r="Y757" s="131"/>
      <c r="Z757" s="131"/>
    </row>
    <row r="758">
      <c r="A758" s="99"/>
      <c r="B758" s="99"/>
      <c r="C758" s="99"/>
      <c r="D758" s="99"/>
      <c r="E758" s="99"/>
      <c r="F758" s="99"/>
      <c r="G758" s="99"/>
      <c r="H758" s="99"/>
      <c r="I758" s="99"/>
      <c r="J758" s="131"/>
      <c r="K758" s="131"/>
      <c r="L758" s="131"/>
      <c r="M758" s="131"/>
      <c r="N758" s="131"/>
      <c r="O758" s="131"/>
      <c r="P758" s="131"/>
      <c r="Q758" s="131"/>
      <c r="R758" s="131"/>
      <c r="S758" s="131"/>
      <c r="T758" s="131"/>
      <c r="U758" s="131"/>
      <c r="V758" s="131"/>
      <c r="W758" s="131"/>
      <c r="X758" s="131"/>
      <c r="Y758" s="131"/>
      <c r="Z758" s="131"/>
    </row>
    <row r="759">
      <c r="A759" s="99"/>
      <c r="B759" s="99"/>
      <c r="C759" s="99"/>
      <c r="D759" s="99"/>
      <c r="E759" s="99"/>
      <c r="F759" s="99"/>
      <c r="G759" s="99"/>
      <c r="H759" s="99"/>
      <c r="I759" s="99"/>
      <c r="J759" s="131"/>
      <c r="K759" s="131"/>
      <c r="L759" s="131"/>
      <c r="M759" s="131"/>
      <c r="N759" s="131"/>
      <c r="O759" s="131"/>
      <c r="P759" s="131"/>
      <c r="Q759" s="131"/>
      <c r="R759" s="131"/>
      <c r="S759" s="131"/>
      <c r="T759" s="131"/>
      <c r="U759" s="131"/>
      <c r="V759" s="131"/>
      <c r="W759" s="131"/>
      <c r="X759" s="131"/>
      <c r="Y759" s="131"/>
      <c r="Z759" s="131"/>
    </row>
    <row r="760">
      <c r="A760" s="99"/>
      <c r="B760" s="99"/>
      <c r="C760" s="99"/>
      <c r="D760" s="99"/>
      <c r="E760" s="99"/>
      <c r="F760" s="99"/>
      <c r="G760" s="99"/>
      <c r="H760" s="99"/>
      <c r="I760" s="99"/>
      <c r="J760" s="131"/>
      <c r="K760" s="131"/>
      <c r="L760" s="131"/>
      <c r="M760" s="131"/>
      <c r="N760" s="131"/>
      <c r="O760" s="131"/>
      <c r="P760" s="131"/>
      <c r="Q760" s="131"/>
      <c r="R760" s="131"/>
      <c r="S760" s="131"/>
      <c r="T760" s="131"/>
      <c r="U760" s="131"/>
      <c r="V760" s="131"/>
      <c r="W760" s="131"/>
      <c r="X760" s="131"/>
      <c r="Y760" s="131"/>
      <c r="Z760" s="131"/>
    </row>
    <row r="761">
      <c r="A761" s="99"/>
      <c r="B761" s="99"/>
      <c r="C761" s="99"/>
      <c r="D761" s="99"/>
      <c r="E761" s="99"/>
      <c r="F761" s="99"/>
      <c r="G761" s="99"/>
      <c r="H761" s="99"/>
      <c r="I761" s="99"/>
      <c r="J761" s="131"/>
      <c r="K761" s="131"/>
      <c r="L761" s="131"/>
      <c r="M761" s="131"/>
      <c r="N761" s="131"/>
      <c r="O761" s="131"/>
      <c r="P761" s="131"/>
      <c r="Q761" s="131"/>
      <c r="R761" s="131"/>
      <c r="S761" s="131"/>
      <c r="T761" s="131"/>
      <c r="U761" s="131"/>
      <c r="V761" s="131"/>
      <c r="W761" s="131"/>
      <c r="X761" s="131"/>
      <c r="Y761" s="131"/>
      <c r="Z761" s="131"/>
    </row>
    <row r="762">
      <c r="A762" s="99"/>
      <c r="B762" s="99"/>
      <c r="C762" s="99"/>
      <c r="D762" s="99"/>
      <c r="E762" s="99"/>
      <c r="F762" s="99"/>
      <c r="G762" s="99"/>
      <c r="H762" s="99"/>
      <c r="I762" s="99"/>
      <c r="J762" s="131"/>
      <c r="K762" s="131"/>
      <c r="L762" s="131"/>
      <c r="M762" s="131"/>
      <c r="N762" s="131"/>
      <c r="O762" s="131"/>
      <c r="P762" s="131"/>
      <c r="Q762" s="131"/>
      <c r="R762" s="131"/>
      <c r="S762" s="131"/>
      <c r="T762" s="131"/>
      <c r="U762" s="131"/>
      <c r="V762" s="131"/>
      <c r="W762" s="131"/>
      <c r="X762" s="131"/>
      <c r="Y762" s="131"/>
      <c r="Z762" s="131"/>
    </row>
    <row r="763">
      <c r="A763" s="99"/>
      <c r="B763" s="99"/>
      <c r="C763" s="99"/>
      <c r="D763" s="99"/>
      <c r="E763" s="99"/>
      <c r="F763" s="99"/>
      <c r="G763" s="99"/>
      <c r="H763" s="99"/>
      <c r="I763" s="99"/>
      <c r="J763" s="131"/>
      <c r="K763" s="131"/>
      <c r="L763" s="131"/>
      <c r="M763" s="131"/>
      <c r="N763" s="131"/>
      <c r="O763" s="131"/>
      <c r="P763" s="131"/>
      <c r="Q763" s="131"/>
      <c r="R763" s="131"/>
      <c r="S763" s="131"/>
      <c r="T763" s="131"/>
      <c r="U763" s="131"/>
      <c r="V763" s="131"/>
      <c r="W763" s="131"/>
      <c r="X763" s="131"/>
      <c r="Y763" s="131"/>
      <c r="Z763" s="131"/>
    </row>
    <row r="764">
      <c r="A764" s="99"/>
      <c r="B764" s="99"/>
      <c r="C764" s="99"/>
      <c r="D764" s="99"/>
      <c r="E764" s="99"/>
      <c r="F764" s="99"/>
      <c r="G764" s="99"/>
      <c r="H764" s="99"/>
      <c r="I764" s="99"/>
      <c r="J764" s="131"/>
      <c r="K764" s="131"/>
      <c r="L764" s="131"/>
      <c r="M764" s="131"/>
      <c r="N764" s="131"/>
      <c r="O764" s="131"/>
      <c r="P764" s="131"/>
      <c r="Q764" s="131"/>
      <c r="R764" s="131"/>
      <c r="S764" s="131"/>
      <c r="T764" s="131"/>
      <c r="U764" s="131"/>
      <c r="V764" s="131"/>
      <c r="W764" s="131"/>
      <c r="X764" s="131"/>
      <c r="Y764" s="131"/>
      <c r="Z764" s="131"/>
    </row>
    <row r="765">
      <c r="A765" s="99"/>
      <c r="B765" s="99"/>
      <c r="C765" s="99"/>
      <c r="D765" s="99"/>
      <c r="E765" s="99"/>
      <c r="F765" s="99"/>
      <c r="G765" s="99"/>
      <c r="H765" s="99"/>
      <c r="I765" s="99"/>
      <c r="J765" s="131"/>
      <c r="K765" s="131"/>
      <c r="L765" s="131"/>
      <c r="M765" s="131"/>
      <c r="N765" s="131"/>
      <c r="O765" s="131"/>
      <c r="P765" s="131"/>
      <c r="Q765" s="131"/>
      <c r="R765" s="131"/>
      <c r="S765" s="131"/>
      <c r="T765" s="131"/>
      <c r="U765" s="131"/>
      <c r="V765" s="131"/>
      <c r="W765" s="131"/>
      <c r="X765" s="131"/>
      <c r="Y765" s="131"/>
      <c r="Z765" s="131"/>
    </row>
    <row r="766">
      <c r="A766" s="99"/>
      <c r="B766" s="99"/>
      <c r="C766" s="99"/>
      <c r="D766" s="99"/>
      <c r="E766" s="99"/>
      <c r="F766" s="99"/>
      <c r="G766" s="99"/>
      <c r="H766" s="99"/>
      <c r="I766" s="99"/>
      <c r="J766" s="131"/>
      <c r="K766" s="131"/>
      <c r="L766" s="131"/>
      <c r="M766" s="131"/>
      <c r="N766" s="131"/>
      <c r="O766" s="131"/>
      <c r="P766" s="131"/>
      <c r="Q766" s="131"/>
      <c r="R766" s="131"/>
      <c r="S766" s="131"/>
      <c r="T766" s="131"/>
      <c r="U766" s="131"/>
      <c r="V766" s="131"/>
      <c r="W766" s="131"/>
      <c r="X766" s="131"/>
      <c r="Y766" s="131"/>
      <c r="Z766" s="131"/>
    </row>
    <row r="767">
      <c r="A767" s="99"/>
      <c r="B767" s="99"/>
      <c r="C767" s="99"/>
      <c r="D767" s="99"/>
      <c r="E767" s="99"/>
      <c r="F767" s="99"/>
      <c r="G767" s="99"/>
      <c r="H767" s="99"/>
      <c r="I767" s="99"/>
      <c r="J767" s="131"/>
      <c r="K767" s="131"/>
      <c r="L767" s="131"/>
      <c r="M767" s="131"/>
      <c r="N767" s="131"/>
      <c r="O767" s="131"/>
      <c r="P767" s="131"/>
      <c r="Q767" s="131"/>
      <c r="R767" s="131"/>
      <c r="S767" s="131"/>
      <c r="T767" s="131"/>
      <c r="U767" s="131"/>
      <c r="V767" s="131"/>
      <c r="W767" s="131"/>
      <c r="X767" s="131"/>
      <c r="Y767" s="131"/>
      <c r="Z767" s="131"/>
    </row>
    <row r="768">
      <c r="A768" s="99"/>
      <c r="B768" s="99"/>
      <c r="C768" s="99"/>
      <c r="D768" s="99"/>
      <c r="E768" s="99"/>
      <c r="F768" s="99"/>
      <c r="G768" s="99"/>
      <c r="H768" s="99"/>
      <c r="I768" s="99"/>
      <c r="J768" s="131"/>
      <c r="K768" s="131"/>
      <c r="L768" s="131"/>
      <c r="M768" s="131"/>
      <c r="N768" s="131"/>
      <c r="O768" s="131"/>
      <c r="P768" s="131"/>
      <c r="Q768" s="131"/>
      <c r="R768" s="131"/>
      <c r="S768" s="131"/>
      <c r="T768" s="131"/>
      <c r="U768" s="131"/>
      <c r="V768" s="131"/>
      <c r="W768" s="131"/>
      <c r="X768" s="131"/>
      <c r="Y768" s="131"/>
      <c r="Z768" s="131"/>
    </row>
    <row r="769">
      <c r="A769" s="99"/>
      <c r="B769" s="99"/>
      <c r="C769" s="99"/>
      <c r="D769" s="99"/>
      <c r="E769" s="99"/>
      <c r="F769" s="99"/>
      <c r="G769" s="99"/>
      <c r="H769" s="99"/>
      <c r="I769" s="99"/>
      <c r="J769" s="131"/>
      <c r="K769" s="131"/>
      <c r="L769" s="131"/>
      <c r="M769" s="131"/>
      <c r="N769" s="131"/>
      <c r="O769" s="131"/>
      <c r="P769" s="131"/>
      <c r="Q769" s="131"/>
      <c r="R769" s="131"/>
      <c r="S769" s="131"/>
      <c r="T769" s="131"/>
      <c r="U769" s="131"/>
      <c r="V769" s="131"/>
      <c r="W769" s="131"/>
      <c r="X769" s="131"/>
      <c r="Y769" s="131"/>
      <c r="Z769" s="131"/>
    </row>
    <row r="770">
      <c r="A770" s="99"/>
      <c r="B770" s="99"/>
      <c r="C770" s="99"/>
      <c r="D770" s="99"/>
      <c r="E770" s="99"/>
      <c r="F770" s="99"/>
      <c r="G770" s="99"/>
      <c r="H770" s="99"/>
      <c r="I770" s="99"/>
      <c r="J770" s="131"/>
      <c r="K770" s="131"/>
      <c r="L770" s="131"/>
      <c r="M770" s="131"/>
      <c r="N770" s="131"/>
      <c r="O770" s="131"/>
      <c r="P770" s="131"/>
      <c r="Q770" s="131"/>
      <c r="R770" s="131"/>
      <c r="S770" s="131"/>
      <c r="T770" s="131"/>
      <c r="U770" s="131"/>
      <c r="V770" s="131"/>
      <c r="W770" s="131"/>
      <c r="X770" s="131"/>
      <c r="Y770" s="131"/>
      <c r="Z770" s="131"/>
    </row>
    <row r="771">
      <c r="A771" s="99"/>
      <c r="B771" s="99"/>
      <c r="C771" s="99"/>
      <c r="D771" s="99"/>
      <c r="E771" s="99"/>
      <c r="F771" s="99"/>
      <c r="G771" s="99"/>
      <c r="H771" s="99"/>
      <c r="I771" s="99"/>
      <c r="J771" s="131"/>
      <c r="K771" s="131"/>
      <c r="L771" s="131"/>
      <c r="M771" s="131"/>
      <c r="N771" s="131"/>
      <c r="O771" s="131"/>
      <c r="P771" s="131"/>
      <c r="Q771" s="131"/>
      <c r="R771" s="131"/>
      <c r="S771" s="131"/>
      <c r="T771" s="131"/>
      <c r="U771" s="131"/>
      <c r="V771" s="131"/>
      <c r="W771" s="131"/>
      <c r="X771" s="131"/>
      <c r="Y771" s="131"/>
      <c r="Z771" s="131"/>
    </row>
    <row r="772">
      <c r="A772" s="99"/>
      <c r="B772" s="99"/>
      <c r="C772" s="99"/>
      <c r="D772" s="99"/>
      <c r="E772" s="99"/>
      <c r="F772" s="99"/>
      <c r="G772" s="99"/>
      <c r="H772" s="99"/>
      <c r="I772" s="99"/>
      <c r="J772" s="131"/>
      <c r="K772" s="131"/>
      <c r="L772" s="131"/>
      <c r="M772" s="131"/>
      <c r="N772" s="131"/>
      <c r="O772" s="131"/>
      <c r="P772" s="131"/>
      <c r="Q772" s="131"/>
      <c r="R772" s="131"/>
      <c r="S772" s="131"/>
      <c r="T772" s="131"/>
      <c r="U772" s="131"/>
      <c r="V772" s="131"/>
      <c r="W772" s="131"/>
      <c r="X772" s="131"/>
      <c r="Y772" s="131"/>
      <c r="Z772" s="131"/>
    </row>
    <row r="773">
      <c r="A773" s="99"/>
      <c r="B773" s="99"/>
      <c r="C773" s="99"/>
      <c r="D773" s="99"/>
      <c r="E773" s="99"/>
      <c r="F773" s="99"/>
      <c r="G773" s="99"/>
      <c r="H773" s="99"/>
      <c r="I773" s="99"/>
      <c r="J773" s="131"/>
      <c r="K773" s="131"/>
      <c r="L773" s="131"/>
      <c r="M773" s="131"/>
      <c r="N773" s="131"/>
      <c r="O773" s="131"/>
      <c r="P773" s="131"/>
      <c r="Q773" s="131"/>
      <c r="R773" s="131"/>
      <c r="S773" s="131"/>
      <c r="T773" s="131"/>
      <c r="U773" s="131"/>
      <c r="V773" s="131"/>
      <c r="W773" s="131"/>
      <c r="X773" s="131"/>
      <c r="Y773" s="131"/>
      <c r="Z773" s="131"/>
    </row>
    <row r="774">
      <c r="A774" s="99"/>
      <c r="B774" s="99"/>
      <c r="C774" s="99"/>
      <c r="D774" s="99"/>
      <c r="E774" s="99"/>
      <c r="F774" s="99"/>
      <c r="G774" s="99"/>
      <c r="H774" s="99"/>
      <c r="I774" s="99"/>
      <c r="J774" s="131"/>
      <c r="K774" s="131"/>
      <c r="L774" s="131"/>
      <c r="M774" s="131"/>
      <c r="N774" s="131"/>
      <c r="O774" s="131"/>
      <c r="P774" s="131"/>
      <c r="Q774" s="131"/>
      <c r="R774" s="131"/>
      <c r="S774" s="131"/>
      <c r="T774" s="131"/>
      <c r="U774" s="131"/>
      <c r="V774" s="131"/>
      <c r="W774" s="131"/>
      <c r="X774" s="131"/>
      <c r="Y774" s="131"/>
      <c r="Z774" s="131"/>
    </row>
    <row r="775">
      <c r="A775" s="99"/>
      <c r="B775" s="99"/>
      <c r="C775" s="99"/>
      <c r="D775" s="99"/>
      <c r="E775" s="99"/>
      <c r="F775" s="99"/>
      <c r="G775" s="99"/>
      <c r="H775" s="99"/>
      <c r="I775" s="99"/>
      <c r="J775" s="131"/>
      <c r="K775" s="131"/>
      <c r="L775" s="131"/>
      <c r="M775" s="131"/>
      <c r="N775" s="131"/>
      <c r="O775" s="131"/>
      <c r="P775" s="131"/>
      <c r="Q775" s="131"/>
      <c r="R775" s="131"/>
      <c r="S775" s="131"/>
      <c r="T775" s="131"/>
      <c r="U775" s="131"/>
      <c r="V775" s="131"/>
      <c r="W775" s="131"/>
      <c r="X775" s="131"/>
      <c r="Y775" s="131"/>
      <c r="Z775" s="131"/>
    </row>
    <row r="776">
      <c r="A776" s="99"/>
      <c r="B776" s="99"/>
      <c r="C776" s="99"/>
      <c r="D776" s="99"/>
      <c r="E776" s="99"/>
      <c r="F776" s="99"/>
      <c r="G776" s="99"/>
      <c r="H776" s="99"/>
      <c r="I776" s="99"/>
      <c r="J776" s="131"/>
      <c r="K776" s="131"/>
      <c r="L776" s="131"/>
      <c r="M776" s="131"/>
      <c r="N776" s="131"/>
      <c r="O776" s="131"/>
      <c r="P776" s="131"/>
      <c r="Q776" s="131"/>
      <c r="R776" s="131"/>
      <c r="S776" s="131"/>
      <c r="T776" s="131"/>
      <c r="U776" s="131"/>
      <c r="V776" s="131"/>
      <c r="W776" s="131"/>
      <c r="X776" s="131"/>
      <c r="Y776" s="131"/>
      <c r="Z776" s="131"/>
    </row>
    <row r="777">
      <c r="A777" s="99"/>
      <c r="B777" s="99"/>
      <c r="C777" s="99"/>
      <c r="D777" s="99"/>
      <c r="E777" s="99"/>
      <c r="F777" s="99"/>
      <c r="G777" s="99"/>
      <c r="H777" s="99"/>
      <c r="I777" s="99"/>
      <c r="J777" s="131"/>
      <c r="K777" s="131"/>
      <c r="L777" s="131"/>
      <c r="M777" s="131"/>
      <c r="N777" s="131"/>
      <c r="O777" s="131"/>
      <c r="P777" s="131"/>
      <c r="Q777" s="131"/>
      <c r="R777" s="131"/>
      <c r="S777" s="131"/>
      <c r="T777" s="131"/>
      <c r="U777" s="131"/>
      <c r="V777" s="131"/>
      <c r="W777" s="131"/>
      <c r="X777" s="131"/>
      <c r="Y777" s="131"/>
      <c r="Z777" s="131"/>
    </row>
    <row r="778">
      <c r="A778" s="99"/>
      <c r="B778" s="99"/>
      <c r="C778" s="99"/>
      <c r="D778" s="99"/>
      <c r="E778" s="99"/>
      <c r="F778" s="99"/>
      <c r="G778" s="99"/>
      <c r="H778" s="99"/>
      <c r="I778" s="99"/>
      <c r="J778" s="131"/>
      <c r="K778" s="131"/>
      <c r="L778" s="131"/>
      <c r="M778" s="131"/>
      <c r="N778" s="131"/>
      <c r="O778" s="131"/>
      <c r="P778" s="131"/>
      <c r="Q778" s="131"/>
      <c r="R778" s="131"/>
      <c r="S778" s="131"/>
      <c r="T778" s="131"/>
      <c r="U778" s="131"/>
      <c r="V778" s="131"/>
      <c r="W778" s="131"/>
      <c r="X778" s="131"/>
      <c r="Y778" s="131"/>
      <c r="Z778" s="131"/>
    </row>
    <row r="779">
      <c r="A779" s="99"/>
      <c r="B779" s="99"/>
      <c r="C779" s="99"/>
      <c r="D779" s="99"/>
      <c r="E779" s="99"/>
      <c r="F779" s="99"/>
      <c r="G779" s="99"/>
      <c r="H779" s="99"/>
      <c r="I779" s="99"/>
      <c r="J779" s="131"/>
      <c r="K779" s="131"/>
      <c r="L779" s="131"/>
      <c r="M779" s="131"/>
      <c r="N779" s="131"/>
      <c r="O779" s="131"/>
      <c r="P779" s="131"/>
      <c r="Q779" s="131"/>
      <c r="R779" s="131"/>
      <c r="S779" s="131"/>
      <c r="T779" s="131"/>
      <c r="U779" s="131"/>
      <c r="V779" s="131"/>
      <c r="W779" s="131"/>
      <c r="X779" s="131"/>
      <c r="Y779" s="131"/>
      <c r="Z779" s="131"/>
    </row>
    <row r="780">
      <c r="A780" s="99"/>
      <c r="B780" s="99"/>
      <c r="C780" s="99"/>
      <c r="D780" s="99"/>
      <c r="E780" s="99"/>
      <c r="F780" s="99"/>
      <c r="G780" s="99"/>
      <c r="H780" s="99"/>
      <c r="I780" s="99"/>
      <c r="J780" s="131"/>
      <c r="K780" s="131"/>
      <c r="L780" s="131"/>
      <c r="M780" s="131"/>
      <c r="N780" s="131"/>
      <c r="O780" s="131"/>
      <c r="P780" s="131"/>
      <c r="Q780" s="131"/>
      <c r="R780" s="131"/>
      <c r="S780" s="131"/>
      <c r="T780" s="131"/>
      <c r="U780" s="131"/>
      <c r="V780" s="131"/>
      <c r="W780" s="131"/>
      <c r="X780" s="131"/>
      <c r="Y780" s="131"/>
      <c r="Z780" s="131"/>
    </row>
    <row r="781">
      <c r="A781" s="99"/>
      <c r="B781" s="99"/>
      <c r="C781" s="99"/>
      <c r="D781" s="99"/>
      <c r="E781" s="99"/>
      <c r="F781" s="99"/>
      <c r="G781" s="99"/>
      <c r="H781" s="99"/>
      <c r="I781" s="99"/>
      <c r="J781" s="131"/>
      <c r="K781" s="131"/>
      <c r="L781" s="131"/>
      <c r="M781" s="131"/>
      <c r="N781" s="131"/>
      <c r="O781" s="131"/>
      <c r="P781" s="131"/>
      <c r="Q781" s="131"/>
      <c r="R781" s="131"/>
      <c r="S781" s="131"/>
      <c r="T781" s="131"/>
      <c r="U781" s="131"/>
      <c r="V781" s="131"/>
      <c r="W781" s="131"/>
      <c r="X781" s="131"/>
      <c r="Y781" s="131"/>
      <c r="Z781" s="131"/>
    </row>
    <row r="782">
      <c r="A782" s="99"/>
      <c r="B782" s="99"/>
      <c r="C782" s="99"/>
      <c r="D782" s="99"/>
      <c r="E782" s="99"/>
      <c r="F782" s="99"/>
      <c r="G782" s="99"/>
      <c r="H782" s="99"/>
      <c r="I782" s="99"/>
      <c r="J782" s="131"/>
      <c r="K782" s="131"/>
      <c r="L782" s="131"/>
      <c r="M782" s="131"/>
      <c r="N782" s="131"/>
      <c r="O782" s="131"/>
      <c r="P782" s="131"/>
      <c r="Q782" s="131"/>
      <c r="R782" s="131"/>
      <c r="S782" s="131"/>
      <c r="T782" s="131"/>
      <c r="U782" s="131"/>
      <c r="V782" s="131"/>
      <c r="W782" s="131"/>
      <c r="X782" s="131"/>
      <c r="Y782" s="131"/>
      <c r="Z782" s="131"/>
    </row>
    <row r="783">
      <c r="A783" s="99"/>
      <c r="B783" s="99"/>
      <c r="C783" s="99"/>
      <c r="D783" s="99"/>
      <c r="E783" s="99"/>
      <c r="F783" s="99"/>
      <c r="G783" s="99"/>
      <c r="H783" s="99"/>
      <c r="I783" s="99"/>
      <c r="J783" s="131"/>
      <c r="K783" s="131"/>
      <c r="L783" s="131"/>
      <c r="M783" s="131"/>
      <c r="N783" s="131"/>
      <c r="O783" s="131"/>
      <c r="P783" s="131"/>
      <c r="Q783" s="131"/>
      <c r="R783" s="131"/>
      <c r="S783" s="131"/>
      <c r="T783" s="131"/>
      <c r="U783" s="131"/>
      <c r="V783" s="131"/>
      <c r="W783" s="131"/>
      <c r="X783" s="131"/>
      <c r="Y783" s="131"/>
      <c r="Z783" s="131"/>
    </row>
    <row r="784">
      <c r="A784" s="99"/>
      <c r="B784" s="99"/>
      <c r="C784" s="99"/>
      <c r="D784" s="99"/>
      <c r="E784" s="99"/>
      <c r="F784" s="99"/>
      <c r="G784" s="99"/>
      <c r="H784" s="99"/>
      <c r="I784" s="99"/>
      <c r="J784" s="131"/>
      <c r="K784" s="131"/>
      <c r="L784" s="131"/>
      <c r="M784" s="131"/>
      <c r="N784" s="131"/>
      <c r="O784" s="131"/>
      <c r="P784" s="131"/>
      <c r="Q784" s="131"/>
      <c r="R784" s="131"/>
      <c r="S784" s="131"/>
      <c r="T784" s="131"/>
      <c r="U784" s="131"/>
      <c r="V784" s="131"/>
      <c r="W784" s="131"/>
      <c r="X784" s="131"/>
      <c r="Y784" s="131"/>
      <c r="Z784" s="131"/>
    </row>
    <row r="785">
      <c r="A785" s="99"/>
      <c r="B785" s="99"/>
      <c r="C785" s="99"/>
      <c r="D785" s="99"/>
      <c r="E785" s="99"/>
      <c r="F785" s="99"/>
      <c r="G785" s="99"/>
      <c r="H785" s="99"/>
      <c r="I785" s="99"/>
      <c r="J785" s="131"/>
      <c r="K785" s="131"/>
      <c r="L785" s="131"/>
      <c r="M785" s="131"/>
      <c r="N785" s="131"/>
      <c r="O785" s="131"/>
      <c r="P785" s="131"/>
      <c r="Q785" s="131"/>
      <c r="R785" s="131"/>
      <c r="S785" s="131"/>
      <c r="T785" s="131"/>
      <c r="U785" s="131"/>
      <c r="V785" s="131"/>
      <c r="W785" s="131"/>
      <c r="X785" s="131"/>
      <c r="Y785" s="131"/>
      <c r="Z785" s="131"/>
    </row>
    <row r="786">
      <c r="A786" s="99"/>
      <c r="B786" s="99"/>
      <c r="C786" s="99"/>
      <c r="D786" s="99"/>
      <c r="E786" s="99"/>
      <c r="F786" s="99"/>
      <c r="G786" s="99"/>
      <c r="H786" s="99"/>
      <c r="I786" s="99"/>
      <c r="J786" s="131"/>
      <c r="K786" s="131"/>
      <c r="L786" s="131"/>
      <c r="M786" s="131"/>
      <c r="N786" s="131"/>
      <c r="O786" s="131"/>
      <c r="P786" s="131"/>
      <c r="Q786" s="131"/>
      <c r="R786" s="131"/>
      <c r="S786" s="131"/>
      <c r="T786" s="131"/>
      <c r="U786" s="131"/>
      <c r="V786" s="131"/>
      <c r="W786" s="131"/>
      <c r="X786" s="131"/>
      <c r="Y786" s="131"/>
      <c r="Z786" s="131"/>
    </row>
    <row r="787">
      <c r="A787" s="99"/>
      <c r="B787" s="99"/>
      <c r="C787" s="99"/>
      <c r="D787" s="99"/>
      <c r="E787" s="99"/>
      <c r="F787" s="99"/>
      <c r="G787" s="99"/>
      <c r="H787" s="99"/>
      <c r="I787" s="99"/>
      <c r="J787" s="131"/>
      <c r="K787" s="131"/>
      <c r="L787" s="131"/>
      <c r="M787" s="131"/>
      <c r="N787" s="131"/>
      <c r="O787" s="131"/>
      <c r="P787" s="131"/>
      <c r="Q787" s="131"/>
      <c r="R787" s="131"/>
      <c r="S787" s="131"/>
      <c r="T787" s="131"/>
      <c r="U787" s="131"/>
      <c r="V787" s="131"/>
      <c r="W787" s="131"/>
      <c r="X787" s="131"/>
      <c r="Y787" s="131"/>
      <c r="Z787" s="131"/>
    </row>
    <row r="788">
      <c r="A788" s="99"/>
      <c r="B788" s="99"/>
      <c r="C788" s="99"/>
      <c r="D788" s="99"/>
      <c r="E788" s="99"/>
      <c r="F788" s="99"/>
      <c r="G788" s="99"/>
      <c r="H788" s="99"/>
      <c r="I788" s="99"/>
      <c r="J788" s="131"/>
      <c r="K788" s="131"/>
      <c r="L788" s="131"/>
      <c r="M788" s="131"/>
      <c r="N788" s="131"/>
      <c r="O788" s="131"/>
      <c r="P788" s="131"/>
      <c r="Q788" s="131"/>
      <c r="R788" s="131"/>
      <c r="S788" s="131"/>
      <c r="T788" s="131"/>
      <c r="U788" s="131"/>
      <c r="V788" s="131"/>
      <c r="W788" s="131"/>
      <c r="X788" s="131"/>
      <c r="Y788" s="131"/>
      <c r="Z788" s="131"/>
    </row>
    <row r="789">
      <c r="A789" s="99"/>
      <c r="B789" s="99"/>
      <c r="C789" s="99"/>
      <c r="D789" s="99"/>
      <c r="E789" s="99"/>
      <c r="F789" s="99"/>
      <c r="G789" s="99"/>
      <c r="H789" s="99"/>
      <c r="I789" s="99"/>
      <c r="J789" s="131"/>
      <c r="K789" s="131"/>
      <c r="L789" s="131"/>
      <c r="M789" s="131"/>
      <c r="N789" s="131"/>
      <c r="O789" s="131"/>
      <c r="P789" s="131"/>
      <c r="Q789" s="131"/>
      <c r="R789" s="131"/>
      <c r="S789" s="131"/>
      <c r="T789" s="131"/>
      <c r="U789" s="131"/>
      <c r="V789" s="131"/>
      <c r="W789" s="131"/>
      <c r="X789" s="131"/>
      <c r="Y789" s="131"/>
      <c r="Z789" s="131"/>
    </row>
    <row r="790">
      <c r="A790" s="99"/>
      <c r="B790" s="99"/>
      <c r="C790" s="99"/>
      <c r="D790" s="99"/>
      <c r="E790" s="99"/>
      <c r="F790" s="99"/>
      <c r="G790" s="99"/>
      <c r="H790" s="99"/>
      <c r="I790" s="99"/>
      <c r="J790" s="131"/>
      <c r="K790" s="131"/>
      <c r="L790" s="131"/>
      <c r="M790" s="131"/>
      <c r="N790" s="131"/>
      <c r="O790" s="131"/>
      <c r="P790" s="131"/>
      <c r="Q790" s="131"/>
      <c r="R790" s="131"/>
      <c r="S790" s="131"/>
      <c r="T790" s="131"/>
      <c r="U790" s="131"/>
      <c r="V790" s="131"/>
      <c r="W790" s="131"/>
      <c r="X790" s="131"/>
      <c r="Y790" s="131"/>
      <c r="Z790" s="131"/>
    </row>
    <row r="791">
      <c r="A791" s="99"/>
      <c r="B791" s="99"/>
      <c r="C791" s="99"/>
      <c r="D791" s="99"/>
      <c r="E791" s="99"/>
      <c r="F791" s="99"/>
      <c r="G791" s="99"/>
      <c r="H791" s="99"/>
      <c r="I791" s="99"/>
      <c r="J791" s="131"/>
      <c r="K791" s="131"/>
      <c r="L791" s="131"/>
      <c r="M791" s="131"/>
      <c r="N791" s="131"/>
      <c r="O791" s="131"/>
      <c r="P791" s="131"/>
      <c r="Q791" s="131"/>
      <c r="R791" s="131"/>
      <c r="S791" s="131"/>
      <c r="T791" s="131"/>
      <c r="U791" s="131"/>
      <c r="V791" s="131"/>
      <c r="W791" s="131"/>
      <c r="X791" s="131"/>
      <c r="Y791" s="131"/>
      <c r="Z791" s="131"/>
    </row>
    <row r="792">
      <c r="A792" s="99"/>
      <c r="B792" s="99"/>
      <c r="C792" s="99"/>
      <c r="D792" s="99"/>
      <c r="E792" s="99"/>
      <c r="F792" s="99"/>
      <c r="G792" s="99"/>
      <c r="H792" s="99"/>
      <c r="I792" s="99"/>
      <c r="J792" s="131"/>
      <c r="K792" s="131"/>
      <c r="L792" s="131"/>
      <c r="M792" s="131"/>
      <c r="N792" s="131"/>
      <c r="O792" s="131"/>
      <c r="P792" s="131"/>
      <c r="Q792" s="131"/>
      <c r="R792" s="131"/>
      <c r="S792" s="131"/>
      <c r="T792" s="131"/>
      <c r="U792" s="131"/>
      <c r="V792" s="131"/>
      <c r="W792" s="131"/>
      <c r="X792" s="131"/>
      <c r="Y792" s="131"/>
      <c r="Z792" s="131"/>
    </row>
    <row r="793">
      <c r="A793" s="99"/>
      <c r="B793" s="99"/>
      <c r="C793" s="99"/>
      <c r="D793" s="99"/>
      <c r="E793" s="99"/>
      <c r="F793" s="99"/>
      <c r="G793" s="99"/>
      <c r="H793" s="99"/>
      <c r="I793" s="99"/>
      <c r="J793" s="131"/>
      <c r="K793" s="131"/>
      <c r="L793" s="131"/>
      <c r="M793" s="131"/>
      <c r="N793" s="131"/>
      <c r="O793" s="131"/>
      <c r="P793" s="131"/>
      <c r="Q793" s="131"/>
      <c r="R793" s="131"/>
      <c r="S793" s="131"/>
      <c r="T793" s="131"/>
      <c r="U793" s="131"/>
      <c r="V793" s="131"/>
      <c r="W793" s="131"/>
      <c r="X793" s="131"/>
      <c r="Y793" s="131"/>
      <c r="Z793" s="131"/>
    </row>
    <row r="794">
      <c r="A794" s="99"/>
      <c r="B794" s="99"/>
      <c r="C794" s="99"/>
      <c r="D794" s="99"/>
      <c r="E794" s="99"/>
      <c r="F794" s="99"/>
      <c r="G794" s="99"/>
      <c r="H794" s="99"/>
      <c r="I794" s="99"/>
      <c r="J794" s="131"/>
      <c r="K794" s="131"/>
      <c r="L794" s="131"/>
      <c r="M794" s="131"/>
      <c r="N794" s="131"/>
      <c r="O794" s="131"/>
      <c r="P794" s="131"/>
      <c r="Q794" s="131"/>
      <c r="R794" s="131"/>
      <c r="S794" s="131"/>
      <c r="T794" s="131"/>
      <c r="U794" s="131"/>
      <c r="V794" s="131"/>
      <c r="W794" s="131"/>
      <c r="X794" s="131"/>
      <c r="Y794" s="131"/>
      <c r="Z794" s="131"/>
    </row>
    <row r="795">
      <c r="A795" s="99"/>
      <c r="B795" s="99"/>
      <c r="C795" s="99"/>
      <c r="D795" s="99"/>
      <c r="E795" s="99"/>
      <c r="F795" s="99"/>
      <c r="G795" s="99"/>
      <c r="H795" s="99"/>
      <c r="I795" s="99"/>
      <c r="J795" s="131"/>
      <c r="K795" s="131"/>
      <c r="L795" s="131"/>
      <c r="M795" s="131"/>
      <c r="N795" s="131"/>
      <c r="O795" s="131"/>
      <c r="P795" s="131"/>
      <c r="Q795" s="131"/>
      <c r="R795" s="131"/>
      <c r="S795" s="131"/>
      <c r="T795" s="131"/>
      <c r="U795" s="131"/>
      <c r="V795" s="131"/>
      <c r="W795" s="131"/>
      <c r="X795" s="131"/>
      <c r="Y795" s="131"/>
      <c r="Z795" s="131"/>
    </row>
    <row r="796">
      <c r="A796" s="99"/>
      <c r="B796" s="99"/>
      <c r="C796" s="99"/>
      <c r="D796" s="99"/>
      <c r="E796" s="99"/>
      <c r="F796" s="99"/>
      <c r="G796" s="99"/>
      <c r="H796" s="99"/>
      <c r="I796" s="99"/>
      <c r="J796" s="131"/>
      <c r="K796" s="131"/>
      <c r="L796" s="131"/>
      <c r="M796" s="131"/>
      <c r="N796" s="131"/>
      <c r="O796" s="131"/>
      <c r="P796" s="131"/>
      <c r="Q796" s="131"/>
      <c r="R796" s="131"/>
      <c r="S796" s="131"/>
      <c r="T796" s="131"/>
      <c r="U796" s="131"/>
      <c r="V796" s="131"/>
      <c r="W796" s="131"/>
      <c r="X796" s="131"/>
      <c r="Y796" s="131"/>
      <c r="Z796" s="131"/>
    </row>
    <row r="797">
      <c r="A797" s="99"/>
      <c r="B797" s="99"/>
      <c r="C797" s="99"/>
      <c r="D797" s="99"/>
      <c r="E797" s="99"/>
      <c r="F797" s="99"/>
      <c r="G797" s="99"/>
      <c r="H797" s="99"/>
      <c r="I797" s="99"/>
      <c r="J797" s="131"/>
      <c r="K797" s="131"/>
      <c r="L797" s="131"/>
      <c r="M797" s="131"/>
      <c r="N797" s="131"/>
      <c r="O797" s="131"/>
      <c r="P797" s="131"/>
      <c r="Q797" s="131"/>
      <c r="R797" s="131"/>
      <c r="S797" s="131"/>
      <c r="T797" s="131"/>
      <c r="U797" s="131"/>
      <c r="V797" s="131"/>
      <c r="W797" s="131"/>
      <c r="X797" s="131"/>
      <c r="Y797" s="131"/>
      <c r="Z797" s="131"/>
    </row>
    <row r="798">
      <c r="A798" s="99"/>
      <c r="B798" s="99"/>
      <c r="C798" s="99"/>
      <c r="D798" s="99"/>
      <c r="E798" s="99"/>
      <c r="F798" s="99"/>
      <c r="G798" s="99"/>
      <c r="H798" s="99"/>
      <c r="I798" s="99"/>
      <c r="J798" s="131"/>
      <c r="K798" s="131"/>
      <c r="L798" s="131"/>
      <c r="M798" s="131"/>
      <c r="N798" s="131"/>
      <c r="O798" s="131"/>
      <c r="P798" s="131"/>
      <c r="Q798" s="131"/>
      <c r="R798" s="131"/>
      <c r="S798" s="131"/>
      <c r="T798" s="131"/>
      <c r="U798" s="131"/>
      <c r="V798" s="131"/>
      <c r="W798" s="131"/>
      <c r="X798" s="131"/>
      <c r="Y798" s="131"/>
      <c r="Z798" s="131"/>
    </row>
    <row r="799">
      <c r="A799" s="99"/>
      <c r="B799" s="99"/>
      <c r="C799" s="99"/>
      <c r="D799" s="99"/>
      <c r="E799" s="99"/>
      <c r="F799" s="99"/>
      <c r="G799" s="99"/>
      <c r="H799" s="99"/>
      <c r="I799" s="99"/>
      <c r="J799" s="131"/>
      <c r="K799" s="131"/>
      <c r="L799" s="131"/>
      <c r="M799" s="131"/>
      <c r="N799" s="131"/>
      <c r="O799" s="131"/>
      <c r="P799" s="131"/>
      <c r="Q799" s="131"/>
      <c r="R799" s="131"/>
      <c r="S799" s="131"/>
      <c r="T799" s="131"/>
      <c r="U799" s="131"/>
      <c r="V799" s="131"/>
      <c r="W799" s="131"/>
      <c r="X799" s="131"/>
      <c r="Y799" s="131"/>
      <c r="Z799" s="131"/>
    </row>
    <row r="800">
      <c r="A800" s="99"/>
      <c r="B800" s="99"/>
      <c r="C800" s="99"/>
      <c r="D800" s="99"/>
      <c r="E800" s="99"/>
      <c r="F800" s="99"/>
      <c r="G800" s="99"/>
      <c r="H800" s="99"/>
      <c r="I800" s="99"/>
      <c r="J800" s="131"/>
      <c r="K800" s="131"/>
      <c r="L800" s="131"/>
      <c r="M800" s="131"/>
      <c r="N800" s="131"/>
      <c r="O800" s="131"/>
      <c r="P800" s="131"/>
      <c r="Q800" s="131"/>
      <c r="R800" s="131"/>
      <c r="S800" s="131"/>
      <c r="T800" s="131"/>
      <c r="U800" s="131"/>
      <c r="V800" s="131"/>
      <c r="W800" s="131"/>
      <c r="X800" s="131"/>
      <c r="Y800" s="131"/>
      <c r="Z800" s="131"/>
    </row>
    <row r="801">
      <c r="A801" s="99"/>
      <c r="B801" s="99"/>
      <c r="C801" s="99"/>
      <c r="D801" s="99"/>
      <c r="E801" s="99"/>
      <c r="F801" s="99"/>
      <c r="G801" s="99"/>
      <c r="H801" s="99"/>
      <c r="I801" s="99"/>
      <c r="J801" s="131"/>
      <c r="K801" s="131"/>
      <c r="L801" s="131"/>
      <c r="M801" s="131"/>
      <c r="N801" s="131"/>
      <c r="O801" s="131"/>
      <c r="P801" s="131"/>
      <c r="Q801" s="131"/>
      <c r="R801" s="131"/>
      <c r="S801" s="131"/>
      <c r="T801" s="131"/>
      <c r="U801" s="131"/>
      <c r="V801" s="131"/>
      <c r="W801" s="131"/>
      <c r="X801" s="131"/>
      <c r="Y801" s="131"/>
      <c r="Z801" s="131"/>
    </row>
    <row r="802">
      <c r="A802" s="99"/>
      <c r="B802" s="99"/>
      <c r="C802" s="99"/>
      <c r="D802" s="99"/>
      <c r="E802" s="99"/>
      <c r="F802" s="99"/>
      <c r="G802" s="99"/>
      <c r="H802" s="99"/>
      <c r="I802" s="99"/>
      <c r="J802" s="131"/>
      <c r="K802" s="131"/>
      <c r="L802" s="131"/>
      <c r="M802" s="131"/>
      <c r="N802" s="131"/>
      <c r="O802" s="131"/>
      <c r="P802" s="131"/>
      <c r="Q802" s="131"/>
      <c r="R802" s="131"/>
      <c r="S802" s="131"/>
      <c r="T802" s="131"/>
      <c r="U802" s="131"/>
      <c r="V802" s="131"/>
      <c r="W802" s="131"/>
      <c r="X802" s="131"/>
      <c r="Y802" s="131"/>
      <c r="Z802" s="131"/>
    </row>
    <row r="803">
      <c r="A803" s="99"/>
      <c r="B803" s="99"/>
      <c r="C803" s="99"/>
      <c r="D803" s="99"/>
      <c r="E803" s="99"/>
      <c r="F803" s="99"/>
      <c r="G803" s="99"/>
      <c r="H803" s="99"/>
      <c r="I803" s="99"/>
      <c r="J803" s="131"/>
      <c r="K803" s="131"/>
      <c r="L803" s="131"/>
      <c r="M803" s="131"/>
      <c r="N803" s="131"/>
      <c r="O803" s="131"/>
      <c r="P803" s="131"/>
      <c r="Q803" s="131"/>
      <c r="R803" s="131"/>
      <c r="S803" s="131"/>
      <c r="T803" s="131"/>
      <c r="U803" s="131"/>
      <c r="V803" s="131"/>
      <c r="W803" s="131"/>
      <c r="X803" s="131"/>
      <c r="Y803" s="131"/>
      <c r="Z803" s="131"/>
    </row>
    <row r="804">
      <c r="A804" s="99"/>
      <c r="B804" s="99"/>
      <c r="C804" s="99"/>
      <c r="D804" s="99"/>
      <c r="E804" s="99"/>
      <c r="F804" s="99"/>
      <c r="G804" s="99"/>
      <c r="H804" s="99"/>
      <c r="I804" s="99"/>
      <c r="J804" s="131"/>
      <c r="K804" s="131"/>
      <c r="L804" s="131"/>
      <c r="M804" s="131"/>
      <c r="N804" s="131"/>
      <c r="O804" s="131"/>
      <c r="P804" s="131"/>
      <c r="Q804" s="131"/>
      <c r="R804" s="131"/>
      <c r="S804" s="131"/>
      <c r="T804" s="131"/>
      <c r="U804" s="131"/>
      <c r="V804" s="131"/>
      <c r="W804" s="131"/>
      <c r="X804" s="131"/>
      <c r="Y804" s="131"/>
      <c r="Z804" s="131"/>
    </row>
    <row r="805">
      <c r="A805" s="99"/>
      <c r="B805" s="99"/>
      <c r="C805" s="99"/>
      <c r="D805" s="99"/>
      <c r="E805" s="99"/>
      <c r="F805" s="99"/>
      <c r="G805" s="99"/>
      <c r="H805" s="99"/>
      <c r="I805" s="99"/>
      <c r="J805" s="131"/>
      <c r="K805" s="131"/>
      <c r="L805" s="131"/>
      <c r="M805" s="131"/>
      <c r="N805" s="131"/>
      <c r="O805" s="131"/>
      <c r="P805" s="131"/>
      <c r="Q805" s="131"/>
      <c r="R805" s="131"/>
      <c r="S805" s="131"/>
      <c r="T805" s="131"/>
      <c r="U805" s="131"/>
      <c r="V805" s="131"/>
      <c r="W805" s="131"/>
      <c r="X805" s="131"/>
      <c r="Y805" s="131"/>
      <c r="Z805" s="131"/>
    </row>
    <row r="806">
      <c r="A806" s="99"/>
      <c r="B806" s="99"/>
      <c r="C806" s="99"/>
      <c r="D806" s="99"/>
      <c r="E806" s="99"/>
      <c r="F806" s="99"/>
      <c r="G806" s="99"/>
      <c r="H806" s="99"/>
      <c r="I806" s="99"/>
      <c r="J806" s="131"/>
      <c r="K806" s="131"/>
      <c r="L806" s="131"/>
      <c r="M806" s="131"/>
      <c r="N806" s="131"/>
      <c r="O806" s="131"/>
      <c r="P806" s="131"/>
      <c r="Q806" s="131"/>
      <c r="R806" s="131"/>
      <c r="S806" s="131"/>
      <c r="T806" s="131"/>
      <c r="U806" s="131"/>
      <c r="V806" s="131"/>
      <c r="W806" s="131"/>
      <c r="X806" s="131"/>
      <c r="Y806" s="131"/>
      <c r="Z806" s="131"/>
    </row>
    <row r="807">
      <c r="A807" s="99"/>
      <c r="B807" s="99"/>
      <c r="C807" s="99"/>
      <c r="D807" s="99"/>
      <c r="E807" s="99"/>
      <c r="F807" s="99"/>
      <c r="G807" s="99"/>
      <c r="H807" s="99"/>
      <c r="I807" s="99"/>
      <c r="J807" s="131"/>
      <c r="K807" s="131"/>
      <c r="L807" s="131"/>
      <c r="M807" s="131"/>
      <c r="N807" s="131"/>
      <c r="O807" s="131"/>
      <c r="P807" s="131"/>
      <c r="Q807" s="131"/>
      <c r="R807" s="131"/>
      <c r="S807" s="131"/>
      <c r="T807" s="131"/>
      <c r="U807" s="131"/>
      <c r="V807" s="131"/>
      <c r="W807" s="131"/>
      <c r="X807" s="131"/>
      <c r="Y807" s="131"/>
      <c r="Z807" s="131"/>
    </row>
    <row r="808">
      <c r="A808" s="99"/>
      <c r="B808" s="99"/>
      <c r="C808" s="99"/>
      <c r="D808" s="99"/>
      <c r="E808" s="99"/>
      <c r="F808" s="99"/>
      <c r="G808" s="99"/>
      <c r="H808" s="99"/>
      <c r="I808" s="99"/>
      <c r="J808" s="131"/>
      <c r="K808" s="131"/>
      <c r="L808" s="131"/>
      <c r="M808" s="131"/>
      <c r="N808" s="131"/>
      <c r="O808" s="131"/>
      <c r="P808" s="131"/>
      <c r="Q808" s="131"/>
      <c r="R808" s="131"/>
      <c r="S808" s="131"/>
      <c r="T808" s="131"/>
      <c r="U808" s="131"/>
      <c r="V808" s="131"/>
      <c r="W808" s="131"/>
      <c r="X808" s="131"/>
      <c r="Y808" s="131"/>
      <c r="Z808" s="131"/>
    </row>
    <row r="809">
      <c r="A809" s="99"/>
      <c r="B809" s="99"/>
      <c r="C809" s="99"/>
      <c r="D809" s="99"/>
      <c r="E809" s="99"/>
      <c r="F809" s="99"/>
      <c r="G809" s="99"/>
      <c r="H809" s="99"/>
      <c r="I809" s="99"/>
      <c r="J809" s="131"/>
      <c r="K809" s="131"/>
      <c r="L809" s="131"/>
      <c r="M809" s="131"/>
      <c r="N809" s="131"/>
      <c r="O809" s="131"/>
      <c r="P809" s="131"/>
      <c r="Q809" s="131"/>
      <c r="R809" s="131"/>
      <c r="S809" s="131"/>
      <c r="T809" s="131"/>
      <c r="U809" s="131"/>
      <c r="V809" s="131"/>
      <c r="W809" s="131"/>
      <c r="X809" s="131"/>
      <c r="Y809" s="131"/>
      <c r="Z809" s="131"/>
    </row>
    <row r="810">
      <c r="A810" s="99"/>
      <c r="B810" s="99"/>
      <c r="C810" s="99"/>
      <c r="D810" s="99"/>
      <c r="E810" s="99"/>
      <c r="F810" s="99"/>
      <c r="G810" s="99"/>
      <c r="H810" s="99"/>
      <c r="I810" s="99"/>
      <c r="J810" s="131"/>
      <c r="K810" s="131"/>
      <c r="L810" s="131"/>
      <c r="M810" s="131"/>
      <c r="N810" s="131"/>
      <c r="O810" s="131"/>
      <c r="P810" s="131"/>
      <c r="Q810" s="131"/>
      <c r="R810" s="131"/>
      <c r="S810" s="131"/>
      <c r="T810" s="131"/>
      <c r="U810" s="131"/>
      <c r="V810" s="131"/>
      <c r="W810" s="131"/>
      <c r="X810" s="131"/>
      <c r="Y810" s="131"/>
      <c r="Z810" s="131"/>
    </row>
    <row r="811">
      <c r="A811" s="99"/>
      <c r="B811" s="99"/>
      <c r="C811" s="99"/>
      <c r="D811" s="99"/>
      <c r="E811" s="99"/>
      <c r="F811" s="99"/>
      <c r="G811" s="99"/>
      <c r="H811" s="99"/>
      <c r="I811" s="99"/>
      <c r="J811" s="131"/>
      <c r="K811" s="131"/>
      <c r="L811" s="131"/>
      <c r="M811" s="131"/>
      <c r="N811" s="131"/>
      <c r="O811" s="131"/>
      <c r="P811" s="131"/>
      <c r="Q811" s="131"/>
      <c r="R811" s="131"/>
      <c r="S811" s="131"/>
      <c r="T811" s="131"/>
      <c r="U811" s="131"/>
      <c r="V811" s="131"/>
      <c r="W811" s="131"/>
      <c r="X811" s="131"/>
      <c r="Y811" s="131"/>
      <c r="Z811" s="131"/>
    </row>
    <row r="812">
      <c r="A812" s="99"/>
      <c r="B812" s="99"/>
      <c r="C812" s="99"/>
      <c r="D812" s="99"/>
      <c r="E812" s="99"/>
      <c r="F812" s="99"/>
      <c r="G812" s="99"/>
      <c r="H812" s="99"/>
      <c r="I812" s="99"/>
      <c r="J812" s="131"/>
      <c r="K812" s="131"/>
      <c r="L812" s="131"/>
      <c r="M812" s="131"/>
      <c r="N812" s="131"/>
      <c r="O812" s="131"/>
      <c r="P812" s="131"/>
      <c r="Q812" s="131"/>
      <c r="R812" s="131"/>
      <c r="S812" s="131"/>
      <c r="T812" s="131"/>
      <c r="U812" s="131"/>
      <c r="V812" s="131"/>
      <c r="W812" s="131"/>
      <c r="X812" s="131"/>
      <c r="Y812" s="131"/>
      <c r="Z812" s="131"/>
    </row>
    <row r="813">
      <c r="A813" s="99"/>
      <c r="B813" s="99"/>
      <c r="C813" s="99"/>
      <c r="D813" s="99"/>
      <c r="E813" s="99"/>
      <c r="F813" s="99"/>
      <c r="G813" s="99"/>
      <c r="H813" s="99"/>
      <c r="I813" s="99"/>
      <c r="J813" s="131"/>
      <c r="K813" s="131"/>
      <c r="L813" s="131"/>
      <c r="M813" s="131"/>
      <c r="N813" s="131"/>
      <c r="O813" s="131"/>
      <c r="P813" s="131"/>
      <c r="Q813" s="131"/>
      <c r="R813" s="131"/>
      <c r="S813" s="131"/>
      <c r="T813" s="131"/>
      <c r="U813" s="131"/>
      <c r="V813" s="131"/>
      <c r="W813" s="131"/>
      <c r="X813" s="131"/>
      <c r="Y813" s="131"/>
      <c r="Z813" s="131"/>
    </row>
    <row r="814">
      <c r="A814" s="99"/>
      <c r="B814" s="99"/>
      <c r="C814" s="99"/>
      <c r="D814" s="99"/>
      <c r="E814" s="99"/>
      <c r="F814" s="99"/>
      <c r="G814" s="99"/>
      <c r="H814" s="99"/>
      <c r="I814" s="99"/>
      <c r="J814" s="131"/>
      <c r="K814" s="131"/>
      <c r="L814" s="131"/>
      <c r="M814" s="131"/>
      <c r="N814" s="131"/>
      <c r="O814" s="131"/>
      <c r="P814" s="131"/>
      <c r="Q814" s="131"/>
      <c r="R814" s="131"/>
      <c r="S814" s="131"/>
      <c r="T814" s="131"/>
      <c r="U814" s="131"/>
      <c r="V814" s="131"/>
      <c r="W814" s="131"/>
      <c r="X814" s="131"/>
      <c r="Y814" s="131"/>
      <c r="Z814" s="131"/>
    </row>
    <row r="815">
      <c r="A815" s="99"/>
      <c r="B815" s="99"/>
      <c r="C815" s="99"/>
      <c r="D815" s="99"/>
      <c r="E815" s="99"/>
      <c r="F815" s="99"/>
      <c r="G815" s="99"/>
      <c r="H815" s="99"/>
      <c r="I815" s="99"/>
      <c r="J815" s="131"/>
      <c r="K815" s="131"/>
      <c r="L815" s="131"/>
      <c r="M815" s="131"/>
      <c r="N815" s="131"/>
      <c r="O815" s="131"/>
      <c r="P815" s="131"/>
      <c r="Q815" s="131"/>
      <c r="R815" s="131"/>
      <c r="S815" s="131"/>
      <c r="T815" s="131"/>
      <c r="U815" s="131"/>
      <c r="V815" s="131"/>
      <c r="W815" s="131"/>
      <c r="X815" s="131"/>
      <c r="Y815" s="131"/>
      <c r="Z815" s="131"/>
    </row>
    <row r="816">
      <c r="A816" s="99"/>
      <c r="B816" s="99"/>
      <c r="C816" s="99"/>
      <c r="D816" s="99"/>
      <c r="E816" s="99"/>
      <c r="F816" s="99"/>
      <c r="G816" s="99"/>
      <c r="H816" s="99"/>
      <c r="I816" s="99"/>
      <c r="J816" s="131"/>
      <c r="K816" s="131"/>
      <c r="L816" s="131"/>
      <c r="M816" s="131"/>
      <c r="N816" s="131"/>
      <c r="O816" s="131"/>
      <c r="P816" s="131"/>
      <c r="Q816" s="131"/>
      <c r="R816" s="131"/>
      <c r="S816" s="131"/>
      <c r="T816" s="131"/>
      <c r="U816" s="131"/>
      <c r="V816" s="131"/>
      <c r="W816" s="131"/>
      <c r="X816" s="131"/>
      <c r="Y816" s="131"/>
      <c r="Z816" s="131"/>
    </row>
    <row r="817">
      <c r="A817" s="99"/>
      <c r="B817" s="99"/>
      <c r="C817" s="99"/>
      <c r="D817" s="99"/>
      <c r="E817" s="99"/>
      <c r="F817" s="99"/>
      <c r="G817" s="99"/>
      <c r="H817" s="99"/>
      <c r="I817" s="99"/>
      <c r="J817" s="131"/>
      <c r="K817" s="131"/>
      <c r="L817" s="131"/>
      <c r="M817" s="131"/>
      <c r="N817" s="131"/>
      <c r="O817" s="131"/>
      <c r="P817" s="131"/>
      <c r="Q817" s="131"/>
      <c r="R817" s="131"/>
      <c r="S817" s="131"/>
      <c r="T817" s="131"/>
      <c r="U817" s="131"/>
      <c r="V817" s="131"/>
      <c r="W817" s="131"/>
      <c r="X817" s="131"/>
      <c r="Y817" s="131"/>
      <c r="Z817" s="131"/>
    </row>
    <row r="818">
      <c r="A818" s="99"/>
      <c r="B818" s="99"/>
      <c r="C818" s="99"/>
      <c r="D818" s="99"/>
      <c r="E818" s="99"/>
      <c r="F818" s="99"/>
      <c r="G818" s="99"/>
      <c r="H818" s="99"/>
      <c r="I818" s="99"/>
      <c r="J818" s="131"/>
      <c r="K818" s="131"/>
      <c r="L818" s="131"/>
      <c r="M818" s="131"/>
      <c r="N818" s="131"/>
      <c r="O818" s="131"/>
      <c r="P818" s="131"/>
      <c r="Q818" s="131"/>
      <c r="R818" s="131"/>
      <c r="S818" s="131"/>
      <c r="T818" s="131"/>
      <c r="U818" s="131"/>
      <c r="V818" s="131"/>
      <c r="W818" s="131"/>
      <c r="X818" s="131"/>
      <c r="Y818" s="131"/>
      <c r="Z818" s="131"/>
    </row>
    <row r="819">
      <c r="A819" s="99"/>
      <c r="B819" s="99"/>
      <c r="C819" s="99"/>
      <c r="D819" s="99"/>
      <c r="E819" s="99"/>
      <c r="F819" s="99"/>
      <c r="G819" s="99"/>
      <c r="H819" s="99"/>
      <c r="I819" s="99"/>
      <c r="J819" s="131"/>
      <c r="K819" s="131"/>
      <c r="L819" s="131"/>
      <c r="M819" s="131"/>
      <c r="N819" s="131"/>
      <c r="O819" s="131"/>
      <c r="P819" s="131"/>
      <c r="Q819" s="131"/>
      <c r="R819" s="131"/>
      <c r="S819" s="131"/>
      <c r="T819" s="131"/>
      <c r="U819" s="131"/>
      <c r="V819" s="131"/>
      <c r="W819" s="131"/>
      <c r="X819" s="131"/>
      <c r="Y819" s="131"/>
      <c r="Z819" s="131"/>
    </row>
    <row r="820">
      <c r="A820" s="99"/>
      <c r="B820" s="99"/>
      <c r="C820" s="99"/>
      <c r="D820" s="99"/>
      <c r="E820" s="99"/>
      <c r="F820" s="99"/>
      <c r="G820" s="99"/>
      <c r="H820" s="99"/>
      <c r="I820" s="99"/>
      <c r="J820" s="131"/>
      <c r="K820" s="131"/>
      <c r="L820" s="131"/>
      <c r="M820" s="131"/>
      <c r="N820" s="131"/>
      <c r="O820" s="131"/>
      <c r="P820" s="131"/>
      <c r="Q820" s="131"/>
      <c r="R820" s="131"/>
      <c r="S820" s="131"/>
      <c r="T820" s="131"/>
      <c r="U820" s="131"/>
      <c r="V820" s="131"/>
      <c r="W820" s="131"/>
      <c r="X820" s="131"/>
      <c r="Y820" s="131"/>
      <c r="Z820" s="131"/>
    </row>
    <row r="821">
      <c r="A821" s="99"/>
      <c r="B821" s="99"/>
      <c r="C821" s="99"/>
      <c r="D821" s="99"/>
      <c r="E821" s="99"/>
      <c r="F821" s="99"/>
      <c r="G821" s="99"/>
      <c r="H821" s="99"/>
      <c r="I821" s="99"/>
      <c r="J821" s="131"/>
      <c r="K821" s="131"/>
      <c r="L821" s="131"/>
      <c r="M821" s="131"/>
      <c r="N821" s="131"/>
      <c r="O821" s="131"/>
      <c r="P821" s="131"/>
      <c r="Q821" s="131"/>
      <c r="R821" s="131"/>
      <c r="S821" s="131"/>
      <c r="T821" s="131"/>
      <c r="U821" s="131"/>
      <c r="V821" s="131"/>
      <c r="W821" s="131"/>
      <c r="X821" s="131"/>
      <c r="Y821" s="131"/>
      <c r="Z821" s="131"/>
    </row>
    <row r="822">
      <c r="A822" s="99"/>
      <c r="B822" s="99"/>
      <c r="C822" s="99"/>
      <c r="D822" s="99"/>
      <c r="E822" s="99"/>
      <c r="F822" s="99"/>
      <c r="G822" s="99"/>
      <c r="H822" s="99"/>
      <c r="I822" s="99"/>
      <c r="J822" s="131"/>
      <c r="K822" s="131"/>
      <c r="L822" s="131"/>
      <c r="M822" s="131"/>
      <c r="N822" s="131"/>
      <c r="O822" s="131"/>
      <c r="P822" s="131"/>
      <c r="Q822" s="131"/>
      <c r="R822" s="131"/>
      <c r="S822" s="131"/>
      <c r="T822" s="131"/>
      <c r="U822" s="131"/>
      <c r="V822" s="131"/>
      <c r="W822" s="131"/>
      <c r="X822" s="131"/>
      <c r="Y822" s="131"/>
      <c r="Z822" s="131"/>
    </row>
    <row r="823">
      <c r="A823" s="99"/>
      <c r="B823" s="99"/>
      <c r="C823" s="99"/>
      <c r="D823" s="99"/>
      <c r="E823" s="99"/>
      <c r="F823" s="99"/>
      <c r="G823" s="99"/>
      <c r="H823" s="99"/>
      <c r="I823" s="99"/>
      <c r="J823" s="131"/>
      <c r="K823" s="131"/>
      <c r="L823" s="131"/>
      <c r="M823" s="131"/>
      <c r="N823" s="131"/>
      <c r="O823" s="131"/>
      <c r="P823" s="131"/>
      <c r="Q823" s="131"/>
      <c r="R823" s="131"/>
      <c r="S823" s="131"/>
      <c r="T823" s="131"/>
      <c r="U823" s="131"/>
      <c r="V823" s="131"/>
      <c r="W823" s="131"/>
      <c r="X823" s="131"/>
      <c r="Y823" s="131"/>
      <c r="Z823" s="131"/>
    </row>
    <row r="824">
      <c r="A824" s="99"/>
      <c r="B824" s="99"/>
      <c r="C824" s="99"/>
      <c r="D824" s="99"/>
      <c r="E824" s="99"/>
      <c r="F824" s="99"/>
      <c r="G824" s="99"/>
      <c r="H824" s="99"/>
      <c r="I824" s="99"/>
      <c r="J824" s="131"/>
      <c r="K824" s="131"/>
      <c r="L824" s="131"/>
      <c r="M824" s="131"/>
      <c r="N824" s="131"/>
      <c r="O824" s="131"/>
      <c r="P824" s="131"/>
      <c r="Q824" s="131"/>
      <c r="R824" s="131"/>
      <c r="S824" s="131"/>
      <c r="T824" s="131"/>
      <c r="U824" s="131"/>
      <c r="V824" s="131"/>
      <c r="W824" s="131"/>
      <c r="X824" s="131"/>
      <c r="Y824" s="131"/>
      <c r="Z824" s="131"/>
    </row>
    <row r="825">
      <c r="A825" s="99"/>
      <c r="B825" s="99"/>
      <c r="C825" s="99"/>
      <c r="D825" s="99"/>
      <c r="E825" s="99"/>
      <c r="F825" s="99"/>
      <c r="G825" s="99"/>
      <c r="H825" s="99"/>
      <c r="I825" s="99"/>
      <c r="J825" s="131"/>
      <c r="K825" s="131"/>
      <c r="L825" s="131"/>
      <c r="M825" s="131"/>
      <c r="N825" s="131"/>
      <c r="O825" s="131"/>
      <c r="P825" s="131"/>
      <c r="Q825" s="131"/>
      <c r="R825" s="131"/>
      <c r="S825" s="131"/>
      <c r="T825" s="131"/>
      <c r="U825" s="131"/>
      <c r="V825" s="131"/>
      <c r="W825" s="131"/>
      <c r="X825" s="131"/>
      <c r="Y825" s="131"/>
      <c r="Z825" s="131"/>
    </row>
    <row r="826">
      <c r="A826" s="99"/>
      <c r="B826" s="99"/>
      <c r="C826" s="99"/>
      <c r="D826" s="99"/>
      <c r="E826" s="99"/>
      <c r="F826" s="99"/>
      <c r="G826" s="99"/>
      <c r="H826" s="99"/>
      <c r="I826" s="99"/>
      <c r="J826" s="131"/>
      <c r="K826" s="131"/>
      <c r="L826" s="131"/>
      <c r="M826" s="131"/>
      <c r="N826" s="131"/>
      <c r="O826" s="131"/>
      <c r="P826" s="131"/>
      <c r="Q826" s="131"/>
      <c r="R826" s="131"/>
      <c r="S826" s="131"/>
      <c r="T826" s="131"/>
      <c r="U826" s="131"/>
      <c r="V826" s="131"/>
      <c r="W826" s="131"/>
      <c r="X826" s="131"/>
      <c r="Y826" s="131"/>
      <c r="Z826" s="131"/>
    </row>
    <row r="827">
      <c r="A827" s="99"/>
      <c r="B827" s="99"/>
      <c r="C827" s="99"/>
      <c r="D827" s="99"/>
      <c r="E827" s="99"/>
      <c r="F827" s="99"/>
      <c r="G827" s="99"/>
      <c r="H827" s="99"/>
      <c r="I827" s="99"/>
      <c r="J827" s="131"/>
      <c r="K827" s="131"/>
      <c r="L827" s="131"/>
      <c r="M827" s="131"/>
      <c r="N827" s="131"/>
      <c r="O827" s="131"/>
      <c r="P827" s="131"/>
      <c r="Q827" s="131"/>
      <c r="R827" s="131"/>
      <c r="S827" s="131"/>
      <c r="T827" s="131"/>
      <c r="U827" s="131"/>
      <c r="V827" s="131"/>
      <c r="W827" s="131"/>
      <c r="X827" s="131"/>
      <c r="Y827" s="131"/>
      <c r="Z827" s="131"/>
    </row>
    <row r="828">
      <c r="A828" s="99"/>
      <c r="B828" s="99"/>
      <c r="C828" s="99"/>
      <c r="D828" s="99"/>
      <c r="E828" s="99"/>
      <c r="F828" s="99"/>
      <c r="G828" s="99"/>
      <c r="H828" s="99"/>
      <c r="I828" s="99"/>
      <c r="J828" s="131"/>
      <c r="K828" s="131"/>
      <c r="L828" s="131"/>
      <c r="M828" s="131"/>
      <c r="N828" s="131"/>
      <c r="O828" s="131"/>
      <c r="P828" s="131"/>
      <c r="Q828" s="131"/>
      <c r="R828" s="131"/>
      <c r="S828" s="131"/>
      <c r="T828" s="131"/>
      <c r="U828" s="131"/>
      <c r="V828" s="131"/>
      <c r="W828" s="131"/>
      <c r="X828" s="131"/>
      <c r="Y828" s="131"/>
      <c r="Z828" s="131"/>
    </row>
    <row r="829">
      <c r="A829" s="99"/>
      <c r="B829" s="99"/>
      <c r="C829" s="99"/>
      <c r="D829" s="99"/>
      <c r="E829" s="99"/>
      <c r="F829" s="99"/>
      <c r="G829" s="99"/>
      <c r="H829" s="99"/>
      <c r="I829" s="99"/>
      <c r="J829" s="131"/>
      <c r="K829" s="131"/>
      <c r="L829" s="131"/>
      <c r="M829" s="131"/>
      <c r="N829" s="131"/>
      <c r="O829" s="131"/>
      <c r="P829" s="131"/>
      <c r="Q829" s="131"/>
      <c r="R829" s="131"/>
      <c r="S829" s="131"/>
      <c r="T829" s="131"/>
      <c r="U829" s="131"/>
      <c r="V829" s="131"/>
      <c r="W829" s="131"/>
      <c r="X829" s="131"/>
      <c r="Y829" s="131"/>
      <c r="Z829" s="131"/>
    </row>
    <row r="830">
      <c r="A830" s="99"/>
      <c r="B830" s="99"/>
      <c r="C830" s="99"/>
      <c r="D830" s="99"/>
      <c r="E830" s="99"/>
      <c r="F830" s="99"/>
      <c r="G830" s="99"/>
      <c r="H830" s="99"/>
      <c r="I830" s="99"/>
      <c r="J830" s="131"/>
      <c r="K830" s="131"/>
      <c r="L830" s="131"/>
      <c r="M830" s="131"/>
      <c r="N830" s="131"/>
      <c r="O830" s="131"/>
      <c r="P830" s="131"/>
      <c r="Q830" s="131"/>
      <c r="R830" s="131"/>
      <c r="S830" s="131"/>
      <c r="T830" s="131"/>
      <c r="U830" s="131"/>
      <c r="V830" s="131"/>
      <c r="W830" s="131"/>
      <c r="X830" s="131"/>
      <c r="Y830" s="131"/>
      <c r="Z830" s="131"/>
    </row>
    <row r="831">
      <c r="A831" s="99"/>
      <c r="B831" s="99"/>
      <c r="C831" s="99"/>
      <c r="D831" s="99"/>
      <c r="E831" s="99"/>
      <c r="F831" s="99"/>
      <c r="G831" s="99"/>
      <c r="H831" s="99"/>
      <c r="I831" s="99"/>
      <c r="J831" s="131"/>
      <c r="K831" s="131"/>
      <c r="L831" s="131"/>
      <c r="M831" s="131"/>
      <c r="N831" s="131"/>
      <c r="O831" s="131"/>
      <c r="P831" s="131"/>
      <c r="Q831" s="131"/>
      <c r="R831" s="131"/>
      <c r="S831" s="131"/>
      <c r="T831" s="131"/>
      <c r="U831" s="131"/>
      <c r="V831" s="131"/>
      <c r="W831" s="131"/>
      <c r="X831" s="131"/>
      <c r="Y831" s="131"/>
      <c r="Z831" s="131"/>
    </row>
    <row r="832">
      <c r="A832" s="99"/>
      <c r="B832" s="99"/>
      <c r="C832" s="99"/>
      <c r="D832" s="99"/>
      <c r="E832" s="99"/>
      <c r="F832" s="99"/>
      <c r="G832" s="99"/>
      <c r="H832" s="99"/>
      <c r="I832" s="99"/>
      <c r="J832" s="131"/>
      <c r="K832" s="131"/>
      <c r="L832" s="131"/>
      <c r="M832" s="131"/>
      <c r="N832" s="131"/>
      <c r="O832" s="131"/>
      <c r="P832" s="131"/>
      <c r="Q832" s="131"/>
      <c r="R832" s="131"/>
      <c r="S832" s="131"/>
      <c r="T832" s="131"/>
      <c r="U832" s="131"/>
      <c r="V832" s="131"/>
      <c r="W832" s="131"/>
      <c r="X832" s="131"/>
      <c r="Y832" s="131"/>
      <c r="Z832" s="131"/>
    </row>
    <row r="833">
      <c r="A833" s="99"/>
      <c r="B833" s="99"/>
      <c r="C833" s="99"/>
      <c r="D833" s="99"/>
      <c r="E833" s="99"/>
      <c r="F833" s="99"/>
      <c r="G833" s="99"/>
      <c r="H833" s="99"/>
      <c r="I833" s="99"/>
      <c r="J833" s="131"/>
      <c r="K833" s="131"/>
      <c r="L833" s="131"/>
      <c r="M833" s="131"/>
      <c r="N833" s="131"/>
      <c r="O833" s="131"/>
      <c r="P833" s="131"/>
      <c r="Q833" s="131"/>
      <c r="R833" s="131"/>
      <c r="S833" s="131"/>
      <c r="T833" s="131"/>
      <c r="U833" s="131"/>
      <c r="V833" s="131"/>
      <c r="W833" s="131"/>
      <c r="X833" s="131"/>
      <c r="Y833" s="131"/>
      <c r="Z833" s="131"/>
    </row>
    <row r="834">
      <c r="A834" s="99"/>
      <c r="B834" s="99"/>
      <c r="C834" s="99"/>
      <c r="D834" s="99"/>
      <c r="E834" s="99"/>
      <c r="F834" s="99"/>
      <c r="G834" s="99"/>
      <c r="H834" s="99"/>
      <c r="I834" s="99"/>
      <c r="J834" s="131"/>
      <c r="K834" s="131"/>
      <c r="L834" s="131"/>
      <c r="M834" s="131"/>
      <c r="N834" s="131"/>
      <c r="O834" s="131"/>
      <c r="P834" s="131"/>
      <c r="Q834" s="131"/>
      <c r="R834" s="131"/>
      <c r="S834" s="131"/>
      <c r="T834" s="131"/>
      <c r="U834" s="131"/>
      <c r="V834" s="131"/>
      <c r="W834" s="131"/>
      <c r="X834" s="131"/>
      <c r="Y834" s="131"/>
      <c r="Z834" s="131"/>
    </row>
    <row r="835">
      <c r="A835" s="99"/>
      <c r="B835" s="99"/>
      <c r="C835" s="99"/>
      <c r="D835" s="99"/>
      <c r="E835" s="99"/>
      <c r="F835" s="99"/>
      <c r="G835" s="99"/>
      <c r="H835" s="99"/>
      <c r="I835" s="99"/>
      <c r="J835" s="131"/>
      <c r="K835" s="131"/>
      <c r="L835" s="131"/>
      <c r="M835" s="131"/>
      <c r="N835" s="131"/>
      <c r="O835" s="131"/>
      <c r="P835" s="131"/>
      <c r="Q835" s="131"/>
      <c r="R835" s="131"/>
      <c r="S835" s="131"/>
      <c r="T835" s="131"/>
      <c r="U835" s="131"/>
      <c r="V835" s="131"/>
      <c r="W835" s="131"/>
      <c r="X835" s="131"/>
      <c r="Y835" s="131"/>
      <c r="Z835" s="131"/>
    </row>
    <row r="836">
      <c r="A836" s="99"/>
      <c r="B836" s="99"/>
      <c r="C836" s="99"/>
      <c r="D836" s="99"/>
      <c r="E836" s="99"/>
      <c r="F836" s="99"/>
      <c r="G836" s="99"/>
      <c r="H836" s="99"/>
      <c r="I836" s="99"/>
      <c r="J836" s="131"/>
      <c r="K836" s="131"/>
      <c r="L836" s="131"/>
      <c r="M836" s="131"/>
      <c r="N836" s="131"/>
      <c r="O836" s="131"/>
      <c r="P836" s="131"/>
      <c r="Q836" s="131"/>
      <c r="R836" s="131"/>
      <c r="S836" s="131"/>
      <c r="T836" s="131"/>
      <c r="U836" s="131"/>
      <c r="V836" s="131"/>
      <c r="W836" s="131"/>
      <c r="X836" s="131"/>
      <c r="Y836" s="131"/>
      <c r="Z836" s="131"/>
    </row>
    <row r="837">
      <c r="A837" s="99"/>
      <c r="B837" s="99"/>
      <c r="C837" s="99"/>
      <c r="D837" s="99"/>
      <c r="E837" s="99"/>
      <c r="F837" s="99"/>
      <c r="G837" s="99"/>
      <c r="H837" s="99"/>
      <c r="I837" s="99"/>
      <c r="J837" s="131"/>
      <c r="K837" s="131"/>
      <c r="L837" s="131"/>
      <c r="M837" s="131"/>
      <c r="N837" s="131"/>
      <c r="O837" s="131"/>
      <c r="P837" s="131"/>
      <c r="Q837" s="131"/>
      <c r="R837" s="131"/>
      <c r="S837" s="131"/>
      <c r="T837" s="131"/>
      <c r="U837" s="131"/>
      <c r="V837" s="131"/>
      <c r="W837" s="131"/>
      <c r="X837" s="131"/>
      <c r="Y837" s="131"/>
      <c r="Z837" s="131"/>
    </row>
    <row r="838">
      <c r="A838" s="99"/>
      <c r="B838" s="99"/>
      <c r="C838" s="99"/>
      <c r="D838" s="99"/>
      <c r="E838" s="99"/>
      <c r="F838" s="99"/>
      <c r="G838" s="99"/>
      <c r="H838" s="99"/>
      <c r="I838" s="99"/>
      <c r="J838" s="131"/>
      <c r="K838" s="131"/>
      <c r="L838" s="131"/>
      <c r="M838" s="131"/>
      <c r="N838" s="131"/>
      <c r="O838" s="131"/>
      <c r="P838" s="131"/>
      <c r="Q838" s="131"/>
      <c r="R838" s="131"/>
      <c r="S838" s="131"/>
      <c r="T838" s="131"/>
      <c r="U838" s="131"/>
      <c r="V838" s="131"/>
      <c r="W838" s="131"/>
      <c r="X838" s="131"/>
      <c r="Y838" s="131"/>
      <c r="Z838" s="131"/>
    </row>
    <row r="839">
      <c r="A839" s="99"/>
      <c r="B839" s="99"/>
      <c r="C839" s="99"/>
      <c r="D839" s="99"/>
      <c r="E839" s="99"/>
      <c r="F839" s="99"/>
      <c r="G839" s="99"/>
      <c r="H839" s="99"/>
      <c r="I839" s="99"/>
      <c r="J839" s="131"/>
      <c r="K839" s="131"/>
      <c r="L839" s="131"/>
      <c r="M839" s="131"/>
      <c r="N839" s="131"/>
      <c r="O839" s="131"/>
      <c r="P839" s="131"/>
      <c r="Q839" s="131"/>
      <c r="R839" s="131"/>
      <c r="S839" s="131"/>
      <c r="T839" s="131"/>
      <c r="U839" s="131"/>
      <c r="V839" s="131"/>
      <c r="W839" s="131"/>
      <c r="X839" s="131"/>
      <c r="Y839" s="131"/>
      <c r="Z839" s="131"/>
    </row>
    <row r="840">
      <c r="A840" s="99"/>
      <c r="B840" s="99"/>
      <c r="C840" s="99"/>
      <c r="D840" s="99"/>
      <c r="E840" s="99"/>
      <c r="F840" s="99"/>
      <c r="G840" s="99"/>
      <c r="H840" s="99"/>
      <c r="I840" s="99"/>
      <c r="J840" s="131"/>
      <c r="K840" s="131"/>
      <c r="L840" s="131"/>
      <c r="M840" s="131"/>
      <c r="N840" s="131"/>
      <c r="O840" s="131"/>
      <c r="P840" s="131"/>
      <c r="Q840" s="131"/>
      <c r="R840" s="131"/>
      <c r="S840" s="131"/>
      <c r="T840" s="131"/>
      <c r="U840" s="131"/>
      <c r="V840" s="131"/>
      <c r="W840" s="131"/>
      <c r="X840" s="131"/>
      <c r="Y840" s="131"/>
      <c r="Z840" s="131"/>
    </row>
    <row r="841">
      <c r="A841" s="99"/>
      <c r="B841" s="99"/>
      <c r="C841" s="99"/>
      <c r="D841" s="99"/>
      <c r="E841" s="99"/>
      <c r="F841" s="99"/>
      <c r="G841" s="99"/>
      <c r="H841" s="99"/>
      <c r="I841" s="99"/>
      <c r="J841" s="131"/>
      <c r="K841" s="131"/>
      <c r="L841" s="131"/>
      <c r="M841" s="131"/>
      <c r="N841" s="131"/>
      <c r="O841" s="131"/>
      <c r="P841" s="131"/>
      <c r="Q841" s="131"/>
      <c r="R841" s="131"/>
      <c r="S841" s="131"/>
      <c r="T841" s="131"/>
      <c r="U841" s="131"/>
      <c r="V841" s="131"/>
      <c r="W841" s="131"/>
      <c r="X841" s="131"/>
      <c r="Y841" s="131"/>
      <c r="Z841" s="131"/>
    </row>
    <row r="842">
      <c r="A842" s="99"/>
      <c r="B842" s="99"/>
      <c r="C842" s="99"/>
      <c r="D842" s="99"/>
      <c r="E842" s="99"/>
      <c r="F842" s="99"/>
      <c r="G842" s="99"/>
      <c r="H842" s="99"/>
      <c r="I842" s="99"/>
      <c r="J842" s="131"/>
      <c r="K842" s="131"/>
      <c r="L842" s="131"/>
      <c r="M842" s="131"/>
      <c r="N842" s="131"/>
      <c r="O842" s="131"/>
      <c r="P842" s="131"/>
      <c r="Q842" s="131"/>
      <c r="R842" s="131"/>
      <c r="S842" s="131"/>
      <c r="T842" s="131"/>
      <c r="U842" s="131"/>
      <c r="V842" s="131"/>
      <c r="W842" s="131"/>
      <c r="X842" s="131"/>
      <c r="Y842" s="131"/>
      <c r="Z842" s="131"/>
    </row>
    <row r="843">
      <c r="A843" s="99"/>
      <c r="B843" s="99"/>
      <c r="C843" s="99"/>
      <c r="D843" s="99"/>
      <c r="E843" s="99"/>
      <c r="F843" s="99"/>
      <c r="G843" s="99"/>
      <c r="H843" s="99"/>
      <c r="I843" s="99"/>
      <c r="J843" s="131"/>
      <c r="K843" s="131"/>
      <c r="L843" s="131"/>
      <c r="M843" s="131"/>
      <c r="N843" s="131"/>
      <c r="O843" s="131"/>
      <c r="P843" s="131"/>
      <c r="Q843" s="131"/>
      <c r="R843" s="131"/>
      <c r="S843" s="131"/>
      <c r="T843" s="131"/>
      <c r="U843" s="131"/>
      <c r="V843" s="131"/>
      <c r="W843" s="131"/>
      <c r="X843" s="131"/>
      <c r="Y843" s="131"/>
      <c r="Z843" s="131"/>
    </row>
    <row r="844">
      <c r="A844" s="99"/>
      <c r="B844" s="99"/>
      <c r="C844" s="99"/>
      <c r="D844" s="99"/>
      <c r="E844" s="99"/>
      <c r="F844" s="99"/>
      <c r="G844" s="99"/>
      <c r="H844" s="99"/>
      <c r="I844" s="99"/>
      <c r="J844" s="131"/>
      <c r="K844" s="131"/>
      <c r="L844" s="131"/>
      <c r="M844" s="131"/>
      <c r="N844" s="131"/>
      <c r="O844" s="131"/>
      <c r="P844" s="131"/>
      <c r="Q844" s="131"/>
      <c r="R844" s="131"/>
      <c r="S844" s="131"/>
      <c r="T844" s="131"/>
      <c r="U844" s="131"/>
      <c r="V844" s="131"/>
      <c r="W844" s="131"/>
      <c r="X844" s="131"/>
      <c r="Y844" s="131"/>
      <c r="Z844" s="131"/>
    </row>
    <row r="845">
      <c r="A845" s="99"/>
      <c r="B845" s="99"/>
      <c r="C845" s="99"/>
      <c r="D845" s="99"/>
      <c r="E845" s="99"/>
      <c r="F845" s="99"/>
      <c r="G845" s="99"/>
      <c r="H845" s="99"/>
      <c r="I845" s="99"/>
      <c r="J845" s="131"/>
      <c r="K845" s="131"/>
      <c r="L845" s="131"/>
      <c r="M845" s="131"/>
      <c r="N845" s="131"/>
      <c r="O845" s="131"/>
      <c r="P845" s="131"/>
      <c r="Q845" s="131"/>
      <c r="R845" s="131"/>
      <c r="S845" s="131"/>
      <c r="T845" s="131"/>
      <c r="U845" s="131"/>
      <c r="V845" s="131"/>
      <c r="W845" s="131"/>
      <c r="X845" s="131"/>
      <c r="Y845" s="131"/>
      <c r="Z845" s="131"/>
    </row>
    <row r="846">
      <c r="A846" s="99"/>
      <c r="B846" s="99"/>
      <c r="C846" s="99"/>
      <c r="D846" s="99"/>
      <c r="E846" s="99"/>
      <c r="F846" s="99"/>
      <c r="G846" s="99"/>
      <c r="H846" s="99"/>
      <c r="I846" s="99"/>
      <c r="J846" s="131"/>
      <c r="K846" s="131"/>
      <c r="L846" s="131"/>
      <c r="M846" s="131"/>
      <c r="N846" s="131"/>
      <c r="O846" s="131"/>
      <c r="P846" s="131"/>
      <c r="Q846" s="131"/>
      <c r="R846" s="131"/>
      <c r="S846" s="131"/>
      <c r="T846" s="131"/>
      <c r="U846" s="131"/>
      <c r="V846" s="131"/>
      <c r="W846" s="131"/>
      <c r="X846" s="131"/>
      <c r="Y846" s="131"/>
      <c r="Z846" s="131"/>
    </row>
    <row r="847">
      <c r="A847" s="99"/>
      <c r="B847" s="99"/>
      <c r="C847" s="99"/>
      <c r="D847" s="99"/>
      <c r="E847" s="99"/>
      <c r="F847" s="99"/>
      <c r="G847" s="99"/>
      <c r="H847" s="99"/>
      <c r="I847" s="99"/>
      <c r="J847" s="131"/>
      <c r="K847" s="131"/>
      <c r="L847" s="131"/>
      <c r="M847" s="131"/>
      <c r="N847" s="131"/>
      <c r="O847" s="131"/>
      <c r="P847" s="131"/>
      <c r="Q847" s="131"/>
      <c r="R847" s="131"/>
      <c r="S847" s="131"/>
      <c r="T847" s="131"/>
      <c r="U847" s="131"/>
      <c r="V847" s="131"/>
      <c r="W847" s="131"/>
      <c r="X847" s="131"/>
      <c r="Y847" s="131"/>
      <c r="Z847" s="131"/>
    </row>
    <row r="848">
      <c r="A848" s="99"/>
      <c r="B848" s="99"/>
      <c r="C848" s="99"/>
      <c r="D848" s="99"/>
      <c r="E848" s="99"/>
      <c r="F848" s="99"/>
      <c r="G848" s="99"/>
      <c r="H848" s="99"/>
      <c r="I848" s="99"/>
      <c r="J848" s="131"/>
      <c r="K848" s="131"/>
      <c r="L848" s="131"/>
      <c r="M848" s="131"/>
      <c r="N848" s="131"/>
      <c r="O848" s="131"/>
      <c r="P848" s="131"/>
      <c r="Q848" s="131"/>
      <c r="R848" s="131"/>
      <c r="S848" s="131"/>
      <c r="T848" s="131"/>
      <c r="U848" s="131"/>
      <c r="V848" s="131"/>
      <c r="W848" s="131"/>
      <c r="X848" s="131"/>
      <c r="Y848" s="131"/>
      <c r="Z848" s="131"/>
    </row>
    <row r="849">
      <c r="A849" s="99"/>
      <c r="B849" s="99"/>
      <c r="C849" s="99"/>
      <c r="D849" s="99"/>
      <c r="E849" s="99"/>
      <c r="F849" s="99"/>
      <c r="G849" s="99"/>
      <c r="H849" s="99"/>
      <c r="I849" s="99"/>
      <c r="J849" s="131"/>
      <c r="K849" s="131"/>
      <c r="L849" s="131"/>
      <c r="M849" s="131"/>
      <c r="N849" s="131"/>
      <c r="O849" s="131"/>
      <c r="P849" s="131"/>
      <c r="Q849" s="131"/>
      <c r="R849" s="131"/>
      <c r="S849" s="131"/>
      <c r="T849" s="131"/>
      <c r="U849" s="131"/>
      <c r="V849" s="131"/>
      <c r="W849" s="131"/>
      <c r="X849" s="131"/>
      <c r="Y849" s="131"/>
      <c r="Z849" s="131"/>
    </row>
    <row r="850">
      <c r="A850" s="99"/>
      <c r="B850" s="99"/>
      <c r="C850" s="99"/>
      <c r="D850" s="99"/>
      <c r="E850" s="99"/>
      <c r="F850" s="99"/>
      <c r="G850" s="99"/>
      <c r="H850" s="99"/>
      <c r="I850" s="99"/>
      <c r="J850" s="131"/>
      <c r="K850" s="131"/>
      <c r="L850" s="131"/>
      <c r="M850" s="131"/>
      <c r="N850" s="131"/>
      <c r="O850" s="131"/>
      <c r="P850" s="131"/>
      <c r="Q850" s="131"/>
      <c r="R850" s="131"/>
      <c r="S850" s="131"/>
      <c r="T850" s="131"/>
      <c r="U850" s="131"/>
      <c r="V850" s="131"/>
      <c r="W850" s="131"/>
      <c r="X850" s="131"/>
      <c r="Y850" s="131"/>
      <c r="Z850" s="131"/>
    </row>
    <row r="851">
      <c r="A851" s="99"/>
      <c r="B851" s="99"/>
      <c r="C851" s="99"/>
      <c r="D851" s="99"/>
      <c r="E851" s="99"/>
      <c r="F851" s="99"/>
      <c r="G851" s="99"/>
      <c r="H851" s="99"/>
      <c r="I851" s="99"/>
      <c r="J851" s="131"/>
      <c r="K851" s="131"/>
      <c r="L851" s="131"/>
      <c r="M851" s="131"/>
      <c r="N851" s="131"/>
      <c r="O851" s="131"/>
      <c r="P851" s="131"/>
      <c r="Q851" s="131"/>
      <c r="R851" s="131"/>
      <c r="S851" s="131"/>
      <c r="T851" s="131"/>
      <c r="U851" s="131"/>
      <c r="V851" s="131"/>
      <c r="W851" s="131"/>
      <c r="X851" s="131"/>
      <c r="Y851" s="131"/>
      <c r="Z851" s="131"/>
    </row>
    <row r="852">
      <c r="A852" s="99"/>
      <c r="B852" s="99"/>
      <c r="C852" s="99"/>
      <c r="D852" s="99"/>
      <c r="E852" s="99"/>
      <c r="F852" s="99"/>
      <c r="G852" s="99"/>
      <c r="H852" s="99"/>
      <c r="I852" s="99"/>
      <c r="J852" s="131"/>
      <c r="K852" s="131"/>
      <c r="L852" s="131"/>
      <c r="M852" s="131"/>
      <c r="N852" s="131"/>
      <c r="O852" s="131"/>
      <c r="P852" s="131"/>
      <c r="Q852" s="131"/>
      <c r="R852" s="131"/>
      <c r="S852" s="131"/>
      <c r="T852" s="131"/>
      <c r="U852" s="131"/>
      <c r="V852" s="131"/>
      <c r="W852" s="131"/>
      <c r="X852" s="131"/>
      <c r="Y852" s="131"/>
      <c r="Z852" s="131"/>
    </row>
    <row r="853">
      <c r="A853" s="99"/>
      <c r="B853" s="99"/>
      <c r="C853" s="99"/>
      <c r="D853" s="99"/>
      <c r="E853" s="99"/>
      <c r="F853" s="99"/>
      <c r="G853" s="99"/>
      <c r="H853" s="99"/>
      <c r="I853" s="99"/>
      <c r="J853" s="131"/>
      <c r="K853" s="131"/>
      <c r="L853" s="131"/>
      <c r="M853" s="131"/>
      <c r="N853" s="131"/>
      <c r="O853" s="131"/>
      <c r="P853" s="131"/>
      <c r="Q853" s="131"/>
      <c r="R853" s="131"/>
      <c r="S853" s="131"/>
      <c r="T853" s="131"/>
      <c r="U853" s="131"/>
      <c r="V853" s="131"/>
      <c r="W853" s="131"/>
      <c r="X853" s="131"/>
      <c r="Y853" s="131"/>
      <c r="Z853" s="131"/>
    </row>
    <row r="854">
      <c r="A854" s="99"/>
      <c r="B854" s="99"/>
      <c r="C854" s="99"/>
      <c r="D854" s="99"/>
      <c r="E854" s="99"/>
      <c r="F854" s="99"/>
      <c r="G854" s="99"/>
      <c r="H854" s="99"/>
      <c r="I854" s="99"/>
      <c r="J854" s="131"/>
      <c r="K854" s="131"/>
      <c r="L854" s="131"/>
      <c r="M854" s="131"/>
      <c r="N854" s="131"/>
      <c r="O854" s="131"/>
      <c r="P854" s="131"/>
      <c r="Q854" s="131"/>
      <c r="R854" s="131"/>
      <c r="S854" s="131"/>
      <c r="T854" s="131"/>
      <c r="U854" s="131"/>
      <c r="V854" s="131"/>
      <c r="W854" s="131"/>
      <c r="X854" s="131"/>
      <c r="Y854" s="131"/>
      <c r="Z854" s="131"/>
    </row>
    <row r="855">
      <c r="A855" s="99"/>
      <c r="B855" s="99"/>
      <c r="C855" s="99"/>
      <c r="D855" s="99"/>
      <c r="E855" s="99"/>
      <c r="F855" s="99"/>
      <c r="G855" s="99"/>
      <c r="H855" s="99"/>
      <c r="I855" s="99"/>
      <c r="J855" s="131"/>
      <c r="K855" s="131"/>
      <c r="L855" s="131"/>
      <c r="M855" s="131"/>
      <c r="N855" s="131"/>
      <c r="O855" s="131"/>
      <c r="P855" s="131"/>
      <c r="Q855" s="131"/>
      <c r="R855" s="131"/>
      <c r="S855" s="131"/>
      <c r="T855" s="131"/>
      <c r="U855" s="131"/>
      <c r="V855" s="131"/>
      <c r="W855" s="131"/>
      <c r="X855" s="131"/>
      <c r="Y855" s="131"/>
      <c r="Z855" s="131"/>
    </row>
    <row r="856">
      <c r="A856" s="99"/>
      <c r="B856" s="99"/>
      <c r="C856" s="99"/>
      <c r="D856" s="99"/>
      <c r="E856" s="99"/>
      <c r="F856" s="99"/>
      <c r="G856" s="99"/>
      <c r="H856" s="99"/>
      <c r="I856" s="99"/>
      <c r="J856" s="131"/>
      <c r="K856" s="131"/>
      <c r="L856" s="131"/>
      <c r="M856" s="131"/>
      <c r="N856" s="131"/>
      <c r="O856" s="131"/>
      <c r="P856" s="131"/>
      <c r="Q856" s="131"/>
      <c r="R856" s="131"/>
      <c r="S856" s="131"/>
      <c r="T856" s="131"/>
      <c r="U856" s="131"/>
      <c r="V856" s="131"/>
      <c r="W856" s="131"/>
      <c r="X856" s="131"/>
      <c r="Y856" s="131"/>
      <c r="Z856" s="131"/>
    </row>
    <row r="857">
      <c r="A857" s="99"/>
      <c r="B857" s="99"/>
      <c r="C857" s="99"/>
      <c r="D857" s="99"/>
      <c r="E857" s="99"/>
      <c r="F857" s="99"/>
      <c r="G857" s="99"/>
      <c r="H857" s="99"/>
      <c r="I857" s="99"/>
      <c r="J857" s="131"/>
      <c r="K857" s="131"/>
      <c r="L857" s="131"/>
      <c r="M857" s="131"/>
      <c r="N857" s="131"/>
      <c r="O857" s="131"/>
      <c r="P857" s="131"/>
      <c r="Q857" s="131"/>
      <c r="R857" s="131"/>
      <c r="S857" s="131"/>
      <c r="T857" s="131"/>
      <c r="U857" s="131"/>
      <c r="V857" s="131"/>
      <c r="W857" s="131"/>
      <c r="X857" s="131"/>
      <c r="Y857" s="131"/>
      <c r="Z857" s="131"/>
    </row>
    <row r="858">
      <c r="A858" s="99"/>
      <c r="B858" s="99"/>
      <c r="C858" s="99"/>
      <c r="D858" s="99"/>
      <c r="E858" s="99"/>
      <c r="F858" s="99"/>
      <c r="G858" s="99"/>
      <c r="H858" s="99"/>
      <c r="I858" s="99"/>
      <c r="J858" s="131"/>
      <c r="K858" s="131"/>
      <c r="L858" s="131"/>
      <c r="M858" s="131"/>
      <c r="N858" s="131"/>
      <c r="O858" s="131"/>
      <c r="P858" s="131"/>
      <c r="Q858" s="131"/>
      <c r="R858" s="131"/>
      <c r="S858" s="131"/>
      <c r="T858" s="131"/>
      <c r="U858" s="131"/>
      <c r="V858" s="131"/>
      <c r="W858" s="131"/>
      <c r="X858" s="131"/>
      <c r="Y858" s="131"/>
      <c r="Z858" s="131"/>
    </row>
    <row r="859">
      <c r="A859" s="99"/>
      <c r="B859" s="99"/>
      <c r="C859" s="99"/>
      <c r="D859" s="99"/>
      <c r="E859" s="99"/>
      <c r="F859" s="99"/>
      <c r="G859" s="99"/>
      <c r="H859" s="99"/>
      <c r="I859" s="99"/>
      <c r="J859" s="131"/>
      <c r="K859" s="131"/>
      <c r="L859" s="131"/>
      <c r="M859" s="131"/>
      <c r="N859" s="131"/>
      <c r="O859" s="131"/>
      <c r="P859" s="131"/>
      <c r="Q859" s="131"/>
      <c r="R859" s="131"/>
      <c r="S859" s="131"/>
      <c r="T859" s="131"/>
      <c r="U859" s="131"/>
      <c r="V859" s="131"/>
      <c r="W859" s="131"/>
      <c r="X859" s="131"/>
      <c r="Y859" s="131"/>
      <c r="Z859" s="131"/>
    </row>
    <row r="860">
      <c r="A860" s="99"/>
      <c r="B860" s="99"/>
      <c r="C860" s="99"/>
      <c r="D860" s="99"/>
      <c r="E860" s="99"/>
      <c r="F860" s="99"/>
      <c r="G860" s="99"/>
      <c r="H860" s="99"/>
      <c r="I860" s="99"/>
      <c r="J860" s="131"/>
      <c r="K860" s="131"/>
      <c r="L860" s="131"/>
      <c r="M860" s="131"/>
      <c r="N860" s="131"/>
      <c r="O860" s="131"/>
      <c r="P860" s="131"/>
      <c r="Q860" s="131"/>
      <c r="R860" s="131"/>
      <c r="S860" s="131"/>
      <c r="T860" s="131"/>
      <c r="U860" s="131"/>
      <c r="V860" s="131"/>
      <c r="W860" s="131"/>
      <c r="X860" s="131"/>
      <c r="Y860" s="131"/>
      <c r="Z860" s="131"/>
    </row>
    <row r="861">
      <c r="A861" s="99"/>
      <c r="B861" s="99"/>
      <c r="C861" s="99"/>
      <c r="D861" s="99"/>
      <c r="E861" s="99"/>
      <c r="F861" s="99"/>
      <c r="G861" s="99"/>
      <c r="H861" s="99"/>
      <c r="I861" s="99"/>
      <c r="J861" s="131"/>
      <c r="K861" s="131"/>
      <c r="L861" s="131"/>
      <c r="M861" s="131"/>
      <c r="N861" s="131"/>
      <c r="O861" s="131"/>
      <c r="P861" s="131"/>
      <c r="Q861" s="131"/>
      <c r="R861" s="131"/>
      <c r="S861" s="131"/>
      <c r="T861" s="131"/>
      <c r="U861" s="131"/>
      <c r="V861" s="131"/>
      <c r="W861" s="131"/>
      <c r="X861" s="131"/>
      <c r="Y861" s="131"/>
      <c r="Z861" s="131"/>
    </row>
    <row r="862">
      <c r="A862" s="99"/>
      <c r="B862" s="99"/>
      <c r="C862" s="99"/>
      <c r="D862" s="99"/>
      <c r="E862" s="99"/>
      <c r="F862" s="99"/>
      <c r="G862" s="99"/>
      <c r="H862" s="99"/>
      <c r="I862" s="99"/>
      <c r="J862" s="131"/>
      <c r="K862" s="131"/>
      <c r="L862" s="131"/>
      <c r="M862" s="131"/>
      <c r="N862" s="131"/>
      <c r="O862" s="131"/>
      <c r="P862" s="131"/>
      <c r="Q862" s="131"/>
      <c r="R862" s="131"/>
      <c r="S862" s="131"/>
      <c r="T862" s="131"/>
      <c r="U862" s="131"/>
      <c r="V862" s="131"/>
      <c r="W862" s="131"/>
      <c r="X862" s="131"/>
      <c r="Y862" s="131"/>
      <c r="Z862" s="131"/>
    </row>
    <row r="863">
      <c r="A863" s="99"/>
      <c r="B863" s="99"/>
      <c r="C863" s="99"/>
      <c r="D863" s="99"/>
      <c r="E863" s="99"/>
      <c r="F863" s="99"/>
      <c r="G863" s="99"/>
      <c r="H863" s="99"/>
      <c r="I863" s="99"/>
      <c r="J863" s="131"/>
      <c r="K863" s="131"/>
      <c r="L863" s="131"/>
      <c r="M863" s="131"/>
      <c r="N863" s="131"/>
      <c r="O863" s="131"/>
      <c r="P863" s="131"/>
      <c r="Q863" s="131"/>
      <c r="R863" s="131"/>
      <c r="S863" s="131"/>
      <c r="T863" s="131"/>
      <c r="U863" s="131"/>
      <c r="V863" s="131"/>
      <c r="W863" s="131"/>
      <c r="X863" s="131"/>
      <c r="Y863" s="131"/>
      <c r="Z863" s="131"/>
    </row>
    <row r="864">
      <c r="A864" s="99"/>
      <c r="B864" s="99"/>
      <c r="C864" s="99"/>
      <c r="D864" s="99"/>
      <c r="E864" s="99"/>
      <c r="F864" s="99"/>
      <c r="G864" s="99"/>
      <c r="H864" s="99"/>
      <c r="I864" s="99"/>
      <c r="J864" s="131"/>
      <c r="K864" s="131"/>
      <c r="L864" s="131"/>
      <c r="M864" s="131"/>
      <c r="N864" s="131"/>
      <c r="O864" s="131"/>
      <c r="P864" s="131"/>
      <c r="Q864" s="131"/>
      <c r="R864" s="131"/>
      <c r="S864" s="131"/>
      <c r="T864" s="131"/>
      <c r="U864" s="131"/>
      <c r="V864" s="131"/>
      <c r="W864" s="131"/>
      <c r="X864" s="131"/>
      <c r="Y864" s="131"/>
      <c r="Z864" s="131"/>
    </row>
    <row r="865">
      <c r="A865" s="99"/>
      <c r="B865" s="99"/>
      <c r="C865" s="99"/>
      <c r="D865" s="99"/>
      <c r="E865" s="99"/>
      <c r="F865" s="99"/>
      <c r="G865" s="99"/>
      <c r="H865" s="99"/>
      <c r="I865" s="99"/>
      <c r="J865" s="131"/>
      <c r="K865" s="131"/>
      <c r="L865" s="131"/>
      <c r="M865" s="131"/>
      <c r="N865" s="131"/>
      <c r="O865" s="131"/>
      <c r="P865" s="131"/>
      <c r="Q865" s="131"/>
      <c r="R865" s="131"/>
      <c r="S865" s="131"/>
      <c r="T865" s="131"/>
      <c r="U865" s="131"/>
      <c r="V865" s="131"/>
      <c r="W865" s="131"/>
      <c r="X865" s="131"/>
      <c r="Y865" s="131"/>
      <c r="Z865" s="131"/>
    </row>
    <row r="866">
      <c r="A866" s="99"/>
      <c r="B866" s="99"/>
      <c r="C866" s="99"/>
      <c r="D866" s="99"/>
      <c r="E866" s="99"/>
      <c r="F866" s="99"/>
      <c r="G866" s="99"/>
      <c r="H866" s="99"/>
      <c r="I866" s="99"/>
      <c r="J866" s="131"/>
      <c r="K866" s="131"/>
      <c r="L866" s="131"/>
      <c r="M866" s="131"/>
      <c r="N866" s="131"/>
      <c r="O866" s="131"/>
      <c r="P866" s="131"/>
      <c r="Q866" s="131"/>
      <c r="R866" s="131"/>
      <c r="S866" s="131"/>
      <c r="T866" s="131"/>
      <c r="U866" s="131"/>
      <c r="V866" s="131"/>
      <c r="W866" s="131"/>
      <c r="X866" s="131"/>
      <c r="Y866" s="131"/>
      <c r="Z866" s="131"/>
    </row>
    <row r="867">
      <c r="A867" s="99"/>
      <c r="B867" s="99"/>
      <c r="C867" s="99"/>
      <c r="D867" s="99"/>
      <c r="E867" s="99"/>
      <c r="F867" s="99"/>
      <c r="G867" s="99"/>
      <c r="H867" s="99"/>
      <c r="I867" s="99"/>
      <c r="J867" s="131"/>
      <c r="K867" s="131"/>
      <c r="L867" s="131"/>
      <c r="M867" s="131"/>
      <c r="N867" s="131"/>
      <c r="O867" s="131"/>
      <c r="P867" s="131"/>
      <c r="Q867" s="131"/>
      <c r="R867" s="131"/>
      <c r="S867" s="131"/>
      <c r="T867" s="131"/>
      <c r="U867" s="131"/>
      <c r="V867" s="131"/>
      <c r="W867" s="131"/>
      <c r="X867" s="131"/>
      <c r="Y867" s="131"/>
      <c r="Z867" s="131"/>
    </row>
    <row r="868">
      <c r="A868" s="99"/>
      <c r="B868" s="99"/>
      <c r="C868" s="99"/>
      <c r="D868" s="99"/>
      <c r="E868" s="99"/>
      <c r="F868" s="99"/>
      <c r="G868" s="99"/>
      <c r="H868" s="99"/>
      <c r="I868" s="99"/>
      <c r="J868" s="131"/>
      <c r="K868" s="131"/>
      <c r="L868" s="131"/>
      <c r="M868" s="131"/>
      <c r="N868" s="131"/>
      <c r="O868" s="131"/>
      <c r="P868" s="131"/>
      <c r="Q868" s="131"/>
      <c r="R868" s="131"/>
      <c r="S868" s="131"/>
      <c r="T868" s="131"/>
      <c r="U868" s="131"/>
      <c r="V868" s="131"/>
      <c r="W868" s="131"/>
      <c r="X868" s="131"/>
      <c r="Y868" s="131"/>
      <c r="Z868" s="131"/>
    </row>
    <row r="869">
      <c r="A869" s="99"/>
      <c r="B869" s="99"/>
      <c r="C869" s="99"/>
      <c r="D869" s="99"/>
      <c r="E869" s="99"/>
      <c r="F869" s="99"/>
      <c r="G869" s="99"/>
      <c r="H869" s="99"/>
      <c r="I869" s="99"/>
      <c r="J869" s="131"/>
      <c r="K869" s="131"/>
      <c r="L869" s="131"/>
      <c r="M869" s="131"/>
      <c r="N869" s="131"/>
      <c r="O869" s="131"/>
      <c r="P869" s="131"/>
      <c r="Q869" s="131"/>
      <c r="R869" s="131"/>
      <c r="S869" s="131"/>
      <c r="T869" s="131"/>
      <c r="U869" s="131"/>
      <c r="V869" s="131"/>
      <c r="W869" s="131"/>
      <c r="X869" s="131"/>
      <c r="Y869" s="131"/>
      <c r="Z869" s="131"/>
    </row>
    <row r="870">
      <c r="A870" s="99"/>
      <c r="B870" s="99"/>
      <c r="C870" s="99"/>
      <c r="D870" s="99"/>
      <c r="E870" s="99"/>
      <c r="F870" s="99"/>
      <c r="G870" s="99"/>
      <c r="H870" s="99"/>
      <c r="I870" s="99"/>
      <c r="J870" s="131"/>
      <c r="K870" s="131"/>
      <c r="L870" s="131"/>
      <c r="M870" s="131"/>
      <c r="N870" s="131"/>
      <c r="O870" s="131"/>
      <c r="P870" s="131"/>
      <c r="Q870" s="131"/>
      <c r="R870" s="131"/>
      <c r="S870" s="131"/>
      <c r="T870" s="131"/>
      <c r="U870" s="131"/>
      <c r="V870" s="131"/>
      <c r="W870" s="131"/>
      <c r="X870" s="131"/>
      <c r="Y870" s="131"/>
      <c r="Z870" s="131"/>
    </row>
    <row r="871">
      <c r="A871" s="99"/>
      <c r="B871" s="99"/>
      <c r="C871" s="99"/>
      <c r="D871" s="99"/>
      <c r="E871" s="99"/>
      <c r="F871" s="99"/>
      <c r="G871" s="99"/>
      <c r="H871" s="99"/>
      <c r="I871" s="99"/>
      <c r="J871" s="131"/>
      <c r="K871" s="131"/>
      <c r="L871" s="131"/>
      <c r="M871" s="131"/>
      <c r="N871" s="131"/>
      <c r="O871" s="131"/>
      <c r="P871" s="131"/>
      <c r="Q871" s="131"/>
      <c r="R871" s="131"/>
      <c r="S871" s="131"/>
      <c r="T871" s="131"/>
      <c r="U871" s="131"/>
      <c r="V871" s="131"/>
      <c r="W871" s="131"/>
      <c r="X871" s="131"/>
      <c r="Y871" s="131"/>
      <c r="Z871" s="131"/>
    </row>
    <row r="872">
      <c r="A872" s="99"/>
      <c r="B872" s="99"/>
      <c r="C872" s="99"/>
      <c r="D872" s="99"/>
      <c r="E872" s="99"/>
      <c r="F872" s="99"/>
      <c r="G872" s="99"/>
      <c r="H872" s="99"/>
      <c r="I872" s="99"/>
      <c r="J872" s="131"/>
      <c r="K872" s="131"/>
      <c r="L872" s="131"/>
      <c r="M872" s="131"/>
      <c r="N872" s="131"/>
      <c r="O872" s="131"/>
      <c r="P872" s="131"/>
      <c r="Q872" s="131"/>
      <c r="R872" s="131"/>
      <c r="S872" s="131"/>
      <c r="T872" s="131"/>
      <c r="U872" s="131"/>
      <c r="V872" s="131"/>
      <c r="W872" s="131"/>
      <c r="X872" s="131"/>
      <c r="Y872" s="131"/>
      <c r="Z872" s="131"/>
    </row>
    <row r="873">
      <c r="A873" s="99"/>
      <c r="B873" s="99"/>
      <c r="C873" s="99"/>
      <c r="D873" s="99"/>
      <c r="E873" s="99"/>
      <c r="F873" s="99"/>
      <c r="G873" s="99"/>
      <c r="H873" s="99"/>
      <c r="I873" s="99"/>
      <c r="J873" s="131"/>
      <c r="K873" s="131"/>
      <c r="L873" s="131"/>
      <c r="M873" s="131"/>
      <c r="N873" s="131"/>
      <c r="O873" s="131"/>
      <c r="P873" s="131"/>
      <c r="Q873" s="131"/>
      <c r="R873" s="131"/>
      <c r="S873" s="131"/>
      <c r="T873" s="131"/>
      <c r="U873" s="131"/>
      <c r="V873" s="131"/>
      <c r="W873" s="131"/>
      <c r="X873" s="131"/>
      <c r="Y873" s="131"/>
      <c r="Z873" s="131"/>
    </row>
    <row r="874">
      <c r="A874" s="99"/>
      <c r="B874" s="99"/>
      <c r="C874" s="99"/>
      <c r="D874" s="99"/>
      <c r="E874" s="99"/>
      <c r="F874" s="99"/>
      <c r="G874" s="99"/>
      <c r="H874" s="99"/>
      <c r="I874" s="99"/>
      <c r="J874" s="131"/>
      <c r="K874" s="131"/>
      <c r="L874" s="131"/>
      <c r="M874" s="131"/>
      <c r="N874" s="131"/>
      <c r="O874" s="131"/>
      <c r="P874" s="131"/>
      <c r="Q874" s="131"/>
      <c r="R874" s="131"/>
      <c r="S874" s="131"/>
      <c r="T874" s="131"/>
      <c r="U874" s="131"/>
      <c r="V874" s="131"/>
      <c r="W874" s="131"/>
      <c r="X874" s="131"/>
      <c r="Y874" s="131"/>
      <c r="Z874" s="131"/>
    </row>
    <row r="875">
      <c r="A875" s="99"/>
      <c r="B875" s="99"/>
      <c r="C875" s="99"/>
      <c r="D875" s="99"/>
      <c r="E875" s="99"/>
      <c r="F875" s="99"/>
      <c r="G875" s="99"/>
      <c r="H875" s="99"/>
      <c r="I875" s="99"/>
      <c r="J875" s="131"/>
      <c r="K875" s="131"/>
      <c r="L875" s="131"/>
      <c r="M875" s="131"/>
      <c r="N875" s="131"/>
      <c r="O875" s="131"/>
      <c r="P875" s="131"/>
      <c r="Q875" s="131"/>
      <c r="R875" s="131"/>
      <c r="S875" s="131"/>
      <c r="T875" s="131"/>
      <c r="U875" s="131"/>
      <c r="V875" s="131"/>
      <c r="W875" s="131"/>
      <c r="X875" s="131"/>
      <c r="Y875" s="131"/>
      <c r="Z875" s="131"/>
    </row>
    <row r="876">
      <c r="A876" s="99"/>
      <c r="B876" s="99"/>
      <c r="C876" s="99"/>
      <c r="D876" s="99"/>
      <c r="E876" s="99"/>
      <c r="F876" s="99"/>
      <c r="G876" s="99"/>
      <c r="H876" s="99"/>
      <c r="I876" s="99"/>
      <c r="J876" s="131"/>
      <c r="K876" s="131"/>
      <c r="L876" s="131"/>
      <c r="M876" s="131"/>
      <c r="N876" s="131"/>
      <c r="O876" s="131"/>
      <c r="P876" s="131"/>
      <c r="Q876" s="131"/>
      <c r="R876" s="131"/>
      <c r="S876" s="131"/>
      <c r="T876" s="131"/>
      <c r="U876" s="131"/>
      <c r="V876" s="131"/>
      <c r="W876" s="131"/>
      <c r="X876" s="131"/>
      <c r="Y876" s="131"/>
      <c r="Z876" s="131"/>
    </row>
    <row r="877">
      <c r="A877" s="99"/>
      <c r="B877" s="99"/>
      <c r="C877" s="99"/>
      <c r="D877" s="99"/>
      <c r="E877" s="99"/>
      <c r="F877" s="99"/>
      <c r="G877" s="99"/>
      <c r="H877" s="99"/>
      <c r="I877" s="99"/>
      <c r="J877" s="131"/>
      <c r="K877" s="131"/>
      <c r="L877" s="131"/>
      <c r="M877" s="131"/>
      <c r="N877" s="131"/>
      <c r="O877" s="131"/>
      <c r="P877" s="131"/>
      <c r="Q877" s="131"/>
      <c r="R877" s="131"/>
      <c r="S877" s="131"/>
      <c r="T877" s="131"/>
      <c r="U877" s="131"/>
      <c r="V877" s="131"/>
      <c r="W877" s="131"/>
      <c r="X877" s="131"/>
      <c r="Y877" s="131"/>
      <c r="Z877" s="131"/>
    </row>
    <row r="878">
      <c r="A878" s="99"/>
      <c r="B878" s="99"/>
      <c r="C878" s="99"/>
      <c r="D878" s="99"/>
      <c r="E878" s="99"/>
      <c r="F878" s="99"/>
      <c r="G878" s="99"/>
      <c r="H878" s="99"/>
      <c r="I878" s="99"/>
      <c r="J878" s="131"/>
      <c r="K878" s="131"/>
      <c r="L878" s="131"/>
      <c r="M878" s="131"/>
      <c r="N878" s="131"/>
      <c r="O878" s="131"/>
      <c r="P878" s="131"/>
      <c r="Q878" s="131"/>
      <c r="R878" s="131"/>
      <c r="S878" s="131"/>
      <c r="T878" s="131"/>
      <c r="U878" s="131"/>
      <c r="V878" s="131"/>
      <c r="W878" s="131"/>
      <c r="X878" s="131"/>
      <c r="Y878" s="131"/>
      <c r="Z878" s="131"/>
    </row>
    <row r="879">
      <c r="A879" s="99"/>
      <c r="B879" s="99"/>
      <c r="C879" s="99"/>
      <c r="D879" s="99"/>
      <c r="E879" s="99"/>
      <c r="F879" s="99"/>
      <c r="G879" s="99"/>
      <c r="H879" s="99"/>
      <c r="I879" s="99"/>
      <c r="J879" s="131"/>
      <c r="K879" s="131"/>
      <c r="L879" s="131"/>
      <c r="M879" s="131"/>
      <c r="N879" s="131"/>
      <c r="O879" s="131"/>
      <c r="P879" s="131"/>
      <c r="Q879" s="131"/>
      <c r="R879" s="131"/>
      <c r="S879" s="131"/>
      <c r="T879" s="131"/>
      <c r="U879" s="131"/>
      <c r="V879" s="131"/>
      <c r="W879" s="131"/>
      <c r="X879" s="131"/>
      <c r="Y879" s="131"/>
      <c r="Z879" s="131"/>
    </row>
    <row r="880">
      <c r="A880" s="99"/>
      <c r="B880" s="99"/>
      <c r="C880" s="99"/>
      <c r="D880" s="99"/>
      <c r="E880" s="99"/>
      <c r="F880" s="99"/>
      <c r="G880" s="99"/>
      <c r="H880" s="99"/>
      <c r="I880" s="99"/>
      <c r="J880" s="131"/>
      <c r="K880" s="131"/>
      <c r="L880" s="131"/>
      <c r="M880" s="131"/>
      <c r="N880" s="131"/>
      <c r="O880" s="131"/>
      <c r="P880" s="131"/>
      <c r="Q880" s="131"/>
      <c r="R880" s="131"/>
      <c r="S880" s="131"/>
      <c r="T880" s="131"/>
      <c r="U880" s="131"/>
      <c r="V880" s="131"/>
      <c r="W880" s="131"/>
      <c r="X880" s="131"/>
      <c r="Y880" s="131"/>
      <c r="Z880" s="131"/>
    </row>
    <row r="881">
      <c r="A881" s="99"/>
      <c r="B881" s="99"/>
      <c r="C881" s="99"/>
      <c r="D881" s="99"/>
      <c r="E881" s="99"/>
      <c r="F881" s="99"/>
      <c r="G881" s="99"/>
      <c r="H881" s="99"/>
      <c r="I881" s="99"/>
      <c r="J881" s="131"/>
      <c r="K881" s="131"/>
      <c r="L881" s="131"/>
      <c r="M881" s="131"/>
      <c r="N881" s="131"/>
      <c r="O881" s="131"/>
      <c r="P881" s="131"/>
      <c r="Q881" s="131"/>
      <c r="R881" s="131"/>
      <c r="S881" s="131"/>
      <c r="T881" s="131"/>
      <c r="U881" s="131"/>
      <c r="V881" s="131"/>
      <c r="W881" s="131"/>
      <c r="X881" s="131"/>
      <c r="Y881" s="131"/>
      <c r="Z881" s="131"/>
    </row>
    <row r="882">
      <c r="A882" s="99"/>
      <c r="B882" s="99"/>
      <c r="C882" s="99"/>
      <c r="D882" s="99"/>
      <c r="E882" s="99"/>
      <c r="F882" s="99"/>
      <c r="G882" s="99"/>
      <c r="H882" s="99"/>
      <c r="I882" s="99"/>
      <c r="J882" s="131"/>
      <c r="K882" s="131"/>
      <c r="L882" s="131"/>
      <c r="M882" s="131"/>
      <c r="N882" s="131"/>
      <c r="O882" s="131"/>
      <c r="P882" s="131"/>
      <c r="Q882" s="131"/>
      <c r="R882" s="131"/>
      <c r="S882" s="131"/>
      <c r="T882" s="131"/>
      <c r="U882" s="131"/>
      <c r="V882" s="131"/>
      <c r="W882" s="131"/>
      <c r="X882" s="131"/>
      <c r="Y882" s="131"/>
      <c r="Z882" s="131"/>
    </row>
    <row r="883">
      <c r="A883" s="99"/>
      <c r="B883" s="99"/>
      <c r="C883" s="99"/>
      <c r="D883" s="99"/>
      <c r="E883" s="99"/>
      <c r="F883" s="99"/>
      <c r="G883" s="99"/>
      <c r="H883" s="99"/>
      <c r="I883" s="99"/>
      <c r="J883" s="131"/>
      <c r="K883" s="131"/>
      <c r="L883" s="131"/>
      <c r="M883" s="131"/>
      <c r="N883" s="131"/>
      <c r="O883" s="131"/>
      <c r="P883" s="131"/>
      <c r="Q883" s="131"/>
      <c r="R883" s="131"/>
      <c r="S883" s="131"/>
      <c r="T883" s="131"/>
      <c r="U883" s="131"/>
      <c r="V883" s="131"/>
      <c r="W883" s="131"/>
      <c r="X883" s="131"/>
      <c r="Y883" s="131"/>
      <c r="Z883" s="131"/>
    </row>
    <row r="884">
      <c r="A884" s="99"/>
      <c r="B884" s="99"/>
      <c r="C884" s="99"/>
      <c r="D884" s="99"/>
      <c r="E884" s="99"/>
      <c r="F884" s="99"/>
      <c r="G884" s="99"/>
      <c r="H884" s="99"/>
      <c r="I884" s="99"/>
      <c r="J884" s="131"/>
      <c r="K884" s="131"/>
      <c r="L884" s="131"/>
      <c r="M884" s="131"/>
      <c r="N884" s="131"/>
      <c r="O884" s="131"/>
      <c r="P884" s="131"/>
      <c r="Q884" s="131"/>
      <c r="R884" s="131"/>
      <c r="S884" s="131"/>
      <c r="T884" s="131"/>
      <c r="U884" s="131"/>
      <c r="V884" s="131"/>
      <c r="W884" s="131"/>
      <c r="X884" s="131"/>
      <c r="Y884" s="131"/>
      <c r="Z884" s="131"/>
    </row>
    <row r="885">
      <c r="A885" s="99"/>
      <c r="B885" s="99"/>
      <c r="C885" s="99"/>
      <c r="D885" s="99"/>
      <c r="E885" s="99"/>
      <c r="F885" s="99"/>
      <c r="G885" s="99"/>
      <c r="H885" s="99"/>
      <c r="I885" s="99"/>
      <c r="J885" s="131"/>
      <c r="K885" s="131"/>
      <c r="L885" s="131"/>
      <c r="M885" s="131"/>
      <c r="N885" s="131"/>
      <c r="O885" s="131"/>
      <c r="P885" s="131"/>
      <c r="Q885" s="131"/>
      <c r="R885" s="131"/>
      <c r="S885" s="131"/>
      <c r="T885" s="131"/>
      <c r="U885" s="131"/>
      <c r="V885" s="131"/>
      <c r="W885" s="131"/>
      <c r="X885" s="131"/>
      <c r="Y885" s="131"/>
      <c r="Z885" s="131"/>
    </row>
    <row r="886">
      <c r="A886" s="99"/>
      <c r="B886" s="99"/>
      <c r="C886" s="99"/>
      <c r="D886" s="99"/>
      <c r="E886" s="99"/>
      <c r="F886" s="99"/>
      <c r="G886" s="99"/>
      <c r="H886" s="99"/>
      <c r="I886" s="99"/>
      <c r="J886" s="131"/>
      <c r="K886" s="131"/>
      <c r="L886" s="131"/>
      <c r="M886" s="131"/>
      <c r="N886" s="131"/>
      <c r="O886" s="131"/>
      <c r="P886" s="131"/>
      <c r="Q886" s="131"/>
      <c r="R886" s="131"/>
      <c r="S886" s="131"/>
      <c r="T886" s="131"/>
      <c r="U886" s="131"/>
      <c r="V886" s="131"/>
      <c r="W886" s="131"/>
      <c r="X886" s="131"/>
      <c r="Y886" s="131"/>
      <c r="Z886" s="131"/>
    </row>
    <row r="887">
      <c r="A887" s="99"/>
      <c r="B887" s="99"/>
      <c r="C887" s="99"/>
      <c r="D887" s="99"/>
      <c r="E887" s="99"/>
      <c r="F887" s="99"/>
      <c r="G887" s="99"/>
      <c r="H887" s="99"/>
      <c r="I887" s="99"/>
      <c r="J887" s="131"/>
      <c r="K887" s="131"/>
      <c r="L887" s="131"/>
      <c r="M887" s="131"/>
      <c r="N887" s="131"/>
      <c r="O887" s="131"/>
      <c r="P887" s="131"/>
      <c r="Q887" s="131"/>
      <c r="R887" s="131"/>
      <c r="S887" s="131"/>
      <c r="T887" s="131"/>
      <c r="U887" s="131"/>
      <c r="V887" s="131"/>
      <c r="W887" s="131"/>
      <c r="X887" s="131"/>
      <c r="Y887" s="131"/>
      <c r="Z887" s="131"/>
    </row>
    <row r="888">
      <c r="A888" s="99"/>
      <c r="B888" s="99"/>
      <c r="C888" s="99"/>
      <c r="D888" s="99"/>
      <c r="E888" s="99"/>
      <c r="F888" s="99"/>
      <c r="G888" s="99"/>
      <c r="H888" s="99"/>
      <c r="I888" s="99"/>
      <c r="J888" s="131"/>
      <c r="K888" s="131"/>
      <c r="L888" s="131"/>
      <c r="M888" s="131"/>
      <c r="N888" s="131"/>
      <c r="O888" s="131"/>
      <c r="P888" s="131"/>
      <c r="Q888" s="131"/>
      <c r="R888" s="131"/>
      <c r="S888" s="131"/>
      <c r="T888" s="131"/>
      <c r="U888" s="131"/>
      <c r="V888" s="131"/>
      <c r="W888" s="131"/>
      <c r="X888" s="131"/>
      <c r="Y888" s="131"/>
      <c r="Z888" s="131"/>
    </row>
    <row r="889">
      <c r="A889" s="99"/>
      <c r="B889" s="99"/>
      <c r="C889" s="99"/>
      <c r="D889" s="99"/>
      <c r="E889" s="99"/>
      <c r="F889" s="99"/>
      <c r="G889" s="99"/>
      <c r="H889" s="99"/>
      <c r="I889" s="99"/>
      <c r="J889" s="131"/>
      <c r="K889" s="131"/>
      <c r="L889" s="131"/>
      <c r="M889" s="131"/>
      <c r="N889" s="131"/>
      <c r="O889" s="131"/>
      <c r="P889" s="131"/>
      <c r="Q889" s="131"/>
      <c r="R889" s="131"/>
      <c r="S889" s="131"/>
      <c r="T889" s="131"/>
      <c r="U889" s="131"/>
      <c r="V889" s="131"/>
      <c r="W889" s="131"/>
      <c r="X889" s="131"/>
      <c r="Y889" s="131"/>
      <c r="Z889" s="131"/>
    </row>
    <row r="890">
      <c r="A890" s="99"/>
      <c r="B890" s="99"/>
      <c r="C890" s="99"/>
      <c r="D890" s="99"/>
      <c r="E890" s="99"/>
      <c r="F890" s="99"/>
      <c r="G890" s="99"/>
      <c r="H890" s="99"/>
      <c r="I890" s="99"/>
      <c r="J890" s="131"/>
      <c r="K890" s="131"/>
      <c r="L890" s="131"/>
      <c r="M890" s="131"/>
      <c r="N890" s="131"/>
      <c r="O890" s="131"/>
      <c r="P890" s="131"/>
      <c r="Q890" s="131"/>
      <c r="R890" s="131"/>
      <c r="S890" s="131"/>
      <c r="T890" s="131"/>
      <c r="U890" s="131"/>
      <c r="V890" s="131"/>
      <c r="W890" s="131"/>
      <c r="X890" s="131"/>
      <c r="Y890" s="131"/>
      <c r="Z890" s="131"/>
    </row>
    <row r="891">
      <c r="A891" s="99"/>
      <c r="B891" s="99"/>
      <c r="C891" s="99"/>
      <c r="D891" s="99"/>
      <c r="E891" s="99"/>
      <c r="F891" s="99"/>
      <c r="G891" s="99"/>
      <c r="H891" s="99"/>
      <c r="I891" s="99"/>
      <c r="J891" s="131"/>
      <c r="K891" s="131"/>
      <c r="L891" s="131"/>
      <c r="M891" s="131"/>
      <c r="N891" s="131"/>
      <c r="O891" s="131"/>
      <c r="P891" s="131"/>
      <c r="Q891" s="131"/>
      <c r="R891" s="131"/>
      <c r="S891" s="131"/>
      <c r="T891" s="131"/>
      <c r="U891" s="131"/>
      <c r="V891" s="131"/>
      <c r="W891" s="131"/>
      <c r="X891" s="131"/>
      <c r="Y891" s="131"/>
      <c r="Z891" s="131"/>
    </row>
    <row r="892">
      <c r="A892" s="99"/>
      <c r="B892" s="99"/>
      <c r="C892" s="99"/>
      <c r="D892" s="99"/>
      <c r="E892" s="99"/>
      <c r="F892" s="99"/>
      <c r="G892" s="99"/>
      <c r="H892" s="99"/>
      <c r="I892" s="99"/>
      <c r="J892" s="131"/>
      <c r="K892" s="131"/>
      <c r="L892" s="131"/>
      <c r="M892" s="131"/>
      <c r="N892" s="131"/>
      <c r="O892" s="131"/>
      <c r="P892" s="131"/>
      <c r="Q892" s="131"/>
      <c r="R892" s="131"/>
      <c r="S892" s="131"/>
      <c r="T892" s="131"/>
      <c r="U892" s="131"/>
      <c r="V892" s="131"/>
      <c r="W892" s="131"/>
      <c r="X892" s="131"/>
      <c r="Y892" s="131"/>
      <c r="Z892" s="131"/>
    </row>
    <row r="893">
      <c r="A893" s="99"/>
      <c r="B893" s="99"/>
      <c r="C893" s="99"/>
      <c r="D893" s="99"/>
      <c r="E893" s="99"/>
      <c r="F893" s="99"/>
      <c r="G893" s="99"/>
      <c r="H893" s="99"/>
      <c r="I893" s="99"/>
      <c r="J893" s="131"/>
      <c r="K893" s="131"/>
      <c r="L893" s="131"/>
      <c r="M893" s="131"/>
      <c r="N893" s="131"/>
      <c r="O893" s="131"/>
      <c r="P893" s="131"/>
      <c r="Q893" s="131"/>
      <c r="R893" s="131"/>
      <c r="S893" s="131"/>
      <c r="T893" s="131"/>
      <c r="U893" s="131"/>
      <c r="V893" s="131"/>
      <c r="W893" s="131"/>
      <c r="X893" s="131"/>
      <c r="Y893" s="131"/>
      <c r="Z893" s="131"/>
    </row>
    <row r="894">
      <c r="A894" s="99"/>
      <c r="B894" s="99"/>
      <c r="C894" s="99"/>
      <c r="D894" s="99"/>
      <c r="E894" s="99"/>
      <c r="F894" s="99"/>
      <c r="G894" s="99"/>
      <c r="H894" s="99"/>
      <c r="I894" s="99"/>
      <c r="J894" s="131"/>
      <c r="K894" s="131"/>
      <c r="L894" s="131"/>
      <c r="M894" s="131"/>
      <c r="N894" s="131"/>
      <c r="O894" s="131"/>
      <c r="P894" s="131"/>
      <c r="Q894" s="131"/>
      <c r="R894" s="131"/>
      <c r="S894" s="131"/>
      <c r="T894" s="131"/>
      <c r="U894" s="131"/>
      <c r="V894" s="131"/>
      <c r="W894" s="131"/>
      <c r="X894" s="131"/>
      <c r="Y894" s="131"/>
      <c r="Z894" s="131"/>
    </row>
    <row r="895">
      <c r="A895" s="99"/>
      <c r="B895" s="99"/>
      <c r="C895" s="99"/>
      <c r="D895" s="99"/>
      <c r="E895" s="99"/>
      <c r="F895" s="99"/>
      <c r="G895" s="99"/>
      <c r="H895" s="99"/>
      <c r="I895" s="99"/>
      <c r="J895" s="131"/>
      <c r="K895" s="131"/>
      <c r="L895" s="131"/>
      <c r="M895" s="131"/>
      <c r="N895" s="131"/>
      <c r="O895" s="131"/>
      <c r="P895" s="131"/>
      <c r="Q895" s="131"/>
      <c r="R895" s="131"/>
      <c r="S895" s="131"/>
      <c r="T895" s="131"/>
      <c r="U895" s="131"/>
      <c r="V895" s="131"/>
      <c r="W895" s="131"/>
      <c r="X895" s="131"/>
      <c r="Y895" s="131"/>
      <c r="Z895" s="131"/>
    </row>
    <row r="896">
      <c r="A896" s="99"/>
      <c r="B896" s="99"/>
      <c r="C896" s="99"/>
      <c r="D896" s="99"/>
      <c r="E896" s="99"/>
      <c r="F896" s="99"/>
      <c r="G896" s="99"/>
      <c r="H896" s="99"/>
      <c r="I896" s="99"/>
      <c r="J896" s="131"/>
      <c r="K896" s="131"/>
      <c r="L896" s="131"/>
      <c r="M896" s="131"/>
      <c r="N896" s="131"/>
      <c r="O896" s="131"/>
      <c r="P896" s="131"/>
      <c r="Q896" s="131"/>
      <c r="R896" s="131"/>
      <c r="S896" s="131"/>
      <c r="T896" s="131"/>
      <c r="U896" s="131"/>
      <c r="V896" s="131"/>
      <c r="W896" s="131"/>
      <c r="X896" s="131"/>
      <c r="Y896" s="131"/>
      <c r="Z896" s="131"/>
    </row>
    <row r="897">
      <c r="A897" s="99"/>
      <c r="B897" s="99"/>
      <c r="C897" s="99"/>
      <c r="D897" s="99"/>
      <c r="E897" s="99"/>
      <c r="F897" s="99"/>
      <c r="G897" s="99"/>
      <c r="H897" s="99"/>
      <c r="I897" s="99"/>
      <c r="J897" s="131"/>
      <c r="K897" s="131"/>
      <c r="L897" s="131"/>
      <c r="M897" s="131"/>
      <c r="N897" s="131"/>
      <c r="O897" s="131"/>
      <c r="P897" s="131"/>
      <c r="Q897" s="131"/>
      <c r="R897" s="131"/>
      <c r="S897" s="131"/>
      <c r="T897" s="131"/>
      <c r="U897" s="131"/>
      <c r="V897" s="131"/>
      <c r="W897" s="131"/>
      <c r="X897" s="131"/>
      <c r="Y897" s="131"/>
      <c r="Z897" s="131"/>
    </row>
    <row r="898">
      <c r="A898" s="99"/>
      <c r="B898" s="99"/>
      <c r="C898" s="99"/>
      <c r="D898" s="99"/>
      <c r="E898" s="99"/>
      <c r="F898" s="99"/>
      <c r="G898" s="99"/>
      <c r="H898" s="99"/>
      <c r="I898" s="99"/>
      <c r="J898" s="131"/>
      <c r="K898" s="131"/>
      <c r="L898" s="131"/>
      <c r="M898" s="131"/>
      <c r="N898" s="131"/>
      <c r="O898" s="131"/>
      <c r="P898" s="131"/>
      <c r="Q898" s="131"/>
      <c r="R898" s="131"/>
      <c r="S898" s="131"/>
      <c r="T898" s="131"/>
      <c r="U898" s="131"/>
      <c r="V898" s="131"/>
      <c r="W898" s="131"/>
      <c r="X898" s="131"/>
      <c r="Y898" s="131"/>
      <c r="Z898" s="131"/>
    </row>
    <row r="899">
      <c r="A899" s="99"/>
      <c r="B899" s="99"/>
      <c r="C899" s="99"/>
      <c r="D899" s="99"/>
      <c r="E899" s="99"/>
      <c r="F899" s="99"/>
      <c r="G899" s="99"/>
      <c r="H899" s="99"/>
      <c r="I899" s="99"/>
      <c r="J899" s="131"/>
      <c r="K899" s="131"/>
      <c r="L899" s="131"/>
      <c r="M899" s="131"/>
      <c r="N899" s="131"/>
      <c r="O899" s="131"/>
      <c r="P899" s="131"/>
      <c r="Q899" s="131"/>
      <c r="R899" s="131"/>
      <c r="S899" s="131"/>
      <c r="T899" s="131"/>
      <c r="U899" s="131"/>
      <c r="V899" s="131"/>
      <c r="W899" s="131"/>
      <c r="X899" s="131"/>
      <c r="Y899" s="131"/>
      <c r="Z899" s="131"/>
    </row>
    <row r="900">
      <c r="A900" s="99"/>
      <c r="B900" s="99"/>
      <c r="C900" s="99"/>
      <c r="D900" s="99"/>
      <c r="E900" s="99"/>
      <c r="F900" s="99"/>
      <c r="G900" s="99"/>
      <c r="H900" s="99"/>
      <c r="I900" s="99"/>
      <c r="J900" s="131"/>
      <c r="K900" s="131"/>
      <c r="L900" s="131"/>
      <c r="M900" s="131"/>
      <c r="N900" s="131"/>
      <c r="O900" s="131"/>
      <c r="P900" s="131"/>
      <c r="Q900" s="131"/>
      <c r="R900" s="131"/>
      <c r="S900" s="131"/>
      <c r="T900" s="131"/>
      <c r="U900" s="131"/>
      <c r="V900" s="131"/>
      <c r="W900" s="131"/>
      <c r="X900" s="131"/>
      <c r="Y900" s="131"/>
      <c r="Z900" s="131"/>
    </row>
    <row r="901">
      <c r="A901" s="99"/>
      <c r="B901" s="99"/>
      <c r="C901" s="99"/>
      <c r="D901" s="99"/>
      <c r="E901" s="99"/>
      <c r="F901" s="99"/>
      <c r="G901" s="99"/>
      <c r="H901" s="99"/>
      <c r="I901" s="99"/>
      <c r="J901" s="131"/>
      <c r="K901" s="131"/>
      <c r="L901" s="131"/>
      <c r="M901" s="131"/>
      <c r="N901" s="131"/>
      <c r="O901" s="131"/>
      <c r="P901" s="131"/>
      <c r="Q901" s="131"/>
      <c r="R901" s="131"/>
      <c r="S901" s="131"/>
      <c r="T901" s="131"/>
      <c r="U901" s="131"/>
      <c r="V901" s="131"/>
      <c r="W901" s="131"/>
      <c r="X901" s="131"/>
      <c r="Y901" s="131"/>
      <c r="Z901" s="131"/>
    </row>
    <row r="902">
      <c r="A902" s="99"/>
      <c r="B902" s="99"/>
      <c r="C902" s="99"/>
      <c r="D902" s="99"/>
      <c r="E902" s="99"/>
      <c r="F902" s="99"/>
      <c r="G902" s="99"/>
      <c r="H902" s="99"/>
      <c r="I902" s="99"/>
      <c r="J902" s="131"/>
      <c r="K902" s="131"/>
      <c r="L902" s="131"/>
      <c r="M902" s="131"/>
      <c r="N902" s="131"/>
      <c r="O902" s="131"/>
      <c r="P902" s="131"/>
      <c r="Q902" s="131"/>
      <c r="R902" s="131"/>
      <c r="S902" s="131"/>
      <c r="T902" s="131"/>
      <c r="U902" s="131"/>
      <c r="V902" s="131"/>
      <c r="W902" s="131"/>
      <c r="X902" s="131"/>
      <c r="Y902" s="131"/>
      <c r="Z902" s="131"/>
    </row>
    <row r="903">
      <c r="A903" s="99"/>
      <c r="B903" s="99"/>
      <c r="C903" s="99"/>
      <c r="D903" s="99"/>
      <c r="E903" s="99"/>
      <c r="F903" s="99"/>
      <c r="G903" s="99"/>
      <c r="H903" s="99"/>
      <c r="I903" s="99"/>
      <c r="J903" s="131"/>
      <c r="K903" s="131"/>
      <c r="L903" s="131"/>
      <c r="M903" s="131"/>
      <c r="N903" s="131"/>
      <c r="O903" s="131"/>
      <c r="P903" s="131"/>
      <c r="Q903" s="131"/>
      <c r="R903" s="131"/>
      <c r="S903" s="131"/>
      <c r="T903" s="131"/>
      <c r="U903" s="131"/>
      <c r="V903" s="131"/>
      <c r="W903" s="131"/>
      <c r="X903" s="131"/>
      <c r="Y903" s="131"/>
      <c r="Z903" s="131"/>
    </row>
    <row r="904">
      <c r="A904" s="99"/>
      <c r="B904" s="99"/>
      <c r="C904" s="99"/>
      <c r="D904" s="99"/>
      <c r="E904" s="99"/>
      <c r="F904" s="99"/>
      <c r="G904" s="99"/>
      <c r="H904" s="99"/>
      <c r="I904" s="99"/>
      <c r="J904" s="131"/>
      <c r="K904" s="131"/>
      <c r="L904" s="131"/>
      <c r="M904" s="131"/>
      <c r="N904" s="131"/>
      <c r="O904" s="131"/>
      <c r="P904" s="131"/>
      <c r="Q904" s="131"/>
      <c r="R904" s="131"/>
      <c r="S904" s="131"/>
      <c r="T904" s="131"/>
      <c r="U904" s="131"/>
      <c r="V904" s="131"/>
      <c r="W904" s="131"/>
      <c r="X904" s="131"/>
      <c r="Y904" s="131"/>
      <c r="Z904" s="131"/>
    </row>
    <row r="905">
      <c r="A905" s="99"/>
      <c r="B905" s="99"/>
      <c r="C905" s="99"/>
      <c r="D905" s="99"/>
      <c r="E905" s="99"/>
      <c r="F905" s="99"/>
      <c r="G905" s="99"/>
      <c r="H905" s="99"/>
      <c r="I905" s="99"/>
      <c r="J905" s="131"/>
      <c r="K905" s="131"/>
      <c r="L905" s="131"/>
      <c r="M905" s="131"/>
      <c r="N905" s="131"/>
      <c r="O905" s="131"/>
      <c r="P905" s="131"/>
      <c r="Q905" s="131"/>
      <c r="R905" s="131"/>
      <c r="S905" s="131"/>
      <c r="T905" s="131"/>
      <c r="U905" s="131"/>
      <c r="V905" s="131"/>
      <c r="W905" s="131"/>
      <c r="X905" s="131"/>
      <c r="Y905" s="131"/>
      <c r="Z905" s="131"/>
    </row>
    <row r="906">
      <c r="A906" s="99"/>
      <c r="B906" s="99"/>
      <c r="C906" s="99"/>
      <c r="D906" s="99"/>
      <c r="E906" s="99"/>
      <c r="F906" s="99"/>
      <c r="G906" s="99"/>
      <c r="H906" s="99"/>
      <c r="I906" s="99"/>
      <c r="J906" s="131"/>
      <c r="K906" s="131"/>
      <c r="L906" s="131"/>
      <c r="M906" s="131"/>
      <c r="N906" s="131"/>
      <c r="O906" s="131"/>
      <c r="P906" s="131"/>
      <c r="Q906" s="131"/>
      <c r="R906" s="131"/>
      <c r="S906" s="131"/>
      <c r="T906" s="131"/>
      <c r="U906" s="131"/>
      <c r="V906" s="131"/>
      <c r="W906" s="131"/>
      <c r="X906" s="131"/>
      <c r="Y906" s="131"/>
      <c r="Z906" s="131"/>
    </row>
    <row r="907">
      <c r="A907" s="99"/>
      <c r="B907" s="99"/>
      <c r="C907" s="99"/>
      <c r="D907" s="99"/>
      <c r="E907" s="99"/>
      <c r="F907" s="99"/>
      <c r="G907" s="99"/>
      <c r="H907" s="99"/>
      <c r="I907" s="99"/>
      <c r="J907" s="131"/>
      <c r="K907" s="131"/>
      <c r="L907" s="131"/>
      <c r="M907" s="131"/>
      <c r="N907" s="131"/>
      <c r="O907" s="131"/>
      <c r="P907" s="131"/>
      <c r="Q907" s="131"/>
      <c r="R907" s="131"/>
      <c r="S907" s="131"/>
      <c r="T907" s="131"/>
      <c r="U907" s="131"/>
      <c r="V907" s="131"/>
      <c r="W907" s="131"/>
      <c r="X907" s="131"/>
      <c r="Y907" s="131"/>
      <c r="Z907" s="131"/>
    </row>
    <row r="908">
      <c r="A908" s="99"/>
      <c r="B908" s="99"/>
      <c r="C908" s="99"/>
      <c r="D908" s="99"/>
      <c r="E908" s="99"/>
      <c r="F908" s="99"/>
      <c r="G908" s="99"/>
      <c r="H908" s="99"/>
      <c r="I908" s="99"/>
      <c r="J908" s="131"/>
      <c r="K908" s="131"/>
      <c r="L908" s="131"/>
      <c r="M908" s="131"/>
      <c r="N908" s="131"/>
      <c r="O908" s="131"/>
      <c r="P908" s="131"/>
      <c r="Q908" s="131"/>
      <c r="R908" s="131"/>
      <c r="S908" s="131"/>
      <c r="T908" s="131"/>
      <c r="U908" s="131"/>
      <c r="V908" s="131"/>
      <c r="W908" s="131"/>
      <c r="X908" s="131"/>
      <c r="Y908" s="131"/>
      <c r="Z908" s="131"/>
    </row>
    <row r="909">
      <c r="A909" s="99"/>
      <c r="B909" s="99"/>
      <c r="C909" s="99"/>
      <c r="D909" s="99"/>
      <c r="E909" s="99"/>
      <c r="F909" s="99"/>
      <c r="G909" s="99"/>
      <c r="H909" s="99"/>
      <c r="I909" s="99"/>
      <c r="J909" s="131"/>
      <c r="K909" s="131"/>
      <c r="L909" s="131"/>
      <c r="M909" s="131"/>
      <c r="N909" s="131"/>
      <c r="O909" s="131"/>
      <c r="P909" s="131"/>
      <c r="Q909" s="131"/>
      <c r="R909" s="131"/>
      <c r="S909" s="131"/>
      <c r="T909" s="131"/>
      <c r="U909" s="131"/>
      <c r="V909" s="131"/>
      <c r="W909" s="131"/>
      <c r="X909" s="131"/>
      <c r="Y909" s="131"/>
      <c r="Z909" s="131"/>
    </row>
    <row r="910">
      <c r="A910" s="99"/>
      <c r="B910" s="99"/>
      <c r="C910" s="99"/>
      <c r="D910" s="99"/>
      <c r="E910" s="99"/>
      <c r="F910" s="99"/>
      <c r="G910" s="99"/>
      <c r="H910" s="99"/>
      <c r="I910" s="99"/>
      <c r="J910" s="131"/>
      <c r="K910" s="131"/>
      <c r="L910" s="131"/>
      <c r="M910" s="131"/>
      <c r="N910" s="131"/>
      <c r="O910" s="131"/>
      <c r="P910" s="131"/>
      <c r="Q910" s="131"/>
      <c r="R910" s="131"/>
      <c r="S910" s="131"/>
      <c r="T910" s="131"/>
      <c r="U910" s="131"/>
      <c r="V910" s="131"/>
      <c r="W910" s="131"/>
      <c r="X910" s="131"/>
      <c r="Y910" s="131"/>
      <c r="Z910" s="131"/>
    </row>
    <row r="911">
      <c r="A911" s="99"/>
      <c r="B911" s="99"/>
      <c r="C911" s="99"/>
      <c r="D911" s="99"/>
      <c r="E911" s="99"/>
      <c r="F911" s="99"/>
      <c r="G911" s="99"/>
      <c r="H911" s="99"/>
      <c r="I911" s="99"/>
      <c r="J911" s="131"/>
      <c r="K911" s="131"/>
      <c r="L911" s="131"/>
      <c r="M911" s="131"/>
      <c r="N911" s="131"/>
      <c r="O911" s="131"/>
      <c r="P911" s="131"/>
      <c r="Q911" s="131"/>
      <c r="R911" s="131"/>
      <c r="S911" s="131"/>
      <c r="T911" s="131"/>
      <c r="U911" s="131"/>
      <c r="V911" s="131"/>
      <c r="W911" s="131"/>
      <c r="X911" s="131"/>
      <c r="Y911" s="131"/>
      <c r="Z911" s="131"/>
    </row>
    <row r="912">
      <c r="A912" s="99"/>
      <c r="B912" s="99"/>
      <c r="C912" s="99"/>
      <c r="D912" s="99"/>
      <c r="E912" s="99"/>
      <c r="F912" s="99"/>
      <c r="G912" s="99"/>
      <c r="H912" s="99"/>
      <c r="I912" s="99"/>
      <c r="J912" s="131"/>
      <c r="K912" s="131"/>
      <c r="L912" s="131"/>
      <c r="M912" s="131"/>
      <c r="N912" s="131"/>
      <c r="O912" s="131"/>
      <c r="P912" s="131"/>
      <c r="Q912" s="131"/>
      <c r="R912" s="131"/>
      <c r="S912" s="131"/>
      <c r="T912" s="131"/>
      <c r="U912" s="131"/>
      <c r="V912" s="131"/>
      <c r="W912" s="131"/>
      <c r="X912" s="131"/>
      <c r="Y912" s="131"/>
      <c r="Z912" s="131"/>
    </row>
    <row r="913">
      <c r="A913" s="99"/>
      <c r="B913" s="99"/>
      <c r="C913" s="99"/>
      <c r="D913" s="99"/>
      <c r="E913" s="99"/>
      <c r="F913" s="99"/>
      <c r="G913" s="99"/>
      <c r="H913" s="99"/>
      <c r="I913" s="99"/>
      <c r="J913" s="131"/>
      <c r="K913" s="131"/>
      <c r="L913" s="131"/>
      <c r="M913" s="131"/>
      <c r="N913" s="131"/>
      <c r="O913" s="131"/>
      <c r="P913" s="131"/>
      <c r="Q913" s="131"/>
      <c r="R913" s="131"/>
      <c r="S913" s="131"/>
      <c r="T913" s="131"/>
      <c r="U913" s="131"/>
      <c r="V913" s="131"/>
      <c r="W913" s="131"/>
      <c r="X913" s="131"/>
      <c r="Y913" s="131"/>
      <c r="Z913" s="131"/>
    </row>
    <row r="914">
      <c r="A914" s="99"/>
      <c r="B914" s="99"/>
      <c r="C914" s="99"/>
      <c r="D914" s="99"/>
      <c r="E914" s="99"/>
      <c r="F914" s="99"/>
      <c r="G914" s="99"/>
      <c r="H914" s="99"/>
      <c r="I914" s="99"/>
      <c r="J914" s="131"/>
      <c r="K914" s="131"/>
      <c r="L914" s="131"/>
      <c r="M914" s="131"/>
      <c r="N914" s="131"/>
      <c r="O914" s="131"/>
      <c r="P914" s="131"/>
      <c r="Q914" s="131"/>
      <c r="R914" s="131"/>
      <c r="S914" s="131"/>
      <c r="T914" s="131"/>
      <c r="U914" s="131"/>
      <c r="V914" s="131"/>
      <c r="W914" s="131"/>
      <c r="X914" s="131"/>
      <c r="Y914" s="131"/>
      <c r="Z914" s="131"/>
    </row>
    <row r="915">
      <c r="A915" s="99"/>
      <c r="B915" s="99"/>
      <c r="C915" s="99"/>
      <c r="D915" s="99"/>
      <c r="E915" s="99"/>
      <c r="F915" s="99"/>
      <c r="G915" s="99"/>
      <c r="H915" s="99"/>
      <c r="I915" s="99"/>
      <c r="J915" s="131"/>
      <c r="K915" s="131"/>
      <c r="L915" s="131"/>
      <c r="M915" s="131"/>
      <c r="N915" s="131"/>
      <c r="O915" s="131"/>
      <c r="P915" s="131"/>
      <c r="Q915" s="131"/>
      <c r="R915" s="131"/>
      <c r="S915" s="131"/>
      <c r="T915" s="131"/>
      <c r="U915" s="131"/>
      <c r="V915" s="131"/>
      <c r="W915" s="131"/>
      <c r="X915" s="131"/>
      <c r="Y915" s="131"/>
      <c r="Z915" s="131"/>
    </row>
    <row r="916">
      <c r="A916" s="99"/>
      <c r="B916" s="99"/>
      <c r="C916" s="99"/>
      <c r="D916" s="99"/>
      <c r="E916" s="99"/>
      <c r="F916" s="99"/>
      <c r="G916" s="99"/>
      <c r="H916" s="99"/>
      <c r="I916" s="99"/>
      <c r="J916" s="131"/>
      <c r="K916" s="131"/>
      <c r="L916" s="131"/>
      <c r="M916" s="131"/>
      <c r="N916" s="131"/>
      <c r="O916" s="131"/>
      <c r="P916" s="131"/>
      <c r="Q916" s="131"/>
      <c r="R916" s="131"/>
      <c r="S916" s="131"/>
      <c r="T916" s="131"/>
      <c r="U916" s="131"/>
      <c r="V916" s="131"/>
      <c r="W916" s="131"/>
      <c r="X916" s="131"/>
      <c r="Y916" s="131"/>
      <c r="Z916" s="131"/>
    </row>
    <row r="917">
      <c r="A917" s="99"/>
      <c r="B917" s="99"/>
      <c r="C917" s="99"/>
      <c r="D917" s="99"/>
      <c r="E917" s="99"/>
      <c r="F917" s="99"/>
      <c r="G917" s="99"/>
      <c r="H917" s="99"/>
      <c r="I917" s="99"/>
      <c r="J917" s="131"/>
      <c r="K917" s="131"/>
      <c r="L917" s="131"/>
      <c r="M917" s="131"/>
      <c r="N917" s="131"/>
      <c r="O917" s="131"/>
      <c r="P917" s="131"/>
      <c r="Q917" s="131"/>
      <c r="R917" s="131"/>
      <c r="S917" s="131"/>
      <c r="T917" s="131"/>
      <c r="U917" s="131"/>
      <c r="V917" s="131"/>
      <c r="W917" s="131"/>
      <c r="X917" s="131"/>
      <c r="Y917" s="131"/>
      <c r="Z917" s="131"/>
    </row>
    <row r="918">
      <c r="A918" s="99"/>
      <c r="B918" s="99"/>
      <c r="C918" s="99"/>
      <c r="D918" s="99"/>
      <c r="E918" s="99"/>
      <c r="F918" s="99"/>
      <c r="G918" s="99"/>
      <c r="H918" s="99"/>
      <c r="I918" s="99"/>
      <c r="J918" s="131"/>
      <c r="K918" s="131"/>
      <c r="L918" s="131"/>
      <c r="M918" s="131"/>
      <c r="N918" s="131"/>
      <c r="O918" s="131"/>
      <c r="P918" s="131"/>
      <c r="Q918" s="131"/>
      <c r="R918" s="131"/>
      <c r="S918" s="131"/>
      <c r="T918" s="131"/>
      <c r="U918" s="131"/>
      <c r="V918" s="131"/>
      <c r="W918" s="131"/>
      <c r="X918" s="131"/>
      <c r="Y918" s="131"/>
      <c r="Z918" s="131"/>
    </row>
    <row r="919">
      <c r="A919" s="99"/>
      <c r="B919" s="99"/>
      <c r="C919" s="99"/>
      <c r="D919" s="99"/>
      <c r="E919" s="99"/>
      <c r="F919" s="99"/>
      <c r="G919" s="99"/>
      <c r="H919" s="99"/>
      <c r="I919" s="99"/>
      <c r="J919" s="131"/>
      <c r="K919" s="131"/>
      <c r="L919" s="131"/>
      <c r="M919" s="131"/>
      <c r="N919" s="131"/>
      <c r="O919" s="131"/>
      <c r="P919" s="131"/>
      <c r="Q919" s="131"/>
      <c r="R919" s="131"/>
      <c r="S919" s="131"/>
      <c r="T919" s="131"/>
      <c r="U919" s="131"/>
      <c r="V919" s="131"/>
      <c r="W919" s="131"/>
      <c r="X919" s="131"/>
      <c r="Y919" s="131"/>
      <c r="Z919" s="131"/>
    </row>
    <row r="920">
      <c r="A920" s="99"/>
      <c r="B920" s="99"/>
      <c r="C920" s="99"/>
      <c r="D920" s="99"/>
      <c r="E920" s="99"/>
      <c r="F920" s="99"/>
      <c r="G920" s="99"/>
      <c r="H920" s="99"/>
      <c r="I920" s="99"/>
      <c r="J920" s="131"/>
      <c r="K920" s="131"/>
      <c r="L920" s="131"/>
      <c r="M920" s="131"/>
      <c r="N920" s="131"/>
      <c r="O920" s="131"/>
      <c r="P920" s="131"/>
      <c r="Q920" s="131"/>
      <c r="R920" s="131"/>
      <c r="S920" s="131"/>
      <c r="T920" s="131"/>
      <c r="U920" s="131"/>
      <c r="V920" s="131"/>
      <c r="W920" s="131"/>
      <c r="X920" s="131"/>
      <c r="Y920" s="131"/>
      <c r="Z920" s="131"/>
    </row>
    <row r="921">
      <c r="A921" s="99"/>
      <c r="B921" s="99"/>
      <c r="C921" s="99"/>
      <c r="D921" s="99"/>
      <c r="E921" s="99"/>
      <c r="F921" s="99"/>
      <c r="G921" s="99"/>
      <c r="H921" s="99"/>
      <c r="I921" s="99"/>
      <c r="J921" s="131"/>
      <c r="K921" s="131"/>
      <c r="L921" s="131"/>
      <c r="M921" s="131"/>
      <c r="N921" s="131"/>
      <c r="O921" s="131"/>
      <c r="P921" s="131"/>
      <c r="Q921" s="131"/>
      <c r="R921" s="131"/>
      <c r="S921" s="131"/>
      <c r="T921" s="131"/>
      <c r="U921" s="131"/>
      <c r="V921" s="131"/>
      <c r="W921" s="131"/>
      <c r="X921" s="131"/>
      <c r="Y921" s="131"/>
      <c r="Z921" s="131"/>
    </row>
    <row r="922">
      <c r="A922" s="99"/>
      <c r="B922" s="99"/>
      <c r="C922" s="99"/>
      <c r="D922" s="99"/>
      <c r="E922" s="99"/>
      <c r="F922" s="99"/>
      <c r="G922" s="99"/>
      <c r="H922" s="99"/>
      <c r="I922" s="99"/>
      <c r="J922" s="131"/>
      <c r="K922" s="131"/>
      <c r="L922" s="131"/>
      <c r="M922" s="131"/>
      <c r="N922" s="131"/>
      <c r="O922" s="131"/>
      <c r="P922" s="131"/>
      <c r="Q922" s="131"/>
      <c r="R922" s="131"/>
      <c r="S922" s="131"/>
      <c r="T922" s="131"/>
      <c r="U922" s="131"/>
      <c r="V922" s="131"/>
      <c r="W922" s="131"/>
      <c r="X922" s="131"/>
      <c r="Y922" s="131"/>
      <c r="Z922" s="131"/>
    </row>
    <row r="923">
      <c r="A923" s="99"/>
      <c r="B923" s="99"/>
      <c r="C923" s="99"/>
      <c r="D923" s="99"/>
      <c r="E923" s="99"/>
      <c r="F923" s="99"/>
      <c r="G923" s="99"/>
      <c r="H923" s="99"/>
      <c r="I923" s="99"/>
      <c r="J923" s="131"/>
      <c r="K923" s="131"/>
      <c r="L923" s="131"/>
      <c r="M923" s="131"/>
      <c r="N923" s="131"/>
      <c r="O923" s="131"/>
      <c r="P923" s="131"/>
      <c r="Q923" s="131"/>
      <c r="R923" s="131"/>
      <c r="S923" s="131"/>
      <c r="T923" s="131"/>
      <c r="U923" s="131"/>
      <c r="V923" s="131"/>
      <c r="W923" s="131"/>
      <c r="X923" s="131"/>
      <c r="Y923" s="131"/>
      <c r="Z923" s="131"/>
    </row>
    <row r="924">
      <c r="A924" s="99"/>
      <c r="B924" s="99"/>
      <c r="C924" s="99"/>
      <c r="D924" s="99"/>
      <c r="E924" s="99"/>
      <c r="F924" s="99"/>
      <c r="G924" s="99"/>
      <c r="H924" s="99"/>
      <c r="I924" s="99"/>
      <c r="J924" s="131"/>
      <c r="K924" s="131"/>
      <c r="L924" s="131"/>
      <c r="M924" s="131"/>
      <c r="N924" s="131"/>
      <c r="O924" s="131"/>
      <c r="P924" s="131"/>
      <c r="Q924" s="131"/>
      <c r="R924" s="131"/>
      <c r="S924" s="131"/>
      <c r="T924" s="131"/>
      <c r="U924" s="131"/>
      <c r="V924" s="131"/>
      <c r="W924" s="131"/>
      <c r="X924" s="131"/>
      <c r="Y924" s="131"/>
      <c r="Z924" s="131"/>
    </row>
    <row r="925">
      <c r="A925" s="99"/>
      <c r="B925" s="99"/>
      <c r="C925" s="99"/>
      <c r="D925" s="99"/>
      <c r="E925" s="99"/>
      <c r="F925" s="99"/>
      <c r="G925" s="99"/>
      <c r="H925" s="99"/>
      <c r="I925" s="99"/>
      <c r="J925" s="131"/>
      <c r="K925" s="131"/>
      <c r="L925" s="131"/>
      <c r="M925" s="131"/>
      <c r="N925" s="131"/>
      <c r="O925" s="131"/>
      <c r="P925" s="131"/>
      <c r="Q925" s="131"/>
      <c r="R925" s="131"/>
      <c r="S925" s="131"/>
      <c r="T925" s="131"/>
      <c r="U925" s="131"/>
      <c r="V925" s="131"/>
      <c r="W925" s="131"/>
      <c r="X925" s="131"/>
      <c r="Y925" s="131"/>
      <c r="Z925" s="131"/>
    </row>
    <row r="926">
      <c r="A926" s="99"/>
      <c r="B926" s="99"/>
      <c r="C926" s="99"/>
      <c r="D926" s="99"/>
      <c r="E926" s="99"/>
      <c r="F926" s="99"/>
      <c r="G926" s="99"/>
      <c r="H926" s="99"/>
      <c r="I926" s="99"/>
      <c r="J926" s="131"/>
      <c r="K926" s="131"/>
      <c r="L926" s="131"/>
      <c r="M926" s="131"/>
      <c r="N926" s="131"/>
      <c r="O926" s="131"/>
      <c r="P926" s="131"/>
      <c r="Q926" s="131"/>
      <c r="R926" s="131"/>
      <c r="S926" s="131"/>
      <c r="T926" s="131"/>
      <c r="U926" s="131"/>
      <c r="V926" s="131"/>
      <c r="W926" s="131"/>
      <c r="X926" s="131"/>
      <c r="Y926" s="131"/>
      <c r="Z926" s="131"/>
    </row>
    <row r="927">
      <c r="A927" s="99"/>
      <c r="B927" s="99"/>
      <c r="C927" s="99"/>
      <c r="D927" s="99"/>
      <c r="E927" s="99"/>
      <c r="F927" s="99"/>
      <c r="G927" s="99"/>
      <c r="H927" s="99"/>
      <c r="I927" s="99"/>
      <c r="J927" s="131"/>
      <c r="K927" s="131"/>
      <c r="L927" s="131"/>
      <c r="M927" s="131"/>
      <c r="N927" s="131"/>
      <c r="O927" s="131"/>
      <c r="P927" s="131"/>
      <c r="Q927" s="131"/>
      <c r="R927" s="131"/>
      <c r="S927" s="131"/>
      <c r="T927" s="131"/>
      <c r="U927" s="131"/>
      <c r="V927" s="131"/>
      <c r="W927" s="131"/>
      <c r="X927" s="131"/>
      <c r="Y927" s="131"/>
      <c r="Z927" s="131"/>
    </row>
    <row r="928">
      <c r="A928" s="99"/>
      <c r="B928" s="99"/>
      <c r="C928" s="99"/>
      <c r="D928" s="99"/>
      <c r="E928" s="99"/>
      <c r="F928" s="99"/>
      <c r="G928" s="99"/>
      <c r="H928" s="99"/>
      <c r="I928" s="99"/>
      <c r="J928" s="131"/>
      <c r="K928" s="131"/>
      <c r="L928" s="131"/>
      <c r="M928" s="131"/>
      <c r="N928" s="131"/>
      <c r="O928" s="131"/>
      <c r="P928" s="131"/>
      <c r="Q928" s="131"/>
      <c r="R928" s="131"/>
      <c r="S928" s="131"/>
      <c r="T928" s="131"/>
      <c r="U928" s="131"/>
      <c r="V928" s="131"/>
      <c r="W928" s="131"/>
      <c r="X928" s="131"/>
      <c r="Y928" s="131"/>
      <c r="Z928" s="131"/>
    </row>
    <row r="929">
      <c r="A929" s="99"/>
      <c r="B929" s="99"/>
      <c r="C929" s="99"/>
      <c r="D929" s="99"/>
      <c r="E929" s="99"/>
      <c r="F929" s="99"/>
      <c r="G929" s="99"/>
      <c r="H929" s="99"/>
      <c r="I929" s="99"/>
      <c r="J929" s="131"/>
      <c r="K929" s="131"/>
      <c r="L929" s="131"/>
      <c r="M929" s="131"/>
      <c r="N929" s="131"/>
      <c r="O929" s="131"/>
      <c r="P929" s="131"/>
      <c r="Q929" s="131"/>
      <c r="R929" s="131"/>
      <c r="S929" s="131"/>
      <c r="T929" s="131"/>
      <c r="U929" s="131"/>
      <c r="V929" s="131"/>
      <c r="W929" s="131"/>
      <c r="X929" s="131"/>
      <c r="Y929" s="131"/>
      <c r="Z929" s="131"/>
    </row>
    <row r="930">
      <c r="A930" s="99"/>
      <c r="B930" s="99"/>
      <c r="C930" s="99"/>
      <c r="D930" s="99"/>
      <c r="E930" s="99"/>
      <c r="F930" s="99"/>
      <c r="G930" s="99"/>
      <c r="H930" s="99"/>
      <c r="I930" s="99"/>
      <c r="J930" s="131"/>
      <c r="K930" s="131"/>
      <c r="L930" s="131"/>
      <c r="M930" s="131"/>
      <c r="N930" s="131"/>
      <c r="O930" s="131"/>
      <c r="P930" s="131"/>
      <c r="Q930" s="131"/>
      <c r="R930" s="131"/>
      <c r="S930" s="131"/>
      <c r="T930" s="131"/>
      <c r="U930" s="131"/>
      <c r="V930" s="131"/>
      <c r="W930" s="131"/>
      <c r="X930" s="131"/>
      <c r="Y930" s="131"/>
      <c r="Z930" s="131"/>
    </row>
    <row r="931">
      <c r="A931" s="99"/>
      <c r="B931" s="99"/>
      <c r="C931" s="99"/>
      <c r="D931" s="99"/>
      <c r="E931" s="99"/>
      <c r="F931" s="99"/>
      <c r="G931" s="99"/>
      <c r="H931" s="99"/>
      <c r="I931" s="99"/>
      <c r="J931" s="131"/>
      <c r="K931" s="131"/>
      <c r="L931" s="131"/>
      <c r="M931" s="131"/>
      <c r="N931" s="131"/>
      <c r="O931" s="131"/>
      <c r="P931" s="131"/>
      <c r="Q931" s="131"/>
      <c r="R931" s="131"/>
      <c r="S931" s="131"/>
      <c r="T931" s="131"/>
      <c r="U931" s="131"/>
      <c r="V931" s="131"/>
      <c r="W931" s="131"/>
      <c r="X931" s="131"/>
      <c r="Y931" s="131"/>
      <c r="Z931" s="131"/>
    </row>
    <row r="932">
      <c r="A932" s="99"/>
      <c r="B932" s="99"/>
      <c r="C932" s="99"/>
      <c r="D932" s="99"/>
      <c r="E932" s="99"/>
      <c r="F932" s="99"/>
      <c r="G932" s="99"/>
      <c r="H932" s="99"/>
      <c r="I932" s="99"/>
      <c r="J932" s="131"/>
      <c r="K932" s="131"/>
      <c r="L932" s="131"/>
      <c r="M932" s="131"/>
      <c r="N932" s="131"/>
      <c r="O932" s="131"/>
      <c r="P932" s="131"/>
      <c r="Q932" s="131"/>
      <c r="R932" s="131"/>
      <c r="S932" s="131"/>
      <c r="T932" s="131"/>
      <c r="U932" s="131"/>
      <c r="V932" s="131"/>
      <c r="W932" s="131"/>
      <c r="X932" s="131"/>
      <c r="Y932" s="131"/>
      <c r="Z932" s="131"/>
    </row>
    <row r="933">
      <c r="A933" s="99"/>
      <c r="B933" s="99"/>
      <c r="C933" s="99"/>
      <c r="D933" s="99"/>
      <c r="E933" s="99"/>
      <c r="F933" s="99"/>
      <c r="G933" s="99"/>
      <c r="H933" s="99"/>
      <c r="I933" s="99"/>
      <c r="J933" s="131"/>
      <c r="K933" s="131"/>
      <c r="L933" s="131"/>
      <c r="M933" s="131"/>
      <c r="N933" s="131"/>
      <c r="O933" s="131"/>
      <c r="P933" s="131"/>
      <c r="Q933" s="131"/>
      <c r="R933" s="131"/>
      <c r="S933" s="131"/>
      <c r="T933" s="131"/>
      <c r="U933" s="131"/>
      <c r="V933" s="131"/>
      <c r="W933" s="131"/>
      <c r="X933" s="131"/>
      <c r="Y933" s="131"/>
      <c r="Z933" s="131"/>
    </row>
    <row r="934">
      <c r="A934" s="99"/>
      <c r="B934" s="99"/>
      <c r="C934" s="99"/>
      <c r="D934" s="99"/>
      <c r="E934" s="99"/>
      <c r="F934" s="99"/>
      <c r="G934" s="99"/>
      <c r="H934" s="99"/>
      <c r="I934" s="99"/>
      <c r="J934" s="131"/>
      <c r="K934" s="131"/>
      <c r="L934" s="131"/>
      <c r="M934" s="131"/>
      <c r="N934" s="131"/>
      <c r="O934" s="131"/>
      <c r="P934" s="131"/>
      <c r="Q934" s="131"/>
      <c r="R934" s="131"/>
      <c r="S934" s="131"/>
      <c r="T934" s="131"/>
      <c r="U934" s="131"/>
      <c r="V934" s="131"/>
      <c r="W934" s="131"/>
      <c r="X934" s="131"/>
      <c r="Y934" s="131"/>
      <c r="Z934" s="131"/>
    </row>
    <row r="935">
      <c r="A935" s="99"/>
      <c r="B935" s="99"/>
      <c r="C935" s="99"/>
      <c r="D935" s="99"/>
      <c r="E935" s="99"/>
      <c r="F935" s="99"/>
      <c r="G935" s="99"/>
      <c r="H935" s="99"/>
      <c r="I935" s="99"/>
      <c r="J935" s="131"/>
      <c r="K935" s="131"/>
      <c r="L935" s="131"/>
      <c r="M935" s="131"/>
      <c r="N935" s="131"/>
      <c r="O935" s="131"/>
      <c r="P935" s="131"/>
      <c r="Q935" s="131"/>
      <c r="R935" s="131"/>
      <c r="S935" s="131"/>
      <c r="T935" s="131"/>
      <c r="U935" s="131"/>
      <c r="V935" s="131"/>
      <c r="W935" s="131"/>
      <c r="X935" s="131"/>
      <c r="Y935" s="131"/>
      <c r="Z935" s="131"/>
    </row>
    <row r="936">
      <c r="A936" s="99"/>
      <c r="B936" s="99"/>
      <c r="C936" s="99"/>
      <c r="D936" s="99"/>
      <c r="E936" s="99"/>
      <c r="F936" s="99"/>
      <c r="G936" s="99"/>
      <c r="H936" s="99"/>
      <c r="I936" s="99"/>
      <c r="J936" s="131"/>
      <c r="K936" s="131"/>
      <c r="L936" s="131"/>
      <c r="M936" s="131"/>
      <c r="N936" s="131"/>
      <c r="O936" s="131"/>
      <c r="P936" s="131"/>
      <c r="Q936" s="131"/>
      <c r="R936" s="131"/>
      <c r="S936" s="131"/>
      <c r="T936" s="131"/>
      <c r="U936" s="131"/>
      <c r="V936" s="131"/>
      <c r="W936" s="131"/>
      <c r="X936" s="131"/>
      <c r="Y936" s="131"/>
      <c r="Z936" s="131"/>
    </row>
    <row r="937">
      <c r="A937" s="99"/>
      <c r="B937" s="99"/>
      <c r="C937" s="99"/>
      <c r="D937" s="99"/>
      <c r="E937" s="99"/>
      <c r="F937" s="99"/>
      <c r="G937" s="99"/>
      <c r="H937" s="99"/>
      <c r="I937" s="99"/>
      <c r="J937" s="131"/>
      <c r="K937" s="131"/>
      <c r="L937" s="131"/>
      <c r="M937" s="131"/>
      <c r="N937" s="131"/>
      <c r="O937" s="131"/>
      <c r="P937" s="131"/>
      <c r="Q937" s="131"/>
      <c r="R937" s="131"/>
      <c r="S937" s="131"/>
      <c r="T937" s="131"/>
      <c r="U937" s="131"/>
      <c r="V937" s="131"/>
      <c r="W937" s="131"/>
      <c r="X937" s="131"/>
      <c r="Y937" s="131"/>
      <c r="Z937" s="131"/>
    </row>
    <row r="938">
      <c r="A938" s="99"/>
      <c r="B938" s="99"/>
      <c r="C938" s="99"/>
      <c r="D938" s="99"/>
      <c r="E938" s="99"/>
      <c r="F938" s="99"/>
      <c r="G938" s="99"/>
      <c r="H938" s="99"/>
      <c r="I938" s="99"/>
      <c r="J938" s="131"/>
      <c r="K938" s="131"/>
      <c r="L938" s="131"/>
      <c r="M938" s="131"/>
      <c r="N938" s="131"/>
      <c r="O938" s="131"/>
      <c r="P938" s="131"/>
      <c r="Q938" s="131"/>
      <c r="R938" s="131"/>
      <c r="S938" s="131"/>
      <c r="T938" s="131"/>
      <c r="U938" s="131"/>
      <c r="V938" s="131"/>
      <c r="W938" s="131"/>
      <c r="X938" s="131"/>
      <c r="Y938" s="131"/>
      <c r="Z938" s="131"/>
    </row>
    <row r="939">
      <c r="A939" s="99"/>
      <c r="B939" s="99"/>
      <c r="C939" s="99"/>
      <c r="D939" s="99"/>
      <c r="E939" s="99"/>
      <c r="F939" s="99"/>
      <c r="G939" s="99"/>
      <c r="H939" s="99"/>
      <c r="I939" s="99"/>
      <c r="J939" s="131"/>
      <c r="K939" s="131"/>
      <c r="L939" s="131"/>
      <c r="M939" s="131"/>
      <c r="N939" s="131"/>
      <c r="O939" s="131"/>
      <c r="P939" s="131"/>
      <c r="Q939" s="131"/>
      <c r="R939" s="131"/>
      <c r="S939" s="131"/>
      <c r="T939" s="131"/>
      <c r="U939" s="131"/>
      <c r="V939" s="131"/>
      <c r="W939" s="131"/>
      <c r="X939" s="131"/>
      <c r="Y939" s="131"/>
      <c r="Z939" s="131"/>
    </row>
    <row r="940">
      <c r="A940" s="99"/>
      <c r="B940" s="99"/>
      <c r="C940" s="99"/>
      <c r="D940" s="99"/>
      <c r="E940" s="99"/>
      <c r="F940" s="99"/>
      <c r="G940" s="99"/>
      <c r="H940" s="99"/>
      <c r="I940" s="99"/>
      <c r="J940" s="131"/>
      <c r="K940" s="131"/>
      <c r="L940" s="131"/>
      <c r="M940" s="131"/>
      <c r="N940" s="131"/>
      <c r="O940" s="131"/>
      <c r="P940" s="131"/>
      <c r="Q940" s="131"/>
      <c r="R940" s="131"/>
      <c r="S940" s="131"/>
      <c r="T940" s="131"/>
      <c r="U940" s="131"/>
      <c r="V940" s="131"/>
      <c r="W940" s="131"/>
      <c r="X940" s="131"/>
      <c r="Y940" s="131"/>
      <c r="Z940" s="131"/>
    </row>
    <row r="941">
      <c r="A941" s="99"/>
      <c r="B941" s="99"/>
      <c r="C941" s="99"/>
      <c r="D941" s="99"/>
      <c r="E941" s="99"/>
      <c r="F941" s="99"/>
      <c r="G941" s="99"/>
      <c r="H941" s="99"/>
      <c r="I941" s="99"/>
      <c r="J941" s="131"/>
      <c r="K941" s="131"/>
      <c r="L941" s="131"/>
      <c r="M941" s="131"/>
      <c r="N941" s="131"/>
      <c r="O941" s="131"/>
      <c r="P941" s="131"/>
      <c r="Q941" s="131"/>
      <c r="R941" s="131"/>
      <c r="S941" s="131"/>
      <c r="T941" s="131"/>
      <c r="U941" s="131"/>
      <c r="V941" s="131"/>
      <c r="W941" s="131"/>
      <c r="X941" s="131"/>
      <c r="Y941" s="131"/>
      <c r="Z941" s="131"/>
    </row>
    <row r="942">
      <c r="A942" s="99"/>
      <c r="B942" s="99"/>
      <c r="C942" s="99"/>
      <c r="D942" s="99"/>
      <c r="E942" s="99"/>
      <c r="F942" s="99"/>
      <c r="G942" s="99"/>
      <c r="H942" s="99"/>
      <c r="I942" s="99"/>
      <c r="J942" s="131"/>
      <c r="K942" s="131"/>
      <c r="L942" s="131"/>
      <c r="M942" s="131"/>
      <c r="N942" s="131"/>
      <c r="O942" s="131"/>
      <c r="P942" s="131"/>
      <c r="Q942" s="131"/>
      <c r="R942" s="131"/>
      <c r="S942" s="131"/>
      <c r="T942" s="131"/>
      <c r="U942" s="131"/>
      <c r="V942" s="131"/>
      <c r="W942" s="131"/>
      <c r="X942" s="131"/>
      <c r="Y942" s="131"/>
      <c r="Z942" s="131"/>
    </row>
    <row r="943">
      <c r="A943" s="99"/>
      <c r="B943" s="99"/>
      <c r="C943" s="99"/>
      <c r="D943" s="99"/>
      <c r="E943" s="99"/>
      <c r="F943" s="99"/>
      <c r="G943" s="99"/>
      <c r="H943" s="99"/>
      <c r="I943" s="99"/>
      <c r="J943" s="131"/>
      <c r="K943" s="131"/>
      <c r="L943" s="131"/>
      <c r="M943" s="131"/>
      <c r="N943" s="131"/>
      <c r="O943" s="131"/>
      <c r="P943" s="131"/>
      <c r="Q943" s="131"/>
      <c r="R943" s="131"/>
      <c r="S943" s="131"/>
      <c r="T943" s="131"/>
      <c r="U943" s="131"/>
      <c r="V943" s="131"/>
      <c r="W943" s="131"/>
      <c r="X943" s="131"/>
      <c r="Y943" s="131"/>
      <c r="Z943" s="131"/>
    </row>
    <row r="944">
      <c r="A944" s="99"/>
      <c r="B944" s="99"/>
      <c r="C944" s="99"/>
      <c r="D944" s="99"/>
      <c r="E944" s="99"/>
      <c r="F944" s="99"/>
      <c r="G944" s="99"/>
      <c r="H944" s="99"/>
      <c r="I944" s="99"/>
      <c r="J944" s="131"/>
      <c r="K944" s="131"/>
      <c r="L944" s="131"/>
      <c r="M944" s="131"/>
      <c r="N944" s="131"/>
      <c r="O944" s="131"/>
      <c r="P944" s="131"/>
      <c r="Q944" s="131"/>
      <c r="R944" s="131"/>
      <c r="S944" s="131"/>
      <c r="T944" s="131"/>
      <c r="U944" s="131"/>
      <c r="V944" s="131"/>
      <c r="W944" s="131"/>
      <c r="X944" s="131"/>
      <c r="Y944" s="131"/>
      <c r="Z944" s="131"/>
    </row>
    <row r="945">
      <c r="A945" s="99"/>
      <c r="B945" s="99"/>
      <c r="C945" s="99"/>
      <c r="D945" s="99"/>
      <c r="E945" s="99"/>
      <c r="F945" s="99"/>
      <c r="G945" s="99"/>
      <c r="H945" s="99"/>
      <c r="I945" s="99"/>
      <c r="J945" s="131"/>
      <c r="K945" s="131"/>
      <c r="L945" s="131"/>
      <c r="M945" s="131"/>
      <c r="N945" s="131"/>
      <c r="O945" s="131"/>
      <c r="P945" s="131"/>
      <c r="Q945" s="131"/>
      <c r="R945" s="131"/>
      <c r="S945" s="131"/>
      <c r="T945" s="131"/>
      <c r="U945" s="131"/>
      <c r="V945" s="131"/>
      <c r="W945" s="131"/>
      <c r="X945" s="131"/>
      <c r="Y945" s="131"/>
      <c r="Z945" s="131"/>
    </row>
    <row r="946">
      <c r="A946" s="99"/>
      <c r="B946" s="99"/>
      <c r="C946" s="99"/>
      <c r="D946" s="99"/>
      <c r="E946" s="99"/>
      <c r="F946" s="99"/>
      <c r="G946" s="99"/>
      <c r="H946" s="99"/>
      <c r="I946" s="99"/>
      <c r="J946" s="131"/>
      <c r="K946" s="131"/>
      <c r="L946" s="131"/>
      <c r="M946" s="131"/>
      <c r="N946" s="131"/>
      <c r="O946" s="131"/>
      <c r="P946" s="131"/>
      <c r="Q946" s="131"/>
      <c r="R946" s="131"/>
      <c r="S946" s="131"/>
      <c r="T946" s="131"/>
      <c r="U946" s="131"/>
      <c r="V946" s="131"/>
      <c r="W946" s="131"/>
      <c r="X946" s="131"/>
      <c r="Y946" s="131"/>
      <c r="Z946" s="131"/>
    </row>
    <row r="947">
      <c r="A947" s="99"/>
      <c r="B947" s="99"/>
      <c r="C947" s="99"/>
      <c r="D947" s="99"/>
      <c r="E947" s="99"/>
      <c r="F947" s="99"/>
      <c r="G947" s="99"/>
      <c r="H947" s="99"/>
      <c r="I947" s="99"/>
      <c r="J947" s="131"/>
      <c r="K947" s="131"/>
      <c r="L947" s="131"/>
      <c r="M947" s="131"/>
      <c r="N947" s="131"/>
      <c r="O947" s="131"/>
      <c r="P947" s="131"/>
      <c r="Q947" s="131"/>
      <c r="R947" s="131"/>
      <c r="S947" s="131"/>
      <c r="T947" s="131"/>
      <c r="U947" s="131"/>
      <c r="V947" s="131"/>
      <c r="W947" s="131"/>
      <c r="X947" s="131"/>
      <c r="Y947" s="131"/>
      <c r="Z947" s="131"/>
    </row>
    <row r="948">
      <c r="A948" s="99"/>
      <c r="B948" s="99"/>
      <c r="C948" s="99"/>
      <c r="D948" s="99"/>
      <c r="E948" s="99"/>
      <c r="F948" s="99"/>
      <c r="G948" s="99"/>
      <c r="H948" s="99"/>
      <c r="I948" s="99"/>
      <c r="J948" s="131"/>
      <c r="K948" s="131"/>
      <c r="L948" s="131"/>
      <c r="M948" s="131"/>
      <c r="N948" s="131"/>
      <c r="O948" s="131"/>
      <c r="P948" s="131"/>
      <c r="Q948" s="131"/>
      <c r="R948" s="131"/>
      <c r="S948" s="131"/>
      <c r="T948" s="131"/>
      <c r="U948" s="131"/>
      <c r="V948" s="131"/>
      <c r="W948" s="131"/>
      <c r="X948" s="131"/>
      <c r="Y948" s="131"/>
      <c r="Z948" s="131"/>
    </row>
    <row r="949">
      <c r="A949" s="99"/>
      <c r="B949" s="99"/>
      <c r="C949" s="99"/>
      <c r="D949" s="99"/>
      <c r="E949" s="99"/>
      <c r="F949" s="99"/>
      <c r="G949" s="99"/>
      <c r="H949" s="99"/>
      <c r="I949" s="99"/>
      <c r="J949" s="131"/>
      <c r="K949" s="131"/>
      <c r="L949" s="131"/>
      <c r="M949" s="131"/>
      <c r="N949" s="131"/>
      <c r="O949" s="131"/>
      <c r="P949" s="131"/>
      <c r="Q949" s="131"/>
      <c r="R949" s="131"/>
      <c r="S949" s="131"/>
      <c r="T949" s="131"/>
      <c r="U949" s="131"/>
      <c r="V949" s="131"/>
      <c r="W949" s="131"/>
      <c r="X949" s="131"/>
      <c r="Y949" s="131"/>
      <c r="Z949" s="131"/>
    </row>
    <row r="950">
      <c r="A950" s="99"/>
      <c r="B950" s="99"/>
      <c r="C950" s="99"/>
      <c r="D950" s="99"/>
      <c r="E950" s="99"/>
      <c r="F950" s="99"/>
      <c r="G950" s="99"/>
      <c r="H950" s="99"/>
      <c r="I950" s="99"/>
      <c r="J950" s="131"/>
      <c r="K950" s="131"/>
      <c r="L950" s="131"/>
      <c r="M950" s="131"/>
      <c r="N950" s="131"/>
      <c r="O950" s="131"/>
      <c r="P950" s="131"/>
      <c r="Q950" s="131"/>
      <c r="R950" s="131"/>
      <c r="S950" s="131"/>
      <c r="T950" s="131"/>
      <c r="U950" s="131"/>
      <c r="V950" s="131"/>
      <c r="W950" s="131"/>
      <c r="X950" s="131"/>
      <c r="Y950" s="131"/>
      <c r="Z950" s="131"/>
    </row>
    <row r="951">
      <c r="A951" s="99"/>
      <c r="B951" s="99"/>
      <c r="C951" s="99"/>
      <c r="D951" s="99"/>
      <c r="E951" s="99"/>
      <c r="F951" s="99"/>
      <c r="G951" s="99"/>
      <c r="H951" s="99"/>
      <c r="I951" s="99"/>
      <c r="J951" s="131"/>
      <c r="K951" s="131"/>
      <c r="L951" s="131"/>
      <c r="M951" s="131"/>
      <c r="N951" s="131"/>
      <c r="O951" s="131"/>
      <c r="P951" s="131"/>
      <c r="Q951" s="131"/>
      <c r="R951" s="131"/>
      <c r="S951" s="131"/>
      <c r="T951" s="131"/>
      <c r="U951" s="131"/>
      <c r="V951" s="131"/>
      <c r="W951" s="131"/>
      <c r="X951" s="131"/>
      <c r="Y951" s="131"/>
      <c r="Z951" s="131"/>
    </row>
    <row r="952">
      <c r="A952" s="99"/>
      <c r="B952" s="99"/>
      <c r="C952" s="99"/>
      <c r="D952" s="99"/>
      <c r="E952" s="99"/>
      <c r="F952" s="99"/>
      <c r="G952" s="99"/>
      <c r="H952" s="99"/>
      <c r="I952" s="99"/>
      <c r="J952" s="131"/>
      <c r="K952" s="131"/>
      <c r="L952" s="131"/>
      <c r="M952" s="131"/>
      <c r="N952" s="131"/>
      <c r="O952" s="131"/>
      <c r="P952" s="131"/>
      <c r="Q952" s="131"/>
      <c r="R952" s="131"/>
      <c r="S952" s="131"/>
      <c r="T952" s="131"/>
      <c r="U952" s="131"/>
      <c r="V952" s="131"/>
      <c r="W952" s="131"/>
      <c r="X952" s="131"/>
      <c r="Y952" s="131"/>
      <c r="Z952" s="131"/>
    </row>
    <row r="953">
      <c r="A953" s="99"/>
      <c r="B953" s="99"/>
      <c r="C953" s="99"/>
      <c r="D953" s="99"/>
      <c r="E953" s="99"/>
      <c r="F953" s="99"/>
      <c r="G953" s="99"/>
      <c r="H953" s="99"/>
      <c r="I953" s="99"/>
      <c r="J953" s="131"/>
      <c r="K953" s="131"/>
      <c r="L953" s="131"/>
      <c r="M953" s="131"/>
      <c r="N953" s="131"/>
      <c r="O953" s="131"/>
      <c r="P953" s="131"/>
      <c r="Q953" s="131"/>
      <c r="R953" s="131"/>
      <c r="S953" s="131"/>
      <c r="T953" s="131"/>
      <c r="U953" s="131"/>
      <c r="V953" s="131"/>
      <c r="W953" s="131"/>
      <c r="X953" s="131"/>
      <c r="Y953" s="131"/>
      <c r="Z953" s="131"/>
    </row>
    <row r="954">
      <c r="A954" s="99"/>
      <c r="B954" s="99"/>
      <c r="C954" s="99"/>
      <c r="D954" s="99"/>
      <c r="E954" s="99"/>
      <c r="F954" s="99"/>
      <c r="G954" s="99"/>
      <c r="H954" s="99"/>
      <c r="I954" s="99"/>
      <c r="J954" s="131"/>
      <c r="K954" s="131"/>
      <c r="L954" s="131"/>
      <c r="M954" s="131"/>
      <c r="N954" s="131"/>
      <c r="O954" s="131"/>
      <c r="P954" s="131"/>
      <c r="Q954" s="131"/>
      <c r="R954" s="131"/>
      <c r="S954" s="131"/>
      <c r="T954" s="131"/>
      <c r="U954" s="131"/>
      <c r="V954" s="131"/>
      <c r="W954" s="131"/>
      <c r="X954" s="131"/>
      <c r="Y954" s="131"/>
      <c r="Z954" s="131"/>
    </row>
    <row r="955">
      <c r="A955" s="99"/>
      <c r="B955" s="99"/>
      <c r="C955" s="99"/>
      <c r="D955" s="99"/>
      <c r="E955" s="99"/>
      <c r="F955" s="99"/>
      <c r="G955" s="99"/>
      <c r="H955" s="99"/>
      <c r="I955" s="99"/>
      <c r="J955" s="131"/>
      <c r="K955" s="131"/>
      <c r="L955" s="131"/>
      <c r="M955" s="131"/>
      <c r="N955" s="131"/>
      <c r="O955" s="131"/>
      <c r="P955" s="131"/>
      <c r="Q955" s="131"/>
      <c r="R955" s="131"/>
      <c r="S955" s="131"/>
      <c r="T955" s="131"/>
      <c r="U955" s="131"/>
      <c r="V955" s="131"/>
      <c r="W955" s="131"/>
      <c r="X955" s="131"/>
      <c r="Y955" s="131"/>
      <c r="Z955" s="131"/>
    </row>
    <row r="956">
      <c r="A956" s="99"/>
      <c r="B956" s="99"/>
      <c r="C956" s="99"/>
      <c r="D956" s="99"/>
      <c r="E956" s="99"/>
      <c r="F956" s="99"/>
      <c r="G956" s="99"/>
      <c r="H956" s="99"/>
      <c r="I956" s="99"/>
      <c r="J956" s="131"/>
      <c r="K956" s="131"/>
      <c r="L956" s="131"/>
      <c r="M956" s="131"/>
      <c r="N956" s="131"/>
      <c r="O956" s="131"/>
      <c r="P956" s="131"/>
      <c r="Q956" s="131"/>
      <c r="R956" s="131"/>
      <c r="S956" s="131"/>
      <c r="T956" s="131"/>
      <c r="U956" s="131"/>
      <c r="V956" s="131"/>
      <c r="W956" s="131"/>
      <c r="X956" s="131"/>
      <c r="Y956" s="131"/>
      <c r="Z956" s="131"/>
    </row>
    <row r="957">
      <c r="A957" s="99"/>
      <c r="B957" s="99"/>
      <c r="C957" s="99"/>
      <c r="D957" s="99"/>
      <c r="E957" s="99"/>
      <c r="F957" s="99"/>
      <c r="G957" s="99"/>
      <c r="H957" s="99"/>
      <c r="I957" s="99"/>
      <c r="J957" s="131"/>
      <c r="K957" s="131"/>
      <c r="L957" s="131"/>
      <c r="M957" s="131"/>
      <c r="N957" s="131"/>
      <c r="O957" s="131"/>
      <c r="P957" s="131"/>
      <c r="Q957" s="131"/>
      <c r="R957" s="131"/>
      <c r="S957" s="131"/>
      <c r="T957" s="131"/>
      <c r="U957" s="131"/>
      <c r="V957" s="131"/>
      <c r="W957" s="131"/>
      <c r="X957" s="131"/>
      <c r="Y957" s="131"/>
      <c r="Z957" s="131"/>
    </row>
    <row r="958">
      <c r="A958" s="99"/>
      <c r="B958" s="99"/>
      <c r="C958" s="99"/>
      <c r="D958" s="99"/>
      <c r="E958" s="99"/>
      <c r="F958" s="99"/>
      <c r="G958" s="99"/>
      <c r="H958" s="99"/>
      <c r="I958" s="99"/>
      <c r="J958" s="131"/>
      <c r="K958" s="131"/>
      <c r="L958" s="131"/>
      <c r="M958" s="131"/>
      <c r="N958" s="131"/>
      <c r="O958" s="131"/>
      <c r="P958" s="131"/>
      <c r="Q958" s="131"/>
      <c r="R958" s="131"/>
      <c r="S958" s="131"/>
      <c r="T958" s="131"/>
      <c r="U958" s="131"/>
      <c r="V958" s="131"/>
      <c r="W958" s="131"/>
      <c r="X958" s="131"/>
      <c r="Y958" s="131"/>
      <c r="Z958" s="131"/>
    </row>
    <row r="959">
      <c r="A959" s="99"/>
      <c r="B959" s="99"/>
      <c r="C959" s="99"/>
      <c r="D959" s="99"/>
      <c r="E959" s="99"/>
      <c r="F959" s="99"/>
      <c r="G959" s="99"/>
      <c r="H959" s="99"/>
      <c r="I959" s="99"/>
      <c r="J959" s="131"/>
      <c r="K959" s="131"/>
      <c r="L959" s="131"/>
      <c r="M959" s="131"/>
      <c r="N959" s="131"/>
      <c r="O959" s="131"/>
      <c r="P959" s="131"/>
      <c r="Q959" s="131"/>
      <c r="R959" s="131"/>
      <c r="S959" s="131"/>
      <c r="T959" s="131"/>
      <c r="U959" s="131"/>
      <c r="V959" s="131"/>
      <c r="W959" s="131"/>
      <c r="X959" s="131"/>
      <c r="Y959" s="131"/>
      <c r="Z959" s="131"/>
    </row>
    <row r="960">
      <c r="A960" s="99"/>
      <c r="B960" s="99"/>
      <c r="C960" s="99"/>
      <c r="D960" s="99"/>
      <c r="E960" s="99"/>
      <c r="F960" s="99"/>
      <c r="G960" s="99"/>
      <c r="H960" s="99"/>
      <c r="I960" s="99"/>
      <c r="J960" s="131"/>
      <c r="K960" s="131"/>
      <c r="L960" s="131"/>
      <c r="M960" s="131"/>
      <c r="N960" s="131"/>
      <c r="O960" s="131"/>
      <c r="P960" s="131"/>
      <c r="Q960" s="131"/>
      <c r="R960" s="131"/>
      <c r="S960" s="131"/>
      <c r="T960" s="131"/>
      <c r="U960" s="131"/>
      <c r="V960" s="131"/>
      <c r="W960" s="131"/>
      <c r="X960" s="131"/>
      <c r="Y960" s="131"/>
      <c r="Z960" s="131"/>
    </row>
    <row r="961">
      <c r="A961" s="99"/>
      <c r="B961" s="99"/>
      <c r="C961" s="99"/>
      <c r="D961" s="99"/>
      <c r="E961" s="99"/>
      <c r="F961" s="99"/>
      <c r="G961" s="99"/>
      <c r="H961" s="99"/>
      <c r="I961" s="99"/>
      <c r="J961" s="131"/>
      <c r="K961" s="131"/>
      <c r="L961" s="131"/>
      <c r="M961" s="131"/>
      <c r="N961" s="131"/>
      <c r="O961" s="131"/>
      <c r="P961" s="131"/>
      <c r="Q961" s="131"/>
      <c r="R961" s="131"/>
      <c r="S961" s="131"/>
      <c r="T961" s="131"/>
      <c r="U961" s="131"/>
      <c r="V961" s="131"/>
      <c r="W961" s="131"/>
      <c r="X961" s="131"/>
      <c r="Y961" s="131"/>
      <c r="Z961" s="131"/>
    </row>
    <row r="962">
      <c r="A962" s="99"/>
      <c r="B962" s="99"/>
      <c r="C962" s="99"/>
      <c r="D962" s="99"/>
      <c r="E962" s="99"/>
      <c r="F962" s="99"/>
      <c r="G962" s="99"/>
      <c r="H962" s="99"/>
      <c r="I962" s="99"/>
      <c r="J962" s="131"/>
      <c r="K962" s="131"/>
      <c r="L962" s="131"/>
      <c r="M962" s="131"/>
      <c r="N962" s="131"/>
      <c r="O962" s="131"/>
      <c r="P962" s="131"/>
      <c r="Q962" s="131"/>
      <c r="R962" s="131"/>
      <c r="S962" s="131"/>
      <c r="T962" s="131"/>
      <c r="U962" s="131"/>
      <c r="V962" s="131"/>
      <c r="W962" s="131"/>
      <c r="X962" s="131"/>
      <c r="Y962" s="131"/>
      <c r="Z962" s="131"/>
    </row>
    <row r="963">
      <c r="A963" s="99"/>
      <c r="B963" s="99"/>
      <c r="C963" s="99"/>
      <c r="D963" s="99"/>
      <c r="E963" s="99"/>
      <c r="F963" s="99"/>
      <c r="G963" s="99"/>
      <c r="H963" s="99"/>
      <c r="I963" s="99"/>
      <c r="J963" s="131"/>
      <c r="K963" s="131"/>
      <c r="L963" s="131"/>
      <c r="M963" s="131"/>
      <c r="N963" s="131"/>
      <c r="O963" s="131"/>
      <c r="P963" s="131"/>
      <c r="Q963" s="131"/>
      <c r="R963" s="131"/>
      <c r="S963" s="131"/>
      <c r="T963" s="131"/>
      <c r="U963" s="131"/>
      <c r="V963" s="131"/>
      <c r="W963" s="131"/>
      <c r="X963" s="131"/>
      <c r="Y963" s="131"/>
      <c r="Z963" s="131"/>
    </row>
    <row r="964">
      <c r="A964" s="99"/>
      <c r="B964" s="99"/>
      <c r="C964" s="99"/>
      <c r="D964" s="99"/>
      <c r="E964" s="99"/>
      <c r="F964" s="99"/>
      <c r="G964" s="99"/>
      <c r="H964" s="99"/>
      <c r="I964" s="99"/>
      <c r="J964" s="131"/>
      <c r="K964" s="131"/>
      <c r="L964" s="131"/>
      <c r="M964" s="131"/>
      <c r="N964" s="131"/>
      <c r="O964" s="131"/>
      <c r="P964" s="131"/>
      <c r="Q964" s="131"/>
      <c r="R964" s="131"/>
      <c r="S964" s="131"/>
      <c r="T964" s="131"/>
      <c r="U964" s="131"/>
      <c r="V964" s="131"/>
      <c r="W964" s="131"/>
      <c r="X964" s="131"/>
      <c r="Y964" s="131"/>
      <c r="Z964" s="131"/>
    </row>
    <row r="965">
      <c r="A965" s="99"/>
      <c r="B965" s="99"/>
      <c r="C965" s="99"/>
      <c r="D965" s="99"/>
      <c r="E965" s="99"/>
      <c r="F965" s="99"/>
      <c r="G965" s="99"/>
      <c r="H965" s="99"/>
      <c r="I965" s="99"/>
      <c r="J965" s="131"/>
      <c r="K965" s="131"/>
      <c r="L965" s="131"/>
      <c r="M965" s="131"/>
      <c r="N965" s="131"/>
      <c r="O965" s="131"/>
      <c r="P965" s="131"/>
      <c r="Q965" s="131"/>
      <c r="R965" s="131"/>
      <c r="S965" s="131"/>
      <c r="T965" s="131"/>
      <c r="U965" s="131"/>
      <c r="V965" s="131"/>
      <c r="W965" s="131"/>
      <c r="X965" s="131"/>
      <c r="Y965" s="131"/>
      <c r="Z965" s="131"/>
    </row>
    <row r="966">
      <c r="A966" s="99"/>
      <c r="B966" s="99"/>
      <c r="C966" s="99"/>
      <c r="D966" s="99"/>
      <c r="E966" s="99"/>
      <c r="F966" s="99"/>
      <c r="G966" s="99"/>
      <c r="H966" s="99"/>
      <c r="I966" s="99"/>
      <c r="J966" s="131"/>
      <c r="K966" s="131"/>
      <c r="L966" s="131"/>
      <c r="M966" s="131"/>
      <c r="N966" s="131"/>
      <c r="O966" s="131"/>
      <c r="P966" s="131"/>
      <c r="Q966" s="131"/>
      <c r="R966" s="131"/>
      <c r="S966" s="131"/>
      <c r="T966" s="131"/>
      <c r="U966" s="131"/>
      <c r="V966" s="131"/>
      <c r="W966" s="131"/>
      <c r="X966" s="131"/>
      <c r="Y966" s="131"/>
      <c r="Z966" s="131"/>
    </row>
    <row r="967">
      <c r="A967" s="99"/>
      <c r="B967" s="99"/>
      <c r="C967" s="99"/>
      <c r="D967" s="99"/>
      <c r="E967" s="99"/>
      <c r="F967" s="99"/>
      <c r="G967" s="99"/>
      <c r="H967" s="99"/>
      <c r="I967" s="99"/>
      <c r="J967" s="131"/>
      <c r="K967" s="131"/>
      <c r="L967" s="131"/>
      <c r="M967" s="131"/>
      <c r="N967" s="131"/>
      <c r="O967" s="131"/>
      <c r="P967" s="131"/>
      <c r="Q967" s="131"/>
      <c r="R967" s="131"/>
      <c r="S967" s="131"/>
      <c r="T967" s="131"/>
      <c r="U967" s="131"/>
      <c r="V967" s="131"/>
      <c r="W967" s="131"/>
      <c r="X967" s="131"/>
      <c r="Y967" s="131"/>
      <c r="Z967" s="131"/>
    </row>
    <row r="968">
      <c r="A968" s="99"/>
      <c r="B968" s="99"/>
      <c r="C968" s="99"/>
      <c r="D968" s="99"/>
      <c r="E968" s="99"/>
      <c r="F968" s="99"/>
      <c r="G968" s="99"/>
      <c r="H968" s="99"/>
      <c r="I968" s="99"/>
      <c r="J968" s="131"/>
      <c r="K968" s="131"/>
      <c r="L968" s="131"/>
      <c r="M968" s="131"/>
      <c r="N968" s="131"/>
      <c r="O968" s="131"/>
      <c r="P968" s="131"/>
      <c r="Q968" s="131"/>
      <c r="R968" s="131"/>
      <c r="S968" s="131"/>
      <c r="T968" s="131"/>
      <c r="U968" s="131"/>
      <c r="V968" s="131"/>
      <c r="W968" s="131"/>
      <c r="X968" s="131"/>
      <c r="Y968" s="131"/>
      <c r="Z968" s="131"/>
    </row>
    <row r="969">
      <c r="A969" s="99"/>
      <c r="B969" s="99"/>
      <c r="C969" s="99"/>
      <c r="D969" s="99"/>
      <c r="E969" s="99"/>
      <c r="F969" s="99"/>
      <c r="G969" s="99"/>
      <c r="H969" s="99"/>
      <c r="I969" s="99"/>
      <c r="J969" s="131"/>
      <c r="K969" s="131"/>
      <c r="L969" s="131"/>
      <c r="M969" s="131"/>
      <c r="N969" s="131"/>
      <c r="O969" s="131"/>
      <c r="P969" s="131"/>
      <c r="Q969" s="131"/>
      <c r="R969" s="131"/>
      <c r="S969" s="131"/>
      <c r="T969" s="131"/>
      <c r="U969" s="131"/>
      <c r="V969" s="131"/>
      <c r="W969" s="131"/>
      <c r="X969" s="131"/>
      <c r="Y969" s="131"/>
      <c r="Z969" s="131"/>
    </row>
    <row r="970">
      <c r="A970" s="99"/>
      <c r="B970" s="99"/>
      <c r="C970" s="99"/>
      <c r="D970" s="99"/>
      <c r="E970" s="99"/>
      <c r="F970" s="99"/>
      <c r="G970" s="99"/>
      <c r="H970" s="99"/>
      <c r="I970" s="99"/>
      <c r="J970" s="131"/>
      <c r="K970" s="131"/>
      <c r="L970" s="131"/>
      <c r="M970" s="131"/>
      <c r="N970" s="131"/>
      <c r="O970" s="131"/>
      <c r="P970" s="131"/>
      <c r="Q970" s="131"/>
      <c r="R970" s="131"/>
      <c r="S970" s="131"/>
      <c r="T970" s="131"/>
      <c r="U970" s="131"/>
      <c r="V970" s="131"/>
      <c r="W970" s="131"/>
      <c r="X970" s="131"/>
      <c r="Y970" s="131"/>
      <c r="Z970" s="131"/>
    </row>
    <row r="971">
      <c r="A971" s="99"/>
      <c r="B971" s="99"/>
      <c r="C971" s="99"/>
      <c r="D971" s="99"/>
      <c r="E971" s="99"/>
      <c r="F971" s="99"/>
      <c r="G971" s="99"/>
      <c r="H971" s="99"/>
      <c r="I971" s="99"/>
      <c r="J971" s="131"/>
      <c r="K971" s="131"/>
      <c r="L971" s="131"/>
      <c r="M971" s="131"/>
      <c r="N971" s="131"/>
      <c r="O971" s="131"/>
      <c r="P971" s="131"/>
      <c r="Q971" s="131"/>
      <c r="R971" s="131"/>
      <c r="S971" s="131"/>
      <c r="T971" s="131"/>
      <c r="U971" s="131"/>
      <c r="V971" s="131"/>
      <c r="W971" s="131"/>
      <c r="X971" s="131"/>
      <c r="Y971" s="131"/>
      <c r="Z971" s="131"/>
    </row>
    <row r="972">
      <c r="A972" s="99"/>
      <c r="B972" s="99"/>
      <c r="C972" s="99"/>
      <c r="D972" s="99"/>
      <c r="E972" s="99"/>
      <c r="F972" s="99"/>
      <c r="G972" s="99"/>
      <c r="H972" s="99"/>
      <c r="I972" s="99"/>
      <c r="J972" s="131"/>
      <c r="K972" s="131"/>
      <c r="L972" s="131"/>
      <c r="M972" s="131"/>
      <c r="N972" s="131"/>
      <c r="O972" s="131"/>
      <c r="P972" s="131"/>
      <c r="Q972" s="131"/>
      <c r="R972" s="131"/>
      <c r="S972" s="131"/>
      <c r="T972" s="131"/>
      <c r="U972" s="131"/>
      <c r="V972" s="131"/>
      <c r="W972" s="131"/>
      <c r="X972" s="131"/>
      <c r="Y972" s="131"/>
      <c r="Z972" s="131"/>
    </row>
    <row r="973">
      <c r="A973" s="99"/>
      <c r="B973" s="99"/>
      <c r="C973" s="99"/>
      <c r="D973" s="99"/>
      <c r="E973" s="99"/>
      <c r="F973" s="99"/>
      <c r="G973" s="99"/>
      <c r="H973" s="99"/>
      <c r="I973" s="99"/>
      <c r="J973" s="131"/>
      <c r="K973" s="131"/>
      <c r="L973" s="131"/>
      <c r="M973" s="131"/>
      <c r="N973" s="131"/>
      <c r="O973" s="131"/>
      <c r="P973" s="131"/>
      <c r="Q973" s="131"/>
      <c r="R973" s="131"/>
      <c r="S973" s="131"/>
      <c r="T973" s="131"/>
      <c r="U973" s="131"/>
      <c r="V973" s="131"/>
      <c r="W973" s="131"/>
      <c r="X973" s="131"/>
      <c r="Y973" s="131"/>
      <c r="Z973" s="131"/>
    </row>
    <row r="974">
      <c r="A974" s="99"/>
      <c r="B974" s="99"/>
      <c r="C974" s="99"/>
      <c r="D974" s="99"/>
      <c r="E974" s="99"/>
      <c r="F974" s="99"/>
      <c r="G974" s="99"/>
      <c r="H974" s="99"/>
      <c r="I974" s="99"/>
      <c r="J974" s="131"/>
      <c r="K974" s="131"/>
      <c r="L974" s="131"/>
      <c r="M974" s="131"/>
      <c r="N974" s="131"/>
      <c r="O974" s="131"/>
      <c r="P974" s="131"/>
      <c r="Q974" s="131"/>
      <c r="R974" s="131"/>
      <c r="S974" s="131"/>
      <c r="T974" s="131"/>
      <c r="U974" s="131"/>
      <c r="V974" s="131"/>
      <c r="W974" s="131"/>
      <c r="X974" s="131"/>
      <c r="Y974" s="131"/>
      <c r="Z974" s="131"/>
    </row>
    <row r="975">
      <c r="A975" s="99"/>
      <c r="B975" s="99"/>
      <c r="C975" s="99"/>
      <c r="D975" s="99"/>
      <c r="E975" s="99"/>
      <c r="F975" s="99"/>
      <c r="G975" s="99"/>
      <c r="H975" s="99"/>
      <c r="I975" s="99"/>
      <c r="J975" s="131"/>
      <c r="K975" s="131"/>
      <c r="L975" s="131"/>
      <c r="M975" s="131"/>
      <c r="N975" s="131"/>
      <c r="O975" s="131"/>
      <c r="P975" s="131"/>
      <c r="Q975" s="131"/>
      <c r="R975" s="131"/>
      <c r="S975" s="131"/>
      <c r="T975" s="131"/>
      <c r="U975" s="131"/>
      <c r="V975" s="131"/>
      <c r="W975" s="131"/>
      <c r="X975" s="131"/>
      <c r="Y975" s="131"/>
      <c r="Z975" s="131"/>
    </row>
    <row r="976">
      <c r="A976" s="99"/>
      <c r="B976" s="99"/>
      <c r="C976" s="99"/>
      <c r="D976" s="99"/>
      <c r="E976" s="99"/>
      <c r="F976" s="99"/>
      <c r="G976" s="99"/>
      <c r="H976" s="99"/>
      <c r="I976" s="99"/>
      <c r="J976" s="131"/>
      <c r="K976" s="131"/>
      <c r="L976" s="131"/>
      <c r="M976" s="131"/>
      <c r="N976" s="131"/>
      <c r="O976" s="131"/>
      <c r="P976" s="131"/>
      <c r="Q976" s="131"/>
      <c r="R976" s="131"/>
      <c r="S976" s="131"/>
      <c r="T976" s="131"/>
      <c r="U976" s="131"/>
      <c r="V976" s="131"/>
      <c r="W976" s="131"/>
      <c r="X976" s="131"/>
      <c r="Y976" s="131"/>
      <c r="Z976" s="131"/>
    </row>
    <row r="977">
      <c r="A977" s="99"/>
      <c r="B977" s="99"/>
      <c r="C977" s="99"/>
      <c r="D977" s="99"/>
      <c r="E977" s="99"/>
      <c r="F977" s="99"/>
      <c r="G977" s="99"/>
      <c r="H977" s="99"/>
      <c r="I977" s="99"/>
      <c r="J977" s="131"/>
      <c r="K977" s="131"/>
      <c r="L977" s="131"/>
      <c r="M977" s="131"/>
      <c r="N977" s="131"/>
      <c r="O977" s="131"/>
      <c r="P977" s="131"/>
      <c r="Q977" s="131"/>
      <c r="R977" s="131"/>
      <c r="S977" s="131"/>
      <c r="T977" s="131"/>
      <c r="U977" s="131"/>
      <c r="V977" s="131"/>
      <c r="W977" s="131"/>
      <c r="X977" s="131"/>
      <c r="Y977" s="131"/>
      <c r="Z977" s="131"/>
    </row>
    <row r="978">
      <c r="A978" s="99"/>
      <c r="B978" s="99"/>
      <c r="C978" s="99"/>
      <c r="D978" s="99"/>
      <c r="E978" s="99"/>
      <c r="F978" s="99"/>
      <c r="G978" s="99"/>
      <c r="H978" s="99"/>
      <c r="I978" s="99"/>
      <c r="J978" s="131"/>
      <c r="K978" s="131"/>
      <c r="L978" s="131"/>
      <c r="M978" s="131"/>
      <c r="N978" s="131"/>
      <c r="O978" s="131"/>
      <c r="P978" s="131"/>
      <c r="Q978" s="131"/>
      <c r="R978" s="131"/>
      <c r="S978" s="131"/>
      <c r="T978" s="131"/>
      <c r="U978" s="131"/>
      <c r="V978" s="131"/>
      <c r="W978" s="131"/>
      <c r="X978" s="131"/>
      <c r="Y978" s="131"/>
      <c r="Z978" s="131"/>
    </row>
    <row r="979">
      <c r="A979" s="99"/>
      <c r="B979" s="99"/>
      <c r="C979" s="99"/>
      <c r="D979" s="99"/>
      <c r="E979" s="99"/>
      <c r="F979" s="99"/>
      <c r="G979" s="99"/>
      <c r="H979" s="99"/>
      <c r="I979" s="99"/>
      <c r="J979" s="131"/>
      <c r="K979" s="131"/>
      <c r="L979" s="131"/>
      <c r="M979" s="131"/>
      <c r="N979" s="131"/>
      <c r="O979" s="131"/>
      <c r="P979" s="131"/>
      <c r="Q979" s="131"/>
      <c r="R979" s="131"/>
      <c r="S979" s="131"/>
      <c r="T979" s="131"/>
      <c r="U979" s="131"/>
      <c r="V979" s="131"/>
      <c r="W979" s="131"/>
      <c r="X979" s="131"/>
      <c r="Y979" s="131"/>
      <c r="Z979" s="131"/>
    </row>
    <row r="980">
      <c r="A980" s="99"/>
      <c r="B980" s="99"/>
      <c r="C980" s="99"/>
      <c r="D980" s="99"/>
      <c r="E980" s="99"/>
      <c r="F980" s="99"/>
      <c r="G980" s="99"/>
      <c r="H980" s="99"/>
      <c r="I980" s="99"/>
      <c r="J980" s="131"/>
      <c r="K980" s="131"/>
      <c r="L980" s="131"/>
      <c r="M980" s="131"/>
      <c r="N980" s="131"/>
      <c r="O980" s="131"/>
      <c r="P980" s="131"/>
      <c r="Q980" s="131"/>
      <c r="R980" s="131"/>
      <c r="S980" s="131"/>
      <c r="T980" s="131"/>
      <c r="U980" s="131"/>
      <c r="V980" s="131"/>
      <c r="W980" s="131"/>
      <c r="X980" s="131"/>
      <c r="Y980" s="131"/>
      <c r="Z980" s="131"/>
    </row>
    <row r="981">
      <c r="A981" s="99"/>
      <c r="B981" s="99"/>
      <c r="C981" s="99"/>
      <c r="D981" s="99"/>
      <c r="E981" s="99"/>
      <c r="F981" s="99"/>
      <c r="G981" s="99"/>
      <c r="H981" s="99"/>
      <c r="I981" s="99"/>
      <c r="J981" s="131"/>
      <c r="K981" s="131"/>
      <c r="L981" s="131"/>
      <c r="M981" s="131"/>
      <c r="N981" s="131"/>
      <c r="O981" s="131"/>
      <c r="P981" s="131"/>
      <c r="Q981" s="131"/>
      <c r="R981" s="131"/>
      <c r="S981" s="131"/>
      <c r="T981" s="131"/>
      <c r="U981" s="131"/>
      <c r="V981" s="131"/>
      <c r="W981" s="131"/>
      <c r="X981" s="131"/>
      <c r="Y981" s="131"/>
      <c r="Z981" s="131"/>
    </row>
    <row r="982">
      <c r="A982" s="99"/>
      <c r="B982" s="99"/>
      <c r="C982" s="99"/>
      <c r="D982" s="99"/>
      <c r="E982" s="99"/>
      <c r="F982" s="99"/>
      <c r="G982" s="99"/>
      <c r="H982" s="99"/>
      <c r="I982" s="99"/>
      <c r="J982" s="131"/>
      <c r="K982" s="131"/>
      <c r="L982" s="131"/>
      <c r="M982" s="131"/>
      <c r="N982" s="131"/>
      <c r="O982" s="131"/>
      <c r="P982" s="131"/>
      <c r="Q982" s="131"/>
      <c r="R982" s="131"/>
      <c r="S982" s="131"/>
      <c r="T982" s="131"/>
      <c r="U982" s="131"/>
      <c r="V982" s="131"/>
      <c r="W982" s="131"/>
      <c r="X982" s="131"/>
      <c r="Y982" s="131"/>
      <c r="Z982" s="131"/>
    </row>
    <row r="983">
      <c r="A983" s="99"/>
      <c r="B983" s="99"/>
      <c r="C983" s="99"/>
      <c r="D983" s="99"/>
      <c r="E983" s="99"/>
      <c r="F983" s="99"/>
      <c r="G983" s="99"/>
      <c r="H983" s="99"/>
      <c r="I983" s="99"/>
      <c r="J983" s="131"/>
      <c r="K983" s="131"/>
      <c r="L983" s="131"/>
      <c r="M983" s="131"/>
      <c r="N983" s="131"/>
      <c r="O983" s="131"/>
      <c r="P983" s="131"/>
      <c r="Q983" s="131"/>
      <c r="R983" s="131"/>
      <c r="S983" s="131"/>
      <c r="T983" s="131"/>
      <c r="U983" s="131"/>
      <c r="V983" s="131"/>
      <c r="W983" s="131"/>
      <c r="X983" s="131"/>
      <c r="Y983" s="131"/>
      <c r="Z983" s="131"/>
    </row>
    <row r="984">
      <c r="A984" s="99"/>
      <c r="B984" s="99"/>
      <c r="C984" s="99"/>
      <c r="D984" s="99"/>
      <c r="E984" s="99"/>
      <c r="F984" s="99"/>
      <c r="G984" s="99"/>
      <c r="H984" s="99"/>
      <c r="I984" s="99"/>
      <c r="J984" s="131"/>
      <c r="K984" s="131"/>
      <c r="L984" s="131"/>
      <c r="M984" s="131"/>
      <c r="N984" s="131"/>
      <c r="O984" s="131"/>
      <c r="P984" s="131"/>
      <c r="Q984" s="131"/>
      <c r="R984" s="131"/>
      <c r="S984" s="131"/>
      <c r="T984" s="131"/>
      <c r="U984" s="131"/>
      <c r="V984" s="131"/>
      <c r="W984" s="131"/>
      <c r="X984" s="131"/>
      <c r="Y984" s="131"/>
      <c r="Z984" s="131"/>
    </row>
    <row r="985">
      <c r="A985" s="99"/>
      <c r="B985" s="99"/>
      <c r="C985" s="99"/>
      <c r="D985" s="99"/>
      <c r="E985" s="99"/>
      <c r="F985" s="99"/>
      <c r="G985" s="99"/>
      <c r="H985" s="99"/>
      <c r="I985" s="99"/>
      <c r="J985" s="131"/>
      <c r="K985" s="131"/>
      <c r="L985" s="131"/>
      <c r="M985" s="131"/>
      <c r="N985" s="131"/>
      <c r="O985" s="131"/>
      <c r="P985" s="131"/>
      <c r="Q985" s="131"/>
      <c r="R985" s="131"/>
      <c r="S985" s="131"/>
      <c r="T985" s="131"/>
      <c r="U985" s="131"/>
      <c r="V985" s="131"/>
      <c r="W985" s="131"/>
      <c r="X985" s="131"/>
      <c r="Y985" s="131"/>
      <c r="Z985" s="131"/>
    </row>
    <row r="986">
      <c r="A986" s="99"/>
      <c r="B986" s="99"/>
      <c r="C986" s="99"/>
      <c r="D986" s="99"/>
      <c r="E986" s="99"/>
      <c r="F986" s="99"/>
      <c r="G986" s="99"/>
      <c r="H986" s="99"/>
      <c r="I986" s="99"/>
      <c r="J986" s="131"/>
      <c r="K986" s="131"/>
      <c r="L986" s="131"/>
      <c r="M986" s="131"/>
      <c r="N986" s="131"/>
      <c r="O986" s="131"/>
      <c r="P986" s="131"/>
      <c r="Q986" s="131"/>
      <c r="R986" s="131"/>
      <c r="S986" s="131"/>
      <c r="T986" s="131"/>
      <c r="U986" s="131"/>
      <c r="V986" s="131"/>
      <c r="W986" s="131"/>
      <c r="X986" s="131"/>
      <c r="Y986" s="131"/>
      <c r="Z986" s="131"/>
    </row>
    <row r="987">
      <c r="A987" s="99"/>
      <c r="B987" s="99"/>
      <c r="C987" s="99"/>
      <c r="D987" s="99"/>
      <c r="E987" s="99"/>
      <c r="F987" s="99"/>
      <c r="G987" s="99"/>
      <c r="H987" s="99"/>
      <c r="I987" s="99"/>
      <c r="J987" s="131"/>
      <c r="K987" s="131"/>
      <c r="L987" s="131"/>
      <c r="M987" s="131"/>
      <c r="N987" s="131"/>
      <c r="O987" s="131"/>
      <c r="P987" s="131"/>
      <c r="Q987" s="131"/>
      <c r="R987" s="131"/>
      <c r="S987" s="131"/>
      <c r="T987" s="131"/>
      <c r="U987" s="131"/>
      <c r="V987" s="131"/>
      <c r="W987" s="131"/>
      <c r="X987" s="131"/>
      <c r="Y987" s="131"/>
      <c r="Z987" s="131"/>
    </row>
    <row r="988">
      <c r="A988" s="99"/>
      <c r="B988" s="99"/>
      <c r="C988" s="99"/>
      <c r="D988" s="99"/>
      <c r="E988" s="99"/>
      <c r="F988" s="99"/>
      <c r="G988" s="99"/>
      <c r="H988" s="99"/>
      <c r="I988" s="99"/>
      <c r="J988" s="131"/>
      <c r="K988" s="131"/>
      <c r="L988" s="131"/>
      <c r="M988" s="131"/>
      <c r="N988" s="131"/>
      <c r="O988" s="131"/>
      <c r="P988" s="131"/>
      <c r="Q988" s="131"/>
      <c r="R988" s="131"/>
      <c r="S988" s="131"/>
      <c r="T988" s="131"/>
      <c r="U988" s="131"/>
      <c r="V988" s="131"/>
      <c r="W988" s="131"/>
      <c r="X988" s="131"/>
      <c r="Y988" s="131"/>
      <c r="Z988" s="131"/>
    </row>
    <row r="989">
      <c r="A989" s="99"/>
      <c r="B989" s="99"/>
      <c r="C989" s="99"/>
      <c r="D989" s="99"/>
      <c r="E989" s="99"/>
      <c r="F989" s="99"/>
      <c r="G989" s="99"/>
      <c r="H989" s="99"/>
      <c r="I989" s="99"/>
      <c r="J989" s="131"/>
      <c r="K989" s="131"/>
      <c r="L989" s="131"/>
      <c r="M989" s="131"/>
      <c r="N989" s="131"/>
      <c r="O989" s="131"/>
      <c r="P989" s="131"/>
      <c r="Q989" s="131"/>
      <c r="R989" s="131"/>
      <c r="S989" s="131"/>
      <c r="T989" s="131"/>
      <c r="U989" s="131"/>
      <c r="V989" s="131"/>
      <c r="W989" s="131"/>
      <c r="X989" s="131"/>
      <c r="Y989" s="131"/>
      <c r="Z989" s="131"/>
    </row>
    <row r="990">
      <c r="A990" s="99"/>
      <c r="B990" s="99"/>
      <c r="C990" s="99"/>
      <c r="D990" s="99"/>
      <c r="E990" s="99"/>
      <c r="F990" s="99"/>
      <c r="G990" s="99"/>
      <c r="H990" s="99"/>
      <c r="I990" s="99"/>
      <c r="J990" s="131"/>
      <c r="K990" s="131"/>
      <c r="L990" s="131"/>
      <c r="M990" s="131"/>
      <c r="N990" s="131"/>
      <c r="O990" s="131"/>
      <c r="P990" s="131"/>
      <c r="Q990" s="131"/>
      <c r="R990" s="131"/>
      <c r="S990" s="131"/>
      <c r="T990" s="131"/>
      <c r="U990" s="131"/>
      <c r="V990" s="131"/>
      <c r="W990" s="131"/>
      <c r="X990" s="131"/>
      <c r="Y990" s="131"/>
      <c r="Z990" s="131"/>
    </row>
    <row r="991">
      <c r="A991" s="99"/>
      <c r="B991" s="99"/>
      <c r="C991" s="99"/>
      <c r="D991" s="99"/>
      <c r="E991" s="99"/>
      <c r="F991" s="99"/>
      <c r="G991" s="99"/>
      <c r="H991" s="99"/>
      <c r="I991" s="99"/>
      <c r="J991" s="131"/>
      <c r="K991" s="131"/>
      <c r="L991" s="131"/>
      <c r="M991" s="131"/>
      <c r="N991" s="131"/>
      <c r="O991" s="131"/>
      <c r="P991" s="131"/>
      <c r="Q991" s="131"/>
      <c r="R991" s="131"/>
      <c r="S991" s="131"/>
      <c r="T991" s="131"/>
      <c r="U991" s="131"/>
      <c r="V991" s="131"/>
      <c r="W991" s="131"/>
      <c r="X991" s="131"/>
      <c r="Y991" s="131"/>
      <c r="Z991" s="131"/>
    </row>
    <row r="992">
      <c r="A992" s="99"/>
      <c r="B992" s="99"/>
      <c r="C992" s="99"/>
      <c r="D992" s="99"/>
      <c r="E992" s="99"/>
      <c r="F992" s="99"/>
      <c r="G992" s="99"/>
      <c r="H992" s="99"/>
      <c r="I992" s="99"/>
      <c r="J992" s="131"/>
      <c r="K992" s="131"/>
      <c r="L992" s="131"/>
      <c r="M992" s="131"/>
      <c r="N992" s="131"/>
      <c r="O992" s="131"/>
      <c r="P992" s="131"/>
      <c r="Q992" s="131"/>
      <c r="R992" s="131"/>
      <c r="S992" s="131"/>
      <c r="T992" s="131"/>
      <c r="U992" s="131"/>
      <c r="V992" s="131"/>
      <c r="W992" s="131"/>
      <c r="X992" s="131"/>
      <c r="Y992" s="131"/>
      <c r="Z992" s="131"/>
    </row>
    <row r="993">
      <c r="A993" s="99"/>
      <c r="B993" s="99"/>
      <c r="C993" s="99"/>
      <c r="D993" s="99"/>
      <c r="E993" s="99"/>
      <c r="F993" s="99"/>
      <c r="G993" s="99"/>
      <c r="H993" s="99"/>
      <c r="I993" s="99"/>
      <c r="J993" s="131"/>
      <c r="K993" s="131"/>
      <c r="L993" s="131"/>
      <c r="M993" s="131"/>
      <c r="N993" s="131"/>
      <c r="O993" s="131"/>
      <c r="P993" s="131"/>
      <c r="Q993" s="131"/>
      <c r="R993" s="131"/>
      <c r="S993" s="131"/>
      <c r="T993" s="131"/>
      <c r="U993" s="131"/>
      <c r="V993" s="131"/>
      <c r="W993" s="131"/>
      <c r="X993" s="131"/>
      <c r="Y993" s="131"/>
      <c r="Z993" s="131"/>
    </row>
    <row r="994">
      <c r="A994" s="99"/>
      <c r="B994" s="99"/>
      <c r="C994" s="99"/>
      <c r="D994" s="99"/>
      <c r="E994" s="99"/>
      <c r="F994" s="99"/>
      <c r="G994" s="99"/>
      <c r="H994" s="99"/>
      <c r="I994" s="99"/>
      <c r="J994" s="131"/>
      <c r="K994" s="131"/>
      <c r="L994" s="131"/>
      <c r="M994" s="131"/>
      <c r="N994" s="131"/>
      <c r="O994" s="131"/>
      <c r="P994" s="131"/>
      <c r="Q994" s="131"/>
      <c r="R994" s="131"/>
      <c r="S994" s="131"/>
      <c r="T994" s="131"/>
      <c r="U994" s="131"/>
      <c r="V994" s="131"/>
      <c r="W994" s="131"/>
      <c r="X994" s="131"/>
      <c r="Y994" s="131"/>
      <c r="Z994" s="131"/>
    </row>
    <row r="995">
      <c r="A995" s="99"/>
      <c r="B995" s="99"/>
      <c r="C995" s="99"/>
      <c r="D995" s="99"/>
      <c r="E995" s="99"/>
      <c r="F995" s="99"/>
      <c r="G995" s="99"/>
      <c r="H995" s="99"/>
      <c r="I995" s="99"/>
      <c r="J995" s="131"/>
      <c r="K995" s="131"/>
      <c r="L995" s="131"/>
      <c r="M995" s="131"/>
      <c r="N995" s="131"/>
      <c r="O995" s="131"/>
      <c r="P995" s="131"/>
      <c r="Q995" s="131"/>
      <c r="R995" s="131"/>
      <c r="S995" s="131"/>
      <c r="T995" s="131"/>
      <c r="U995" s="131"/>
      <c r="V995" s="131"/>
      <c r="W995" s="131"/>
      <c r="X995" s="131"/>
      <c r="Y995" s="131"/>
      <c r="Z995" s="131"/>
    </row>
    <row r="996">
      <c r="A996" s="99"/>
      <c r="B996" s="99"/>
      <c r="C996" s="99"/>
      <c r="D996" s="99"/>
      <c r="E996" s="99"/>
      <c r="F996" s="99"/>
      <c r="G996" s="99"/>
      <c r="H996" s="99"/>
      <c r="I996" s="99"/>
      <c r="J996" s="131"/>
      <c r="K996" s="131"/>
      <c r="L996" s="131"/>
      <c r="M996" s="131"/>
      <c r="N996" s="131"/>
      <c r="O996" s="131"/>
      <c r="P996" s="131"/>
      <c r="Q996" s="131"/>
      <c r="R996" s="131"/>
      <c r="S996" s="131"/>
      <c r="T996" s="131"/>
      <c r="U996" s="131"/>
      <c r="V996" s="131"/>
      <c r="W996" s="131"/>
      <c r="X996" s="131"/>
      <c r="Y996" s="131"/>
      <c r="Z996" s="131"/>
    </row>
    <row r="997">
      <c r="A997" s="99"/>
      <c r="B997" s="99"/>
      <c r="C997" s="99"/>
      <c r="D997" s="99"/>
      <c r="E997" s="99"/>
      <c r="F997" s="99"/>
      <c r="G997" s="99"/>
      <c r="H997" s="99"/>
      <c r="I997" s="99"/>
      <c r="J997" s="131"/>
      <c r="K997" s="131"/>
      <c r="L997" s="131"/>
      <c r="M997" s="131"/>
      <c r="N997" s="131"/>
      <c r="O997" s="131"/>
      <c r="P997" s="131"/>
      <c r="Q997" s="131"/>
      <c r="R997" s="131"/>
      <c r="S997" s="131"/>
      <c r="T997" s="131"/>
      <c r="U997" s="131"/>
      <c r="V997" s="131"/>
      <c r="W997" s="131"/>
      <c r="X997" s="131"/>
      <c r="Y997" s="131"/>
      <c r="Z997" s="131"/>
    </row>
    <row r="998">
      <c r="A998" s="99"/>
      <c r="B998" s="99"/>
      <c r="C998" s="99"/>
      <c r="D998" s="99"/>
      <c r="E998" s="99"/>
      <c r="F998" s="99"/>
      <c r="G998" s="99"/>
      <c r="H998" s="99"/>
      <c r="I998" s="99"/>
      <c r="J998" s="131"/>
      <c r="K998" s="131"/>
      <c r="L998" s="131"/>
      <c r="M998" s="131"/>
      <c r="N998" s="131"/>
      <c r="O998" s="131"/>
      <c r="P998" s="131"/>
      <c r="Q998" s="131"/>
      <c r="R998" s="131"/>
      <c r="S998" s="131"/>
      <c r="T998" s="131"/>
      <c r="U998" s="131"/>
      <c r="V998" s="131"/>
      <c r="W998" s="131"/>
      <c r="X998" s="131"/>
      <c r="Y998" s="131"/>
      <c r="Z998" s="131"/>
    </row>
    <row r="999">
      <c r="A999" s="99"/>
      <c r="B999" s="99"/>
      <c r="C999" s="99"/>
      <c r="D999" s="99"/>
      <c r="E999" s="99"/>
      <c r="F999" s="99"/>
      <c r="G999" s="99"/>
      <c r="H999" s="99"/>
      <c r="I999" s="99"/>
      <c r="J999" s="131"/>
      <c r="K999" s="131"/>
      <c r="L999" s="131"/>
      <c r="M999" s="131"/>
      <c r="N999" s="131"/>
      <c r="O999" s="131"/>
      <c r="P999" s="131"/>
      <c r="Q999" s="131"/>
      <c r="R999" s="131"/>
      <c r="S999" s="131"/>
      <c r="T999" s="131"/>
      <c r="U999" s="131"/>
      <c r="V999" s="131"/>
      <c r="W999" s="131"/>
      <c r="X999" s="131"/>
      <c r="Y999" s="131"/>
      <c r="Z999" s="131"/>
    </row>
    <row r="1000">
      <c r="A1000" s="99"/>
      <c r="B1000" s="99"/>
      <c r="C1000" s="99"/>
      <c r="D1000" s="99"/>
      <c r="E1000" s="99"/>
      <c r="F1000" s="99"/>
      <c r="G1000" s="99"/>
      <c r="H1000" s="99"/>
      <c r="I1000" s="99"/>
      <c r="J1000" s="131"/>
      <c r="K1000" s="131"/>
      <c r="L1000" s="131"/>
      <c r="M1000" s="131"/>
      <c r="N1000" s="131"/>
      <c r="O1000" s="131"/>
      <c r="P1000" s="131"/>
      <c r="Q1000" s="131"/>
      <c r="R1000" s="131"/>
      <c r="S1000" s="131"/>
      <c r="T1000" s="131"/>
      <c r="U1000" s="131"/>
      <c r="V1000" s="131"/>
      <c r="W1000" s="131"/>
      <c r="X1000" s="131"/>
      <c r="Y1000" s="131"/>
      <c r="Z1000" s="131"/>
    </row>
    <row r="1001">
      <c r="A1001" s="99"/>
      <c r="B1001" s="99"/>
      <c r="C1001" s="99"/>
      <c r="D1001" s="99"/>
      <c r="E1001" s="99"/>
      <c r="F1001" s="99"/>
      <c r="G1001" s="99"/>
      <c r="H1001" s="99"/>
      <c r="I1001" s="99"/>
      <c r="J1001" s="131"/>
      <c r="K1001" s="131"/>
      <c r="L1001" s="131"/>
      <c r="M1001" s="131"/>
      <c r="N1001" s="131"/>
      <c r="O1001" s="131"/>
      <c r="P1001" s="131"/>
      <c r="Q1001" s="131"/>
      <c r="R1001" s="131"/>
      <c r="S1001" s="131"/>
      <c r="T1001" s="131"/>
      <c r="U1001" s="131"/>
      <c r="V1001" s="131"/>
      <c r="W1001" s="131"/>
      <c r="X1001" s="131"/>
      <c r="Y1001" s="131"/>
      <c r="Z1001" s="131"/>
    </row>
  </sheetData>
  <mergeCells count="3">
    <mergeCell ref="A1:A2"/>
    <mergeCell ref="B1:B2"/>
    <mergeCell ref="C1:C2"/>
  </mergeCells>
  <drawing r:id="rId1"/>
  <tableParts count="31"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9.25"/>
    <col customWidth="1" min="2" max="4" width="11.25"/>
    <col customWidth="1" min="5" max="5" width="18.0"/>
    <col customWidth="1" min="6" max="6" width="14.75"/>
    <col customWidth="1" min="7" max="7" width="7.25"/>
    <col customWidth="1" min="8" max="12" width="8.0"/>
    <col customWidth="1" min="13" max="13" width="33.75"/>
  </cols>
  <sheetData>
    <row r="1" ht="15.75" customHeight="1">
      <c r="A1" s="23" t="s">
        <v>1698</v>
      </c>
      <c r="B1" s="23" t="s">
        <v>1699</v>
      </c>
      <c r="C1" s="23" t="s">
        <v>1700</v>
      </c>
      <c r="D1" s="23" t="s">
        <v>1701</v>
      </c>
      <c r="E1" s="21" t="s">
        <v>1702</v>
      </c>
      <c r="F1" s="153" t="s">
        <v>1703</v>
      </c>
      <c r="G1" s="48" t="s">
        <v>1704</v>
      </c>
      <c r="H1" s="72" t="s">
        <v>1705</v>
      </c>
      <c r="I1" s="48" t="s">
        <v>1706</v>
      </c>
      <c r="J1" s="48" t="s">
        <v>1707</v>
      </c>
      <c r="K1" s="48" t="s">
        <v>1708</v>
      </c>
      <c r="L1" s="48" t="s">
        <v>1709</v>
      </c>
      <c r="M1" s="48" t="s">
        <v>1710</v>
      </c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  <c r="AC1" s="154"/>
      <c r="AD1" s="154"/>
      <c r="AE1" s="154"/>
      <c r="AF1" s="154"/>
      <c r="AG1" s="154"/>
      <c r="AH1" s="154"/>
      <c r="AI1" s="154"/>
    </row>
    <row r="2">
      <c r="A2" s="31">
        <v>0.0</v>
      </c>
      <c r="B2" s="31">
        <f t="shared" ref="B2:B84" si="1">A2*468</f>
        <v>0</v>
      </c>
      <c r="C2" s="31" t="s">
        <v>1711</v>
      </c>
      <c r="D2" s="31" t="s">
        <v>1712</v>
      </c>
      <c r="E2" s="155" t="s">
        <v>1359</v>
      </c>
      <c r="F2" s="156" t="s">
        <v>1713</v>
      </c>
      <c r="G2" s="14" t="s">
        <v>1714</v>
      </c>
      <c r="H2" s="52" t="s">
        <v>1715</v>
      </c>
      <c r="I2" s="14" t="s">
        <v>1716</v>
      </c>
      <c r="J2" s="14" t="s">
        <v>1717</v>
      </c>
      <c r="K2" s="14" t="s">
        <v>1718</v>
      </c>
      <c r="L2" s="14" t="s">
        <v>1719</v>
      </c>
      <c r="M2" s="14" t="s">
        <v>95</v>
      </c>
    </row>
    <row r="3">
      <c r="A3" s="31">
        <v>1.0</v>
      </c>
      <c r="B3" s="31">
        <f t="shared" si="1"/>
        <v>468</v>
      </c>
      <c r="C3" s="32" t="str">
        <f t="shared" ref="C3:L3" si="2">DEC2HEX(HEX2DEC(C2)+468)</f>
        <v>AE0382</v>
      </c>
      <c r="D3" s="31" t="str">
        <f t="shared" si="2"/>
        <v>AE042E</v>
      </c>
      <c r="E3" s="155" t="str">
        <f t="shared" si="2"/>
        <v>AE039C</v>
      </c>
      <c r="F3" s="157" t="str">
        <f t="shared" si="2"/>
        <v>AE041B</v>
      </c>
      <c r="G3" t="str">
        <f t="shared" si="2"/>
        <v>AE0448</v>
      </c>
      <c r="H3" s="158" t="str">
        <f t="shared" si="2"/>
        <v>AE044A</v>
      </c>
      <c r="I3" t="str">
        <f t="shared" si="2"/>
        <v>AE044C</v>
      </c>
      <c r="J3" t="str">
        <f t="shared" si="2"/>
        <v>AE044E</v>
      </c>
      <c r="K3" t="str">
        <f t="shared" si="2"/>
        <v>AE0450</v>
      </c>
      <c r="L3" t="str">
        <f t="shared" si="2"/>
        <v>AE0453</v>
      </c>
      <c r="M3" s="14" t="s">
        <v>95</v>
      </c>
    </row>
    <row r="4">
      <c r="A4" s="31">
        <v>2.0</v>
      </c>
      <c r="B4" s="31">
        <f t="shared" si="1"/>
        <v>936</v>
      </c>
      <c r="C4" s="32" t="str">
        <f t="shared" ref="C4:L4" si="3">DEC2HEX(HEX2DEC(C3)+468)</f>
        <v>AE0556</v>
      </c>
      <c r="D4" s="31" t="str">
        <f t="shared" si="3"/>
        <v>AE0602</v>
      </c>
      <c r="E4" s="155" t="str">
        <f t="shared" si="3"/>
        <v>AE0570</v>
      </c>
      <c r="F4" s="157" t="str">
        <f t="shared" si="3"/>
        <v>AE05EF</v>
      </c>
      <c r="G4" t="str">
        <f t="shared" si="3"/>
        <v>AE061C</v>
      </c>
      <c r="H4" s="158" t="str">
        <f t="shared" si="3"/>
        <v>AE061E</v>
      </c>
      <c r="I4" t="str">
        <f t="shared" si="3"/>
        <v>AE0620</v>
      </c>
      <c r="J4" t="str">
        <f t="shared" si="3"/>
        <v>AE0622</v>
      </c>
      <c r="K4" t="str">
        <f t="shared" si="3"/>
        <v>AE0624</v>
      </c>
      <c r="L4" t="str">
        <f t="shared" si="3"/>
        <v>AE0627</v>
      </c>
      <c r="M4" s="14" t="s">
        <v>95</v>
      </c>
    </row>
    <row r="5">
      <c r="A5" s="31">
        <v>3.0</v>
      </c>
      <c r="B5" s="31">
        <f t="shared" si="1"/>
        <v>1404</v>
      </c>
      <c r="C5" s="32" t="str">
        <f t="shared" ref="C5:L5" si="4">DEC2HEX(HEX2DEC(C4)+468)</f>
        <v>AE072A</v>
      </c>
      <c r="D5" s="31" t="str">
        <f t="shared" si="4"/>
        <v>AE07D6</v>
      </c>
      <c r="E5" s="155" t="str">
        <f t="shared" si="4"/>
        <v>AE0744</v>
      </c>
      <c r="F5" s="157" t="str">
        <f t="shared" si="4"/>
        <v>AE07C3</v>
      </c>
      <c r="G5" t="str">
        <f t="shared" si="4"/>
        <v>AE07F0</v>
      </c>
      <c r="H5" s="158" t="str">
        <f t="shared" si="4"/>
        <v>AE07F2</v>
      </c>
      <c r="I5" t="str">
        <f t="shared" si="4"/>
        <v>AE07F4</v>
      </c>
      <c r="J5" t="str">
        <f t="shared" si="4"/>
        <v>AE07F6</v>
      </c>
      <c r="K5" t="str">
        <f t="shared" si="4"/>
        <v>AE07F8</v>
      </c>
      <c r="L5" t="str">
        <f t="shared" si="4"/>
        <v>AE07FB</v>
      </c>
      <c r="M5" s="14" t="s">
        <v>95</v>
      </c>
    </row>
    <row r="6">
      <c r="A6" s="31">
        <v>4.0</v>
      </c>
      <c r="B6" s="31">
        <f t="shared" si="1"/>
        <v>1872</v>
      </c>
      <c r="C6" s="32" t="str">
        <f t="shared" ref="C6:L6" si="5">DEC2HEX(HEX2DEC(C5)+468)</f>
        <v>AE08FE</v>
      </c>
      <c r="D6" s="31" t="str">
        <f t="shared" si="5"/>
        <v>AE09AA</v>
      </c>
      <c r="E6" s="155" t="str">
        <f t="shared" si="5"/>
        <v>AE0918</v>
      </c>
      <c r="F6" s="157" t="str">
        <f t="shared" si="5"/>
        <v>AE0997</v>
      </c>
      <c r="G6" t="str">
        <f t="shared" si="5"/>
        <v>AE09C4</v>
      </c>
      <c r="H6" s="158" t="str">
        <f t="shared" si="5"/>
        <v>AE09C6</v>
      </c>
      <c r="I6" t="str">
        <f t="shared" si="5"/>
        <v>AE09C8</v>
      </c>
      <c r="J6" t="str">
        <f t="shared" si="5"/>
        <v>AE09CA</v>
      </c>
      <c r="K6" t="str">
        <f t="shared" si="5"/>
        <v>AE09CC</v>
      </c>
      <c r="L6" t="str">
        <f t="shared" si="5"/>
        <v>AE09CF</v>
      </c>
      <c r="M6" s="14" t="s">
        <v>95</v>
      </c>
    </row>
    <row r="7">
      <c r="A7" s="31">
        <v>5.0</v>
      </c>
      <c r="B7" s="31">
        <f t="shared" si="1"/>
        <v>2340</v>
      </c>
      <c r="C7" s="32" t="str">
        <f t="shared" ref="C7:L7" si="6">DEC2HEX(HEX2DEC(C6)+468)</f>
        <v>AE0AD2</v>
      </c>
      <c r="D7" s="31" t="str">
        <f t="shared" si="6"/>
        <v>AE0B7E</v>
      </c>
      <c r="E7" s="155" t="str">
        <f t="shared" si="6"/>
        <v>AE0AEC</v>
      </c>
      <c r="F7" s="157" t="str">
        <f t="shared" si="6"/>
        <v>AE0B6B</v>
      </c>
      <c r="G7" t="str">
        <f t="shared" si="6"/>
        <v>AE0B98</v>
      </c>
      <c r="H7" s="158" t="str">
        <f t="shared" si="6"/>
        <v>AE0B9A</v>
      </c>
      <c r="I7" t="str">
        <f t="shared" si="6"/>
        <v>AE0B9C</v>
      </c>
      <c r="J7" t="str">
        <f t="shared" si="6"/>
        <v>AE0B9E</v>
      </c>
      <c r="K7" t="str">
        <f t="shared" si="6"/>
        <v>AE0BA0</v>
      </c>
      <c r="L7" t="str">
        <f t="shared" si="6"/>
        <v>AE0BA3</v>
      </c>
      <c r="M7" s="14" t="s">
        <v>95</v>
      </c>
    </row>
    <row r="8">
      <c r="A8" s="31">
        <v>6.0</v>
      </c>
      <c r="B8" s="31">
        <f t="shared" si="1"/>
        <v>2808</v>
      </c>
      <c r="C8" s="32" t="str">
        <f t="shared" ref="C8:L8" si="7">DEC2HEX(HEX2DEC(C7)+468)</f>
        <v>AE0CA6</v>
      </c>
      <c r="D8" s="31" t="str">
        <f t="shared" si="7"/>
        <v>AE0D52</v>
      </c>
      <c r="E8" s="155" t="str">
        <f t="shared" si="7"/>
        <v>AE0CC0</v>
      </c>
      <c r="F8" s="157" t="str">
        <f t="shared" si="7"/>
        <v>AE0D3F</v>
      </c>
      <c r="G8" t="str">
        <f t="shared" si="7"/>
        <v>AE0D6C</v>
      </c>
      <c r="H8" s="158" t="str">
        <f t="shared" si="7"/>
        <v>AE0D6E</v>
      </c>
      <c r="I8" t="str">
        <f t="shared" si="7"/>
        <v>AE0D70</v>
      </c>
      <c r="J8" t="str">
        <f t="shared" si="7"/>
        <v>AE0D72</v>
      </c>
      <c r="K8" t="str">
        <f t="shared" si="7"/>
        <v>AE0D74</v>
      </c>
      <c r="L8" t="str">
        <f t="shared" si="7"/>
        <v>AE0D77</v>
      </c>
      <c r="M8" s="14" t="s">
        <v>95</v>
      </c>
    </row>
    <row r="9">
      <c r="A9" s="31">
        <v>7.0</v>
      </c>
      <c r="B9" s="31">
        <f t="shared" si="1"/>
        <v>3276</v>
      </c>
      <c r="C9" s="32" t="str">
        <f t="shared" ref="C9:L9" si="8">DEC2HEX(HEX2DEC(C8)+468)</f>
        <v>AE0E7A</v>
      </c>
      <c r="D9" s="31" t="str">
        <f t="shared" si="8"/>
        <v>AE0F26</v>
      </c>
      <c r="E9" s="155" t="str">
        <f t="shared" si="8"/>
        <v>AE0E94</v>
      </c>
      <c r="F9" s="157" t="str">
        <f t="shared" si="8"/>
        <v>AE0F13</v>
      </c>
      <c r="G9" t="str">
        <f t="shared" si="8"/>
        <v>AE0F40</v>
      </c>
      <c r="H9" s="158" t="str">
        <f t="shared" si="8"/>
        <v>AE0F42</v>
      </c>
      <c r="I9" t="str">
        <f t="shared" si="8"/>
        <v>AE0F44</v>
      </c>
      <c r="J9" t="str">
        <f t="shared" si="8"/>
        <v>AE0F46</v>
      </c>
      <c r="K9" t="str">
        <f t="shared" si="8"/>
        <v>AE0F48</v>
      </c>
      <c r="L9" t="str">
        <f t="shared" si="8"/>
        <v>AE0F4B</v>
      </c>
      <c r="M9" s="14" t="s">
        <v>95</v>
      </c>
    </row>
    <row r="10">
      <c r="A10" s="31">
        <v>8.0</v>
      </c>
      <c r="B10" s="31">
        <f t="shared" si="1"/>
        <v>3744</v>
      </c>
      <c r="C10" s="32" t="str">
        <f t="shared" ref="C10:L10" si="9">DEC2HEX(HEX2DEC(C9)+468)</f>
        <v>AE104E</v>
      </c>
      <c r="D10" s="31" t="str">
        <f t="shared" si="9"/>
        <v>AE10FA</v>
      </c>
      <c r="E10" s="155" t="str">
        <f t="shared" si="9"/>
        <v>AE1068</v>
      </c>
      <c r="F10" s="157" t="str">
        <f t="shared" si="9"/>
        <v>AE10E7</v>
      </c>
      <c r="G10" t="str">
        <f t="shared" si="9"/>
        <v>AE1114</v>
      </c>
      <c r="H10" s="158" t="str">
        <f t="shared" si="9"/>
        <v>AE1116</v>
      </c>
      <c r="I10" t="str">
        <f t="shared" si="9"/>
        <v>AE1118</v>
      </c>
      <c r="J10" t="str">
        <f t="shared" si="9"/>
        <v>AE111A</v>
      </c>
      <c r="K10" t="str">
        <f t="shared" si="9"/>
        <v>AE111C</v>
      </c>
      <c r="L10" t="str">
        <f t="shared" si="9"/>
        <v>AE111F</v>
      </c>
      <c r="M10" s="14" t="s">
        <v>95</v>
      </c>
    </row>
    <row r="11">
      <c r="A11" s="31">
        <v>9.0</v>
      </c>
      <c r="B11" s="31">
        <f t="shared" si="1"/>
        <v>4212</v>
      </c>
      <c r="C11" s="32" t="str">
        <f t="shared" ref="C11:L11" si="10">DEC2HEX(HEX2DEC(C10)+468)</f>
        <v>AE1222</v>
      </c>
      <c r="D11" s="31" t="str">
        <f t="shared" si="10"/>
        <v>AE12CE</v>
      </c>
      <c r="E11" s="155" t="str">
        <f t="shared" si="10"/>
        <v>AE123C</v>
      </c>
      <c r="F11" s="157" t="str">
        <f t="shared" si="10"/>
        <v>AE12BB</v>
      </c>
      <c r="G11" t="str">
        <f t="shared" si="10"/>
        <v>AE12E8</v>
      </c>
      <c r="H11" s="158" t="str">
        <f t="shared" si="10"/>
        <v>AE12EA</v>
      </c>
      <c r="I11" t="str">
        <f t="shared" si="10"/>
        <v>AE12EC</v>
      </c>
      <c r="J11" t="str">
        <f t="shared" si="10"/>
        <v>AE12EE</v>
      </c>
      <c r="K11" t="str">
        <f t="shared" si="10"/>
        <v>AE12F0</v>
      </c>
      <c r="L11" t="str">
        <f t="shared" si="10"/>
        <v>AE12F3</v>
      </c>
      <c r="M11" s="14" t="s">
        <v>95</v>
      </c>
    </row>
    <row r="12">
      <c r="A12" s="31">
        <v>10.0</v>
      </c>
      <c r="B12" s="31">
        <f t="shared" si="1"/>
        <v>4680</v>
      </c>
      <c r="C12" s="32" t="str">
        <f t="shared" ref="C12:L12" si="11">DEC2HEX(HEX2DEC(C11)+468)</f>
        <v>AE13F6</v>
      </c>
      <c r="D12" s="31" t="str">
        <f t="shared" si="11"/>
        <v>AE14A2</v>
      </c>
      <c r="E12" s="155" t="str">
        <f t="shared" si="11"/>
        <v>AE1410</v>
      </c>
      <c r="F12" s="157" t="str">
        <f t="shared" si="11"/>
        <v>AE148F</v>
      </c>
      <c r="G12" t="str">
        <f t="shared" si="11"/>
        <v>AE14BC</v>
      </c>
      <c r="H12" s="158" t="str">
        <f t="shared" si="11"/>
        <v>AE14BE</v>
      </c>
      <c r="I12" t="str">
        <f t="shared" si="11"/>
        <v>AE14C0</v>
      </c>
      <c r="J12" t="str">
        <f t="shared" si="11"/>
        <v>AE14C2</v>
      </c>
      <c r="K12" t="str">
        <f t="shared" si="11"/>
        <v>AE14C4</v>
      </c>
      <c r="L12" t="str">
        <f t="shared" si="11"/>
        <v>AE14C7</v>
      </c>
      <c r="M12" s="14" t="s">
        <v>95</v>
      </c>
    </row>
    <row r="13">
      <c r="A13" s="31">
        <v>11.0</v>
      </c>
      <c r="B13" s="31">
        <f t="shared" si="1"/>
        <v>5148</v>
      </c>
      <c r="C13" s="32" t="str">
        <f t="shared" ref="C13:L13" si="12">DEC2HEX(HEX2DEC(C12)+468)</f>
        <v>AE15CA</v>
      </c>
      <c r="D13" s="31" t="str">
        <f t="shared" si="12"/>
        <v>AE1676</v>
      </c>
      <c r="E13" s="155" t="str">
        <f t="shared" si="12"/>
        <v>AE15E4</v>
      </c>
      <c r="F13" s="157" t="str">
        <f t="shared" si="12"/>
        <v>AE1663</v>
      </c>
      <c r="G13" t="str">
        <f t="shared" si="12"/>
        <v>AE1690</v>
      </c>
      <c r="H13" s="158" t="str">
        <f t="shared" si="12"/>
        <v>AE1692</v>
      </c>
      <c r="I13" t="str">
        <f t="shared" si="12"/>
        <v>AE1694</v>
      </c>
      <c r="J13" t="str">
        <f t="shared" si="12"/>
        <v>AE1696</v>
      </c>
      <c r="K13" t="str">
        <f t="shared" si="12"/>
        <v>AE1698</v>
      </c>
      <c r="L13" t="str">
        <f t="shared" si="12"/>
        <v>AE169B</v>
      </c>
      <c r="M13" s="14" t="s">
        <v>95</v>
      </c>
    </row>
    <row r="14">
      <c r="A14" s="31">
        <v>12.0</v>
      </c>
      <c r="B14" s="31">
        <f t="shared" si="1"/>
        <v>5616</v>
      </c>
      <c r="C14" s="32" t="str">
        <f t="shared" ref="C14:L14" si="13">DEC2HEX(HEX2DEC(C13)+468)</f>
        <v>AE179E</v>
      </c>
      <c r="D14" s="31" t="str">
        <f t="shared" si="13"/>
        <v>AE184A</v>
      </c>
      <c r="E14" s="155" t="str">
        <f t="shared" si="13"/>
        <v>AE17B8</v>
      </c>
      <c r="F14" s="157" t="str">
        <f t="shared" si="13"/>
        <v>AE1837</v>
      </c>
      <c r="G14" t="str">
        <f t="shared" si="13"/>
        <v>AE1864</v>
      </c>
      <c r="H14" s="158" t="str">
        <f t="shared" si="13"/>
        <v>AE1866</v>
      </c>
      <c r="I14" t="str">
        <f t="shared" si="13"/>
        <v>AE1868</v>
      </c>
      <c r="J14" t="str">
        <f t="shared" si="13"/>
        <v>AE186A</v>
      </c>
      <c r="K14" t="str">
        <f t="shared" si="13"/>
        <v>AE186C</v>
      </c>
      <c r="L14" t="str">
        <f t="shared" si="13"/>
        <v>AE186F</v>
      </c>
      <c r="M14" s="14" t="s">
        <v>95</v>
      </c>
    </row>
    <row r="15">
      <c r="A15" s="31">
        <v>13.0</v>
      </c>
      <c r="B15" s="31">
        <f t="shared" si="1"/>
        <v>6084</v>
      </c>
      <c r="C15" s="32" t="str">
        <f t="shared" ref="C15:L15" si="14">DEC2HEX(HEX2DEC(C14)+468)</f>
        <v>AE1972</v>
      </c>
      <c r="D15" s="31" t="str">
        <f t="shared" si="14"/>
        <v>AE1A1E</v>
      </c>
      <c r="E15" s="155" t="str">
        <f t="shared" si="14"/>
        <v>AE198C</v>
      </c>
      <c r="F15" s="157" t="str">
        <f t="shared" si="14"/>
        <v>AE1A0B</v>
      </c>
      <c r="G15" t="str">
        <f t="shared" si="14"/>
        <v>AE1A38</v>
      </c>
      <c r="H15" s="158" t="str">
        <f t="shared" si="14"/>
        <v>AE1A3A</v>
      </c>
      <c r="I15" t="str">
        <f t="shared" si="14"/>
        <v>AE1A3C</v>
      </c>
      <c r="J15" t="str">
        <f t="shared" si="14"/>
        <v>AE1A3E</v>
      </c>
      <c r="K15" t="str">
        <f t="shared" si="14"/>
        <v>AE1A40</v>
      </c>
      <c r="L15" t="str">
        <f t="shared" si="14"/>
        <v>AE1A43</v>
      </c>
      <c r="M15" s="14" t="s">
        <v>95</v>
      </c>
    </row>
    <row r="16">
      <c r="A16" s="31">
        <v>14.0</v>
      </c>
      <c r="B16" s="31">
        <f t="shared" si="1"/>
        <v>6552</v>
      </c>
      <c r="C16" s="32" t="str">
        <f t="shared" ref="C16:L16" si="15">DEC2HEX(HEX2DEC(C15)+468)</f>
        <v>AE1B46</v>
      </c>
      <c r="D16" s="31" t="str">
        <f t="shared" si="15"/>
        <v>AE1BF2</v>
      </c>
      <c r="E16" s="155" t="str">
        <f t="shared" si="15"/>
        <v>AE1B60</v>
      </c>
      <c r="F16" s="157" t="str">
        <f t="shared" si="15"/>
        <v>AE1BDF</v>
      </c>
      <c r="G16" t="str">
        <f t="shared" si="15"/>
        <v>AE1C0C</v>
      </c>
      <c r="H16" s="158" t="str">
        <f t="shared" si="15"/>
        <v>AE1C0E</v>
      </c>
      <c r="I16" t="str">
        <f t="shared" si="15"/>
        <v>AE1C10</v>
      </c>
      <c r="J16" t="str">
        <f t="shared" si="15"/>
        <v>AE1C12</v>
      </c>
      <c r="K16" t="str">
        <f t="shared" si="15"/>
        <v>AE1C14</v>
      </c>
      <c r="L16" t="str">
        <f t="shared" si="15"/>
        <v>AE1C17</v>
      </c>
      <c r="M16" s="14" t="s">
        <v>95</v>
      </c>
    </row>
    <row r="17">
      <c r="A17" s="31">
        <v>15.0</v>
      </c>
      <c r="B17" s="31">
        <f t="shared" si="1"/>
        <v>7020</v>
      </c>
      <c r="C17" s="32" t="str">
        <f t="shared" ref="C17:L17" si="16">DEC2HEX(HEX2DEC(C16)+468)</f>
        <v>AE1D1A</v>
      </c>
      <c r="D17" s="31" t="str">
        <f t="shared" si="16"/>
        <v>AE1DC6</v>
      </c>
      <c r="E17" s="155" t="str">
        <f t="shared" si="16"/>
        <v>AE1D34</v>
      </c>
      <c r="F17" s="157" t="str">
        <f t="shared" si="16"/>
        <v>AE1DB3</v>
      </c>
      <c r="G17" t="str">
        <f t="shared" si="16"/>
        <v>AE1DE0</v>
      </c>
      <c r="H17" s="158" t="str">
        <f t="shared" si="16"/>
        <v>AE1DE2</v>
      </c>
      <c r="I17" t="str">
        <f t="shared" si="16"/>
        <v>AE1DE4</v>
      </c>
      <c r="J17" t="str">
        <f t="shared" si="16"/>
        <v>AE1DE6</v>
      </c>
      <c r="K17" t="str">
        <f t="shared" si="16"/>
        <v>AE1DE8</v>
      </c>
      <c r="L17" t="str">
        <f t="shared" si="16"/>
        <v>AE1DEB</v>
      </c>
      <c r="M17" s="14" t="s">
        <v>95</v>
      </c>
    </row>
    <row r="18">
      <c r="A18" s="31">
        <v>16.0</v>
      </c>
      <c r="B18" s="31">
        <f t="shared" si="1"/>
        <v>7488</v>
      </c>
      <c r="C18" s="32" t="str">
        <f t="shared" ref="C18:L18" si="17">DEC2HEX(HEX2DEC(C17)+468)</f>
        <v>AE1EEE</v>
      </c>
      <c r="D18" s="31" t="str">
        <f t="shared" si="17"/>
        <v>AE1F9A</v>
      </c>
      <c r="E18" s="155" t="str">
        <f t="shared" si="17"/>
        <v>AE1F08</v>
      </c>
      <c r="F18" s="157" t="str">
        <f t="shared" si="17"/>
        <v>AE1F87</v>
      </c>
      <c r="G18" t="str">
        <f t="shared" si="17"/>
        <v>AE1FB4</v>
      </c>
      <c r="H18" s="158" t="str">
        <f t="shared" si="17"/>
        <v>AE1FB6</v>
      </c>
      <c r="I18" t="str">
        <f t="shared" si="17"/>
        <v>AE1FB8</v>
      </c>
      <c r="J18" t="str">
        <f t="shared" si="17"/>
        <v>AE1FBA</v>
      </c>
      <c r="K18" t="str">
        <f t="shared" si="17"/>
        <v>AE1FBC</v>
      </c>
      <c r="L18" t="str">
        <f t="shared" si="17"/>
        <v>AE1FBF</v>
      </c>
      <c r="M18" s="14" t="s">
        <v>95</v>
      </c>
    </row>
    <row r="19">
      <c r="A19" s="31">
        <v>17.0</v>
      </c>
      <c r="B19" s="31">
        <f t="shared" si="1"/>
        <v>7956</v>
      </c>
      <c r="C19" s="32" t="str">
        <f t="shared" ref="C19:L19" si="18">DEC2HEX(HEX2DEC(C18)+468)</f>
        <v>AE20C2</v>
      </c>
      <c r="D19" s="31" t="str">
        <f t="shared" si="18"/>
        <v>AE216E</v>
      </c>
      <c r="E19" s="155" t="str">
        <f t="shared" si="18"/>
        <v>AE20DC</v>
      </c>
      <c r="F19" s="157" t="str">
        <f t="shared" si="18"/>
        <v>AE215B</v>
      </c>
      <c r="G19" t="str">
        <f t="shared" si="18"/>
        <v>AE2188</v>
      </c>
      <c r="H19" s="158" t="str">
        <f t="shared" si="18"/>
        <v>AE218A</v>
      </c>
      <c r="I19" t="str">
        <f t="shared" si="18"/>
        <v>AE218C</v>
      </c>
      <c r="J19" t="str">
        <f t="shared" si="18"/>
        <v>AE218E</v>
      </c>
      <c r="K19" t="str">
        <f t="shared" si="18"/>
        <v>AE2190</v>
      </c>
      <c r="L19" t="str">
        <f t="shared" si="18"/>
        <v>AE2193</v>
      </c>
      <c r="M19" s="14" t="s">
        <v>95</v>
      </c>
    </row>
    <row r="20">
      <c r="A20" s="31">
        <v>18.0</v>
      </c>
      <c r="B20" s="31">
        <f t="shared" si="1"/>
        <v>8424</v>
      </c>
      <c r="C20" s="32" t="str">
        <f t="shared" ref="C20:L20" si="19">DEC2HEX(HEX2DEC(C19)+468)</f>
        <v>AE2296</v>
      </c>
      <c r="D20" s="31" t="str">
        <f t="shared" si="19"/>
        <v>AE2342</v>
      </c>
      <c r="E20" s="155" t="str">
        <f t="shared" si="19"/>
        <v>AE22B0</v>
      </c>
      <c r="F20" s="157" t="str">
        <f t="shared" si="19"/>
        <v>AE232F</v>
      </c>
      <c r="G20" t="str">
        <f t="shared" si="19"/>
        <v>AE235C</v>
      </c>
      <c r="H20" s="158" t="str">
        <f t="shared" si="19"/>
        <v>AE235E</v>
      </c>
      <c r="I20" t="str">
        <f t="shared" si="19"/>
        <v>AE2360</v>
      </c>
      <c r="J20" t="str">
        <f t="shared" si="19"/>
        <v>AE2362</v>
      </c>
      <c r="K20" t="str">
        <f t="shared" si="19"/>
        <v>AE2364</v>
      </c>
      <c r="L20" t="str">
        <f t="shared" si="19"/>
        <v>AE2367</v>
      </c>
      <c r="M20" s="14" t="s">
        <v>95</v>
      </c>
    </row>
    <row r="21">
      <c r="A21" s="31">
        <v>19.0</v>
      </c>
      <c r="B21" s="31">
        <f t="shared" si="1"/>
        <v>8892</v>
      </c>
      <c r="C21" s="32" t="str">
        <f t="shared" ref="C21:L21" si="20">DEC2HEX(HEX2DEC(C20)+468)</f>
        <v>AE246A</v>
      </c>
      <c r="D21" s="31" t="str">
        <f t="shared" si="20"/>
        <v>AE2516</v>
      </c>
      <c r="E21" s="155" t="str">
        <f t="shared" si="20"/>
        <v>AE2484</v>
      </c>
      <c r="F21" s="157" t="str">
        <f t="shared" si="20"/>
        <v>AE2503</v>
      </c>
      <c r="G21" t="str">
        <f t="shared" si="20"/>
        <v>AE2530</v>
      </c>
      <c r="H21" s="158" t="str">
        <f t="shared" si="20"/>
        <v>AE2532</v>
      </c>
      <c r="I21" t="str">
        <f t="shared" si="20"/>
        <v>AE2534</v>
      </c>
      <c r="J21" t="str">
        <f t="shared" si="20"/>
        <v>AE2536</v>
      </c>
      <c r="K21" t="str">
        <f t="shared" si="20"/>
        <v>AE2538</v>
      </c>
      <c r="L21" t="str">
        <f t="shared" si="20"/>
        <v>AE253B</v>
      </c>
      <c r="M21" s="14" t="s">
        <v>95</v>
      </c>
    </row>
    <row r="22">
      <c r="A22" s="31">
        <v>20.0</v>
      </c>
      <c r="B22" s="31">
        <f t="shared" si="1"/>
        <v>9360</v>
      </c>
      <c r="C22" s="32" t="str">
        <f t="shared" ref="C22:L22" si="21">DEC2HEX(HEX2DEC(C21)+468)</f>
        <v>AE263E</v>
      </c>
      <c r="D22" s="31" t="str">
        <f t="shared" si="21"/>
        <v>AE26EA</v>
      </c>
      <c r="E22" s="155" t="str">
        <f t="shared" si="21"/>
        <v>AE2658</v>
      </c>
      <c r="F22" s="157" t="str">
        <f t="shared" si="21"/>
        <v>AE26D7</v>
      </c>
      <c r="G22" t="str">
        <f t="shared" si="21"/>
        <v>AE2704</v>
      </c>
      <c r="H22" s="158" t="str">
        <f t="shared" si="21"/>
        <v>AE2706</v>
      </c>
      <c r="I22" t="str">
        <f t="shared" si="21"/>
        <v>AE2708</v>
      </c>
      <c r="J22" t="str">
        <f t="shared" si="21"/>
        <v>AE270A</v>
      </c>
      <c r="K22" t="str">
        <f t="shared" si="21"/>
        <v>AE270C</v>
      </c>
      <c r="L22" t="str">
        <f t="shared" si="21"/>
        <v>AE270F</v>
      </c>
      <c r="M22" s="14" t="s">
        <v>95</v>
      </c>
    </row>
    <row r="23">
      <c r="A23" s="31">
        <v>21.0</v>
      </c>
      <c r="B23" s="31">
        <f t="shared" si="1"/>
        <v>9828</v>
      </c>
      <c r="C23" s="32" t="str">
        <f t="shared" ref="C23:L23" si="22">DEC2HEX(HEX2DEC(C22)+468)</f>
        <v>AE2812</v>
      </c>
      <c r="D23" s="31" t="str">
        <f t="shared" si="22"/>
        <v>AE28BE</v>
      </c>
      <c r="E23" s="155" t="str">
        <f t="shared" si="22"/>
        <v>AE282C</v>
      </c>
      <c r="F23" s="157" t="str">
        <f t="shared" si="22"/>
        <v>AE28AB</v>
      </c>
      <c r="G23" t="str">
        <f t="shared" si="22"/>
        <v>AE28D8</v>
      </c>
      <c r="H23" s="158" t="str">
        <f t="shared" si="22"/>
        <v>AE28DA</v>
      </c>
      <c r="I23" t="str">
        <f t="shared" si="22"/>
        <v>AE28DC</v>
      </c>
      <c r="J23" t="str">
        <f t="shared" si="22"/>
        <v>AE28DE</v>
      </c>
      <c r="K23" t="str">
        <f t="shared" si="22"/>
        <v>AE28E0</v>
      </c>
      <c r="L23" t="str">
        <f t="shared" si="22"/>
        <v>AE28E3</v>
      </c>
      <c r="M23" s="14" t="s">
        <v>95</v>
      </c>
    </row>
    <row r="24">
      <c r="A24" s="31">
        <v>22.0</v>
      </c>
      <c r="B24" s="31">
        <f t="shared" si="1"/>
        <v>10296</v>
      </c>
      <c r="C24" s="32" t="str">
        <f t="shared" ref="C24:L24" si="23">DEC2HEX(HEX2DEC(C23)+468)</f>
        <v>AE29E6</v>
      </c>
      <c r="D24" s="31" t="str">
        <f t="shared" si="23"/>
        <v>AE2A92</v>
      </c>
      <c r="E24" s="155" t="str">
        <f t="shared" si="23"/>
        <v>AE2A00</v>
      </c>
      <c r="F24" s="157" t="str">
        <f t="shared" si="23"/>
        <v>AE2A7F</v>
      </c>
      <c r="G24" t="str">
        <f t="shared" si="23"/>
        <v>AE2AAC</v>
      </c>
      <c r="H24" s="158" t="str">
        <f t="shared" si="23"/>
        <v>AE2AAE</v>
      </c>
      <c r="I24" t="str">
        <f t="shared" si="23"/>
        <v>AE2AB0</v>
      </c>
      <c r="J24" t="str">
        <f t="shared" si="23"/>
        <v>AE2AB2</v>
      </c>
      <c r="K24" t="str">
        <f t="shared" si="23"/>
        <v>AE2AB4</v>
      </c>
      <c r="L24" t="str">
        <f t="shared" si="23"/>
        <v>AE2AB7</v>
      </c>
      <c r="M24" s="14" t="s">
        <v>95</v>
      </c>
    </row>
    <row r="25">
      <c r="A25" s="31">
        <v>23.0</v>
      </c>
      <c r="B25" s="31">
        <f t="shared" si="1"/>
        <v>10764</v>
      </c>
      <c r="C25" s="32" t="str">
        <f t="shared" ref="C25:L25" si="24">DEC2HEX(HEX2DEC(C24)+468)</f>
        <v>AE2BBA</v>
      </c>
      <c r="D25" s="31" t="str">
        <f t="shared" si="24"/>
        <v>AE2C66</v>
      </c>
      <c r="E25" s="155" t="str">
        <f t="shared" si="24"/>
        <v>AE2BD4</v>
      </c>
      <c r="F25" s="157" t="str">
        <f t="shared" si="24"/>
        <v>AE2C53</v>
      </c>
      <c r="G25" t="str">
        <f t="shared" si="24"/>
        <v>AE2C80</v>
      </c>
      <c r="H25" s="158" t="str">
        <f t="shared" si="24"/>
        <v>AE2C82</v>
      </c>
      <c r="I25" t="str">
        <f t="shared" si="24"/>
        <v>AE2C84</v>
      </c>
      <c r="J25" t="str">
        <f t="shared" si="24"/>
        <v>AE2C86</v>
      </c>
      <c r="K25" t="str">
        <f t="shared" si="24"/>
        <v>AE2C88</v>
      </c>
      <c r="L25" t="str">
        <f t="shared" si="24"/>
        <v>AE2C8B</v>
      </c>
      <c r="M25" s="14" t="s">
        <v>95</v>
      </c>
    </row>
    <row r="26">
      <c r="A26" s="31">
        <v>24.0</v>
      </c>
      <c r="B26" s="31">
        <f t="shared" si="1"/>
        <v>11232</v>
      </c>
      <c r="C26" s="32" t="str">
        <f t="shared" ref="C26:L26" si="25">DEC2HEX(HEX2DEC(C25)+468)</f>
        <v>AE2D8E</v>
      </c>
      <c r="D26" s="31" t="str">
        <f t="shared" si="25"/>
        <v>AE2E3A</v>
      </c>
      <c r="E26" s="155" t="str">
        <f t="shared" si="25"/>
        <v>AE2DA8</v>
      </c>
      <c r="F26" s="157" t="str">
        <f t="shared" si="25"/>
        <v>AE2E27</v>
      </c>
      <c r="G26" t="str">
        <f t="shared" si="25"/>
        <v>AE2E54</v>
      </c>
      <c r="H26" s="158" t="str">
        <f t="shared" si="25"/>
        <v>AE2E56</v>
      </c>
      <c r="I26" t="str">
        <f t="shared" si="25"/>
        <v>AE2E58</v>
      </c>
      <c r="J26" t="str">
        <f t="shared" si="25"/>
        <v>AE2E5A</v>
      </c>
      <c r="K26" t="str">
        <f t="shared" si="25"/>
        <v>AE2E5C</v>
      </c>
      <c r="L26" t="str">
        <f t="shared" si="25"/>
        <v>AE2E5F</v>
      </c>
      <c r="M26" s="14" t="s">
        <v>95</v>
      </c>
    </row>
    <row r="27">
      <c r="A27" s="31">
        <v>25.0</v>
      </c>
      <c r="B27" s="31">
        <f t="shared" si="1"/>
        <v>11700</v>
      </c>
      <c r="C27" s="32" t="str">
        <f t="shared" ref="C27:L27" si="26">DEC2HEX(HEX2DEC(C26)+468)</f>
        <v>AE2F62</v>
      </c>
      <c r="D27" s="31" t="str">
        <f t="shared" si="26"/>
        <v>AE300E</v>
      </c>
      <c r="E27" s="155" t="str">
        <f t="shared" si="26"/>
        <v>AE2F7C</v>
      </c>
      <c r="F27" s="157" t="str">
        <f t="shared" si="26"/>
        <v>AE2FFB</v>
      </c>
      <c r="G27" t="str">
        <f t="shared" si="26"/>
        <v>AE3028</v>
      </c>
      <c r="H27" s="158" t="str">
        <f t="shared" si="26"/>
        <v>AE302A</v>
      </c>
      <c r="I27" t="str">
        <f t="shared" si="26"/>
        <v>AE302C</v>
      </c>
      <c r="J27" t="str">
        <f t="shared" si="26"/>
        <v>AE302E</v>
      </c>
      <c r="K27" t="str">
        <f t="shared" si="26"/>
        <v>AE3030</v>
      </c>
      <c r="L27" t="str">
        <f t="shared" si="26"/>
        <v>AE3033</v>
      </c>
      <c r="M27" s="14" t="s">
        <v>95</v>
      </c>
    </row>
    <row r="28">
      <c r="A28" s="31">
        <v>26.0</v>
      </c>
      <c r="B28" s="31">
        <f t="shared" si="1"/>
        <v>12168</v>
      </c>
      <c r="C28" s="32" t="str">
        <f t="shared" ref="C28:L28" si="27">DEC2HEX(HEX2DEC(C27)+468)</f>
        <v>AE3136</v>
      </c>
      <c r="D28" s="31" t="str">
        <f t="shared" si="27"/>
        <v>AE31E2</v>
      </c>
      <c r="E28" s="155" t="str">
        <f t="shared" si="27"/>
        <v>AE3150</v>
      </c>
      <c r="F28" s="157" t="str">
        <f t="shared" si="27"/>
        <v>AE31CF</v>
      </c>
      <c r="G28" t="str">
        <f t="shared" si="27"/>
        <v>AE31FC</v>
      </c>
      <c r="H28" s="158" t="str">
        <f t="shared" si="27"/>
        <v>AE31FE</v>
      </c>
      <c r="I28" t="str">
        <f t="shared" si="27"/>
        <v>AE3200</v>
      </c>
      <c r="J28" t="str">
        <f t="shared" si="27"/>
        <v>AE3202</v>
      </c>
      <c r="K28" t="str">
        <f t="shared" si="27"/>
        <v>AE3204</v>
      </c>
      <c r="L28" t="str">
        <f t="shared" si="27"/>
        <v>AE3207</v>
      </c>
      <c r="M28" s="14" t="s">
        <v>95</v>
      </c>
    </row>
    <row r="29">
      <c r="A29" s="31">
        <v>27.0</v>
      </c>
      <c r="B29" s="31">
        <f t="shared" si="1"/>
        <v>12636</v>
      </c>
      <c r="C29" s="32" t="str">
        <f t="shared" ref="C29:L29" si="28">DEC2HEX(HEX2DEC(C28)+468)</f>
        <v>AE330A</v>
      </c>
      <c r="D29" s="31" t="str">
        <f t="shared" si="28"/>
        <v>AE33B6</v>
      </c>
      <c r="E29" s="155" t="str">
        <f t="shared" si="28"/>
        <v>AE3324</v>
      </c>
      <c r="F29" s="157" t="str">
        <f t="shared" si="28"/>
        <v>AE33A3</v>
      </c>
      <c r="G29" t="str">
        <f t="shared" si="28"/>
        <v>AE33D0</v>
      </c>
      <c r="H29" s="158" t="str">
        <f t="shared" si="28"/>
        <v>AE33D2</v>
      </c>
      <c r="I29" t="str">
        <f t="shared" si="28"/>
        <v>AE33D4</v>
      </c>
      <c r="J29" t="str">
        <f t="shared" si="28"/>
        <v>AE33D6</v>
      </c>
      <c r="K29" t="str">
        <f t="shared" si="28"/>
        <v>AE33D8</v>
      </c>
      <c r="L29" t="str">
        <f t="shared" si="28"/>
        <v>AE33DB</v>
      </c>
      <c r="M29" s="14" t="s">
        <v>95</v>
      </c>
    </row>
    <row r="30">
      <c r="A30" s="31">
        <v>28.0</v>
      </c>
      <c r="B30" s="31">
        <f t="shared" si="1"/>
        <v>13104</v>
      </c>
      <c r="C30" s="32" t="str">
        <f t="shared" ref="C30:L30" si="29">DEC2HEX(HEX2DEC(C29)+468)</f>
        <v>AE34DE</v>
      </c>
      <c r="D30" s="31" t="str">
        <f t="shared" si="29"/>
        <v>AE358A</v>
      </c>
      <c r="E30" s="155" t="str">
        <f t="shared" si="29"/>
        <v>AE34F8</v>
      </c>
      <c r="F30" s="157" t="str">
        <f t="shared" si="29"/>
        <v>AE3577</v>
      </c>
      <c r="G30" t="str">
        <f t="shared" si="29"/>
        <v>AE35A4</v>
      </c>
      <c r="H30" s="158" t="str">
        <f t="shared" si="29"/>
        <v>AE35A6</v>
      </c>
      <c r="I30" t="str">
        <f t="shared" si="29"/>
        <v>AE35A8</v>
      </c>
      <c r="J30" t="str">
        <f t="shared" si="29"/>
        <v>AE35AA</v>
      </c>
      <c r="K30" t="str">
        <f t="shared" si="29"/>
        <v>AE35AC</v>
      </c>
      <c r="L30" t="str">
        <f t="shared" si="29"/>
        <v>AE35AF</v>
      </c>
      <c r="M30" s="14" t="s">
        <v>95</v>
      </c>
    </row>
    <row r="31">
      <c r="A31" s="31">
        <v>29.0</v>
      </c>
      <c r="B31" s="31">
        <f t="shared" si="1"/>
        <v>13572</v>
      </c>
      <c r="C31" s="32" t="str">
        <f t="shared" ref="C31:L31" si="30">DEC2HEX(HEX2DEC(C30)+468)</f>
        <v>AE36B2</v>
      </c>
      <c r="D31" s="31" t="str">
        <f t="shared" si="30"/>
        <v>AE375E</v>
      </c>
      <c r="E31" s="155" t="str">
        <f t="shared" si="30"/>
        <v>AE36CC</v>
      </c>
      <c r="F31" s="157" t="str">
        <f t="shared" si="30"/>
        <v>AE374B</v>
      </c>
      <c r="G31" t="str">
        <f t="shared" si="30"/>
        <v>AE3778</v>
      </c>
      <c r="H31" s="158" t="str">
        <f t="shared" si="30"/>
        <v>AE377A</v>
      </c>
      <c r="I31" t="str">
        <f t="shared" si="30"/>
        <v>AE377C</v>
      </c>
      <c r="J31" t="str">
        <f t="shared" si="30"/>
        <v>AE377E</v>
      </c>
      <c r="K31" t="str">
        <f t="shared" si="30"/>
        <v>AE3780</v>
      </c>
      <c r="L31" t="str">
        <f t="shared" si="30"/>
        <v>AE3783</v>
      </c>
      <c r="M31" s="14" t="s">
        <v>95</v>
      </c>
    </row>
    <row r="32">
      <c r="A32" s="31">
        <v>30.0</v>
      </c>
      <c r="B32" s="31">
        <f t="shared" si="1"/>
        <v>14040</v>
      </c>
      <c r="C32" s="32" t="str">
        <f t="shared" ref="C32:L32" si="31">DEC2HEX(HEX2DEC(C31)+468)</f>
        <v>AE3886</v>
      </c>
      <c r="D32" s="31" t="str">
        <f t="shared" si="31"/>
        <v>AE3932</v>
      </c>
      <c r="E32" s="155" t="str">
        <f t="shared" si="31"/>
        <v>AE38A0</v>
      </c>
      <c r="F32" s="157" t="str">
        <f t="shared" si="31"/>
        <v>AE391F</v>
      </c>
      <c r="G32" t="str">
        <f t="shared" si="31"/>
        <v>AE394C</v>
      </c>
      <c r="H32" s="158" t="str">
        <f t="shared" si="31"/>
        <v>AE394E</v>
      </c>
      <c r="I32" t="str">
        <f t="shared" si="31"/>
        <v>AE3950</v>
      </c>
      <c r="J32" t="str">
        <f t="shared" si="31"/>
        <v>AE3952</v>
      </c>
      <c r="K32" t="str">
        <f t="shared" si="31"/>
        <v>AE3954</v>
      </c>
      <c r="L32" t="str">
        <f t="shared" si="31"/>
        <v>AE3957</v>
      </c>
      <c r="M32" s="14" t="s">
        <v>95</v>
      </c>
    </row>
    <row r="33">
      <c r="A33" s="31">
        <v>31.0</v>
      </c>
      <c r="B33" s="31">
        <f t="shared" si="1"/>
        <v>14508</v>
      </c>
      <c r="C33" s="32" t="str">
        <f t="shared" ref="C33:L33" si="32">DEC2HEX(HEX2DEC(C32)+468)</f>
        <v>AE3A5A</v>
      </c>
      <c r="D33" s="31" t="str">
        <f t="shared" si="32"/>
        <v>AE3B06</v>
      </c>
      <c r="E33" s="155" t="str">
        <f t="shared" si="32"/>
        <v>AE3A74</v>
      </c>
      <c r="F33" s="157" t="str">
        <f t="shared" si="32"/>
        <v>AE3AF3</v>
      </c>
      <c r="G33" t="str">
        <f t="shared" si="32"/>
        <v>AE3B20</v>
      </c>
      <c r="H33" s="158" t="str">
        <f t="shared" si="32"/>
        <v>AE3B22</v>
      </c>
      <c r="I33" t="str">
        <f t="shared" si="32"/>
        <v>AE3B24</v>
      </c>
      <c r="J33" t="str">
        <f t="shared" si="32"/>
        <v>AE3B26</v>
      </c>
      <c r="K33" t="str">
        <f t="shared" si="32"/>
        <v>AE3B28</v>
      </c>
      <c r="L33" t="str">
        <f t="shared" si="32"/>
        <v>AE3B2B</v>
      </c>
      <c r="M33" s="14" t="s">
        <v>95</v>
      </c>
    </row>
    <row r="34">
      <c r="A34" s="31">
        <v>32.0</v>
      </c>
      <c r="B34" s="31">
        <f t="shared" si="1"/>
        <v>14976</v>
      </c>
      <c r="C34" s="32" t="str">
        <f t="shared" ref="C34:L34" si="33">DEC2HEX(HEX2DEC(C33)+468)</f>
        <v>AE3C2E</v>
      </c>
      <c r="D34" s="31" t="str">
        <f t="shared" si="33"/>
        <v>AE3CDA</v>
      </c>
      <c r="E34" s="155" t="str">
        <f t="shared" si="33"/>
        <v>AE3C48</v>
      </c>
      <c r="F34" s="157" t="str">
        <f t="shared" si="33"/>
        <v>AE3CC7</v>
      </c>
      <c r="G34" t="str">
        <f t="shared" si="33"/>
        <v>AE3CF4</v>
      </c>
      <c r="H34" s="158" t="str">
        <f t="shared" si="33"/>
        <v>AE3CF6</v>
      </c>
      <c r="I34" t="str">
        <f t="shared" si="33"/>
        <v>AE3CF8</v>
      </c>
      <c r="J34" t="str">
        <f t="shared" si="33"/>
        <v>AE3CFA</v>
      </c>
      <c r="K34" t="str">
        <f t="shared" si="33"/>
        <v>AE3CFC</v>
      </c>
      <c r="L34" t="str">
        <f t="shared" si="33"/>
        <v>AE3CFF</v>
      </c>
      <c r="M34" s="14" t="s">
        <v>95</v>
      </c>
    </row>
    <row r="35">
      <c r="A35" s="31">
        <v>33.0</v>
      </c>
      <c r="B35" s="31">
        <f t="shared" si="1"/>
        <v>15444</v>
      </c>
      <c r="C35" s="32" t="str">
        <f t="shared" ref="C35:L35" si="34">DEC2HEX(HEX2DEC(C34)+468)</f>
        <v>AE3E02</v>
      </c>
      <c r="D35" s="31" t="str">
        <f t="shared" si="34"/>
        <v>AE3EAE</v>
      </c>
      <c r="E35" s="155" t="str">
        <f t="shared" si="34"/>
        <v>AE3E1C</v>
      </c>
      <c r="F35" s="157" t="str">
        <f t="shared" si="34"/>
        <v>AE3E9B</v>
      </c>
      <c r="G35" t="str">
        <f t="shared" si="34"/>
        <v>AE3EC8</v>
      </c>
      <c r="H35" s="158" t="str">
        <f t="shared" si="34"/>
        <v>AE3ECA</v>
      </c>
      <c r="I35" t="str">
        <f t="shared" si="34"/>
        <v>AE3ECC</v>
      </c>
      <c r="J35" t="str">
        <f t="shared" si="34"/>
        <v>AE3ECE</v>
      </c>
      <c r="K35" t="str">
        <f t="shared" si="34"/>
        <v>AE3ED0</v>
      </c>
      <c r="L35" t="str">
        <f t="shared" si="34"/>
        <v>AE3ED3</v>
      </c>
      <c r="M35" s="14" t="s">
        <v>95</v>
      </c>
    </row>
    <row r="36">
      <c r="A36" s="31">
        <v>34.0</v>
      </c>
      <c r="B36" s="31">
        <f t="shared" si="1"/>
        <v>15912</v>
      </c>
      <c r="C36" s="32" t="str">
        <f t="shared" ref="C36:L36" si="35">DEC2HEX(HEX2DEC(C35)+468)</f>
        <v>AE3FD6</v>
      </c>
      <c r="D36" s="31" t="str">
        <f t="shared" si="35"/>
        <v>AE4082</v>
      </c>
      <c r="E36" s="155" t="str">
        <f t="shared" si="35"/>
        <v>AE3FF0</v>
      </c>
      <c r="F36" s="157" t="str">
        <f t="shared" si="35"/>
        <v>AE406F</v>
      </c>
      <c r="G36" t="str">
        <f t="shared" si="35"/>
        <v>AE409C</v>
      </c>
      <c r="H36" s="158" t="str">
        <f t="shared" si="35"/>
        <v>AE409E</v>
      </c>
      <c r="I36" t="str">
        <f t="shared" si="35"/>
        <v>AE40A0</v>
      </c>
      <c r="J36" t="str">
        <f t="shared" si="35"/>
        <v>AE40A2</v>
      </c>
      <c r="K36" t="str">
        <f t="shared" si="35"/>
        <v>AE40A4</v>
      </c>
      <c r="L36" t="str">
        <f t="shared" si="35"/>
        <v>AE40A7</v>
      </c>
      <c r="M36" s="14" t="s">
        <v>95</v>
      </c>
    </row>
    <row r="37">
      <c r="A37" s="31">
        <v>35.0</v>
      </c>
      <c r="B37" s="31">
        <f t="shared" si="1"/>
        <v>16380</v>
      </c>
      <c r="C37" s="32" t="str">
        <f t="shared" ref="C37:L37" si="36">DEC2HEX(HEX2DEC(C36)+468)</f>
        <v>AE41AA</v>
      </c>
      <c r="D37" s="31" t="str">
        <f t="shared" si="36"/>
        <v>AE4256</v>
      </c>
      <c r="E37" s="155" t="str">
        <f t="shared" si="36"/>
        <v>AE41C4</v>
      </c>
      <c r="F37" s="157" t="str">
        <f t="shared" si="36"/>
        <v>AE4243</v>
      </c>
      <c r="G37" t="str">
        <f t="shared" si="36"/>
        <v>AE4270</v>
      </c>
      <c r="H37" s="158" t="str">
        <f t="shared" si="36"/>
        <v>AE4272</v>
      </c>
      <c r="I37" t="str">
        <f t="shared" si="36"/>
        <v>AE4274</v>
      </c>
      <c r="J37" t="str">
        <f t="shared" si="36"/>
        <v>AE4276</v>
      </c>
      <c r="K37" t="str">
        <f t="shared" si="36"/>
        <v>AE4278</v>
      </c>
      <c r="L37" t="str">
        <f t="shared" si="36"/>
        <v>AE427B</v>
      </c>
      <c r="M37" s="14" t="s">
        <v>95</v>
      </c>
    </row>
    <row r="38">
      <c r="A38" s="31">
        <v>36.0</v>
      </c>
      <c r="B38" s="31">
        <f t="shared" si="1"/>
        <v>16848</v>
      </c>
      <c r="C38" s="32" t="str">
        <f t="shared" ref="C38:L38" si="37">DEC2HEX(HEX2DEC(C37)+468)</f>
        <v>AE437E</v>
      </c>
      <c r="D38" s="31" t="str">
        <f t="shared" si="37"/>
        <v>AE442A</v>
      </c>
      <c r="E38" s="155" t="str">
        <f t="shared" si="37"/>
        <v>AE4398</v>
      </c>
      <c r="F38" s="157" t="str">
        <f t="shared" si="37"/>
        <v>AE4417</v>
      </c>
      <c r="G38" t="str">
        <f t="shared" si="37"/>
        <v>AE4444</v>
      </c>
      <c r="H38" s="158" t="str">
        <f t="shared" si="37"/>
        <v>AE4446</v>
      </c>
      <c r="I38" t="str">
        <f t="shared" si="37"/>
        <v>AE4448</v>
      </c>
      <c r="J38" t="str">
        <f t="shared" si="37"/>
        <v>AE444A</v>
      </c>
      <c r="K38" t="str">
        <f t="shared" si="37"/>
        <v>AE444C</v>
      </c>
      <c r="L38" t="str">
        <f t="shared" si="37"/>
        <v>AE444F</v>
      </c>
      <c r="M38" s="14" t="s">
        <v>95</v>
      </c>
    </row>
    <row r="39">
      <c r="A39" s="31">
        <v>37.0</v>
      </c>
      <c r="B39" s="31">
        <f t="shared" si="1"/>
        <v>17316</v>
      </c>
      <c r="C39" s="32" t="str">
        <f t="shared" ref="C39:L39" si="38">DEC2HEX(HEX2DEC(C38)+468)</f>
        <v>AE4552</v>
      </c>
      <c r="D39" s="31" t="str">
        <f t="shared" si="38"/>
        <v>AE45FE</v>
      </c>
      <c r="E39" s="155" t="str">
        <f t="shared" si="38"/>
        <v>AE456C</v>
      </c>
      <c r="F39" s="157" t="str">
        <f t="shared" si="38"/>
        <v>AE45EB</v>
      </c>
      <c r="G39" t="str">
        <f t="shared" si="38"/>
        <v>AE4618</v>
      </c>
      <c r="H39" s="158" t="str">
        <f t="shared" si="38"/>
        <v>AE461A</v>
      </c>
      <c r="I39" t="str">
        <f t="shared" si="38"/>
        <v>AE461C</v>
      </c>
      <c r="J39" t="str">
        <f t="shared" si="38"/>
        <v>AE461E</v>
      </c>
      <c r="K39" t="str">
        <f t="shared" si="38"/>
        <v>AE4620</v>
      </c>
      <c r="L39" t="str">
        <f t="shared" si="38"/>
        <v>AE4623</v>
      </c>
      <c r="M39" s="14" t="s">
        <v>95</v>
      </c>
    </row>
    <row r="40">
      <c r="A40" s="31">
        <v>38.0</v>
      </c>
      <c r="B40" s="31">
        <f t="shared" si="1"/>
        <v>17784</v>
      </c>
      <c r="C40" s="32" t="str">
        <f t="shared" ref="C40:L40" si="39">DEC2HEX(HEX2DEC(C39)+468)</f>
        <v>AE4726</v>
      </c>
      <c r="D40" s="31" t="str">
        <f t="shared" si="39"/>
        <v>AE47D2</v>
      </c>
      <c r="E40" s="155" t="str">
        <f t="shared" si="39"/>
        <v>AE4740</v>
      </c>
      <c r="F40" s="157" t="str">
        <f t="shared" si="39"/>
        <v>AE47BF</v>
      </c>
      <c r="G40" t="str">
        <f t="shared" si="39"/>
        <v>AE47EC</v>
      </c>
      <c r="H40" s="158" t="str">
        <f t="shared" si="39"/>
        <v>AE47EE</v>
      </c>
      <c r="I40" t="str">
        <f t="shared" si="39"/>
        <v>AE47F0</v>
      </c>
      <c r="J40" t="str">
        <f t="shared" si="39"/>
        <v>AE47F2</v>
      </c>
      <c r="K40" t="str">
        <f t="shared" si="39"/>
        <v>AE47F4</v>
      </c>
      <c r="L40" t="str">
        <f t="shared" si="39"/>
        <v>AE47F7</v>
      </c>
      <c r="M40" s="14" t="s">
        <v>95</v>
      </c>
    </row>
    <row r="41">
      <c r="A41" s="31">
        <v>39.0</v>
      </c>
      <c r="B41" s="31">
        <f t="shared" si="1"/>
        <v>18252</v>
      </c>
      <c r="C41" s="32" t="str">
        <f t="shared" ref="C41:L41" si="40">DEC2HEX(HEX2DEC(C40)+468)</f>
        <v>AE48FA</v>
      </c>
      <c r="D41" s="31" t="str">
        <f t="shared" si="40"/>
        <v>AE49A6</v>
      </c>
      <c r="E41" s="155" t="str">
        <f t="shared" si="40"/>
        <v>AE4914</v>
      </c>
      <c r="F41" s="157" t="str">
        <f t="shared" si="40"/>
        <v>AE4993</v>
      </c>
      <c r="G41" t="str">
        <f t="shared" si="40"/>
        <v>AE49C0</v>
      </c>
      <c r="H41" s="158" t="str">
        <f t="shared" si="40"/>
        <v>AE49C2</v>
      </c>
      <c r="I41" t="str">
        <f t="shared" si="40"/>
        <v>AE49C4</v>
      </c>
      <c r="J41" t="str">
        <f t="shared" si="40"/>
        <v>AE49C6</v>
      </c>
      <c r="K41" t="str">
        <f t="shared" si="40"/>
        <v>AE49C8</v>
      </c>
      <c r="L41" t="str">
        <f t="shared" si="40"/>
        <v>AE49CB</v>
      </c>
      <c r="M41" s="14" t="s">
        <v>95</v>
      </c>
    </row>
    <row r="42">
      <c r="A42" s="31">
        <v>40.0</v>
      </c>
      <c r="B42" s="31">
        <f t="shared" si="1"/>
        <v>18720</v>
      </c>
      <c r="C42" s="32" t="str">
        <f t="shared" ref="C42:L42" si="41">DEC2HEX(HEX2DEC(C41)+468)</f>
        <v>AE4ACE</v>
      </c>
      <c r="D42" s="31" t="str">
        <f t="shared" si="41"/>
        <v>AE4B7A</v>
      </c>
      <c r="E42" s="155" t="str">
        <f t="shared" si="41"/>
        <v>AE4AE8</v>
      </c>
      <c r="F42" s="157" t="str">
        <f t="shared" si="41"/>
        <v>AE4B67</v>
      </c>
      <c r="G42" t="str">
        <f t="shared" si="41"/>
        <v>AE4B94</v>
      </c>
      <c r="H42" s="158" t="str">
        <f t="shared" si="41"/>
        <v>AE4B96</v>
      </c>
      <c r="I42" t="str">
        <f t="shared" si="41"/>
        <v>AE4B98</v>
      </c>
      <c r="J42" t="str">
        <f t="shared" si="41"/>
        <v>AE4B9A</v>
      </c>
      <c r="K42" t="str">
        <f t="shared" si="41"/>
        <v>AE4B9C</v>
      </c>
      <c r="L42" t="str">
        <f t="shared" si="41"/>
        <v>AE4B9F</v>
      </c>
      <c r="M42" s="14" t="s">
        <v>95</v>
      </c>
    </row>
    <row r="43">
      <c r="A43" s="31">
        <v>41.0</v>
      </c>
      <c r="B43" s="31">
        <f t="shared" si="1"/>
        <v>19188</v>
      </c>
      <c r="C43" s="32" t="str">
        <f t="shared" ref="C43:L43" si="42">DEC2HEX(HEX2DEC(C42)+468)</f>
        <v>AE4CA2</v>
      </c>
      <c r="D43" s="31" t="str">
        <f t="shared" si="42"/>
        <v>AE4D4E</v>
      </c>
      <c r="E43" s="155" t="str">
        <f t="shared" si="42"/>
        <v>AE4CBC</v>
      </c>
      <c r="F43" s="157" t="str">
        <f t="shared" si="42"/>
        <v>AE4D3B</v>
      </c>
      <c r="G43" t="str">
        <f t="shared" si="42"/>
        <v>AE4D68</v>
      </c>
      <c r="H43" s="158" t="str">
        <f t="shared" si="42"/>
        <v>AE4D6A</v>
      </c>
      <c r="I43" t="str">
        <f t="shared" si="42"/>
        <v>AE4D6C</v>
      </c>
      <c r="J43" t="str">
        <f t="shared" si="42"/>
        <v>AE4D6E</v>
      </c>
      <c r="K43" t="str">
        <f t="shared" si="42"/>
        <v>AE4D70</v>
      </c>
      <c r="L43" t="str">
        <f t="shared" si="42"/>
        <v>AE4D73</v>
      </c>
      <c r="M43" s="14" t="s">
        <v>95</v>
      </c>
    </row>
    <row r="44">
      <c r="A44" s="31">
        <v>42.0</v>
      </c>
      <c r="B44" s="31">
        <f t="shared" si="1"/>
        <v>19656</v>
      </c>
      <c r="C44" s="32" t="str">
        <f t="shared" ref="C44:L44" si="43">DEC2HEX(HEX2DEC(C43)+468)</f>
        <v>AE4E76</v>
      </c>
      <c r="D44" s="31" t="str">
        <f t="shared" si="43"/>
        <v>AE4F22</v>
      </c>
      <c r="E44" s="155" t="str">
        <f t="shared" si="43"/>
        <v>AE4E90</v>
      </c>
      <c r="F44" s="157" t="str">
        <f t="shared" si="43"/>
        <v>AE4F0F</v>
      </c>
      <c r="G44" t="str">
        <f t="shared" si="43"/>
        <v>AE4F3C</v>
      </c>
      <c r="H44" s="158" t="str">
        <f t="shared" si="43"/>
        <v>AE4F3E</v>
      </c>
      <c r="I44" t="str">
        <f t="shared" si="43"/>
        <v>AE4F40</v>
      </c>
      <c r="J44" t="str">
        <f t="shared" si="43"/>
        <v>AE4F42</v>
      </c>
      <c r="K44" t="str">
        <f t="shared" si="43"/>
        <v>AE4F44</v>
      </c>
      <c r="L44" t="str">
        <f t="shared" si="43"/>
        <v>AE4F47</v>
      </c>
      <c r="M44" s="14" t="s">
        <v>95</v>
      </c>
    </row>
    <row r="45">
      <c r="A45" s="31">
        <v>43.0</v>
      </c>
      <c r="B45" s="31">
        <f t="shared" si="1"/>
        <v>20124</v>
      </c>
      <c r="C45" s="32" t="str">
        <f t="shared" ref="C45:L45" si="44">DEC2HEX(HEX2DEC(C44)+468)</f>
        <v>AE504A</v>
      </c>
      <c r="D45" s="31" t="str">
        <f t="shared" si="44"/>
        <v>AE50F6</v>
      </c>
      <c r="E45" s="155" t="str">
        <f t="shared" si="44"/>
        <v>AE5064</v>
      </c>
      <c r="F45" s="157" t="str">
        <f t="shared" si="44"/>
        <v>AE50E3</v>
      </c>
      <c r="G45" t="str">
        <f t="shared" si="44"/>
        <v>AE5110</v>
      </c>
      <c r="H45" s="158" t="str">
        <f t="shared" si="44"/>
        <v>AE5112</v>
      </c>
      <c r="I45" t="str">
        <f t="shared" si="44"/>
        <v>AE5114</v>
      </c>
      <c r="J45" t="str">
        <f t="shared" si="44"/>
        <v>AE5116</v>
      </c>
      <c r="K45" t="str">
        <f t="shared" si="44"/>
        <v>AE5118</v>
      </c>
      <c r="L45" t="str">
        <f t="shared" si="44"/>
        <v>AE511B</v>
      </c>
      <c r="M45" s="14" t="s">
        <v>95</v>
      </c>
    </row>
    <row r="46">
      <c r="A46" s="31">
        <v>44.0</v>
      </c>
      <c r="B46" s="31">
        <f t="shared" si="1"/>
        <v>20592</v>
      </c>
      <c r="C46" s="32" t="str">
        <f t="shared" ref="C46:L46" si="45">DEC2HEX(HEX2DEC(C45)+468)</f>
        <v>AE521E</v>
      </c>
      <c r="D46" s="31" t="str">
        <f t="shared" si="45"/>
        <v>AE52CA</v>
      </c>
      <c r="E46" s="155" t="str">
        <f t="shared" si="45"/>
        <v>AE5238</v>
      </c>
      <c r="F46" s="157" t="str">
        <f t="shared" si="45"/>
        <v>AE52B7</v>
      </c>
      <c r="G46" t="str">
        <f t="shared" si="45"/>
        <v>AE52E4</v>
      </c>
      <c r="H46" s="158" t="str">
        <f t="shared" si="45"/>
        <v>AE52E6</v>
      </c>
      <c r="I46" t="str">
        <f t="shared" si="45"/>
        <v>AE52E8</v>
      </c>
      <c r="J46" t="str">
        <f t="shared" si="45"/>
        <v>AE52EA</v>
      </c>
      <c r="K46" t="str">
        <f t="shared" si="45"/>
        <v>AE52EC</v>
      </c>
      <c r="L46" t="str">
        <f t="shared" si="45"/>
        <v>AE52EF</v>
      </c>
      <c r="M46" s="14" t="s">
        <v>95</v>
      </c>
    </row>
    <row r="47">
      <c r="A47" s="31">
        <v>45.0</v>
      </c>
      <c r="B47" s="31">
        <f t="shared" si="1"/>
        <v>21060</v>
      </c>
      <c r="C47" s="32" t="str">
        <f t="shared" ref="C47:L47" si="46">DEC2HEX(HEX2DEC(C46)+468)</f>
        <v>AE53F2</v>
      </c>
      <c r="D47" s="31" t="str">
        <f t="shared" si="46"/>
        <v>AE549E</v>
      </c>
      <c r="E47" s="155" t="str">
        <f t="shared" si="46"/>
        <v>AE540C</v>
      </c>
      <c r="F47" s="157" t="str">
        <f t="shared" si="46"/>
        <v>AE548B</v>
      </c>
      <c r="G47" t="str">
        <f t="shared" si="46"/>
        <v>AE54B8</v>
      </c>
      <c r="H47" s="158" t="str">
        <f t="shared" si="46"/>
        <v>AE54BA</v>
      </c>
      <c r="I47" t="str">
        <f t="shared" si="46"/>
        <v>AE54BC</v>
      </c>
      <c r="J47" t="str">
        <f t="shared" si="46"/>
        <v>AE54BE</v>
      </c>
      <c r="K47" t="str">
        <f t="shared" si="46"/>
        <v>AE54C0</v>
      </c>
      <c r="L47" t="str">
        <f t="shared" si="46"/>
        <v>AE54C3</v>
      </c>
      <c r="M47" s="14" t="s">
        <v>95</v>
      </c>
    </row>
    <row r="48">
      <c r="A48" s="31">
        <v>46.0</v>
      </c>
      <c r="B48" s="31">
        <f t="shared" si="1"/>
        <v>21528</v>
      </c>
      <c r="C48" s="32" t="str">
        <f t="shared" ref="C48:L48" si="47">DEC2HEX(HEX2DEC(C47)+468)</f>
        <v>AE55C6</v>
      </c>
      <c r="D48" s="31" t="str">
        <f t="shared" si="47"/>
        <v>AE5672</v>
      </c>
      <c r="E48" s="155" t="str">
        <f t="shared" si="47"/>
        <v>AE55E0</v>
      </c>
      <c r="F48" s="157" t="str">
        <f t="shared" si="47"/>
        <v>AE565F</v>
      </c>
      <c r="G48" t="str">
        <f t="shared" si="47"/>
        <v>AE568C</v>
      </c>
      <c r="H48" s="158" t="str">
        <f t="shared" si="47"/>
        <v>AE568E</v>
      </c>
      <c r="I48" t="str">
        <f t="shared" si="47"/>
        <v>AE5690</v>
      </c>
      <c r="J48" t="str">
        <f t="shared" si="47"/>
        <v>AE5692</v>
      </c>
      <c r="K48" t="str">
        <f t="shared" si="47"/>
        <v>AE5694</v>
      </c>
      <c r="L48" t="str">
        <f t="shared" si="47"/>
        <v>AE5697</v>
      </c>
      <c r="M48" s="14" t="s">
        <v>95</v>
      </c>
    </row>
    <row r="49">
      <c r="A49" s="31">
        <v>47.0</v>
      </c>
      <c r="B49" s="31">
        <f t="shared" si="1"/>
        <v>21996</v>
      </c>
      <c r="C49" s="32" t="str">
        <f t="shared" ref="C49:L49" si="48">DEC2HEX(HEX2DEC(C48)+468)</f>
        <v>AE579A</v>
      </c>
      <c r="D49" s="31" t="str">
        <f t="shared" si="48"/>
        <v>AE5846</v>
      </c>
      <c r="E49" s="155" t="str">
        <f t="shared" si="48"/>
        <v>AE57B4</v>
      </c>
      <c r="F49" s="157" t="str">
        <f t="shared" si="48"/>
        <v>AE5833</v>
      </c>
      <c r="G49" t="str">
        <f t="shared" si="48"/>
        <v>AE5860</v>
      </c>
      <c r="H49" s="158" t="str">
        <f t="shared" si="48"/>
        <v>AE5862</v>
      </c>
      <c r="I49" t="str">
        <f t="shared" si="48"/>
        <v>AE5864</v>
      </c>
      <c r="J49" t="str">
        <f t="shared" si="48"/>
        <v>AE5866</v>
      </c>
      <c r="K49" t="str">
        <f t="shared" si="48"/>
        <v>AE5868</v>
      </c>
      <c r="L49" t="str">
        <f t="shared" si="48"/>
        <v>AE586B</v>
      </c>
      <c r="M49" s="14" t="s">
        <v>95</v>
      </c>
    </row>
    <row r="50">
      <c r="A50" s="31">
        <v>48.0</v>
      </c>
      <c r="B50" s="31">
        <f t="shared" si="1"/>
        <v>22464</v>
      </c>
      <c r="C50" s="32" t="str">
        <f t="shared" ref="C50:L50" si="49">DEC2HEX(HEX2DEC(C49)+468)</f>
        <v>AE596E</v>
      </c>
      <c r="D50" s="31" t="str">
        <f t="shared" si="49"/>
        <v>AE5A1A</v>
      </c>
      <c r="E50" s="155" t="str">
        <f t="shared" si="49"/>
        <v>AE5988</v>
      </c>
      <c r="F50" s="157" t="str">
        <f t="shared" si="49"/>
        <v>AE5A07</v>
      </c>
      <c r="G50" t="str">
        <f t="shared" si="49"/>
        <v>AE5A34</v>
      </c>
      <c r="H50" s="158" t="str">
        <f t="shared" si="49"/>
        <v>AE5A36</v>
      </c>
      <c r="I50" t="str">
        <f t="shared" si="49"/>
        <v>AE5A38</v>
      </c>
      <c r="J50" t="str">
        <f t="shared" si="49"/>
        <v>AE5A3A</v>
      </c>
      <c r="K50" t="str">
        <f t="shared" si="49"/>
        <v>AE5A3C</v>
      </c>
      <c r="L50" t="str">
        <f t="shared" si="49"/>
        <v>AE5A3F</v>
      </c>
      <c r="M50" s="14" t="s">
        <v>95</v>
      </c>
    </row>
    <row r="51">
      <c r="A51" s="31">
        <v>49.0</v>
      </c>
      <c r="B51" s="31">
        <f t="shared" si="1"/>
        <v>22932</v>
      </c>
      <c r="C51" s="32" t="str">
        <f t="shared" ref="C51:L51" si="50">DEC2HEX(HEX2DEC(C50)+468)</f>
        <v>AE5B42</v>
      </c>
      <c r="D51" s="31" t="str">
        <f t="shared" si="50"/>
        <v>AE5BEE</v>
      </c>
      <c r="E51" s="155" t="str">
        <f t="shared" si="50"/>
        <v>AE5B5C</v>
      </c>
      <c r="F51" s="157" t="str">
        <f t="shared" si="50"/>
        <v>AE5BDB</v>
      </c>
      <c r="G51" t="str">
        <f t="shared" si="50"/>
        <v>AE5C08</v>
      </c>
      <c r="H51" s="158" t="str">
        <f t="shared" si="50"/>
        <v>AE5C0A</v>
      </c>
      <c r="I51" t="str">
        <f t="shared" si="50"/>
        <v>AE5C0C</v>
      </c>
      <c r="J51" t="str">
        <f t="shared" si="50"/>
        <v>AE5C0E</v>
      </c>
      <c r="K51" t="str">
        <f t="shared" si="50"/>
        <v>AE5C10</v>
      </c>
      <c r="L51" t="str">
        <f t="shared" si="50"/>
        <v>AE5C13</v>
      </c>
      <c r="M51" s="14" t="s">
        <v>95</v>
      </c>
    </row>
    <row r="52">
      <c r="A52" s="31">
        <v>50.0</v>
      </c>
      <c r="B52" s="31">
        <f t="shared" si="1"/>
        <v>23400</v>
      </c>
      <c r="C52" s="32" t="str">
        <f t="shared" ref="C52:L52" si="51">DEC2HEX(HEX2DEC(C51)+468)</f>
        <v>AE5D16</v>
      </c>
      <c r="D52" s="31" t="str">
        <f t="shared" si="51"/>
        <v>AE5DC2</v>
      </c>
      <c r="E52" s="155" t="str">
        <f t="shared" si="51"/>
        <v>AE5D30</v>
      </c>
      <c r="F52" s="157" t="str">
        <f t="shared" si="51"/>
        <v>AE5DAF</v>
      </c>
      <c r="G52" t="str">
        <f t="shared" si="51"/>
        <v>AE5DDC</v>
      </c>
      <c r="H52" s="158" t="str">
        <f t="shared" si="51"/>
        <v>AE5DDE</v>
      </c>
      <c r="I52" t="str">
        <f t="shared" si="51"/>
        <v>AE5DE0</v>
      </c>
      <c r="J52" t="str">
        <f t="shared" si="51"/>
        <v>AE5DE2</v>
      </c>
      <c r="K52" t="str">
        <f t="shared" si="51"/>
        <v>AE5DE4</v>
      </c>
      <c r="L52" t="str">
        <f t="shared" si="51"/>
        <v>AE5DE7</v>
      </c>
      <c r="M52" s="14" t="s">
        <v>95</v>
      </c>
    </row>
    <row r="53">
      <c r="A53" s="31">
        <v>51.0</v>
      </c>
      <c r="B53" s="31">
        <f t="shared" si="1"/>
        <v>23868</v>
      </c>
      <c r="C53" s="32" t="str">
        <f t="shared" ref="C53:L53" si="52">DEC2HEX(HEX2DEC(C52)+468)</f>
        <v>AE5EEA</v>
      </c>
      <c r="D53" s="31" t="str">
        <f t="shared" si="52"/>
        <v>AE5F96</v>
      </c>
      <c r="E53" s="155" t="str">
        <f t="shared" si="52"/>
        <v>AE5F04</v>
      </c>
      <c r="F53" s="157" t="str">
        <f t="shared" si="52"/>
        <v>AE5F83</v>
      </c>
      <c r="G53" t="str">
        <f t="shared" si="52"/>
        <v>AE5FB0</v>
      </c>
      <c r="H53" s="158" t="str">
        <f t="shared" si="52"/>
        <v>AE5FB2</v>
      </c>
      <c r="I53" t="str">
        <f t="shared" si="52"/>
        <v>AE5FB4</v>
      </c>
      <c r="J53" t="str">
        <f t="shared" si="52"/>
        <v>AE5FB6</v>
      </c>
      <c r="K53" t="str">
        <f t="shared" si="52"/>
        <v>AE5FB8</v>
      </c>
      <c r="L53" t="str">
        <f t="shared" si="52"/>
        <v>AE5FBB</v>
      </c>
      <c r="M53" s="14" t="s">
        <v>95</v>
      </c>
    </row>
    <row r="54">
      <c r="A54" s="31">
        <v>52.0</v>
      </c>
      <c r="B54" s="31">
        <f t="shared" si="1"/>
        <v>24336</v>
      </c>
      <c r="C54" s="32" t="str">
        <f t="shared" ref="C54:L54" si="53">DEC2HEX(HEX2DEC(C53)+468)</f>
        <v>AE60BE</v>
      </c>
      <c r="D54" s="31" t="str">
        <f t="shared" si="53"/>
        <v>AE616A</v>
      </c>
      <c r="E54" s="155" t="str">
        <f t="shared" si="53"/>
        <v>AE60D8</v>
      </c>
      <c r="F54" s="157" t="str">
        <f t="shared" si="53"/>
        <v>AE6157</v>
      </c>
      <c r="G54" t="str">
        <f t="shared" si="53"/>
        <v>AE6184</v>
      </c>
      <c r="H54" s="158" t="str">
        <f t="shared" si="53"/>
        <v>AE6186</v>
      </c>
      <c r="I54" t="str">
        <f t="shared" si="53"/>
        <v>AE6188</v>
      </c>
      <c r="J54" t="str">
        <f t="shared" si="53"/>
        <v>AE618A</v>
      </c>
      <c r="K54" t="str">
        <f t="shared" si="53"/>
        <v>AE618C</v>
      </c>
      <c r="L54" t="str">
        <f t="shared" si="53"/>
        <v>AE618F</v>
      </c>
      <c r="M54" s="14" t="s">
        <v>95</v>
      </c>
    </row>
    <row r="55">
      <c r="A55" s="31">
        <v>53.0</v>
      </c>
      <c r="B55" s="31">
        <f t="shared" si="1"/>
        <v>24804</v>
      </c>
      <c r="C55" s="32" t="str">
        <f t="shared" ref="C55:L55" si="54">DEC2HEX(HEX2DEC(C54)+468)</f>
        <v>AE6292</v>
      </c>
      <c r="D55" s="31" t="str">
        <f t="shared" si="54"/>
        <v>AE633E</v>
      </c>
      <c r="E55" s="155" t="str">
        <f t="shared" si="54"/>
        <v>AE62AC</v>
      </c>
      <c r="F55" s="157" t="str">
        <f t="shared" si="54"/>
        <v>AE632B</v>
      </c>
      <c r="G55" t="str">
        <f t="shared" si="54"/>
        <v>AE6358</v>
      </c>
      <c r="H55" s="158" t="str">
        <f t="shared" si="54"/>
        <v>AE635A</v>
      </c>
      <c r="I55" t="str">
        <f t="shared" si="54"/>
        <v>AE635C</v>
      </c>
      <c r="J55" t="str">
        <f t="shared" si="54"/>
        <v>AE635E</v>
      </c>
      <c r="K55" t="str">
        <f t="shared" si="54"/>
        <v>AE6360</v>
      </c>
      <c r="L55" t="str">
        <f t="shared" si="54"/>
        <v>AE6363</v>
      </c>
      <c r="M55" s="14" t="s">
        <v>95</v>
      </c>
    </row>
    <row r="56">
      <c r="A56" s="31">
        <v>54.0</v>
      </c>
      <c r="B56" s="31">
        <f t="shared" si="1"/>
        <v>25272</v>
      </c>
      <c r="C56" s="32" t="str">
        <f t="shared" ref="C56:L56" si="55">DEC2HEX(HEX2DEC(C55)+468)</f>
        <v>AE6466</v>
      </c>
      <c r="D56" s="31" t="str">
        <f t="shared" si="55"/>
        <v>AE6512</v>
      </c>
      <c r="E56" s="155" t="str">
        <f t="shared" si="55"/>
        <v>AE6480</v>
      </c>
      <c r="F56" s="157" t="str">
        <f t="shared" si="55"/>
        <v>AE64FF</v>
      </c>
      <c r="G56" t="str">
        <f t="shared" si="55"/>
        <v>AE652C</v>
      </c>
      <c r="H56" s="158" t="str">
        <f t="shared" si="55"/>
        <v>AE652E</v>
      </c>
      <c r="I56" t="str">
        <f t="shared" si="55"/>
        <v>AE6530</v>
      </c>
      <c r="J56" t="str">
        <f t="shared" si="55"/>
        <v>AE6532</v>
      </c>
      <c r="K56" t="str">
        <f t="shared" si="55"/>
        <v>AE6534</v>
      </c>
      <c r="L56" t="str">
        <f t="shared" si="55"/>
        <v>AE6537</v>
      </c>
      <c r="M56" s="14" t="s">
        <v>95</v>
      </c>
    </row>
    <row r="57">
      <c r="A57" s="31">
        <v>55.0</v>
      </c>
      <c r="B57" s="31">
        <f t="shared" si="1"/>
        <v>25740</v>
      </c>
      <c r="C57" s="32" t="str">
        <f t="shared" ref="C57:L57" si="56">DEC2HEX(HEX2DEC(C56)+468)</f>
        <v>AE663A</v>
      </c>
      <c r="D57" s="31" t="str">
        <f t="shared" si="56"/>
        <v>AE66E6</v>
      </c>
      <c r="E57" s="155" t="str">
        <f t="shared" si="56"/>
        <v>AE6654</v>
      </c>
      <c r="F57" s="157" t="str">
        <f t="shared" si="56"/>
        <v>AE66D3</v>
      </c>
      <c r="G57" t="str">
        <f t="shared" si="56"/>
        <v>AE6700</v>
      </c>
      <c r="H57" s="158" t="str">
        <f t="shared" si="56"/>
        <v>AE6702</v>
      </c>
      <c r="I57" t="str">
        <f t="shared" si="56"/>
        <v>AE6704</v>
      </c>
      <c r="J57" t="str">
        <f t="shared" si="56"/>
        <v>AE6706</v>
      </c>
      <c r="K57" t="str">
        <f t="shared" si="56"/>
        <v>AE6708</v>
      </c>
      <c r="L57" t="str">
        <f t="shared" si="56"/>
        <v>AE670B</v>
      </c>
      <c r="M57" s="14" t="s">
        <v>95</v>
      </c>
    </row>
    <row r="58">
      <c r="A58" s="31">
        <v>56.0</v>
      </c>
      <c r="B58" s="31">
        <f t="shared" si="1"/>
        <v>26208</v>
      </c>
      <c r="C58" s="32" t="str">
        <f t="shared" ref="C58:L58" si="57">DEC2HEX(HEX2DEC(C57)+468)</f>
        <v>AE680E</v>
      </c>
      <c r="D58" s="31" t="str">
        <f t="shared" si="57"/>
        <v>AE68BA</v>
      </c>
      <c r="E58" s="155" t="str">
        <f t="shared" si="57"/>
        <v>AE6828</v>
      </c>
      <c r="F58" s="157" t="str">
        <f t="shared" si="57"/>
        <v>AE68A7</v>
      </c>
      <c r="G58" t="str">
        <f t="shared" si="57"/>
        <v>AE68D4</v>
      </c>
      <c r="H58" s="158" t="str">
        <f t="shared" si="57"/>
        <v>AE68D6</v>
      </c>
      <c r="I58" t="str">
        <f t="shared" si="57"/>
        <v>AE68D8</v>
      </c>
      <c r="J58" t="str">
        <f t="shared" si="57"/>
        <v>AE68DA</v>
      </c>
      <c r="K58" t="str">
        <f t="shared" si="57"/>
        <v>AE68DC</v>
      </c>
      <c r="L58" t="str">
        <f t="shared" si="57"/>
        <v>AE68DF</v>
      </c>
      <c r="M58" s="14" t="s">
        <v>95</v>
      </c>
    </row>
    <row r="59">
      <c r="A59" s="31">
        <v>57.0</v>
      </c>
      <c r="B59" s="31">
        <f t="shared" si="1"/>
        <v>26676</v>
      </c>
      <c r="C59" s="32" t="str">
        <f t="shared" ref="C59:L59" si="58">DEC2HEX(HEX2DEC(C58)+468)</f>
        <v>AE69E2</v>
      </c>
      <c r="D59" s="31" t="str">
        <f t="shared" si="58"/>
        <v>AE6A8E</v>
      </c>
      <c r="E59" s="155" t="str">
        <f t="shared" si="58"/>
        <v>AE69FC</v>
      </c>
      <c r="F59" s="157" t="str">
        <f t="shared" si="58"/>
        <v>AE6A7B</v>
      </c>
      <c r="G59" t="str">
        <f t="shared" si="58"/>
        <v>AE6AA8</v>
      </c>
      <c r="H59" s="158" t="str">
        <f t="shared" si="58"/>
        <v>AE6AAA</v>
      </c>
      <c r="I59" t="str">
        <f t="shared" si="58"/>
        <v>AE6AAC</v>
      </c>
      <c r="J59" t="str">
        <f t="shared" si="58"/>
        <v>AE6AAE</v>
      </c>
      <c r="K59" t="str">
        <f t="shared" si="58"/>
        <v>AE6AB0</v>
      </c>
      <c r="L59" t="str">
        <f t="shared" si="58"/>
        <v>AE6AB3</v>
      </c>
      <c r="M59" s="14" t="s">
        <v>95</v>
      </c>
    </row>
    <row r="60">
      <c r="A60" s="31">
        <v>58.0</v>
      </c>
      <c r="B60" s="31">
        <f t="shared" si="1"/>
        <v>27144</v>
      </c>
      <c r="C60" s="32" t="str">
        <f t="shared" ref="C60:L60" si="59">DEC2HEX(HEX2DEC(C59)+468)</f>
        <v>AE6BB6</v>
      </c>
      <c r="D60" s="31" t="str">
        <f t="shared" si="59"/>
        <v>AE6C62</v>
      </c>
      <c r="E60" s="155" t="str">
        <f t="shared" si="59"/>
        <v>AE6BD0</v>
      </c>
      <c r="F60" s="157" t="str">
        <f t="shared" si="59"/>
        <v>AE6C4F</v>
      </c>
      <c r="G60" t="str">
        <f t="shared" si="59"/>
        <v>AE6C7C</v>
      </c>
      <c r="H60" s="158" t="str">
        <f t="shared" si="59"/>
        <v>AE6C7E</v>
      </c>
      <c r="I60" t="str">
        <f t="shared" si="59"/>
        <v>AE6C80</v>
      </c>
      <c r="J60" t="str">
        <f t="shared" si="59"/>
        <v>AE6C82</v>
      </c>
      <c r="K60" t="str">
        <f t="shared" si="59"/>
        <v>AE6C84</v>
      </c>
      <c r="L60" t="str">
        <f t="shared" si="59"/>
        <v>AE6C87</v>
      </c>
      <c r="M60" s="14" t="s">
        <v>95</v>
      </c>
    </row>
    <row r="61">
      <c r="A61" s="31">
        <v>59.0</v>
      </c>
      <c r="B61" s="31">
        <f t="shared" si="1"/>
        <v>27612</v>
      </c>
      <c r="C61" s="32" t="str">
        <f t="shared" ref="C61:L61" si="60">DEC2HEX(HEX2DEC(C60)+468)</f>
        <v>AE6D8A</v>
      </c>
      <c r="D61" s="31" t="str">
        <f t="shared" si="60"/>
        <v>AE6E36</v>
      </c>
      <c r="E61" s="155" t="str">
        <f t="shared" si="60"/>
        <v>AE6DA4</v>
      </c>
      <c r="F61" s="157" t="str">
        <f t="shared" si="60"/>
        <v>AE6E23</v>
      </c>
      <c r="G61" t="str">
        <f t="shared" si="60"/>
        <v>AE6E50</v>
      </c>
      <c r="H61" s="158" t="str">
        <f t="shared" si="60"/>
        <v>AE6E52</v>
      </c>
      <c r="I61" t="str">
        <f t="shared" si="60"/>
        <v>AE6E54</v>
      </c>
      <c r="J61" t="str">
        <f t="shared" si="60"/>
        <v>AE6E56</v>
      </c>
      <c r="K61" t="str">
        <f t="shared" si="60"/>
        <v>AE6E58</v>
      </c>
      <c r="L61" t="str">
        <f t="shared" si="60"/>
        <v>AE6E5B</v>
      </c>
      <c r="M61" s="14" t="s">
        <v>95</v>
      </c>
    </row>
    <row r="62">
      <c r="A62" s="31">
        <v>60.0</v>
      </c>
      <c r="B62" s="31">
        <f t="shared" si="1"/>
        <v>28080</v>
      </c>
      <c r="C62" s="32" t="str">
        <f t="shared" ref="C62:L62" si="61">DEC2HEX(HEX2DEC(C61)+468)</f>
        <v>AE6F5E</v>
      </c>
      <c r="D62" s="31" t="str">
        <f t="shared" si="61"/>
        <v>AE700A</v>
      </c>
      <c r="E62" s="155" t="str">
        <f t="shared" si="61"/>
        <v>AE6F78</v>
      </c>
      <c r="F62" s="157" t="str">
        <f t="shared" si="61"/>
        <v>AE6FF7</v>
      </c>
      <c r="G62" t="str">
        <f t="shared" si="61"/>
        <v>AE7024</v>
      </c>
      <c r="H62" s="158" t="str">
        <f t="shared" si="61"/>
        <v>AE7026</v>
      </c>
      <c r="I62" t="str">
        <f t="shared" si="61"/>
        <v>AE7028</v>
      </c>
      <c r="J62" t="str">
        <f t="shared" si="61"/>
        <v>AE702A</v>
      </c>
      <c r="K62" t="str">
        <f t="shared" si="61"/>
        <v>AE702C</v>
      </c>
      <c r="L62" t="str">
        <f t="shared" si="61"/>
        <v>AE702F</v>
      </c>
      <c r="M62" s="14" t="s">
        <v>95</v>
      </c>
    </row>
    <row r="63">
      <c r="A63" s="31">
        <v>61.0</v>
      </c>
      <c r="B63" s="31">
        <f t="shared" si="1"/>
        <v>28548</v>
      </c>
      <c r="C63" s="32" t="str">
        <f t="shared" ref="C63:L63" si="62">DEC2HEX(HEX2DEC(C62)+468)</f>
        <v>AE7132</v>
      </c>
      <c r="D63" s="31" t="str">
        <f t="shared" si="62"/>
        <v>AE71DE</v>
      </c>
      <c r="E63" s="155" t="str">
        <f t="shared" si="62"/>
        <v>AE714C</v>
      </c>
      <c r="F63" s="157" t="str">
        <f t="shared" si="62"/>
        <v>AE71CB</v>
      </c>
      <c r="G63" t="str">
        <f t="shared" si="62"/>
        <v>AE71F8</v>
      </c>
      <c r="H63" s="158" t="str">
        <f t="shared" si="62"/>
        <v>AE71FA</v>
      </c>
      <c r="I63" t="str">
        <f t="shared" si="62"/>
        <v>AE71FC</v>
      </c>
      <c r="J63" t="str">
        <f t="shared" si="62"/>
        <v>AE71FE</v>
      </c>
      <c r="K63" t="str">
        <f t="shared" si="62"/>
        <v>AE7200</v>
      </c>
      <c r="L63" t="str">
        <f t="shared" si="62"/>
        <v>AE7203</v>
      </c>
      <c r="M63" s="14" t="s">
        <v>95</v>
      </c>
    </row>
    <row r="64">
      <c r="A64" s="31">
        <v>62.0</v>
      </c>
      <c r="B64" s="31">
        <f t="shared" si="1"/>
        <v>29016</v>
      </c>
      <c r="C64" s="32" t="str">
        <f t="shared" ref="C64:L64" si="63">DEC2HEX(HEX2DEC(C63)+468)</f>
        <v>AE7306</v>
      </c>
      <c r="D64" s="31" t="str">
        <f t="shared" si="63"/>
        <v>AE73B2</v>
      </c>
      <c r="E64" s="155" t="str">
        <f t="shared" si="63"/>
        <v>AE7320</v>
      </c>
      <c r="F64" s="157" t="str">
        <f t="shared" si="63"/>
        <v>AE739F</v>
      </c>
      <c r="G64" t="str">
        <f t="shared" si="63"/>
        <v>AE73CC</v>
      </c>
      <c r="H64" s="158" t="str">
        <f t="shared" si="63"/>
        <v>AE73CE</v>
      </c>
      <c r="I64" t="str">
        <f t="shared" si="63"/>
        <v>AE73D0</v>
      </c>
      <c r="J64" t="str">
        <f t="shared" si="63"/>
        <v>AE73D2</v>
      </c>
      <c r="K64" t="str">
        <f t="shared" si="63"/>
        <v>AE73D4</v>
      </c>
      <c r="L64" t="str">
        <f t="shared" si="63"/>
        <v>AE73D7</v>
      </c>
      <c r="M64" s="14" t="s">
        <v>95</v>
      </c>
    </row>
    <row r="65">
      <c r="A65" s="31">
        <v>63.0</v>
      </c>
      <c r="B65" s="31">
        <f t="shared" si="1"/>
        <v>29484</v>
      </c>
      <c r="C65" s="32" t="str">
        <f t="shared" ref="C65:L65" si="64">DEC2HEX(HEX2DEC(C64)+468)</f>
        <v>AE74DA</v>
      </c>
      <c r="D65" s="31" t="str">
        <f t="shared" si="64"/>
        <v>AE7586</v>
      </c>
      <c r="E65" s="155" t="str">
        <f t="shared" si="64"/>
        <v>AE74F4</v>
      </c>
      <c r="F65" s="157" t="str">
        <f t="shared" si="64"/>
        <v>AE7573</v>
      </c>
      <c r="G65" t="str">
        <f t="shared" si="64"/>
        <v>AE75A0</v>
      </c>
      <c r="H65" s="158" t="str">
        <f t="shared" si="64"/>
        <v>AE75A2</v>
      </c>
      <c r="I65" t="str">
        <f t="shared" si="64"/>
        <v>AE75A4</v>
      </c>
      <c r="J65" t="str">
        <f t="shared" si="64"/>
        <v>AE75A6</v>
      </c>
      <c r="K65" t="str">
        <f t="shared" si="64"/>
        <v>AE75A8</v>
      </c>
      <c r="L65" t="str">
        <f t="shared" si="64"/>
        <v>AE75AB</v>
      </c>
      <c r="M65" s="14" t="s">
        <v>95</v>
      </c>
    </row>
    <row r="66">
      <c r="A66" s="31">
        <v>64.0</v>
      </c>
      <c r="B66" s="31">
        <f t="shared" si="1"/>
        <v>29952</v>
      </c>
      <c r="C66" s="32" t="str">
        <f t="shared" ref="C66:L66" si="65">DEC2HEX(HEX2DEC(C65)+468)</f>
        <v>AE76AE</v>
      </c>
      <c r="D66" s="31" t="str">
        <f t="shared" si="65"/>
        <v>AE775A</v>
      </c>
      <c r="E66" s="155" t="str">
        <f t="shared" si="65"/>
        <v>AE76C8</v>
      </c>
      <c r="F66" s="157" t="str">
        <f t="shared" si="65"/>
        <v>AE7747</v>
      </c>
      <c r="G66" t="str">
        <f t="shared" si="65"/>
        <v>AE7774</v>
      </c>
      <c r="H66" s="158" t="str">
        <f t="shared" si="65"/>
        <v>AE7776</v>
      </c>
      <c r="I66" t="str">
        <f t="shared" si="65"/>
        <v>AE7778</v>
      </c>
      <c r="J66" t="str">
        <f t="shared" si="65"/>
        <v>AE777A</v>
      </c>
      <c r="K66" t="str">
        <f t="shared" si="65"/>
        <v>AE777C</v>
      </c>
      <c r="L66" t="str">
        <f t="shared" si="65"/>
        <v>AE777F</v>
      </c>
      <c r="M66" s="14" t="s">
        <v>95</v>
      </c>
    </row>
    <row r="67">
      <c r="A67" s="31">
        <v>65.0</v>
      </c>
      <c r="B67" s="31">
        <f t="shared" si="1"/>
        <v>30420</v>
      </c>
      <c r="C67" s="32" t="str">
        <f t="shared" ref="C67:L67" si="66">DEC2HEX(HEX2DEC(C66)+468)</f>
        <v>AE7882</v>
      </c>
      <c r="D67" s="31" t="str">
        <f t="shared" si="66"/>
        <v>AE792E</v>
      </c>
      <c r="E67" s="155" t="str">
        <f t="shared" si="66"/>
        <v>AE789C</v>
      </c>
      <c r="F67" s="157" t="str">
        <f t="shared" si="66"/>
        <v>AE791B</v>
      </c>
      <c r="G67" t="str">
        <f t="shared" si="66"/>
        <v>AE7948</v>
      </c>
      <c r="H67" s="158" t="str">
        <f t="shared" si="66"/>
        <v>AE794A</v>
      </c>
      <c r="I67" t="str">
        <f t="shared" si="66"/>
        <v>AE794C</v>
      </c>
      <c r="J67" t="str">
        <f t="shared" si="66"/>
        <v>AE794E</v>
      </c>
      <c r="K67" t="str">
        <f t="shared" si="66"/>
        <v>AE7950</v>
      </c>
      <c r="L67" t="str">
        <f t="shared" si="66"/>
        <v>AE7953</v>
      </c>
      <c r="M67" s="14" t="s">
        <v>95</v>
      </c>
    </row>
    <row r="68">
      <c r="A68" s="31">
        <v>66.0</v>
      </c>
      <c r="B68" s="31">
        <f t="shared" si="1"/>
        <v>30888</v>
      </c>
      <c r="C68" s="32" t="str">
        <f t="shared" ref="C68:L68" si="67">DEC2HEX(HEX2DEC(C67)+468)</f>
        <v>AE7A56</v>
      </c>
      <c r="D68" s="31" t="str">
        <f t="shared" si="67"/>
        <v>AE7B02</v>
      </c>
      <c r="E68" s="155" t="str">
        <f t="shared" si="67"/>
        <v>AE7A70</v>
      </c>
      <c r="F68" s="157" t="str">
        <f t="shared" si="67"/>
        <v>AE7AEF</v>
      </c>
      <c r="G68" t="str">
        <f t="shared" si="67"/>
        <v>AE7B1C</v>
      </c>
      <c r="H68" s="158" t="str">
        <f t="shared" si="67"/>
        <v>AE7B1E</v>
      </c>
      <c r="I68" t="str">
        <f t="shared" si="67"/>
        <v>AE7B20</v>
      </c>
      <c r="J68" t="str">
        <f t="shared" si="67"/>
        <v>AE7B22</v>
      </c>
      <c r="K68" t="str">
        <f t="shared" si="67"/>
        <v>AE7B24</v>
      </c>
      <c r="L68" t="str">
        <f t="shared" si="67"/>
        <v>AE7B27</v>
      </c>
      <c r="M68" s="14" t="s">
        <v>95</v>
      </c>
    </row>
    <row r="69">
      <c r="A69" s="31">
        <v>67.0</v>
      </c>
      <c r="B69" s="31">
        <f t="shared" si="1"/>
        <v>31356</v>
      </c>
      <c r="C69" s="32" t="str">
        <f t="shared" ref="C69:L69" si="68">DEC2HEX(HEX2DEC(C68)+468)</f>
        <v>AE7C2A</v>
      </c>
      <c r="D69" s="31" t="str">
        <f t="shared" si="68"/>
        <v>AE7CD6</v>
      </c>
      <c r="E69" s="155" t="str">
        <f t="shared" si="68"/>
        <v>AE7C44</v>
      </c>
      <c r="F69" s="157" t="str">
        <f t="shared" si="68"/>
        <v>AE7CC3</v>
      </c>
      <c r="G69" t="str">
        <f t="shared" si="68"/>
        <v>AE7CF0</v>
      </c>
      <c r="H69" s="158" t="str">
        <f t="shared" si="68"/>
        <v>AE7CF2</v>
      </c>
      <c r="I69" t="str">
        <f t="shared" si="68"/>
        <v>AE7CF4</v>
      </c>
      <c r="J69" t="str">
        <f t="shared" si="68"/>
        <v>AE7CF6</v>
      </c>
      <c r="K69" t="str">
        <f t="shared" si="68"/>
        <v>AE7CF8</v>
      </c>
      <c r="L69" t="str">
        <f t="shared" si="68"/>
        <v>AE7CFB</v>
      </c>
      <c r="M69" s="14" t="s">
        <v>95</v>
      </c>
    </row>
    <row r="70">
      <c r="A70" s="27">
        <v>68.0</v>
      </c>
      <c r="B70" s="27">
        <f t="shared" si="1"/>
        <v>31824</v>
      </c>
      <c r="C70" s="159" t="str">
        <f t="shared" ref="C70:L70" si="69">DEC2HEX(HEX2DEC(C69)+468)</f>
        <v>AE7DFE</v>
      </c>
      <c r="D70" s="27" t="str">
        <f t="shared" si="69"/>
        <v>AE7EAA</v>
      </c>
      <c r="E70" s="160" t="str">
        <f t="shared" si="69"/>
        <v>AE7E18</v>
      </c>
      <c r="F70" s="161" t="str">
        <f t="shared" si="69"/>
        <v>AE7E97</v>
      </c>
      <c r="G70" s="69" t="str">
        <f t="shared" si="69"/>
        <v>AE7EC4</v>
      </c>
      <c r="H70" s="162" t="str">
        <f t="shared" si="69"/>
        <v>AE7EC6</v>
      </c>
      <c r="I70" s="69" t="str">
        <f t="shared" si="69"/>
        <v>AE7EC8</v>
      </c>
      <c r="J70" s="69" t="str">
        <f t="shared" si="69"/>
        <v>AE7ECA</v>
      </c>
      <c r="K70" s="69" t="str">
        <f t="shared" si="69"/>
        <v>AE7ECC</v>
      </c>
      <c r="L70" s="69" t="str">
        <f t="shared" si="69"/>
        <v>AE7ECF</v>
      </c>
      <c r="M70" s="67" t="s">
        <v>95</v>
      </c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</row>
    <row r="71">
      <c r="A71" s="31">
        <v>69.0</v>
      </c>
      <c r="B71" s="31">
        <f t="shared" si="1"/>
        <v>32292</v>
      </c>
      <c r="C71" s="32" t="str">
        <f t="shared" ref="C71:L71" si="70">DEC2HEX(HEX2DEC(C70)+468)</f>
        <v>AE7FD2</v>
      </c>
      <c r="D71" s="31" t="str">
        <f t="shared" si="70"/>
        <v>AE807E</v>
      </c>
      <c r="E71" s="155" t="str">
        <f t="shared" si="70"/>
        <v>AE7FEC</v>
      </c>
      <c r="F71" s="157" t="str">
        <f t="shared" si="70"/>
        <v>AE806B</v>
      </c>
      <c r="G71" t="str">
        <f t="shared" si="70"/>
        <v>AE8098</v>
      </c>
      <c r="H71" s="158" t="str">
        <f t="shared" si="70"/>
        <v>AE809A</v>
      </c>
      <c r="I71" t="str">
        <f t="shared" si="70"/>
        <v>AE809C</v>
      </c>
      <c r="J71" t="str">
        <f t="shared" si="70"/>
        <v>AE809E</v>
      </c>
      <c r="K71" t="str">
        <f t="shared" si="70"/>
        <v>AE80A0</v>
      </c>
      <c r="L71" t="str">
        <f t="shared" si="70"/>
        <v>AE80A3</v>
      </c>
      <c r="M71" s="14" t="s">
        <v>123</v>
      </c>
    </row>
    <row r="72">
      <c r="A72" s="31">
        <v>70.0</v>
      </c>
      <c r="B72" s="31">
        <f t="shared" si="1"/>
        <v>32760</v>
      </c>
      <c r="C72" s="32" t="str">
        <f t="shared" ref="C72:L72" si="71">DEC2HEX(HEX2DEC(C71)+468)</f>
        <v>AE81A6</v>
      </c>
      <c r="D72" s="31" t="str">
        <f t="shared" si="71"/>
        <v>AE8252</v>
      </c>
      <c r="E72" s="155" t="str">
        <f t="shared" si="71"/>
        <v>AE81C0</v>
      </c>
      <c r="F72" s="157" t="str">
        <f t="shared" si="71"/>
        <v>AE823F</v>
      </c>
      <c r="G72" t="str">
        <f t="shared" si="71"/>
        <v>AE826C</v>
      </c>
      <c r="H72" s="158" t="str">
        <f t="shared" si="71"/>
        <v>AE826E</v>
      </c>
      <c r="I72" t="str">
        <f t="shared" si="71"/>
        <v>AE8270</v>
      </c>
      <c r="J72" t="str">
        <f t="shared" si="71"/>
        <v>AE8272</v>
      </c>
      <c r="K72" t="str">
        <f t="shared" si="71"/>
        <v>AE8274</v>
      </c>
      <c r="L72" t="str">
        <f t="shared" si="71"/>
        <v>AE8277</v>
      </c>
      <c r="M72" s="14" t="s">
        <v>123</v>
      </c>
    </row>
    <row r="73">
      <c r="A73" s="31">
        <v>71.0</v>
      </c>
      <c r="B73" s="31">
        <f t="shared" si="1"/>
        <v>33228</v>
      </c>
      <c r="C73" s="32" t="str">
        <f t="shared" ref="C73:L73" si="72">DEC2HEX(HEX2DEC(C72)+468)</f>
        <v>AE837A</v>
      </c>
      <c r="D73" s="31" t="str">
        <f t="shared" si="72"/>
        <v>AE8426</v>
      </c>
      <c r="E73" s="155" t="str">
        <f t="shared" si="72"/>
        <v>AE8394</v>
      </c>
      <c r="F73" s="157" t="str">
        <f t="shared" si="72"/>
        <v>AE8413</v>
      </c>
      <c r="G73" t="str">
        <f t="shared" si="72"/>
        <v>AE8440</v>
      </c>
      <c r="H73" s="158" t="str">
        <f t="shared" si="72"/>
        <v>AE8442</v>
      </c>
      <c r="I73" t="str">
        <f t="shared" si="72"/>
        <v>AE8444</v>
      </c>
      <c r="J73" t="str">
        <f t="shared" si="72"/>
        <v>AE8446</v>
      </c>
      <c r="K73" t="str">
        <f t="shared" si="72"/>
        <v>AE8448</v>
      </c>
      <c r="L73" t="str">
        <f t="shared" si="72"/>
        <v>AE844B</v>
      </c>
      <c r="M73" s="14" t="s">
        <v>123</v>
      </c>
    </row>
    <row r="74">
      <c r="A74" s="31">
        <v>72.0</v>
      </c>
      <c r="B74" s="31">
        <f t="shared" si="1"/>
        <v>33696</v>
      </c>
      <c r="C74" s="32" t="str">
        <f t="shared" ref="C74:L74" si="73">DEC2HEX(HEX2DEC(C73)+468)</f>
        <v>AE854E</v>
      </c>
      <c r="D74" s="31" t="str">
        <f t="shared" si="73"/>
        <v>AE85FA</v>
      </c>
      <c r="E74" s="155" t="str">
        <f t="shared" si="73"/>
        <v>AE8568</v>
      </c>
      <c r="F74" s="157" t="str">
        <f t="shared" si="73"/>
        <v>AE85E7</v>
      </c>
      <c r="G74" t="str">
        <f t="shared" si="73"/>
        <v>AE8614</v>
      </c>
      <c r="H74" s="158" t="str">
        <f t="shared" si="73"/>
        <v>AE8616</v>
      </c>
      <c r="I74" t="str">
        <f t="shared" si="73"/>
        <v>AE8618</v>
      </c>
      <c r="J74" t="str">
        <f t="shared" si="73"/>
        <v>AE861A</v>
      </c>
      <c r="K74" t="str">
        <f t="shared" si="73"/>
        <v>AE861C</v>
      </c>
      <c r="L74" t="str">
        <f t="shared" si="73"/>
        <v>AE861F</v>
      </c>
      <c r="M74" s="14" t="s">
        <v>123</v>
      </c>
    </row>
    <row r="75">
      <c r="A75" s="31">
        <v>73.0</v>
      </c>
      <c r="B75" s="31">
        <f t="shared" si="1"/>
        <v>34164</v>
      </c>
      <c r="C75" s="32" t="str">
        <f t="shared" ref="C75:L75" si="74">DEC2HEX(HEX2DEC(C74)+468)</f>
        <v>AE8722</v>
      </c>
      <c r="D75" s="31" t="str">
        <f t="shared" si="74"/>
        <v>AE87CE</v>
      </c>
      <c r="E75" s="155" t="str">
        <f t="shared" si="74"/>
        <v>AE873C</v>
      </c>
      <c r="F75" s="157" t="str">
        <f t="shared" si="74"/>
        <v>AE87BB</v>
      </c>
      <c r="G75" t="str">
        <f t="shared" si="74"/>
        <v>AE87E8</v>
      </c>
      <c r="H75" s="158" t="str">
        <f t="shared" si="74"/>
        <v>AE87EA</v>
      </c>
      <c r="I75" t="str">
        <f t="shared" si="74"/>
        <v>AE87EC</v>
      </c>
      <c r="J75" t="str">
        <f t="shared" si="74"/>
        <v>AE87EE</v>
      </c>
      <c r="K75" t="str">
        <f t="shared" si="74"/>
        <v>AE87F0</v>
      </c>
      <c r="L75" t="str">
        <f t="shared" si="74"/>
        <v>AE87F3</v>
      </c>
      <c r="M75" s="14" t="s">
        <v>123</v>
      </c>
    </row>
    <row r="76">
      <c r="A76" s="27">
        <v>74.0</v>
      </c>
      <c r="B76" s="27">
        <f t="shared" si="1"/>
        <v>34632</v>
      </c>
      <c r="C76" s="159" t="str">
        <f t="shared" ref="C76:L76" si="75">DEC2HEX(HEX2DEC(C75)+468)</f>
        <v>AE88F6</v>
      </c>
      <c r="D76" s="27" t="str">
        <f t="shared" si="75"/>
        <v>AE89A2</v>
      </c>
      <c r="E76" s="160" t="str">
        <f t="shared" si="75"/>
        <v>AE8910</v>
      </c>
      <c r="F76" s="161" t="str">
        <f t="shared" si="75"/>
        <v>AE898F</v>
      </c>
      <c r="G76" s="69" t="str">
        <f t="shared" si="75"/>
        <v>AE89BC</v>
      </c>
      <c r="H76" s="162" t="str">
        <f t="shared" si="75"/>
        <v>AE89BE</v>
      </c>
      <c r="I76" s="69" t="str">
        <f t="shared" si="75"/>
        <v>AE89C0</v>
      </c>
      <c r="J76" s="69" t="str">
        <f t="shared" si="75"/>
        <v>AE89C2</v>
      </c>
      <c r="K76" s="69" t="str">
        <f t="shared" si="75"/>
        <v>AE89C4</v>
      </c>
      <c r="L76" s="69" t="str">
        <f t="shared" si="75"/>
        <v>AE89C7</v>
      </c>
      <c r="M76" s="67" t="s">
        <v>123</v>
      </c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  <c r="AA76" s="69"/>
      <c r="AB76" s="69"/>
      <c r="AC76" s="69"/>
      <c r="AD76" s="69"/>
      <c r="AE76" s="69"/>
      <c r="AF76" s="69"/>
      <c r="AG76" s="69"/>
      <c r="AH76" s="69"/>
      <c r="AI76" s="69"/>
    </row>
    <row r="77">
      <c r="A77" s="31">
        <v>75.0</v>
      </c>
      <c r="B77" s="31">
        <f t="shared" si="1"/>
        <v>35100</v>
      </c>
      <c r="C77" s="32" t="str">
        <f t="shared" ref="C77:L77" si="76">DEC2HEX(HEX2DEC(C76)+468)</f>
        <v>AE8ACA</v>
      </c>
      <c r="D77" s="31" t="str">
        <f t="shared" si="76"/>
        <v>AE8B76</v>
      </c>
      <c r="E77" s="155" t="str">
        <f t="shared" si="76"/>
        <v>AE8AE4</v>
      </c>
      <c r="F77" s="157" t="str">
        <f t="shared" si="76"/>
        <v>AE8B63</v>
      </c>
      <c r="G77" t="str">
        <f t="shared" si="76"/>
        <v>AE8B90</v>
      </c>
      <c r="H77" s="158" t="str">
        <f t="shared" si="76"/>
        <v>AE8B92</v>
      </c>
      <c r="I77" t="str">
        <f t="shared" si="76"/>
        <v>AE8B94</v>
      </c>
      <c r="J77" t="str">
        <f t="shared" si="76"/>
        <v>AE8B96</v>
      </c>
      <c r="K77" t="str">
        <f t="shared" si="76"/>
        <v>AE8B98</v>
      </c>
      <c r="L77" t="str">
        <f t="shared" si="76"/>
        <v>AE8B9B</v>
      </c>
      <c r="M77" s="14" t="s">
        <v>1720</v>
      </c>
    </row>
    <row r="78">
      <c r="A78" s="31">
        <v>76.0</v>
      </c>
      <c r="B78" s="31">
        <f t="shared" si="1"/>
        <v>35568</v>
      </c>
      <c r="C78" s="32" t="str">
        <f t="shared" ref="C78:L78" si="77">DEC2HEX(HEX2DEC(C77)+468)</f>
        <v>AE8C9E</v>
      </c>
      <c r="D78" s="31" t="str">
        <f t="shared" si="77"/>
        <v>AE8D4A</v>
      </c>
      <c r="E78" s="155" t="str">
        <f t="shared" si="77"/>
        <v>AE8CB8</v>
      </c>
      <c r="F78" s="157" t="str">
        <f t="shared" si="77"/>
        <v>AE8D37</v>
      </c>
      <c r="G78" t="str">
        <f t="shared" si="77"/>
        <v>AE8D64</v>
      </c>
      <c r="H78" s="158" t="str">
        <f t="shared" si="77"/>
        <v>AE8D66</v>
      </c>
      <c r="I78" t="str">
        <f t="shared" si="77"/>
        <v>AE8D68</v>
      </c>
      <c r="J78" t="str">
        <f t="shared" si="77"/>
        <v>AE8D6A</v>
      </c>
      <c r="K78" t="str">
        <f t="shared" si="77"/>
        <v>AE8D6C</v>
      </c>
      <c r="L78" t="str">
        <f t="shared" si="77"/>
        <v>AE8D6F</v>
      </c>
      <c r="M78" s="14" t="s">
        <v>1720</v>
      </c>
    </row>
    <row r="79">
      <c r="A79" s="31">
        <v>77.0</v>
      </c>
      <c r="B79" s="31">
        <f t="shared" si="1"/>
        <v>36036</v>
      </c>
      <c r="C79" s="32" t="str">
        <f t="shared" ref="C79:L79" si="78">DEC2HEX(HEX2DEC(C78)+468)</f>
        <v>AE8E72</v>
      </c>
      <c r="D79" s="31" t="str">
        <f t="shared" si="78"/>
        <v>AE8F1E</v>
      </c>
      <c r="E79" s="155" t="str">
        <f t="shared" si="78"/>
        <v>AE8E8C</v>
      </c>
      <c r="F79" s="157" t="str">
        <f t="shared" si="78"/>
        <v>AE8F0B</v>
      </c>
      <c r="G79" t="str">
        <f t="shared" si="78"/>
        <v>AE8F38</v>
      </c>
      <c r="H79" s="158" t="str">
        <f t="shared" si="78"/>
        <v>AE8F3A</v>
      </c>
      <c r="I79" t="str">
        <f t="shared" si="78"/>
        <v>AE8F3C</v>
      </c>
      <c r="J79" t="str">
        <f t="shared" si="78"/>
        <v>AE8F3E</v>
      </c>
      <c r="K79" t="str">
        <f t="shared" si="78"/>
        <v>AE8F40</v>
      </c>
      <c r="L79" t="str">
        <f t="shared" si="78"/>
        <v>AE8F43</v>
      </c>
      <c r="M79" s="14" t="s">
        <v>1721</v>
      </c>
    </row>
    <row r="80">
      <c r="A80" s="31">
        <v>78.0</v>
      </c>
      <c r="B80" s="31">
        <f t="shared" si="1"/>
        <v>36504</v>
      </c>
      <c r="C80" s="32" t="str">
        <f t="shared" ref="C80:L80" si="79">DEC2HEX(HEX2DEC(C79)+468)</f>
        <v>AE9046</v>
      </c>
      <c r="D80" s="31" t="str">
        <f t="shared" si="79"/>
        <v>AE90F2</v>
      </c>
      <c r="E80" s="155" t="str">
        <f t="shared" si="79"/>
        <v>AE9060</v>
      </c>
      <c r="F80" s="157" t="str">
        <f t="shared" si="79"/>
        <v>AE90DF</v>
      </c>
      <c r="G80" t="str">
        <f t="shared" si="79"/>
        <v>AE910C</v>
      </c>
      <c r="H80" s="158" t="str">
        <f t="shared" si="79"/>
        <v>AE910E</v>
      </c>
      <c r="I80" t="str">
        <f t="shared" si="79"/>
        <v>AE9110</v>
      </c>
      <c r="J80" t="str">
        <f t="shared" si="79"/>
        <v>AE9112</v>
      </c>
      <c r="K80" t="str">
        <f t="shared" si="79"/>
        <v>AE9114</v>
      </c>
      <c r="L80" t="str">
        <f t="shared" si="79"/>
        <v>AE9117</v>
      </c>
      <c r="M80" s="14" t="s">
        <v>1721</v>
      </c>
    </row>
    <row r="81">
      <c r="A81" s="31">
        <v>79.0</v>
      </c>
      <c r="B81" s="31">
        <f t="shared" si="1"/>
        <v>36972</v>
      </c>
      <c r="C81" s="32" t="str">
        <f t="shared" ref="C81:L81" si="80">DEC2HEX(HEX2DEC(C80)+468)</f>
        <v>AE921A</v>
      </c>
      <c r="D81" s="31" t="str">
        <f t="shared" si="80"/>
        <v>AE92C6</v>
      </c>
      <c r="E81" s="155" t="str">
        <f t="shared" si="80"/>
        <v>AE9234</v>
      </c>
      <c r="F81" s="157" t="str">
        <f t="shared" si="80"/>
        <v>AE92B3</v>
      </c>
      <c r="G81" t="str">
        <f t="shared" si="80"/>
        <v>AE92E0</v>
      </c>
      <c r="H81" s="158" t="str">
        <f t="shared" si="80"/>
        <v>AE92E2</v>
      </c>
      <c r="I81" t="str">
        <f t="shared" si="80"/>
        <v>AE92E4</v>
      </c>
      <c r="J81" t="str">
        <f t="shared" si="80"/>
        <v>AE92E6</v>
      </c>
      <c r="K81" t="str">
        <f t="shared" si="80"/>
        <v>AE92E8</v>
      </c>
      <c r="L81" t="str">
        <f t="shared" si="80"/>
        <v>AE92EB</v>
      </c>
      <c r="M81" s="14" t="s">
        <v>1721</v>
      </c>
    </row>
    <row r="82">
      <c r="A82" s="31">
        <v>80.0</v>
      </c>
      <c r="B82" s="31">
        <f t="shared" si="1"/>
        <v>37440</v>
      </c>
      <c r="C82" s="32" t="str">
        <f t="shared" ref="C82:L82" si="81">DEC2HEX(HEX2DEC(C81)+468)</f>
        <v>AE93EE</v>
      </c>
      <c r="D82" s="31" t="str">
        <f t="shared" si="81"/>
        <v>AE949A</v>
      </c>
      <c r="E82" s="155" t="str">
        <f t="shared" si="81"/>
        <v>AE9408</v>
      </c>
      <c r="F82" s="157" t="str">
        <f t="shared" si="81"/>
        <v>AE9487</v>
      </c>
      <c r="G82" t="str">
        <f t="shared" si="81"/>
        <v>AE94B4</v>
      </c>
      <c r="H82" s="158" t="str">
        <f t="shared" si="81"/>
        <v>AE94B6</v>
      </c>
      <c r="I82" t="str">
        <f t="shared" si="81"/>
        <v>AE94B8</v>
      </c>
      <c r="J82" t="str">
        <f t="shared" si="81"/>
        <v>AE94BA</v>
      </c>
      <c r="K82" t="str">
        <f t="shared" si="81"/>
        <v>AE94BC</v>
      </c>
      <c r="L82" t="str">
        <f t="shared" si="81"/>
        <v>AE94BF</v>
      </c>
      <c r="M82" s="14" t="s">
        <v>1721</v>
      </c>
    </row>
    <row r="83">
      <c r="A83" s="31">
        <v>81.0</v>
      </c>
      <c r="B83" s="31">
        <f t="shared" si="1"/>
        <v>37908</v>
      </c>
      <c r="C83" s="32" t="str">
        <f t="shared" ref="C83:L83" si="82">DEC2HEX(HEX2DEC(C82)+468)</f>
        <v>AE95C2</v>
      </c>
      <c r="D83" s="31" t="str">
        <f t="shared" si="82"/>
        <v>AE966E</v>
      </c>
      <c r="E83" s="155" t="str">
        <f t="shared" si="82"/>
        <v>AE95DC</v>
      </c>
      <c r="F83" s="157" t="str">
        <f t="shared" si="82"/>
        <v>AE965B</v>
      </c>
      <c r="G83" t="str">
        <f t="shared" si="82"/>
        <v>AE9688</v>
      </c>
      <c r="H83" s="158" t="str">
        <f t="shared" si="82"/>
        <v>AE968A</v>
      </c>
      <c r="I83" t="str">
        <f t="shared" si="82"/>
        <v>AE968C</v>
      </c>
      <c r="J83" t="str">
        <f t="shared" si="82"/>
        <v>AE968E</v>
      </c>
      <c r="K83" t="str">
        <f t="shared" si="82"/>
        <v>AE9690</v>
      </c>
      <c r="L83" t="str">
        <f t="shared" si="82"/>
        <v>AE9693</v>
      </c>
      <c r="M83" s="14" t="s">
        <v>1721</v>
      </c>
    </row>
    <row r="84">
      <c r="A84" s="31">
        <v>82.0</v>
      </c>
      <c r="B84" s="31">
        <f t="shared" si="1"/>
        <v>38376</v>
      </c>
      <c r="C84" s="32" t="str">
        <f t="shared" ref="C84:L84" si="83">DEC2HEX(HEX2DEC(C83)+468)</f>
        <v>AE9796</v>
      </c>
      <c r="D84" s="31" t="str">
        <f t="shared" si="83"/>
        <v>AE9842</v>
      </c>
      <c r="E84" s="155" t="str">
        <f t="shared" si="83"/>
        <v>AE97B0</v>
      </c>
      <c r="F84" s="157" t="str">
        <f t="shared" si="83"/>
        <v>AE982F</v>
      </c>
      <c r="G84" t="str">
        <f t="shared" si="83"/>
        <v>AE985C</v>
      </c>
      <c r="H84" s="158" t="str">
        <f t="shared" si="83"/>
        <v>AE985E</v>
      </c>
      <c r="I84" t="str">
        <f t="shared" si="83"/>
        <v>AE9860</v>
      </c>
      <c r="J84" t="str">
        <f t="shared" si="83"/>
        <v>AE9862</v>
      </c>
      <c r="K84" t="str">
        <f t="shared" si="83"/>
        <v>AE9864</v>
      </c>
      <c r="L84" t="str">
        <f t="shared" si="83"/>
        <v>AE9867</v>
      </c>
      <c r="M84" s="14" t="s">
        <v>1722</v>
      </c>
    </row>
    <row r="85">
      <c r="A85" s="32"/>
      <c r="B85" s="32"/>
      <c r="C85" s="32"/>
      <c r="D85" s="32"/>
      <c r="E85" s="163"/>
      <c r="F85" s="164"/>
      <c r="H85" s="165"/>
    </row>
    <row r="86">
      <c r="A86" s="32"/>
      <c r="B86" s="32"/>
      <c r="C86" s="32"/>
      <c r="D86" s="32"/>
      <c r="E86" s="163"/>
      <c r="F86" s="164"/>
      <c r="H86" s="165"/>
    </row>
    <row r="87">
      <c r="A87" s="32"/>
      <c r="B87" s="32"/>
      <c r="C87" s="32"/>
      <c r="D87" s="32"/>
      <c r="E87" s="163"/>
      <c r="F87" s="164"/>
      <c r="H87" s="165"/>
    </row>
    <row r="88">
      <c r="A88" s="32"/>
      <c r="B88" s="32"/>
      <c r="C88" s="32"/>
      <c r="D88" s="32"/>
      <c r="E88" s="163"/>
      <c r="F88" s="164"/>
      <c r="H88" s="165"/>
    </row>
    <row r="89">
      <c r="A89" s="32"/>
      <c r="B89" s="32"/>
      <c r="C89" s="32"/>
      <c r="D89" s="32"/>
      <c r="E89" s="163"/>
      <c r="F89" s="164"/>
      <c r="H89" s="165"/>
    </row>
    <row r="90">
      <c r="A90" s="32"/>
      <c r="B90" s="32"/>
      <c r="C90" s="32"/>
      <c r="D90" s="32"/>
      <c r="E90" s="163"/>
      <c r="F90" s="164"/>
      <c r="H90" s="165"/>
    </row>
    <row r="91">
      <c r="A91" s="32"/>
      <c r="B91" s="31"/>
      <c r="C91" s="31"/>
      <c r="D91" s="32"/>
      <c r="E91" s="163"/>
      <c r="F91" s="164"/>
      <c r="H91" s="165"/>
    </row>
    <row r="92">
      <c r="A92" s="32"/>
      <c r="B92" s="32"/>
      <c r="C92" s="32"/>
      <c r="D92" s="32"/>
      <c r="E92" s="163"/>
      <c r="F92" s="164"/>
      <c r="H92" s="165"/>
    </row>
    <row r="93">
      <c r="A93" s="32"/>
      <c r="B93" s="32"/>
      <c r="C93" s="32"/>
      <c r="D93" s="32"/>
      <c r="E93" s="163"/>
      <c r="F93" s="164"/>
      <c r="H93" s="165"/>
    </row>
    <row r="94">
      <c r="A94" s="32"/>
      <c r="B94" s="32"/>
      <c r="C94" s="32"/>
      <c r="D94" s="32"/>
      <c r="E94" s="163"/>
      <c r="F94" s="164"/>
      <c r="H94" s="165"/>
    </row>
    <row r="95">
      <c r="A95" s="32"/>
      <c r="B95" s="32"/>
      <c r="C95" s="32"/>
      <c r="D95" s="32"/>
      <c r="E95" s="163"/>
      <c r="F95" s="164"/>
      <c r="H95" s="165"/>
    </row>
    <row r="96">
      <c r="A96" s="32"/>
      <c r="B96" s="32"/>
      <c r="C96" s="32"/>
      <c r="D96" s="32"/>
      <c r="E96" s="163"/>
      <c r="F96" s="164"/>
      <c r="H96" s="165"/>
    </row>
    <row r="97">
      <c r="A97" s="32"/>
      <c r="B97" s="32"/>
      <c r="C97" s="32"/>
      <c r="D97" s="32"/>
      <c r="E97" s="163"/>
      <c r="F97" s="164"/>
      <c r="H97" s="165"/>
    </row>
    <row r="98">
      <c r="A98" s="32"/>
      <c r="B98" s="32"/>
      <c r="C98" s="32"/>
      <c r="D98" s="32"/>
      <c r="E98" s="163"/>
      <c r="F98" s="164"/>
      <c r="H98" s="165"/>
    </row>
    <row r="99">
      <c r="A99" s="32"/>
      <c r="B99" s="32"/>
      <c r="C99" s="32"/>
      <c r="D99" s="32"/>
      <c r="E99" s="163"/>
      <c r="F99" s="164"/>
      <c r="H99" s="165"/>
    </row>
    <row r="100">
      <c r="A100" s="32"/>
      <c r="B100" s="32"/>
      <c r="C100" s="32"/>
      <c r="D100" s="32"/>
      <c r="E100" s="163"/>
      <c r="F100" s="164"/>
      <c r="H100" s="165"/>
    </row>
    <row r="101">
      <c r="A101" s="32"/>
      <c r="B101" s="32"/>
      <c r="C101" s="32"/>
      <c r="D101" s="32"/>
      <c r="E101" s="163"/>
      <c r="F101" s="164"/>
      <c r="H101" s="165"/>
    </row>
    <row r="102">
      <c r="A102" s="32"/>
      <c r="B102" s="32"/>
      <c r="C102" s="32"/>
      <c r="D102" s="32"/>
      <c r="E102" s="163"/>
      <c r="F102" s="164"/>
      <c r="H102" s="165"/>
    </row>
    <row r="103">
      <c r="A103" s="32"/>
      <c r="B103" s="32"/>
      <c r="C103" s="32"/>
      <c r="D103" s="32"/>
      <c r="E103" s="163"/>
      <c r="F103" s="164"/>
      <c r="H103" s="165"/>
    </row>
    <row r="104">
      <c r="A104" s="32"/>
      <c r="B104" s="32"/>
      <c r="C104" s="32"/>
      <c r="D104" s="32"/>
      <c r="E104" s="163"/>
      <c r="F104" s="164"/>
      <c r="H104" s="165"/>
    </row>
    <row r="105">
      <c r="A105" s="32"/>
      <c r="B105" s="32"/>
      <c r="C105" s="32"/>
      <c r="D105" s="32"/>
      <c r="E105" s="163"/>
      <c r="F105" s="164"/>
      <c r="H105" s="165"/>
    </row>
    <row r="106">
      <c r="A106" s="32"/>
      <c r="B106" s="32"/>
      <c r="C106" s="32"/>
      <c r="D106" s="32"/>
      <c r="E106" s="163"/>
      <c r="F106" s="164"/>
      <c r="H106" s="165"/>
    </row>
    <row r="107">
      <c r="A107" s="32"/>
      <c r="B107" s="32"/>
      <c r="C107" s="32"/>
      <c r="D107" s="32"/>
      <c r="E107" s="163"/>
      <c r="F107" s="164"/>
      <c r="H107" s="165"/>
    </row>
    <row r="108">
      <c r="A108" s="32"/>
      <c r="B108" s="32"/>
      <c r="C108" s="32"/>
      <c r="D108" s="32"/>
      <c r="E108" s="163"/>
      <c r="F108" s="164"/>
      <c r="H108" s="165"/>
    </row>
    <row r="109">
      <c r="A109" s="32"/>
      <c r="B109" s="32"/>
      <c r="C109" s="32"/>
      <c r="D109" s="32"/>
      <c r="E109" s="163"/>
      <c r="F109" s="164"/>
      <c r="H109" s="165"/>
    </row>
    <row r="110">
      <c r="A110" s="32"/>
      <c r="B110" s="32"/>
      <c r="C110" s="32"/>
      <c r="D110" s="32"/>
      <c r="E110" s="163"/>
      <c r="F110" s="164"/>
      <c r="H110" s="165"/>
    </row>
    <row r="111">
      <c r="A111" s="32"/>
      <c r="B111" s="32"/>
      <c r="C111" s="32"/>
      <c r="D111" s="32"/>
      <c r="E111" s="163"/>
      <c r="F111" s="164"/>
      <c r="H111" s="165"/>
    </row>
    <row r="112">
      <c r="A112" s="32"/>
      <c r="B112" s="32"/>
      <c r="C112" s="32"/>
      <c r="D112" s="32"/>
      <c r="E112" s="163"/>
      <c r="F112" s="164"/>
      <c r="H112" s="165"/>
    </row>
    <row r="113">
      <c r="A113" s="32"/>
      <c r="B113" s="32"/>
      <c r="C113" s="32"/>
      <c r="D113" s="32"/>
      <c r="E113" s="163"/>
      <c r="F113" s="164"/>
      <c r="H113" s="165"/>
    </row>
    <row r="114">
      <c r="A114" s="32"/>
      <c r="B114" s="32"/>
      <c r="C114" s="32"/>
      <c r="D114" s="32"/>
      <c r="E114" s="163"/>
      <c r="F114" s="164"/>
      <c r="H114" s="165"/>
    </row>
    <row r="115">
      <c r="A115" s="32"/>
      <c r="B115" s="32"/>
      <c r="C115" s="32"/>
      <c r="D115" s="32"/>
      <c r="E115" s="163"/>
      <c r="F115" s="164"/>
      <c r="H115" s="165"/>
    </row>
    <row r="116">
      <c r="A116" s="32"/>
      <c r="B116" s="32"/>
      <c r="C116" s="32"/>
      <c r="D116" s="32"/>
      <c r="E116" s="163"/>
      <c r="F116" s="164"/>
      <c r="H116" s="165"/>
    </row>
    <row r="117">
      <c r="A117" s="32"/>
      <c r="B117" s="32"/>
      <c r="C117" s="32"/>
      <c r="D117" s="32"/>
      <c r="E117" s="163"/>
      <c r="F117" s="164"/>
      <c r="H117" s="165"/>
    </row>
    <row r="118">
      <c r="A118" s="32"/>
      <c r="B118" s="32"/>
      <c r="C118" s="32"/>
      <c r="D118" s="32"/>
      <c r="E118" s="163"/>
      <c r="F118" s="164"/>
      <c r="H118" s="165"/>
    </row>
    <row r="119">
      <c r="A119" s="32"/>
      <c r="B119" s="32"/>
      <c r="C119" s="32"/>
      <c r="D119" s="32"/>
      <c r="E119" s="163"/>
      <c r="F119" s="164"/>
      <c r="H119" s="165"/>
    </row>
    <row r="120">
      <c r="A120" s="32"/>
      <c r="B120" s="32"/>
      <c r="C120" s="32"/>
      <c r="D120" s="32"/>
      <c r="E120" s="163"/>
      <c r="F120" s="164"/>
      <c r="H120" s="165"/>
    </row>
    <row r="121">
      <c r="A121" s="32"/>
      <c r="B121" s="32"/>
      <c r="C121" s="32"/>
      <c r="D121" s="32"/>
      <c r="E121" s="163"/>
      <c r="F121" s="164"/>
      <c r="H121" s="165"/>
    </row>
    <row r="122">
      <c r="A122" s="32"/>
      <c r="B122" s="32"/>
      <c r="C122" s="32"/>
      <c r="D122" s="32"/>
      <c r="E122" s="163"/>
      <c r="F122" s="164"/>
      <c r="H122" s="165"/>
    </row>
    <row r="123">
      <c r="A123" s="32"/>
      <c r="B123" s="32"/>
      <c r="C123" s="32"/>
      <c r="D123" s="32"/>
      <c r="E123" s="163"/>
      <c r="F123" s="164"/>
      <c r="H123" s="165"/>
    </row>
    <row r="124">
      <c r="A124" s="32"/>
      <c r="B124" s="32"/>
      <c r="C124" s="32"/>
      <c r="D124" s="32"/>
      <c r="E124" s="163"/>
      <c r="F124" s="164"/>
      <c r="H124" s="165"/>
    </row>
    <row r="125">
      <c r="A125" s="32"/>
      <c r="B125" s="32"/>
      <c r="C125" s="32"/>
      <c r="D125" s="32"/>
      <c r="E125" s="163"/>
      <c r="F125" s="164"/>
      <c r="H125" s="165"/>
    </row>
    <row r="126">
      <c r="A126" s="32"/>
      <c r="B126" s="32"/>
      <c r="C126" s="32"/>
      <c r="D126" s="32"/>
      <c r="E126" s="163"/>
      <c r="F126" s="164"/>
      <c r="H126" s="165"/>
    </row>
    <row r="127">
      <c r="A127" s="32"/>
      <c r="B127" s="32"/>
      <c r="C127" s="32"/>
      <c r="D127" s="32"/>
      <c r="E127" s="163"/>
      <c r="F127" s="164"/>
      <c r="H127" s="165"/>
    </row>
    <row r="128">
      <c r="A128" s="32"/>
      <c r="B128" s="32"/>
      <c r="C128" s="32"/>
      <c r="D128" s="32"/>
      <c r="E128" s="163"/>
      <c r="F128" s="164"/>
      <c r="H128" s="165"/>
    </row>
    <row r="129">
      <c r="A129" s="32"/>
      <c r="B129" s="32"/>
      <c r="C129" s="32"/>
      <c r="D129" s="32"/>
      <c r="E129" s="163"/>
      <c r="F129" s="164"/>
      <c r="H129" s="165"/>
    </row>
    <row r="130">
      <c r="A130" s="32"/>
      <c r="B130" s="32"/>
      <c r="C130" s="32"/>
      <c r="D130" s="32"/>
      <c r="E130" s="163"/>
      <c r="F130" s="164"/>
      <c r="H130" s="165"/>
    </row>
    <row r="131">
      <c r="A131" s="32"/>
      <c r="B131" s="32"/>
      <c r="C131" s="32"/>
      <c r="D131" s="32"/>
      <c r="E131" s="163"/>
      <c r="F131" s="164"/>
      <c r="H131" s="165"/>
    </row>
    <row r="132">
      <c r="A132" s="32"/>
      <c r="B132" s="32"/>
      <c r="C132" s="32"/>
      <c r="D132" s="32"/>
      <c r="E132" s="163"/>
      <c r="F132" s="164"/>
      <c r="H132" s="165"/>
    </row>
    <row r="133">
      <c r="A133" s="32"/>
      <c r="B133" s="32"/>
      <c r="C133" s="32"/>
      <c r="D133" s="32"/>
      <c r="E133" s="163"/>
      <c r="F133" s="164"/>
      <c r="H133" s="165"/>
    </row>
    <row r="134">
      <c r="A134" s="32"/>
      <c r="B134" s="32"/>
      <c r="C134" s="32"/>
      <c r="D134" s="32"/>
      <c r="E134" s="163"/>
      <c r="F134" s="164"/>
      <c r="H134" s="165"/>
    </row>
    <row r="135">
      <c r="A135" s="32"/>
      <c r="B135" s="32"/>
      <c r="C135" s="32"/>
      <c r="D135" s="32"/>
      <c r="E135" s="163"/>
      <c r="F135" s="164"/>
      <c r="H135" s="165"/>
    </row>
    <row r="136">
      <c r="A136" s="32"/>
      <c r="B136" s="32"/>
      <c r="C136" s="32"/>
      <c r="D136" s="32"/>
      <c r="E136" s="163"/>
      <c r="F136" s="164"/>
      <c r="H136" s="165"/>
    </row>
    <row r="137">
      <c r="A137" s="32"/>
      <c r="B137" s="32"/>
      <c r="C137" s="32"/>
      <c r="D137" s="32"/>
      <c r="E137" s="163"/>
      <c r="F137" s="164"/>
      <c r="H137" s="165"/>
    </row>
    <row r="138">
      <c r="A138" s="32"/>
      <c r="B138" s="32"/>
      <c r="C138" s="32"/>
      <c r="D138" s="32"/>
      <c r="E138" s="163"/>
      <c r="F138" s="164"/>
      <c r="H138" s="165"/>
    </row>
    <row r="139">
      <c r="A139" s="32"/>
      <c r="B139" s="32"/>
      <c r="C139" s="32"/>
      <c r="D139" s="32"/>
      <c r="E139" s="163"/>
      <c r="F139" s="164"/>
      <c r="H139" s="165"/>
    </row>
    <row r="140">
      <c r="A140" s="32"/>
      <c r="B140" s="32"/>
      <c r="C140" s="32"/>
      <c r="D140" s="32"/>
      <c r="E140" s="163"/>
      <c r="F140" s="164"/>
      <c r="H140" s="165"/>
    </row>
    <row r="141">
      <c r="A141" s="32"/>
      <c r="B141" s="32"/>
      <c r="C141" s="32"/>
      <c r="D141" s="32"/>
      <c r="E141" s="163"/>
      <c r="F141" s="164"/>
      <c r="H141" s="165"/>
    </row>
    <row r="142">
      <c r="A142" s="32"/>
      <c r="B142" s="32"/>
      <c r="C142" s="32"/>
      <c r="D142" s="32"/>
      <c r="E142" s="163"/>
      <c r="F142" s="164"/>
      <c r="H142" s="165"/>
    </row>
    <row r="143">
      <c r="A143" s="32"/>
      <c r="B143" s="32"/>
      <c r="C143" s="32"/>
      <c r="D143" s="32"/>
      <c r="E143" s="163"/>
      <c r="F143" s="164"/>
      <c r="H143" s="165"/>
    </row>
    <row r="144">
      <c r="A144" s="32"/>
      <c r="B144" s="32"/>
      <c r="C144" s="32"/>
      <c r="D144" s="32"/>
      <c r="E144" s="163"/>
      <c r="F144" s="164"/>
      <c r="H144" s="165"/>
    </row>
    <row r="145">
      <c r="A145" s="32"/>
      <c r="B145" s="32"/>
      <c r="C145" s="32"/>
      <c r="D145" s="32"/>
      <c r="E145" s="163"/>
      <c r="F145" s="164"/>
      <c r="H145" s="165"/>
    </row>
    <row r="146">
      <c r="A146" s="32"/>
      <c r="B146" s="32"/>
      <c r="C146" s="32"/>
      <c r="D146" s="32"/>
      <c r="E146" s="163"/>
      <c r="F146" s="164"/>
      <c r="H146" s="165"/>
    </row>
    <row r="147">
      <c r="A147" s="32"/>
      <c r="B147" s="32"/>
      <c r="C147" s="32"/>
      <c r="D147" s="32"/>
      <c r="E147" s="163"/>
      <c r="F147" s="164"/>
      <c r="H147" s="165"/>
    </row>
    <row r="148">
      <c r="A148" s="32"/>
      <c r="B148" s="32"/>
      <c r="C148" s="32"/>
      <c r="D148" s="32"/>
      <c r="E148" s="163"/>
      <c r="F148" s="164"/>
      <c r="H148" s="165"/>
    </row>
    <row r="149">
      <c r="A149" s="32"/>
      <c r="B149" s="32"/>
      <c r="C149" s="32"/>
      <c r="D149" s="32"/>
      <c r="E149" s="163"/>
      <c r="F149" s="164"/>
      <c r="H149" s="165"/>
    </row>
    <row r="150">
      <c r="A150" s="32"/>
      <c r="B150" s="32"/>
      <c r="C150" s="32"/>
      <c r="D150" s="32"/>
      <c r="E150" s="163"/>
      <c r="F150" s="164"/>
      <c r="H150" s="165"/>
    </row>
    <row r="151">
      <c r="A151" s="32"/>
      <c r="B151" s="32"/>
      <c r="C151" s="32"/>
      <c r="D151" s="32"/>
      <c r="E151" s="163"/>
      <c r="F151" s="164"/>
      <c r="H151" s="165"/>
    </row>
    <row r="152">
      <c r="A152" s="32"/>
      <c r="B152" s="32"/>
      <c r="C152" s="32"/>
      <c r="D152" s="32"/>
      <c r="E152" s="163"/>
      <c r="F152" s="164"/>
      <c r="H152" s="165"/>
    </row>
    <row r="153">
      <c r="A153" s="32"/>
      <c r="B153" s="32"/>
      <c r="C153" s="32"/>
      <c r="D153" s="32"/>
      <c r="E153" s="163"/>
      <c r="F153" s="164"/>
      <c r="H153" s="165"/>
    </row>
    <row r="154">
      <c r="A154" s="32"/>
      <c r="B154" s="32"/>
      <c r="C154" s="32"/>
      <c r="D154" s="32"/>
      <c r="E154" s="163"/>
      <c r="F154" s="164"/>
      <c r="H154" s="165"/>
    </row>
    <row r="155">
      <c r="A155" s="32"/>
      <c r="B155" s="32"/>
      <c r="C155" s="32"/>
      <c r="D155" s="32"/>
      <c r="E155" s="163"/>
      <c r="F155" s="164"/>
      <c r="H155" s="165"/>
    </row>
    <row r="156">
      <c r="A156" s="32"/>
      <c r="B156" s="32"/>
      <c r="C156" s="32"/>
      <c r="D156" s="32"/>
      <c r="E156" s="163"/>
      <c r="F156" s="164"/>
      <c r="H156" s="165"/>
    </row>
    <row r="157">
      <c r="A157" s="32"/>
      <c r="B157" s="32"/>
      <c r="C157" s="32"/>
      <c r="D157" s="32"/>
      <c r="E157" s="163"/>
      <c r="F157" s="164"/>
      <c r="H157" s="165"/>
    </row>
    <row r="158">
      <c r="A158" s="32"/>
      <c r="B158" s="32"/>
      <c r="C158" s="32"/>
      <c r="D158" s="32"/>
      <c r="E158" s="163"/>
      <c r="F158" s="164"/>
      <c r="H158" s="165"/>
    </row>
    <row r="159">
      <c r="A159" s="32"/>
      <c r="B159" s="32"/>
      <c r="C159" s="32"/>
      <c r="D159" s="32"/>
      <c r="E159" s="163"/>
      <c r="F159" s="164"/>
      <c r="H159" s="165"/>
    </row>
    <row r="160">
      <c r="A160" s="32"/>
      <c r="B160" s="32"/>
      <c r="C160" s="32"/>
      <c r="D160" s="32"/>
      <c r="E160" s="163"/>
      <c r="F160" s="164"/>
      <c r="H160" s="165"/>
    </row>
    <row r="161">
      <c r="A161" s="32"/>
      <c r="B161" s="32"/>
      <c r="C161" s="32"/>
      <c r="D161" s="32"/>
      <c r="E161" s="163"/>
      <c r="F161" s="164"/>
      <c r="H161" s="165"/>
    </row>
    <row r="162">
      <c r="A162" s="32"/>
      <c r="B162" s="32"/>
      <c r="C162" s="32"/>
      <c r="D162" s="32"/>
      <c r="E162" s="163"/>
      <c r="F162" s="164"/>
      <c r="H162" s="165"/>
    </row>
    <row r="163">
      <c r="A163" s="32"/>
      <c r="B163" s="32"/>
      <c r="C163" s="32"/>
      <c r="D163" s="32"/>
      <c r="E163" s="163"/>
      <c r="F163" s="164"/>
      <c r="H163" s="165"/>
    </row>
    <row r="164">
      <c r="A164" s="32"/>
      <c r="B164" s="32"/>
      <c r="C164" s="32"/>
      <c r="D164" s="32"/>
      <c r="E164" s="163"/>
      <c r="F164" s="164"/>
      <c r="H164" s="165"/>
    </row>
    <row r="165">
      <c r="A165" s="32"/>
      <c r="B165" s="32"/>
      <c r="C165" s="32"/>
      <c r="D165" s="32"/>
      <c r="E165" s="163"/>
      <c r="F165" s="164"/>
      <c r="H165" s="165"/>
    </row>
    <row r="166">
      <c r="A166" s="32"/>
      <c r="B166" s="32"/>
      <c r="C166" s="32"/>
      <c r="D166" s="32"/>
      <c r="E166" s="163"/>
      <c r="F166" s="164"/>
      <c r="H166" s="165"/>
    </row>
    <row r="167">
      <c r="A167" s="32"/>
      <c r="B167" s="32"/>
      <c r="C167" s="32"/>
      <c r="D167" s="32"/>
      <c r="E167" s="163"/>
      <c r="F167" s="164"/>
      <c r="H167" s="165"/>
    </row>
    <row r="168">
      <c r="A168" s="32"/>
      <c r="B168" s="32"/>
      <c r="C168" s="32"/>
      <c r="D168" s="32"/>
      <c r="E168" s="163"/>
      <c r="F168" s="164"/>
      <c r="H168" s="165"/>
    </row>
    <row r="169">
      <c r="A169" s="32"/>
      <c r="B169" s="32"/>
      <c r="C169" s="32"/>
      <c r="D169" s="32"/>
      <c r="E169" s="163"/>
      <c r="F169" s="164"/>
      <c r="H169" s="165"/>
    </row>
    <row r="170">
      <c r="A170" s="32"/>
      <c r="B170" s="32"/>
      <c r="C170" s="32"/>
      <c r="D170" s="32"/>
      <c r="E170" s="163"/>
      <c r="F170" s="164"/>
      <c r="H170" s="165"/>
    </row>
    <row r="171">
      <c r="A171" s="32"/>
      <c r="B171" s="32"/>
      <c r="C171" s="32"/>
      <c r="D171" s="32"/>
      <c r="E171" s="163"/>
      <c r="F171" s="164"/>
      <c r="H171" s="165"/>
    </row>
    <row r="172">
      <c r="A172" s="32"/>
      <c r="B172" s="32"/>
      <c r="C172" s="32"/>
      <c r="D172" s="32"/>
      <c r="E172" s="163"/>
      <c r="F172" s="164"/>
      <c r="H172" s="165"/>
    </row>
    <row r="173">
      <c r="A173" s="32"/>
      <c r="B173" s="32"/>
      <c r="C173" s="32"/>
      <c r="D173" s="32"/>
      <c r="E173" s="163"/>
      <c r="F173" s="164"/>
      <c r="H173" s="165"/>
    </row>
    <row r="174">
      <c r="A174" s="32"/>
      <c r="B174" s="32"/>
      <c r="C174" s="32"/>
      <c r="D174" s="32"/>
      <c r="E174" s="163"/>
      <c r="F174" s="164"/>
      <c r="H174" s="165"/>
    </row>
    <row r="175">
      <c r="A175" s="32"/>
      <c r="B175" s="32"/>
      <c r="C175" s="32"/>
      <c r="D175" s="32"/>
      <c r="E175" s="163"/>
      <c r="F175" s="164"/>
      <c r="H175" s="165"/>
    </row>
    <row r="176">
      <c r="A176" s="32"/>
      <c r="B176" s="32"/>
      <c r="C176" s="32"/>
      <c r="D176" s="32"/>
      <c r="E176" s="163"/>
      <c r="F176" s="164"/>
      <c r="H176" s="165"/>
    </row>
    <row r="177">
      <c r="A177" s="32"/>
      <c r="B177" s="32"/>
      <c r="C177" s="32"/>
      <c r="D177" s="32"/>
      <c r="E177" s="163"/>
      <c r="F177" s="164"/>
      <c r="H177" s="165"/>
    </row>
    <row r="178">
      <c r="A178" s="32"/>
      <c r="B178" s="32"/>
      <c r="C178" s="32"/>
      <c r="D178" s="32"/>
      <c r="E178" s="163"/>
      <c r="F178" s="164"/>
      <c r="H178" s="165"/>
    </row>
    <row r="179">
      <c r="A179" s="32"/>
      <c r="B179" s="32"/>
      <c r="C179" s="32"/>
      <c r="D179" s="32"/>
      <c r="E179" s="163"/>
      <c r="F179" s="164"/>
      <c r="H179" s="165"/>
    </row>
    <row r="180">
      <c r="A180" s="32"/>
      <c r="B180" s="32"/>
      <c r="C180" s="32"/>
      <c r="D180" s="32"/>
      <c r="E180" s="163"/>
      <c r="F180" s="164"/>
      <c r="H180" s="165"/>
    </row>
    <row r="181">
      <c r="A181" s="32"/>
      <c r="B181" s="32"/>
      <c r="C181" s="32"/>
      <c r="D181" s="32"/>
      <c r="E181" s="163"/>
      <c r="F181" s="164"/>
      <c r="H181" s="165"/>
    </row>
    <row r="182">
      <c r="A182" s="32"/>
      <c r="B182" s="32"/>
      <c r="C182" s="32"/>
      <c r="D182" s="32"/>
      <c r="E182" s="163"/>
      <c r="F182" s="164"/>
      <c r="H182" s="165"/>
    </row>
    <row r="183">
      <c r="A183" s="32"/>
      <c r="B183" s="32"/>
      <c r="C183" s="32"/>
      <c r="D183" s="32"/>
      <c r="E183" s="163"/>
      <c r="F183" s="164"/>
      <c r="H183" s="165"/>
    </row>
    <row r="184">
      <c r="A184" s="32"/>
      <c r="B184" s="32"/>
      <c r="C184" s="32"/>
      <c r="D184" s="32"/>
      <c r="E184" s="163"/>
      <c r="F184" s="164"/>
      <c r="H184" s="165"/>
    </row>
    <row r="185">
      <c r="A185" s="32"/>
      <c r="B185" s="32"/>
      <c r="C185" s="32"/>
      <c r="D185" s="32"/>
      <c r="E185" s="163"/>
      <c r="F185" s="164"/>
      <c r="H185" s="165"/>
    </row>
    <row r="186">
      <c r="A186" s="32"/>
      <c r="B186" s="32"/>
      <c r="C186" s="32"/>
      <c r="D186" s="32"/>
      <c r="E186" s="163"/>
      <c r="F186" s="164"/>
      <c r="H186" s="165"/>
    </row>
    <row r="187">
      <c r="A187" s="32"/>
      <c r="B187" s="32"/>
      <c r="C187" s="32"/>
      <c r="D187" s="32"/>
      <c r="E187" s="163"/>
      <c r="F187" s="164"/>
      <c r="H187" s="165"/>
    </row>
    <row r="188">
      <c r="A188" s="32"/>
      <c r="B188" s="32"/>
      <c r="C188" s="32"/>
      <c r="D188" s="32"/>
      <c r="E188" s="163"/>
      <c r="F188" s="164"/>
      <c r="H188" s="165"/>
    </row>
    <row r="189">
      <c r="A189" s="32"/>
      <c r="B189" s="32"/>
      <c r="C189" s="32"/>
      <c r="D189" s="32"/>
      <c r="E189" s="163"/>
      <c r="F189" s="164"/>
      <c r="H189" s="165"/>
    </row>
    <row r="190">
      <c r="A190" s="32"/>
      <c r="B190" s="32"/>
      <c r="C190" s="32"/>
      <c r="D190" s="32"/>
      <c r="E190" s="163"/>
      <c r="F190" s="164"/>
      <c r="H190" s="165"/>
    </row>
    <row r="191">
      <c r="A191" s="32"/>
      <c r="B191" s="32"/>
      <c r="C191" s="32"/>
      <c r="D191" s="32"/>
      <c r="E191" s="163"/>
      <c r="F191" s="164"/>
      <c r="H191" s="165"/>
    </row>
    <row r="192">
      <c r="A192" s="32"/>
      <c r="B192" s="32"/>
      <c r="C192" s="32"/>
      <c r="D192" s="32"/>
      <c r="E192" s="163"/>
      <c r="F192" s="164"/>
      <c r="H192" s="165"/>
    </row>
    <row r="193">
      <c r="A193" s="32"/>
      <c r="B193" s="32"/>
      <c r="C193" s="32"/>
      <c r="D193" s="32"/>
      <c r="E193" s="163"/>
      <c r="F193" s="164"/>
      <c r="H193" s="165"/>
    </row>
    <row r="194">
      <c r="A194" s="32"/>
      <c r="B194" s="32"/>
      <c r="C194" s="32"/>
      <c r="D194" s="32"/>
      <c r="E194" s="163"/>
      <c r="F194" s="164"/>
      <c r="H194" s="165"/>
    </row>
    <row r="195">
      <c r="A195" s="32"/>
      <c r="B195" s="32"/>
      <c r="C195" s="32"/>
      <c r="D195" s="32"/>
      <c r="E195" s="163"/>
      <c r="F195" s="164"/>
      <c r="H195" s="165"/>
    </row>
    <row r="196">
      <c r="A196" s="32"/>
      <c r="B196" s="32"/>
      <c r="C196" s="32"/>
      <c r="D196" s="32"/>
      <c r="E196" s="163"/>
      <c r="F196" s="164"/>
      <c r="H196" s="165"/>
    </row>
    <row r="197">
      <c r="A197" s="32"/>
      <c r="B197" s="32"/>
      <c r="C197" s="32"/>
      <c r="D197" s="32"/>
      <c r="E197" s="163"/>
      <c r="F197" s="164"/>
      <c r="H197" s="165"/>
    </row>
    <row r="198">
      <c r="A198" s="32"/>
      <c r="B198" s="32"/>
      <c r="C198" s="32"/>
      <c r="D198" s="32"/>
      <c r="E198" s="163"/>
      <c r="F198" s="164"/>
      <c r="H198" s="165"/>
    </row>
    <row r="199">
      <c r="A199" s="32"/>
      <c r="B199" s="32"/>
      <c r="C199" s="32"/>
      <c r="D199" s="32"/>
      <c r="E199" s="163"/>
      <c r="F199" s="164"/>
      <c r="H199" s="165"/>
    </row>
    <row r="200">
      <c r="A200" s="32"/>
      <c r="B200" s="32"/>
      <c r="C200" s="32"/>
      <c r="D200" s="32"/>
      <c r="E200" s="163"/>
      <c r="F200" s="164"/>
      <c r="H200" s="165"/>
    </row>
    <row r="201">
      <c r="A201" s="32"/>
      <c r="B201" s="32"/>
      <c r="C201" s="32"/>
      <c r="D201" s="32"/>
      <c r="E201" s="163"/>
      <c r="F201" s="164"/>
      <c r="H201" s="165"/>
    </row>
    <row r="202">
      <c r="A202" s="32"/>
      <c r="B202" s="32"/>
      <c r="C202" s="32"/>
      <c r="D202" s="32"/>
      <c r="E202" s="163"/>
      <c r="F202" s="164"/>
      <c r="H202" s="165"/>
    </row>
    <row r="203">
      <c r="A203" s="32"/>
      <c r="B203" s="32"/>
      <c r="C203" s="32"/>
      <c r="D203" s="32"/>
      <c r="E203" s="163"/>
      <c r="F203" s="164"/>
      <c r="H203" s="165"/>
    </row>
    <row r="204">
      <c r="A204" s="32"/>
      <c r="B204" s="32"/>
      <c r="C204" s="32"/>
      <c r="D204" s="32"/>
      <c r="E204" s="163"/>
      <c r="F204" s="164"/>
      <c r="H204" s="165"/>
    </row>
    <row r="205">
      <c r="A205" s="32"/>
      <c r="B205" s="32"/>
      <c r="C205" s="32"/>
      <c r="D205" s="32"/>
      <c r="E205" s="163"/>
      <c r="F205" s="164"/>
      <c r="H205" s="165"/>
    </row>
    <row r="206">
      <c r="A206" s="32"/>
      <c r="B206" s="32"/>
      <c r="C206" s="32"/>
      <c r="D206" s="32"/>
      <c r="E206" s="163"/>
      <c r="F206" s="164"/>
      <c r="H206" s="165"/>
    </row>
    <row r="207">
      <c r="A207" s="32"/>
      <c r="B207" s="32"/>
      <c r="C207" s="32"/>
      <c r="D207" s="32"/>
      <c r="E207" s="163"/>
      <c r="F207" s="164"/>
      <c r="H207" s="165"/>
    </row>
    <row r="208">
      <c r="A208" s="32"/>
      <c r="B208" s="32"/>
      <c r="C208" s="32"/>
      <c r="D208" s="32"/>
      <c r="E208" s="163"/>
      <c r="F208" s="164"/>
      <c r="H208" s="165"/>
    </row>
    <row r="209">
      <c r="A209" s="32"/>
      <c r="B209" s="32"/>
      <c r="C209" s="32"/>
      <c r="D209" s="32"/>
      <c r="E209" s="163"/>
      <c r="F209" s="164"/>
      <c r="H209" s="165"/>
    </row>
    <row r="210">
      <c r="A210" s="32"/>
      <c r="B210" s="32"/>
      <c r="C210" s="32"/>
      <c r="D210" s="32"/>
      <c r="E210" s="163"/>
      <c r="F210" s="164"/>
      <c r="H210" s="165"/>
    </row>
    <row r="211">
      <c r="A211" s="32"/>
      <c r="B211" s="32"/>
      <c r="C211" s="32"/>
      <c r="D211" s="32"/>
      <c r="E211" s="163"/>
      <c r="F211" s="164"/>
      <c r="H211" s="165"/>
    </row>
    <row r="212">
      <c r="A212" s="32"/>
      <c r="B212" s="32"/>
      <c r="C212" s="32"/>
      <c r="D212" s="32"/>
      <c r="E212" s="163"/>
      <c r="F212" s="164"/>
      <c r="H212" s="165"/>
    </row>
    <row r="213">
      <c r="A213" s="32"/>
      <c r="B213" s="32"/>
      <c r="C213" s="32"/>
      <c r="D213" s="32"/>
      <c r="E213" s="163"/>
      <c r="F213" s="164"/>
      <c r="H213" s="165"/>
    </row>
    <row r="214">
      <c r="A214" s="32"/>
      <c r="B214" s="32"/>
      <c r="C214" s="32"/>
      <c r="D214" s="32"/>
      <c r="E214" s="163"/>
      <c r="F214" s="164"/>
      <c r="H214" s="165"/>
    </row>
    <row r="215">
      <c r="A215" s="32"/>
      <c r="B215" s="32"/>
      <c r="C215" s="32"/>
      <c r="D215" s="32"/>
      <c r="E215" s="163"/>
      <c r="F215" s="164"/>
      <c r="H215" s="165"/>
    </row>
    <row r="216">
      <c r="A216" s="32"/>
      <c r="B216" s="32"/>
      <c r="C216" s="32"/>
      <c r="D216" s="32"/>
      <c r="E216" s="163"/>
      <c r="F216" s="164"/>
      <c r="H216" s="165"/>
    </row>
    <row r="217">
      <c r="A217" s="32"/>
      <c r="B217" s="32"/>
      <c r="C217" s="32"/>
      <c r="D217" s="32"/>
      <c r="E217" s="163"/>
      <c r="F217" s="164"/>
      <c r="H217" s="165"/>
    </row>
    <row r="218">
      <c r="A218" s="32"/>
      <c r="B218" s="32"/>
      <c r="C218" s="32"/>
      <c r="D218" s="32"/>
      <c r="E218" s="163"/>
      <c r="F218" s="164"/>
      <c r="H218" s="165"/>
    </row>
    <row r="219">
      <c r="A219" s="32"/>
      <c r="B219" s="32"/>
      <c r="C219" s="32"/>
      <c r="D219" s="32"/>
      <c r="E219" s="163"/>
      <c r="F219" s="164"/>
      <c r="H219" s="165"/>
    </row>
    <row r="220">
      <c r="A220" s="32"/>
      <c r="B220" s="32"/>
      <c r="C220" s="32"/>
      <c r="D220" s="32"/>
      <c r="E220" s="163"/>
      <c r="F220" s="164"/>
      <c r="H220" s="165"/>
    </row>
    <row r="221">
      <c r="A221" s="32"/>
      <c r="B221" s="32"/>
      <c r="C221" s="32"/>
      <c r="D221" s="32"/>
      <c r="E221" s="163"/>
      <c r="F221" s="164"/>
      <c r="H221" s="165"/>
    </row>
    <row r="222">
      <c r="A222" s="32"/>
      <c r="B222" s="32"/>
      <c r="C222" s="32"/>
      <c r="D222" s="32"/>
      <c r="E222" s="163"/>
      <c r="F222" s="164"/>
      <c r="H222" s="165"/>
    </row>
    <row r="223">
      <c r="A223" s="32"/>
      <c r="B223" s="32"/>
      <c r="C223" s="32"/>
      <c r="D223" s="32"/>
      <c r="E223" s="163"/>
      <c r="F223" s="164"/>
      <c r="H223" s="165"/>
    </row>
    <row r="224">
      <c r="A224" s="32"/>
      <c r="B224" s="32"/>
      <c r="C224" s="32"/>
      <c r="D224" s="32"/>
      <c r="E224" s="163"/>
      <c r="F224" s="164"/>
      <c r="H224" s="165"/>
    </row>
    <row r="225">
      <c r="A225" s="32"/>
      <c r="B225" s="32"/>
      <c r="C225" s="32"/>
      <c r="D225" s="32"/>
      <c r="E225" s="163"/>
      <c r="F225" s="164"/>
      <c r="H225" s="165"/>
    </row>
    <row r="226">
      <c r="A226" s="32"/>
      <c r="B226" s="32"/>
      <c r="C226" s="32"/>
      <c r="D226" s="32"/>
      <c r="E226" s="163"/>
      <c r="F226" s="164"/>
      <c r="H226" s="165"/>
    </row>
    <row r="227">
      <c r="A227" s="32"/>
      <c r="B227" s="32"/>
      <c r="C227" s="32"/>
      <c r="D227" s="32"/>
      <c r="E227" s="163"/>
      <c r="F227" s="164"/>
      <c r="H227" s="165"/>
    </row>
    <row r="228">
      <c r="A228" s="32"/>
      <c r="B228" s="32"/>
      <c r="C228" s="32"/>
      <c r="D228" s="32"/>
      <c r="E228" s="163"/>
      <c r="F228" s="164"/>
      <c r="H228" s="165"/>
    </row>
    <row r="229">
      <c r="A229" s="32"/>
      <c r="B229" s="32"/>
      <c r="C229" s="32"/>
      <c r="D229" s="32"/>
      <c r="E229" s="163"/>
      <c r="F229" s="164"/>
      <c r="H229" s="165"/>
    </row>
    <row r="230">
      <c r="A230" s="32"/>
      <c r="B230" s="32"/>
      <c r="C230" s="32"/>
      <c r="D230" s="32"/>
      <c r="E230" s="163"/>
      <c r="F230" s="164"/>
      <c r="H230" s="165"/>
    </row>
    <row r="231">
      <c r="A231" s="32"/>
      <c r="B231" s="32"/>
      <c r="C231" s="32"/>
      <c r="D231" s="32"/>
      <c r="E231" s="163"/>
      <c r="F231" s="164"/>
      <c r="H231" s="165"/>
    </row>
    <row r="232">
      <c r="A232" s="32"/>
      <c r="B232" s="32"/>
      <c r="C232" s="32"/>
      <c r="D232" s="32"/>
      <c r="E232" s="163"/>
      <c r="F232" s="164"/>
      <c r="H232" s="165"/>
    </row>
    <row r="233">
      <c r="A233" s="32"/>
      <c r="B233" s="32"/>
      <c r="C233" s="32"/>
      <c r="D233" s="32"/>
      <c r="E233" s="163"/>
      <c r="F233" s="164"/>
      <c r="H233" s="165"/>
    </row>
    <row r="234">
      <c r="A234" s="32"/>
      <c r="B234" s="32"/>
      <c r="C234" s="32"/>
      <c r="D234" s="32"/>
      <c r="E234" s="163"/>
      <c r="F234" s="164"/>
      <c r="H234" s="165"/>
    </row>
    <row r="235">
      <c r="A235" s="32"/>
      <c r="B235" s="32"/>
      <c r="C235" s="32"/>
      <c r="D235" s="32"/>
      <c r="E235" s="163"/>
      <c r="F235" s="164"/>
      <c r="H235" s="165"/>
    </row>
    <row r="236">
      <c r="A236" s="32"/>
      <c r="B236" s="32"/>
      <c r="C236" s="32"/>
      <c r="D236" s="32"/>
      <c r="E236" s="163"/>
      <c r="F236" s="164"/>
      <c r="H236" s="165"/>
    </row>
    <row r="237">
      <c r="A237" s="32"/>
      <c r="B237" s="32"/>
      <c r="C237" s="32"/>
      <c r="D237" s="32"/>
      <c r="E237" s="163"/>
      <c r="F237" s="164"/>
      <c r="H237" s="165"/>
    </row>
    <row r="238">
      <c r="A238" s="32"/>
      <c r="B238" s="32"/>
      <c r="C238" s="32"/>
      <c r="D238" s="32"/>
      <c r="E238" s="163"/>
      <c r="F238" s="164"/>
      <c r="H238" s="165"/>
    </row>
    <row r="239">
      <c r="A239" s="32"/>
      <c r="B239" s="32"/>
      <c r="C239" s="32"/>
      <c r="D239" s="32"/>
      <c r="E239" s="163"/>
      <c r="F239" s="164"/>
      <c r="H239" s="165"/>
    </row>
    <row r="240">
      <c r="A240" s="32"/>
      <c r="B240" s="32"/>
      <c r="C240" s="32"/>
      <c r="D240" s="32"/>
      <c r="E240" s="163"/>
      <c r="F240" s="164"/>
      <c r="H240" s="165"/>
    </row>
    <row r="241">
      <c r="A241" s="32"/>
      <c r="B241" s="32"/>
      <c r="C241" s="32"/>
      <c r="D241" s="32"/>
      <c r="E241" s="163"/>
      <c r="F241" s="164"/>
      <c r="H241" s="165"/>
    </row>
    <row r="242">
      <c r="A242" s="32"/>
      <c r="B242" s="32"/>
      <c r="C242" s="32"/>
      <c r="D242" s="32"/>
      <c r="E242" s="163"/>
      <c r="F242" s="164"/>
      <c r="H242" s="165"/>
    </row>
    <row r="243">
      <c r="A243" s="32"/>
      <c r="B243" s="32"/>
      <c r="C243" s="32"/>
      <c r="D243" s="32"/>
      <c r="E243" s="163"/>
      <c r="F243" s="164"/>
      <c r="H243" s="165"/>
    </row>
    <row r="244">
      <c r="A244" s="32"/>
      <c r="B244" s="32"/>
      <c r="C244" s="32"/>
      <c r="D244" s="32"/>
      <c r="E244" s="163"/>
      <c r="F244" s="164"/>
      <c r="H244" s="165"/>
    </row>
    <row r="245">
      <c r="A245" s="32"/>
      <c r="B245" s="32"/>
      <c r="C245" s="32"/>
      <c r="D245" s="32"/>
      <c r="E245" s="163"/>
      <c r="F245" s="164"/>
      <c r="H245" s="165"/>
    </row>
    <row r="246">
      <c r="A246" s="32"/>
      <c r="B246" s="32"/>
      <c r="C246" s="32"/>
      <c r="D246" s="32"/>
      <c r="E246" s="163"/>
      <c r="F246" s="164"/>
      <c r="H246" s="165"/>
    </row>
    <row r="247">
      <c r="A247" s="32"/>
      <c r="B247" s="32"/>
      <c r="C247" s="32"/>
      <c r="D247" s="32"/>
      <c r="E247" s="163"/>
      <c r="F247" s="164"/>
      <c r="H247" s="165"/>
    </row>
    <row r="248">
      <c r="A248" s="32"/>
      <c r="B248" s="32"/>
      <c r="C248" s="32"/>
      <c r="D248" s="32"/>
      <c r="E248" s="163"/>
      <c r="F248" s="164"/>
      <c r="H248" s="165"/>
    </row>
    <row r="249">
      <c r="A249" s="32"/>
      <c r="B249" s="32"/>
      <c r="C249" s="32"/>
      <c r="D249" s="32"/>
      <c r="E249" s="163"/>
      <c r="F249" s="164"/>
      <c r="H249" s="165"/>
    </row>
    <row r="250">
      <c r="A250" s="32"/>
      <c r="B250" s="32"/>
      <c r="C250" s="32"/>
      <c r="D250" s="32"/>
      <c r="E250" s="163"/>
      <c r="F250" s="164"/>
      <c r="H250" s="165"/>
    </row>
    <row r="251">
      <c r="A251" s="32"/>
      <c r="B251" s="32"/>
      <c r="C251" s="32"/>
      <c r="D251" s="32"/>
      <c r="E251" s="163"/>
      <c r="F251" s="164"/>
      <c r="H251" s="165"/>
    </row>
    <row r="252">
      <c r="A252" s="32"/>
      <c r="B252" s="32"/>
      <c r="C252" s="32"/>
      <c r="D252" s="32"/>
      <c r="E252" s="163"/>
      <c r="F252" s="164"/>
      <c r="H252" s="165"/>
    </row>
    <row r="253">
      <c r="A253" s="32"/>
      <c r="B253" s="32"/>
      <c r="C253" s="32"/>
      <c r="D253" s="32"/>
      <c r="E253" s="163"/>
      <c r="F253" s="164"/>
      <c r="H253" s="165"/>
    </row>
    <row r="254">
      <c r="A254" s="32"/>
      <c r="B254" s="32"/>
      <c r="C254" s="32"/>
      <c r="D254" s="32"/>
      <c r="E254" s="163"/>
      <c r="F254" s="164"/>
      <c r="H254" s="165"/>
    </row>
    <row r="255">
      <c r="A255" s="32"/>
      <c r="B255" s="32"/>
      <c r="C255" s="32"/>
      <c r="D255" s="32"/>
      <c r="E255" s="163"/>
      <c r="F255" s="164"/>
      <c r="H255" s="165"/>
    </row>
    <row r="256">
      <c r="A256" s="32"/>
      <c r="B256" s="32"/>
      <c r="C256" s="32"/>
      <c r="D256" s="32"/>
      <c r="E256" s="163"/>
      <c r="F256" s="164"/>
      <c r="H256" s="165"/>
    </row>
    <row r="257">
      <c r="A257" s="32"/>
      <c r="B257" s="32"/>
      <c r="C257" s="32"/>
      <c r="D257" s="32"/>
      <c r="E257" s="163"/>
      <c r="F257" s="164"/>
      <c r="H257" s="165"/>
    </row>
    <row r="258">
      <c r="A258" s="32"/>
      <c r="B258" s="32"/>
      <c r="C258" s="32"/>
      <c r="D258" s="32"/>
      <c r="E258" s="163"/>
      <c r="F258" s="164"/>
      <c r="H258" s="165"/>
    </row>
    <row r="259">
      <c r="A259" s="32"/>
      <c r="B259" s="32"/>
      <c r="C259" s="32"/>
      <c r="D259" s="32"/>
      <c r="E259" s="163"/>
      <c r="F259" s="164"/>
      <c r="H259" s="165"/>
    </row>
    <row r="260">
      <c r="A260" s="32"/>
      <c r="B260" s="32"/>
      <c r="C260" s="32"/>
      <c r="D260" s="32"/>
      <c r="E260" s="163"/>
      <c r="F260" s="164"/>
      <c r="H260" s="165"/>
    </row>
    <row r="261">
      <c r="A261" s="32"/>
      <c r="B261" s="32"/>
      <c r="C261" s="32"/>
      <c r="D261" s="32"/>
      <c r="E261" s="163"/>
      <c r="F261" s="164"/>
      <c r="H261" s="165"/>
    </row>
    <row r="262">
      <c r="A262" s="32"/>
      <c r="B262" s="32"/>
      <c r="C262" s="32"/>
      <c r="D262" s="32"/>
      <c r="E262" s="163"/>
      <c r="F262" s="164"/>
      <c r="H262" s="165"/>
    </row>
    <row r="263">
      <c r="A263" s="32"/>
      <c r="B263" s="32"/>
      <c r="C263" s="32"/>
      <c r="D263" s="32"/>
      <c r="E263" s="163"/>
      <c r="F263" s="164"/>
      <c r="H263" s="165"/>
    </row>
    <row r="264">
      <c r="A264" s="32"/>
      <c r="B264" s="32"/>
      <c r="C264" s="32"/>
      <c r="D264" s="32"/>
      <c r="E264" s="163"/>
      <c r="F264" s="164"/>
      <c r="H264" s="165"/>
    </row>
    <row r="265">
      <c r="A265" s="32"/>
      <c r="B265" s="32"/>
      <c r="C265" s="32"/>
      <c r="D265" s="32"/>
      <c r="E265" s="163"/>
      <c r="F265" s="164"/>
      <c r="H265" s="165"/>
    </row>
    <row r="266">
      <c r="A266" s="32"/>
      <c r="B266" s="32"/>
      <c r="C266" s="32"/>
      <c r="D266" s="32"/>
      <c r="E266" s="163"/>
      <c r="F266" s="164"/>
      <c r="H266" s="165"/>
    </row>
    <row r="267">
      <c r="A267" s="32"/>
      <c r="B267" s="32"/>
      <c r="C267" s="32"/>
      <c r="D267" s="32"/>
      <c r="E267" s="163"/>
      <c r="F267" s="164"/>
      <c r="H267" s="165"/>
    </row>
    <row r="268">
      <c r="A268" s="32"/>
      <c r="B268" s="32"/>
      <c r="C268" s="32"/>
      <c r="D268" s="32"/>
      <c r="E268" s="163"/>
      <c r="F268" s="164"/>
      <c r="H268" s="165"/>
    </row>
    <row r="269">
      <c r="A269" s="32"/>
      <c r="B269" s="32"/>
      <c r="C269" s="32"/>
      <c r="D269" s="32"/>
      <c r="E269" s="163"/>
      <c r="F269" s="164"/>
      <c r="H269" s="165"/>
    </row>
    <row r="270">
      <c r="A270" s="32"/>
      <c r="B270" s="32"/>
      <c r="C270" s="32"/>
      <c r="D270" s="32"/>
      <c r="E270" s="163"/>
      <c r="F270" s="164"/>
      <c r="H270" s="165"/>
    </row>
    <row r="271">
      <c r="A271" s="32"/>
      <c r="B271" s="32"/>
      <c r="C271" s="32"/>
      <c r="D271" s="32"/>
      <c r="E271" s="163"/>
      <c r="F271" s="164"/>
      <c r="H271" s="165"/>
    </row>
    <row r="272">
      <c r="A272" s="32"/>
      <c r="B272" s="32"/>
      <c r="C272" s="32"/>
      <c r="D272" s="32"/>
      <c r="E272" s="163"/>
      <c r="F272" s="164"/>
      <c r="H272" s="165"/>
    </row>
    <row r="273">
      <c r="A273" s="32"/>
      <c r="B273" s="32"/>
      <c r="C273" s="32"/>
      <c r="D273" s="32"/>
      <c r="E273" s="163"/>
      <c r="F273" s="164"/>
      <c r="H273" s="165"/>
    </row>
    <row r="274">
      <c r="A274" s="32"/>
      <c r="B274" s="32"/>
      <c r="C274" s="32"/>
      <c r="D274" s="32"/>
      <c r="E274" s="163"/>
      <c r="F274" s="164"/>
      <c r="H274" s="165"/>
    </row>
    <row r="275">
      <c r="A275" s="32"/>
      <c r="B275" s="32"/>
      <c r="C275" s="32"/>
      <c r="D275" s="32"/>
      <c r="E275" s="163"/>
      <c r="F275" s="164"/>
      <c r="H275" s="165"/>
    </row>
    <row r="276">
      <c r="A276" s="32"/>
      <c r="B276" s="32"/>
      <c r="C276" s="32"/>
      <c r="D276" s="32"/>
      <c r="E276" s="163"/>
      <c r="F276" s="164"/>
      <c r="H276" s="165"/>
    </row>
    <row r="277">
      <c r="A277" s="32"/>
      <c r="B277" s="32"/>
      <c r="C277" s="32"/>
      <c r="D277" s="32"/>
      <c r="E277" s="163"/>
      <c r="F277" s="164"/>
      <c r="H277" s="165"/>
    </row>
    <row r="278">
      <c r="A278" s="32"/>
      <c r="B278" s="32"/>
      <c r="C278" s="32"/>
      <c r="D278" s="32"/>
      <c r="E278" s="163"/>
      <c r="F278" s="164"/>
      <c r="H278" s="165"/>
    </row>
    <row r="279">
      <c r="A279" s="32"/>
      <c r="B279" s="32"/>
      <c r="C279" s="32"/>
      <c r="D279" s="32"/>
      <c r="E279" s="163"/>
      <c r="F279" s="164"/>
      <c r="H279" s="165"/>
    </row>
    <row r="280">
      <c r="A280" s="32"/>
      <c r="B280" s="32"/>
      <c r="C280" s="32"/>
      <c r="D280" s="32"/>
      <c r="E280" s="163"/>
      <c r="F280" s="164"/>
      <c r="H280" s="165"/>
    </row>
    <row r="281">
      <c r="A281" s="32"/>
      <c r="B281" s="32"/>
      <c r="C281" s="32"/>
      <c r="D281" s="32"/>
      <c r="E281" s="163"/>
      <c r="F281" s="164"/>
      <c r="H281" s="165"/>
    </row>
    <row r="282">
      <c r="A282" s="32"/>
      <c r="B282" s="32"/>
      <c r="C282" s="32"/>
      <c r="D282" s="32"/>
      <c r="E282" s="163"/>
      <c r="F282" s="164"/>
      <c r="H282" s="165"/>
    </row>
    <row r="283">
      <c r="A283" s="32"/>
      <c r="B283" s="32"/>
      <c r="C283" s="32"/>
      <c r="D283" s="32"/>
      <c r="E283" s="163"/>
      <c r="F283" s="164"/>
      <c r="H283" s="165"/>
    </row>
    <row r="284">
      <c r="A284" s="32"/>
      <c r="B284" s="32"/>
      <c r="C284" s="32"/>
      <c r="D284" s="32"/>
      <c r="E284" s="163"/>
      <c r="F284" s="164"/>
      <c r="H284" s="165"/>
    </row>
    <row r="285">
      <c r="A285" s="32"/>
      <c r="B285" s="32"/>
      <c r="C285" s="32"/>
      <c r="D285" s="32"/>
      <c r="E285" s="163"/>
      <c r="F285" s="164"/>
      <c r="H285" s="165"/>
    </row>
    <row r="286">
      <c r="A286" s="32"/>
      <c r="B286" s="32"/>
      <c r="C286" s="32"/>
      <c r="D286" s="32"/>
      <c r="E286" s="163"/>
      <c r="F286" s="164"/>
      <c r="H286" s="165"/>
    </row>
    <row r="287">
      <c r="A287" s="32"/>
      <c r="B287" s="32"/>
      <c r="C287" s="32"/>
      <c r="D287" s="32"/>
      <c r="E287" s="163"/>
      <c r="F287" s="164"/>
      <c r="H287" s="165"/>
    </row>
    <row r="288">
      <c r="A288" s="32"/>
      <c r="B288" s="32"/>
      <c r="C288" s="32"/>
      <c r="D288" s="32"/>
      <c r="E288" s="163"/>
      <c r="F288" s="164"/>
      <c r="H288" s="165"/>
    </row>
    <row r="289">
      <c r="A289" s="32"/>
      <c r="B289" s="32"/>
      <c r="C289" s="32"/>
      <c r="D289" s="32"/>
      <c r="E289" s="163"/>
      <c r="F289" s="164"/>
      <c r="H289" s="165"/>
    </row>
    <row r="290">
      <c r="A290" s="32"/>
      <c r="B290" s="32"/>
      <c r="C290" s="32"/>
      <c r="D290" s="32"/>
      <c r="E290" s="163"/>
      <c r="F290" s="164"/>
      <c r="H290" s="165"/>
    </row>
    <row r="291">
      <c r="A291" s="32"/>
      <c r="B291" s="32"/>
      <c r="C291" s="32"/>
      <c r="D291" s="32"/>
      <c r="E291" s="163"/>
      <c r="F291" s="164"/>
      <c r="H291" s="165"/>
    </row>
    <row r="292">
      <c r="A292" s="32"/>
      <c r="B292" s="32"/>
      <c r="C292" s="32"/>
      <c r="D292" s="32"/>
      <c r="E292" s="163"/>
      <c r="F292" s="164"/>
      <c r="H292" s="165"/>
    </row>
    <row r="293">
      <c r="A293" s="32"/>
      <c r="B293" s="32"/>
      <c r="C293" s="32"/>
      <c r="D293" s="32"/>
      <c r="E293" s="163"/>
      <c r="F293" s="164"/>
      <c r="H293" s="165"/>
    </row>
    <row r="294">
      <c r="A294" s="32"/>
      <c r="B294" s="32"/>
      <c r="C294" s="32"/>
      <c r="D294" s="32"/>
      <c r="E294" s="163"/>
      <c r="F294" s="164"/>
      <c r="H294" s="165"/>
    </row>
    <row r="295">
      <c r="A295" s="32"/>
      <c r="B295" s="32"/>
      <c r="C295" s="32"/>
      <c r="D295" s="32"/>
      <c r="E295" s="163"/>
      <c r="F295" s="164"/>
      <c r="H295" s="165"/>
    </row>
    <row r="296">
      <c r="A296" s="32"/>
      <c r="B296" s="32"/>
      <c r="C296" s="32"/>
      <c r="D296" s="32"/>
      <c r="E296" s="163"/>
      <c r="F296" s="164"/>
      <c r="H296" s="165"/>
    </row>
    <row r="297">
      <c r="A297" s="32"/>
      <c r="B297" s="32"/>
      <c r="C297" s="32"/>
      <c r="D297" s="32"/>
      <c r="E297" s="163"/>
      <c r="F297" s="164"/>
      <c r="H297" s="165"/>
    </row>
    <row r="298">
      <c r="A298" s="32"/>
      <c r="B298" s="32"/>
      <c r="C298" s="32"/>
      <c r="D298" s="32"/>
      <c r="E298" s="163"/>
      <c r="F298" s="164"/>
      <c r="H298" s="165"/>
    </row>
    <row r="299">
      <c r="A299" s="32"/>
      <c r="B299" s="32"/>
      <c r="C299" s="32"/>
      <c r="D299" s="32"/>
      <c r="E299" s="163"/>
      <c r="F299" s="164"/>
      <c r="H299" s="165"/>
    </row>
    <row r="300">
      <c r="A300" s="32"/>
      <c r="B300" s="32"/>
      <c r="C300" s="32"/>
      <c r="D300" s="32"/>
      <c r="E300" s="163"/>
      <c r="F300" s="164"/>
      <c r="H300" s="165"/>
    </row>
    <row r="301">
      <c r="A301" s="32"/>
      <c r="B301" s="32"/>
      <c r="C301" s="32"/>
      <c r="D301" s="32"/>
      <c r="E301" s="163"/>
      <c r="F301" s="164"/>
      <c r="H301" s="165"/>
    </row>
    <row r="302">
      <c r="A302" s="32"/>
      <c r="B302" s="32"/>
      <c r="C302" s="32"/>
      <c r="D302" s="32"/>
      <c r="E302" s="163"/>
      <c r="F302" s="164"/>
      <c r="H302" s="165"/>
    </row>
    <row r="303">
      <c r="A303" s="32"/>
      <c r="B303" s="32"/>
      <c r="C303" s="32"/>
      <c r="D303" s="32"/>
      <c r="E303" s="163"/>
      <c r="F303" s="164"/>
      <c r="H303" s="165"/>
    </row>
    <row r="304">
      <c r="A304" s="32"/>
      <c r="B304" s="32"/>
      <c r="C304" s="32"/>
      <c r="D304" s="32"/>
      <c r="E304" s="163"/>
      <c r="F304" s="164"/>
      <c r="H304" s="165"/>
    </row>
    <row r="305">
      <c r="A305" s="32"/>
      <c r="B305" s="32"/>
      <c r="C305" s="32"/>
      <c r="D305" s="32"/>
      <c r="E305" s="163"/>
      <c r="F305" s="164"/>
      <c r="H305" s="165"/>
    </row>
    <row r="306">
      <c r="A306" s="32"/>
      <c r="B306" s="32"/>
      <c r="C306" s="32"/>
      <c r="D306" s="32"/>
      <c r="E306" s="163"/>
      <c r="F306" s="164"/>
      <c r="H306" s="165"/>
    </row>
    <row r="307">
      <c r="A307" s="32"/>
      <c r="B307" s="32"/>
      <c r="C307" s="32"/>
      <c r="D307" s="32"/>
      <c r="E307" s="163"/>
      <c r="F307" s="164"/>
      <c r="H307" s="165"/>
    </row>
    <row r="308">
      <c r="A308" s="32"/>
      <c r="B308" s="32"/>
      <c r="C308" s="32"/>
      <c r="D308" s="32"/>
      <c r="E308" s="163"/>
      <c r="F308" s="164"/>
      <c r="H308" s="165"/>
    </row>
    <row r="309">
      <c r="A309" s="32"/>
      <c r="B309" s="32"/>
      <c r="C309" s="32"/>
      <c r="D309" s="32"/>
      <c r="E309" s="163"/>
      <c r="F309" s="164"/>
      <c r="H309" s="165"/>
    </row>
    <row r="310">
      <c r="A310" s="32"/>
      <c r="B310" s="32"/>
      <c r="C310" s="32"/>
      <c r="D310" s="32"/>
      <c r="E310" s="163"/>
      <c r="F310" s="164"/>
      <c r="H310" s="165"/>
    </row>
    <row r="311">
      <c r="A311" s="32"/>
      <c r="B311" s="32"/>
      <c r="C311" s="32"/>
      <c r="D311" s="32"/>
      <c r="E311" s="163"/>
      <c r="F311" s="164"/>
      <c r="H311" s="165"/>
    </row>
    <row r="312">
      <c r="A312" s="32"/>
      <c r="B312" s="32"/>
      <c r="C312" s="32"/>
      <c r="D312" s="32"/>
      <c r="E312" s="163"/>
      <c r="F312" s="164"/>
      <c r="H312" s="165"/>
    </row>
    <row r="313">
      <c r="A313" s="32"/>
      <c r="B313" s="32"/>
      <c r="C313" s="32"/>
      <c r="D313" s="32"/>
      <c r="E313" s="163"/>
      <c r="F313" s="164"/>
      <c r="H313" s="165"/>
    </row>
    <row r="314">
      <c r="A314" s="32"/>
      <c r="B314" s="32"/>
      <c r="C314" s="32"/>
      <c r="D314" s="32"/>
      <c r="E314" s="163"/>
      <c r="F314" s="164"/>
      <c r="H314" s="165"/>
    </row>
    <row r="315">
      <c r="A315" s="32"/>
      <c r="B315" s="32"/>
      <c r="C315" s="32"/>
      <c r="D315" s="32"/>
      <c r="E315" s="163"/>
      <c r="F315" s="164"/>
      <c r="H315" s="165"/>
    </row>
    <row r="316">
      <c r="A316" s="32"/>
      <c r="B316" s="32"/>
      <c r="C316" s="32"/>
      <c r="D316" s="32"/>
      <c r="E316" s="163"/>
      <c r="F316" s="164"/>
      <c r="H316" s="165"/>
    </row>
    <row r="317">
      <c r="A317" s="32"/>
      <c r="B317" s="32"/>
      <c r="C317" s="32"/>
      <c r="D317" s="32"/>
      <c r="E317" s="163"/>
      <c r="F317" s="164"/>
      <c r="H317" s="165"/>
    </row>
    <row r="318">
      <c r="A318" s="32"/>
      <c r="B318" s="32"/>
      <c r="C318" s="32"/>
      <c r="D318" s="32"/>
      <c r="E318" s="163"/>
      <c r="F318" s="164"/>
      <c r="H318" s="165"/>
    </row>
    <row r="319">
      <c r="A319" s="32"/>
      <c r="B319" s="32"/>
      <c r="C319" s="32"/>
      <c r="D319" s="32"/>
      <c r="E319" s="163"/>
      <c r="F319" s="164"/>
      <c r="H319" s="165"/>
    </row>
    <row r="320">
      <c r="A320" s="32"/>
      <c r="B320" s="32"/>
      <c r="C320" s="32"/>
      <c r="D320" s="32"/>
      <c r="E320" s="163"/>
      <c r="F320" s="164"/>
      <c r="H320" s="165"/>
    </row>
    <row r="321">
      <c r="A321" s="32"/>
      <c r="B321" s="32"/>
      <c r="C321" s="32"/>
      <c r="D321" s="32"/>
      <c r="E321" s="163"/>
      <c r="F321" s="164"/>
      <c r="H321" s="165"/>
    </row>
    <row r="322">
      <c r="A322" s="32"/>
      <c r="B322" s="32"/>
      <c r="C322" s="32"/>
      <c r="D322" s="32"/>
      <c r="E322" s="163"/>
      <c r="F322" s="164"/>
      <c r="H322" s="165"/>
    </row>
    <row r="323">
      <c r="A323" s="32"/>
      <c r="B323" s="32"/>
      <c r="C323" s="32"/>
      <c r="D323" s="32"/>
      <c r="E323" s="163"/>
      <c r="F323" s="164"/>
      <c r="H323" s="165"/>
    </row>
    <row r="324">
      <c r="A324" s="32"/>
      <c r="B324" s="32"/>
      <c r="C324" s="32"/>
      <c r="D324" s="32"/>
      <c r="E324" s="163"/>
      <c r="F324" s="164"/>
      <c r="H324" s="165"/>
    </row>
    <row r="325">
      <c r="A325" s="32"/>
      <c r="B325" s="32"/>
      <c r="C325" s="32"/>
      <c r="D325" s="32"/>
      <c r="E325" s="163"/>
      <c r="F325" s="164"/>
      <c r="H325" s="165"/>
    </row>
    <row r="326">
      <c r="A326" s="32"/>
      <c r="B326" s="32"/>
      <c r="C326" s="32"/>
      <c r="D326" s="32"/>
      <c r="E326" s="163"/>
      <c r="F326" s="164"/>
      <c r="H326" s="165"/>
    </row>
    <row r="327">
      <c r="A327" s="32"/>
      <c r="B327" s="32"/>
      <c r="C327" s="32"/>
      <c r="D327" s="32"/>
      <c r="E327" s="163"/>
      <c r="F327" s="164"/>
      <c r="H327" s="165"/>
    </row>
    <row r="328">
      <c r="A328" s="32"/>
      <c r="B328" s="32"/>
      <c r="C328" s="32"/>
      <c r="D328" s="32"/>
      <c r="E328" s="163"/>
      <c r="F328" s="164"/>
      <c r="H328" s="165"/>
    </row>
    <row r="329">
      <c r="A329" s="32"/>
      <c r="B329" s="32"/>
      <c r="C329" s="32"/>
      <c r="D329" s="32"/>
      <c r="E329" s="163"/>
      <c r="F329" s="164"/>
      <c r="H329" s="165"/>
    </row>
    <row r="330">
      <c r="A330" s="32"/>
      <c r="B330" s="32"/>
      <c r="C330" s="32"/>
      <c r="D330" s="32"/>
      <c r="E330" s="163"/>
      <c r="F330" s="164"/>
      <c r="H330" s="165"/>
    </row>
    <row r="331">
      <c r="A331" s="32"/>
      <c r="B331" s="32"/>
      <c r="C331" s="32"/>
      <c r="D331" s="32"/>
      <c r="E331" s="163"/>
      <c r="F331" s="164"/>
      <c r="H331" s="165"/>
    </row>
    <row r="332">
      <c r="A332" s="32"/>
      <c r="B332" s="32"/>
      <c r="C332" s="32"/>
      <c r="D332" s="32"/>
      <c r="E332" s="163"/>
      <c r="F332" s="164"/>
      <c r="H332" s="165"/>
    </row>
    <row r="333">
      <c r="A333" s="32"/>
      <c r="B333" s="32"/>
      <c r="C333" s="32"/>
      <c r="D333" s="32"/>
      <c r="E333" s="163"/>
      <c r="F333" s="164"/>
      <c r="H333" s="165"/>
    </row>
    <row r="334">
      <c r="A334" s="32"/>
      <c r="B334" s="32"/>
      <c r="C334" s="32"/>
      <c r="D334" s="32"/>
      <c r="E334" s="163"/>
      <c r="F334" s="164"/>
      <c r="H334" s="165"/>
    </row>
    <row r="335">
      <c r="A335" s="32"/>
      <c r="B335" s="32"/>
      <c r="C335" s="32"/>
      <c r="D335" s="32"/>
      <c r="E335" s="163"/>
      <c r="F335" s="164"/>
      <c r="H335" s="165"/>
    </row>
    <row r="336">
      <c r="A336" s="32"/>
      <c r="B336" s="32"/>
      <c r="C336" s="32"/>
      <c r="D336" s="32"/>
      <c r="E336" s="163"/>
      <c r="F336" s="164"/>
      <c r="H336" s="165"/>
    </row>
    <row r="337">
      <c r="A337" s="32"/>
      <c r="B337" s="32"/>
      <c r="C337" s="32"/>
      <c r="D337" s="32"/>
      <c r="E337" s="163"/>
      <c r="F337" s="164"/>
      <c r="H337" s="165"/>
    </row>
    <row r="338">
      <c r="A338" s="32"/>
      <c r="B338" s="32"/>
      <c r="C338" s="32"/>
      <c r="D338" s="32"/>
      <c r="E338" s="163"/>
      <c r="F338" s="164"/>
      <c r="H338" s="165"/>
    </row>
    <row r="339">
      <c r="A339" s="32"/>
      <c r="B339" s="32"/>
      <c r="C339" s="32"/>
      <c r="D339" s="32"/>
      <c r="E339" s="163"/>
      <c r="F339" s="164"/>
      <c r="H339" s="165"/>
    </row>
    <row r="340">
      <c r="A340" s="32"/>
      <c r="B340" s="32"/>
      <c r="C340" s="32"/>
      <c r="D340" s="32"/>
      <c r="E340" s="163"/>
      <c r="F340" s="164"/>
      <c r="H340" s="165"/>
    </row>
    <row r="341">
      <c r="A341" s="32"/>
      <c r="B341" s="32"/>
      <c r="C341" s="32"/>
      <c r="D341" s="32"/>
      <c r="E341" s="163"/>
      <c r="F341" s="164"/>
      <c r="H341" s="165"/>
    </row>
    <row r="342">
      <c r="A342" s="32"/>
      <c r="B342" s="32"/>
      <c r="C342" s="32"/>
      <c r="D342" s="32"/>
      <c r="E342" s="163"/>
      <c r="F342" s="164"/>
      <c r="H342" s="165"/>
    </row>
    <row r="343">
      <c r="A343" s="32"/>
      <c r="B343" s="32"/>
      <c r="C343" s="32"/>
      <c r="D343" s="32"/>
      <c r="E343" s="163"/>
      <c r="F343" s="164"/>
      <c r="H343" s="165"/>
    </row>
    <row r="344">
      <c r="A344" s="32"/>
      <c r="B344" s="32"/>
      <c r="C344" s="32"/>
      <c r="D344" s="32"/>
      <c r="E344" s="163"/>
      <c r="F344" s="164"/>
      <c r="H344" s="165"/>
    </row>
    <row r="345">
      <c r="A345" s="32"/>
      <c r="B345" s="32"/>
      <c r="C345" s="32"/>
      <c r="D345" s="32"/>
      <c r="E345" s="163"/>
      <c r="F345" s="164"/>
      <c r="H345" s="165"/>
    </row>
    <row r="346">
      <c r="A346" s="32"/>
      <c r="B346" s="32"/>
      <c r="C346" s="32"/>
      <c r="D346" s="32"/>
      <c r="E346" s="163"/>
      <c r="F346" s="164"/>
      <c r="H346" s="165"/>
    </row>
    <row r="347">
      <c r="A347" s="32"/>
      <c r="B347" s="32"/>
      <c r="C347" s="32"/>
      <c r="D347" s="32"/>
      <c r="E347" s="163"/>
      <c r="F347" s="164"/>
      <c r="H347" s="165"/>
    </row>
    <row r="348">
      <c r="A348" s="32"/>
      <c r="B348" s="32"/>
      <c r="C348" s="32"/>
      <c r="D348" s="32"/>
      <c r="E348" s="163"/>
      <c r="F348" s="164"/>
      <c r="H348" s="165"/>
    </row>
    <row r="349">
      <c r="A349" s="32"/>
      <c r="B349" s="32"/>
      <c r="C349" s="32"/>
      <c r="D349" s="32"/>
      <c r="E349" s="163"/>
      <c r="F349" s="164"/>
      <c r="H349" s="165"/>
    </row>
    <row r="350">
      <c r="A350" s="32"/>
      <c r="B350" s="32"/>
      <c r="C350" s="32"/>
      <c r="D350" s="32"/>
      <c r="E350" s="163"/>
      <c r="F350" s="164"/>
      <c r="H350" s="165"/>
    </row>
    <row r="351">
      <c r="A351" s="32"/>
      <c r="B351" s="32"/>
      <c r="C351" s="32"/>
      <c r="D351" s="32"/>
      <c r="E351" s="163"/>
      <c r="F351" s="164"/>
      <c r="H351" s="165"/>
    </row>
    <row r="352">
      <c r="A352" s="32"/>
      <c r="B352" s="32"/>
      <c r="C352" s="32"/>
      <c r="D352" s="32"/>
      <c r="E352" s="163"/>
      <c r="F352" s="164"/>
      <c r="H352" s="165"/>
    </row>
    <row r="353">
      <c r="A353" s="32"/>
      <c r="B353" s="32"/>
      <c r="C353" s="32"/>
      <c r="D353" s="32"/>
      <c r="E353" s="163"/>
      <c r="F353" s="164"/>
      <c r="H353" s="165"/>
    </row>
    <row r="354">
      <c r="A354" s="32"/>
      <c r="B354" s="32"/>
      <c r="C354" s="32"/>
      <c r="D354" s="32"/>
      <c r="E354" s="163"/>
      <c r="F354" s="164"/>
      <c r="H354" s="165"/>
    </row>
    <row r="355">
      <c r="A355" s="32"/>
      <c r="B355" s="32"/>
      <c r="C355" s="32"/>
      <c r="D355" s="32"/>
      <c r="E355" s="163"/>
      <c r="F355" s="164"/>
      <c r="H355" s="165"/>
    </row>
    <row r="356">
      <c r="A356" s="32"/>
      <c r="B356" s="32"/>
      <c r="C356" s="32"/>
      <c r="D356" s="32"/>
      <c r="E356" s="163"/>
      <c r="F356" s="164"/>
      <c r="H356" s="165"/>
    </row>
    <row r="357">
      <c r="A357" s="32"/>
      <c r="B357" s="32"/>
      <c r="C357" s="32"/>
      <c r="D357" s="32"/>
      <c r="E357" s="163"/>
      <c r="F357" s="164"/>
      <c r="H357" s="165"/>
    </row>
    <row r="358">
      <c r="A358" s="32"/>
      <c r="B358" s="32"/>
      <c r="C358" s="32"/>
      <c r="D358" s="32"/>
      <c r="E358" s="163"/>
      <c r="F358" s="164"/>
      <c r="H358" s="165"/>
    </row>
    <row r="359">
      <c r="A359" s="32"/>
      <c r="B359" s="32"/>
      <c r="C359" s="32"/>
      <c r="D359" s="32"/>
      <c r="E359" s="163"/>
      <c r="F359" s="164"/>
      <c r="H359" s="165"/>
    </row>
    <row r="360">
      <c r="A360" s="32"/>
      <c r="B360" s="32"/>
      <c r="C360" s="32"/>
      <c r="D360" s="32"/>
      <c r="E360" s="163"/>
      <c r="F360" s="164"/>
      <c r="H360" s="165"/>
    </row>
    <row r="361">
      <c r="A361" s="32"/>
      <c r="B361" s="32"/>
      <c r="C361" s="32"/>
      <c r="D361" s="32"/>
      <c r="E361" s="163"/>
      <c r="F361" s="164"/>
      <c r="H361" s="165"/>
    </row>
    <row r="362">
      <c r="A362" s="32"/>
      <c r="B362" s="32"/>
      <c r="C362" s="32"/>
      <c r="D362" s="32"/>
      <c r="E362" s="163"/>
      <c r="F362" s="164"/>
      <c r="H362" s="165"/>
    </row>
    <row r="363">
      <c r="A363" s="32"/>
      <c r="B363" s="32"/>
      <c r="C363" s="32"/>
      <c r="D363" s="32"/>
      <c r="E363" s="163"/>
      <c r="F363" s="164"/>
      <c r="H363" s="165"/>
    </row>
    <row r="364">
      <c r="A364" s="32"/>
      <c r="B364" s="32"/>
      <c r="C364" s="32"/>
      <c r="D364" s="32"/>
      <c r="E364" s="163"/>
      <c r="F364" s="164"/>
      <c r="H364" s="165"/>
    </row>
    <row r="365">
      <c r="A365" s="32"/>
      <c r="B365" s="32"/>
      <c r="C365" s="32"/>
      <c r="D365" s="32"/>
      <c r="E365" s="163"/>
      <c r="F365" s="164"/>
      <c r="H365" s="165"/>
    </row>
    <row r="366">
      <c r="A366" s="32"/>
      <c r="B366" s="32"/>
      <c r="C366" s="32"/>
      <c r="D366" s="32"/>
      <c r="E366" s="163"/>
      <c r="F366" s="164"/>
      <c r="H366" s="165"/>
    </row>
    <row r="367">
      <c r="A367" s="32"/>
      <c r="B367" s="32"/>
      <c r="C367" s="32"/>
      <c r="D367" s="32"/>
      <c r="E367" s="163"/>
      <c r="F367" s="164"/>
      <c r="H367" s="165"/>
    </row>
    <row r="368">
      <c r="A368" s="32"/>
      <c r="B368" s="32"/>
      <c r="C368" s="32"/>
      <c r="D368" s="32"/>
      <c r="E368" s="163"/>
      <c r="F368" s="164"/>
      <c r="H368" s="165"/>
    </row>
    <row r="369">
      <c r="A369" s="32"/>
      <c r="B369" s="32"/>
      <c r="C369" s="32"/>
      <c r="D369" s="32"/>
      <c r="E369" s="163"/>
      <c r="F369" s="164"/>
      <c r="H369" s="165"/>
    </row>
    <row r="370">
      <c r="A370" s="32"/>
      <c r="B370" s="32"/>
      <c r="C370" s="32"/>
      <c r="D370" s="32"/>
      <c r="E370" s="163"/>
      <c r="F370" s="164"/>
      <c r="H370" s="165"/>
    </row>
    <row r="371">
      <c r="A371" s="32"/>
      <c r="B371" s="32"/>
      <c r="C371" s="32"/>
      <c r="D371" s="32"/>
      <c r="E371" s="163"/>
      <c r="F371" s="164"/>
      <c r="H371" s="165"/>
    </row>
    <row r="372">
      <c r="A372" s="32"/>
      <c r="B372" s="32"/>
      <c r="C372" s="32"/>
      <c r="D372" s="32"/>
      <c r="E372" s="163"/>
      <c r="F372" s="164"/>
      <c r="H372" s="165"/>
    </row>
    <row r="373">
      <c r="A373" s="32"/>
      <c r="B373" s="32"/>
      <c r="C373" s="32"/>
      <c r="D373" s="32"/>
      <c r="E373" s="163"/>
      <c r="F373" s="164"/>
      <c r="H373" s="165"/>
    </row>
    <row r="374">
      <c r="A374" s="32"/>
      <c r="B374" s="32"/>
      <c r="C374" s="32"/>
      <c r="D374" s="32"/>
      <c r="E374" s="163"/>
      <c r="F374" s="164"/>
      <c r="H374" s="165"/>
    </row>
    <row r="375">
      <c r="A375" s="32"/>
      <c r="B375" s="32"/>
      <c r="C375" s="32"/>
      <c r="D375" s="32"/>
      <c r="E375" s="163"/>
      <c r="F375" s="164"/>
      <c r="H375" s="165"/>
    </row>
    <row r="376">
      <c r="A376" s="32"/>
      <c r="B376" s="32"/>
      <c r="C376" s="32"/>
      <c r="D376" s="32"/>
      <c r="E376" s="163"/>
      <c r="F376" s="164"/>
      <c r="H376" s="165"/>
    </row>
    <row r="377">
      <c r="A377" s="32"/>
      <c r="B377" s="32"/>
      <c r="C377" s="32"/>
      <c r="D377" s="32"/>
      <c r="E377" s="163"/>
      <c r="F377" s="164"/>
      <c r="H377" s="165"/>
    </row>
    <row r="378">
      <c r="A378" s="32"/>
      <c r="B378" s="32"/>
      <c r="C378" s="32"/>
      <c r="D378" s="32"/>
      <c r="E378" s="163"/>
      <c r="F378" s="164"/>
      <c r="H378" s="165"/>
    </row>
    <row r="379">
      <c r="A379" s="32"/>
      <c r="B379" s="32"/>
      <c r="C379" s="32"/>
      <c r="D379" s="32"/>
      <c r="E379" s="163"/>
      <c r="F379" s="164"/>
      <c r="H379" s="165"/>
    </row>
    <row r="380">
      <c r="A380" s="32"/>
      <c r="B380" s="32"/>
      <c r="C380" s="32"/>
      <c r="D380" s="32"/>
      <c r="E380" s="163"/>
      <c r="F380" s="164"/>
      <c r="H380" s="165"/>
    </row>
    <row r="381">
      <c r="A381" s="32"/>
      <c r="B381" s="32"/>
      <c r="C381" s="32"/>
      <c r="D381" s="32"/>
      <c r="E381" s="163"/>
      <c r="F381" s="164"/>
      <c r="H381" s="165"/>
    </row>
    <row r="382">
      <c r="A382" s="32"/>
      <c r="B382" s="32"/>
      <c r="C382" s="32"/>
      <c r="D382" s="32"/>
      <c r="E382" s="163"/>
      <c r="F382" s="164"/>
      <c r="H382" s="165"/>
    </row>
    <row r="383">
      <c r="A383" s="32"/>
      <c r="B383" s="32"/>
      <c r="C383" s="32"/>
      <c r="D383" s="32"/>
      <c r="E383" s="163"/>
      <c r="F383" s="164"/>
      <c r="H383" s="165"/>
    </row>
    <row r="384">
      <c r="A384" s="32"/>
      <c r="B384" s="32"/>
      <c r="C384" s="32"/>
      <c r="D384" s="32"/>
      <c r="E384" s="163"/>
      <c r="F384" s="164"/>
      <c r="H384" s="165"/>
    </row>
    <row r="385">
      <c r="A385" s="32"/>
      <c r="B385" s="32"/>
      <c r="C385" s="32"/>
      <c r="D385" s="32"/>
      <c r="E385" s="163"/>
      <c r="F385" s="164"/>
      <c r="H385" s="165"/>
    </row>
    <row r="386">
      <c r="A386" s="32"/>
      <c r="B386" s="32"/>
      <c r="C386" s="32"/>
      <c r="D386" s="32"/>
      <c r="E386" s="163"/>
      <c r="F386" s="164"/>
      <c r="H386" s="165"/>
    </row>
    <row r="387">
      <c r="A387" s="32"/>
      <c r="B387" s="32"/>
      <c r="C387" s="32"/>
      <c r="D387" s="32"/>
      <c r="E387" s="163"/>
      <c r="F387" s="164"/>
      <c r="H387" s="165"/>
    </row>
    <row r="388">
      <c r="A388" s="32"/>
      <c r="B388" s="32"/>
      <c r="C388" s="32"/>
      <c r="D388" s="32"/>
      <c r="E388" s="163"/>
      <c r="F388" s="164"/>
      <c r="H388" s="165"/>
    </row>
    <row r="389">
      <c r="A389" s="32"/>
      <c r="B389" s="32"/>
      <c r="C389" s="32"/>
      <c r="D389" s="32"/>
      <c r="E389" s="163"/>
      <c r="F389" s="164"/>
      <c r="H389" s="165"/>
    </row>
    <row r="390">
      <c r="A390" s="32"/>
      <c r="B390" s="32"/>
      <c r="C390" s="32"/>
      <c r="D390" s="32"/>
      <c r="E390" s="163"/>
      <c r="F390" s="164"/>
      <c r="H390" s="165"/>
    </row>
    <row r="391">
      <c r="A391" s="32"/>
      <c r="B391" s="32"/>
      <c r="C391" s="32"/>
      <c r="D391" s="32"/>
      <c r="E391" s="163"/>
      <c r="F391" s="164"/>
      <c r="H391" s="165"/>
    </row>
    <row r="392">
      <c r="A392" s="32"/>
      <c r="B392" s="32"/>
      <c r="C392" s="32"/>
      <c r="D392" s="32"/>
      <c r="E392" s="163"/>
      <c r="F392" s="164"/>
      <c r="H392" s="165"/>
    </row>
    <row r="393">
      <c r="A393" s="32"/>
      <c r="B393" s="32"/>
      <c r="C393" s="32"/>
      <c r="D393" s="32"/>
      <c r="E393" s="163"/>
      <c r="F393" s="164"/>
      <c r="H393" s="165"/>
    </row>
    <row r="394">
      <c r="A394" s="32"/>
      <c r="B394" s="32"/>
      <c r="C394" s="32"/>
      <c r="D394" s="32"/>
      <c r="E394" s="163"/>
      <c r="F394" s="164"/>
      <c r="H394" s="165"/>
    </row>
    <row r="395">
      <c r="A395" s="32"/>
      <c r="B395" s="32"/>
      <c r="C395" s="32"/>
      <c r="D395" s="32"/>
      <c r="E395" s="163"/>
      <c r="F395" s="164"/>
      <c r="H395" s="165"/>
    </row>
    <row r="396">
      <c r="A396" s="32"/>
      <c r="B396" s="32"/>
      <c r="C396" s="32"/>
      <c r="D396" s="32"/>
      <c r="E396" s="163"/>
      <c r="F396" s="164"/>
      <c r="H396" s="165"/>
    </row>
    <row r="397">
      <c r="A397" s="32"/>
      <c r="B397" s="32"/>
      <c r="C397" s="32"/>
      <c r="D397" s="32"/>
      <c r="E397" s="163"/>
      <c r="F397" s="164"/>
      <c r="H397" s="165"/>
    </row>
    <row r="398">
      <c r="A398" s="32"/>
      <c r="B398" s="32"/>
      <c r="C398" s="32"/>
      <c r="D398" s="32"/>
      <c r="E398" s="163"/>
      <c r="F398" s="164"/>
      <c r="H398" s="165"/>
    </row>
    <row r="399">
      <c r="A399" s="32"/>
      <c r="B399" s="32"/>
      <c r="C399" s="32"/>
      <c r="D399" s="32"/>
      <c r="E399" s="163"/>
      <c r="F399" s="164"/>
      <c r="H399" s="165"/>
    </row>
    <row r="400">
      <c r="A400" s="32"/>
      <c r="B400" s="32"/>
      <c r="C400" s="32"/>
      <c r="D400" s="32"/>
      <c r="E400" s="163"/>
      <c r="F400" s="164"/>
      <c r="H400" s="165"/>
    </row>
    <row r="401">
      <c r="A401" s="32"/>
      <c r="B401" s="32"/>
      <c r="C401" s="32"/>
      <c r="D401" s="32"/>
      <c r="E401" s="163"/>
      <c r="F401" s="164"/>
      <c r="H401" s="165"/>
    </row>
    <row r="402">
      <c r="A402" s="32"/>
      <c r="B402" s="32"/>
      <c r="C402" s="32"/>
      <c r="D402" s="32"/>
      <c r="E402" s="163"/>
      <c r="F402" s="164"/>
      <c r="H402" s="165"/>
    </row>
    <row r="403">
      <c r="A403" s="32"/>
      <c r="B403" s="32"/>
      <c r="C403" s="32"/>
      <c r="D403" s="32"/>
      <c r="E403" s="163"/>
      <c r="F403" s="164"/>
      <c r="H403" s="165"/>
    </row>
    <row r="404">
      <c r="A404" s="32"/>
      <c r="B404" s="32"/>
      <c r="C404" s="32"/>
      <c r="D404" s="32"/>
      <c r="E404" s="163"/>
      <c r="F404" s="164"/>
      <c r="H404" s="165"/>
    </row>
    <row r="405">
      <c r="A405" s="32"/>
      <c r="B405" s="32"/>
      <c r="C405" s="32"/>
      <c r="D405" s="32"/>
      <c r="E405" s="163"/>
      <c r="F405" s="164"/>
      <c r="H405" s="165"/>
    </row>
    <row r="406">
      <c r="A406" s="32"/>
      <c r="B406" s="32"/>
      <c r="C406" s="32"/>
      <c r="D406" s="32"/>
      <c r="E406" s="163"/>
      <c r="F406" s="164"/>
      <c r="H406" s="165"/>
    </row>
    <row r="407">
      <c r="A407" s="32"/>
      <c r="B407" s="32"/>
      <c r="C407" s="32"/>
      <c r="D407" s="32"/>
      <c r="E407" s="163"/>
      <c r="F407" s="164"/>
      <c r="H407" s="165"/>
    </row>
    <row r="408">
      <c r="A408" s="32"/>
      <c r="B408" s="32"/>
      <c r="C408" s="32"/>
      <c r="D408" s="32"/>
      <c r="E408" s="163"/>
      <c r="F408" s="164"/>
      <c r="H408" s="165"/>
    </row>
    <row r="409">
      <c r="A409" s="32"/>
      <c r="B409" s="32"/>
      <c r="C409" s="32"/>
      <c r="D409" s="32"/>
      <c r="E409" s="163"/>
      <c r="F409" s="164"/>
      <c r="H409" s="165"/>
    </row>
    <row r="410">
      <c r="A410" s="32"/>
      <c r="B410" s="32"/>
      <c r="C410" s="32"/>
      <c r="D410" s="32"/>
      <c r="E410" s="163"/>
      <c r="F410" s="164"/>
      <c r="H410" s="165"/>
    </row>
    <row r="411">
      <c r="A411" s="32"/>
      <c r="B411" s="32"/>
      <c r="C411" s="32"/>
      <c r="D411" s="32"/>
      <c r="E411" s="163"/>
      <c r="F411" s="164"/>
      <c r="H411" s="165"/>
    </row>
    <row r="412">
      <c r="A412" s="32"/>
      <c r="B412" s="32"/>
      <c r="C412" s="32"/>
      <c r="D412" s="32"/>
      <c r="E412" s="163"/>
      <c r="F412" s="164"/>
      <c r="H412" s="165"/>
    </row>
    <row r="413">
      <c r="A413" s="32"/>
      <c r="B413" s="32"/>
      <c r="C413" s="32"/>
      <c r="D413" s="32"/>
      <c r="E413" s="163"/>
      <c r="F413" s="164"/>
      <c r="H413" s="165"/>
    </row>
    <row r="414">
      <c r="A414" s="32"/>
      <c r="B414" s="32"/>
      <c r="C414" s="32"/>
      <c r="D414" s="32"/>
      <c r="E414" s="163"/>
      <c r="F414" s="164"/>
      <c r="H414" s="165"/>
    </row>
    <row r="415">
      <c r="A415" s="32"/>
      <c r="B415" s="32"/>
      <c r="C415" s="32"/>
      <c r="D415" s="32"/>
      <c r="E415" s="163"/>
      <c r="F415" s="164"/>
      <c r="H415" s="165"/>
    </row>
    <row r="416">
      <c r="A416" s="32"/>
      <c r="B416" s="32"/>
      <c r="C416" s="32"/>
      <c r="D416" s="32"/>
      <c r="E416" s="163"/>
      <c r="F416" s="164"/>
      <c r="H416" s="165"/>
    </row>
    <row r="417">
      <c r="A417" s="32"/>
      <c r="B417" s="32"/>
      <c r="C417" s="32"/>
      <c r="D417" s="32"/>
      <c r="E417" s="163"/>
      <c r="F417" s="164"/>
      <c r="H417" s="165"/>
    </row>
    <row r="418">
      <c r="A418" s="32"/>
      <c r="B418" s="32"/>
      <c r="C418" s="32"/>
      <c r="D418" s="32"/>
      <c r="E418" s="163"/>
      <c r="F418" s="164"/>
      <c r="H418" s="165"/>
    </row>
    <row r="419">
      <c r="A419" s="32"/>
      <c r="B419" s="32"/>
      <c r="C419" s="32"/>
      <c r="D419" s="32"/>
      <c r="E419" s="163"/>
      <c r="F419" s="164"/>
      <c r="H419" s="165"/>
    </row>
    <row r="420">
      <c r="A420" s="32"/>
      <c r="B420" s="32"/>
      <c r="C420" s="32"/>
      <c r="D420" s="32"/>
      <c r="E420" s="163"/>
      <c r="F420" s="164"/>
      <c r="H420" s="165"/>
    </row>
    <row r="421">
      <c r="A421" s="32"/>
      <c r="B421" s="32"/>
      <c r="C421" s="32"/>
      <c r="D421" s="32"/>
      <c r="E421" s="163"/>
      <c r="F421" s="164"/>
      <c r="H421" s="165"/>
    </row>
    <row r="422">
      <c r="A422" s="32"/>
      <c r="B422" s="32"/>
      <c r="C422" s="32"/>
      <c r="D422" s="32"/>
      <c r="E422" s="163"/>
      <c r="F422" s="164"/>
      <c r="H422" s="165"/>
    </row>
    <row r="423">
      <c r="A423" s="32"/>
      <c r="B423" s="32"/>
      <c r="C423" s="32"/>
      <c r="D423" s="32"/>
      <c r="E423" s="163"/>
      <c r="F423" s="164"/>
      <c r="H423" s="165"/>
    </row>
    <row r="424">
      <c r="A424" s="32"/>
      <c r="B424" s="32"/>
      <c r="C424" s="32"/>
      <c r="D424" s="32"/>
      <c r="E424" s="163"/>
      <c r="F424" s="164"/>
      <c r="H424" s="165"/>
    </row>
    <row r="425">
      <c r="A425" s="32"/>
      <c r="B425" s="32"/>
      <c r="C425" s="32"/>
      <c r="D425" s="32"/>
      <c r="E425" s="163"/>
      <c r="F425" s="164"/>
      <c r="H425" s="165"/>
    </row>
    <row r="426">
      <c r="A426" s="32"/>
      <c r="B426" s="32"/>
      <c r="C426" s="32"/>
      <c r="D426" s="32"/>
      <c r="E426" s="163"/>
      <c r="F426" s="164"/>
      <c r="H426" s="165"/>
    </row>
    <row r="427">
      <c r="A427" s="32"/>
      <c r="B427" s="32"/>
      <c r="C427" s="32"/>
      <c r="D427" s="32"/>
      <c r="E427" s="163"/>
      <c r="F427" s="164"/>
      <c r="H427" s="165"/>
    </row>
    <row r="428">
      <c r="A428" s="32"/>
      <c r="B428" s="32"/>
      <c r="C428" s="32"/>
      <c r="D428" s="32"/>
      <c r="E428" s="163"/>
      <c r="F428" s="164"/>
      <c r="H428" s="165"/>
    </row>
    <row r="429">
      <c r="A429" s="32"/>
      <c r="B429" s="32"/>
      <c r="C429" s="32"/>
      <c r="D429" s="32"/>
      <c r="E429" s="163"/>
      <c r="F429" s="164"/>
      <c r="H429" s="165"/>
    </row>
    <row r="430">
      <c r="A430" s="32"/>
      <c r="B430" s="32"/>
      <c r="C430" s="32"/>
      <c r="D430" s="32"/>
      <c r="E430" s="163"/>
      <c r="F430" s="164"/>
      <c r="H430" s="165"/>
    </row>
    <row r="431">
      <c r="A431" s="32"/>
      <c r="B431" s="32"/>
      <c r="C431" s="32"/>
      <c r="D431" s="32"/>
      <c r="E431" s="163"/>
      <c r="F431" s="164"/>
      <c r="H431" s="165"/>
    </row>
    <row r="432">
      <c r="A432" s="32"/>
      <c r="B432" s="32"/>
      <c r="C432" s="32"/>
      <c r="D432" s="32"/>
      <c r="E432" s="163"/>
      <c r="F432" s="164"/>
      <c r="H432" s="165"/>
    </row>
    <row r="433">
      <c r="A433" s="32"/>
      <c r="B433" s="32"/>
      <c r="C433" s="32"/>
      <c r="D433" s="32"/>
      <c r="E433" s="163"/>
      <c r="F433" s="164"/>
      <c r="H433" s="165"/>
    </row>
    <row r="434">
      <c r="A434" s="32"/>
      <c r="B434" s="32"/>
      <c r="C434" s="32"/>
      <c r="D434" s="32"/>
      <c r="E434" s="163"/>
      <c r="F434" s="164"/>
      <c r="H434" s="165"/>
    </row>
    <row r="435">
      <c r="A435" s="32"/>
      <c r="B435" s="32"/>
      <c r="C435" s="32"/>
      <c r="D435" s="32"/>
      <c r="E435" s="163"/>
      <c r="F435" s="164"/>
      <c r="H435" s="165"/>
    </row>
    <row r="436">
      <c r="A436" s="32"/>
      <c r="B436" s="32"/>
      <c r="C436" s="32"/>
      <c r="D436" s="32"/>
      <c r="E436" s="163"/>
      <c r="F436" s="164"/>
      <c r="H436" s="165"/>
    </row>
    <row r="437">
      <c r="A437" s="32"/>
      <c r="B437" s="32"/>
      <c r="C437" s="32"/>
      <c r="D437" s="32"/>
      <c r="E437" s="163"/>
      <c r="F437" s="164"/>
      <c r="H437" s="165"/>
    </row>
    <row r="438">
      <c r="A438" s="32"/>
      <c r="B438" s="32"/>
      <c r="C438" s="32"/>
      <c r="D438" s="32"/>
      <c r="E438" s="163"/>
      <c r="F438" s="164"/>
      <c r="H438" s="165"/>
    </row>
    <row r="439">
      <c r="A439" s="32"/>
      <c r="B439" s="32"/>
      <c r="C439" s="32"/>
      <c r="D439" s="32"/>
      <c r="E439" s="163"/>
      <c r="F439" s="164"/>
      <c r="H439" s="165"/>
    </row>
    <row r="440">
      <c r="A440" s="32"/>
      <c r="B440" s="32"/>
      <c r="C440" s="32"/>
      <c r="D440" s="32"/>
      <c r="E440" s="163"/>
      <c r="F440" s="164"/>
      <c r="H440" s="165"/>
    </row>
    <row r="441">
      <c r="A441" s="32"/>
      <c r="B441" s="32"/>
      <c r="C441" s="32"/>
      <c r="D441" s="32"/>
      <c r="E441" s="163"/>
      <c r="F441" s="164"/>
      <c r="H441" s="165"/>
    </row>
    <row r="442">
      <c r="A442" s="32"/>
      <c r="B442" s="32"/>
      <c r="C442" s="32"/>
      <c r="D442" s="32"/>
      <c r="E442" s="163"/>
      <c r="F442" s="164"/>
      <c r="H442" s="165"/>
    </row>
    <row r="443">
      <c r="A443" s="32"/>
      <c r="B443" s="32"/>
      <c r="C443" s="32"/>
      <c r="D443" s="32"/>
      <c r="E443" s="163"/>
      <c r="F443" s="164"/>
      <c r="H443" s="165"/>
    </row>
    <row r="444">
      <c r="A444" s="32"/>
      <c r="B444" s="32"/>
      <c r="C444" s="32"/>
      <c r="D444" s="32"/>
      <c r="E444" s="163"/>
      <c r="F444" s="164"/>
      <c r="H444" s="165"/>
    </row>
    <row r="445">
      <c r="A445" s="32"/>
      <c r="B445" s="32"/>
      <c r="C445" s="32"/>
      <c r="D445" s="32"/>
      <c r="E445" s="163"/>
      <c r="F445" s="164"/>
      <c r="H445" s="165"/>
    </row>
    <row r="446">
      <c r="A446" s="32"/>
      <c r="B446" s="32"/>
      <c r="C446" s="32"/>
      <c r="D446" s="32"/>
      <c r="E446" s="163"/>
      <c r="F446" s="164"/>
      <c r="H446" s="165"/>
    </row>
    <row r="447">
      <c r="A447" s="32"/>
      <c r="B447" s="32"/>
      <c r="C447" s="32"/>
      <c r="D447" s="32"/>
      <c r="E447" s="163"/>
      <c r="F447" s="164"/>
      <c r="H447" s="165"/>
    </row>
    <row r="448">
      <c r="A448" s="32"/>
      <c r="B448" s="32"/>
      <c r="C448" s="32"/>
      <c r="D448" s="32"/>
      <c r="E448" s="163"/>
      <c r="F448" s="164"/>
      <c r="H448" s="165"/>
    </row>
    <row r="449">
      <c r="A449" s="32"/>
      <c r="B449" s="32"/>
      <c r="C449" s="32"/>
      <c r="D449" s="32"/>
      <c r="E449" s="163"/>
      <c r="F449" s="164"/>
      <c r="H449" s="165"/>
    </row>
    <row r="450">
      <c r="A450" s="32"/>
      <c r="B450" s="32"/>
      <c r="C450" s="32"/>
      <c r="D450" s="32"/>
      <c r="E450" s="163"/>
      <c r="F450" s="164"/>
      <c r="H450" s="165"/>
    </row>
    <row r="451">
      <c r="A451" s="32"/>
      <c r="B451" s="32"/>
      <c r="C451" s="32"/>
      <c r="D451" s="32"/>
      <c r="E451" s="163"/>
      <c r="F451" s="164"/>
      <c r="H451" s="165"/>
    </row>
    <row r="452">
      <c r="A452" s="32"/>
      <c r="B452" s="32"/>
      <c r="C452" s="32"/>
      <c r="D452" s="32"/>
      <c r="E452" s="163"/>
      <c r="F452" s="164"/>
      <c r="H452" s="165"/>
    </row>
    <row r="453">
      <c r="A453" s="32"/>
      <c r="B453" s="32"/>
      <c r="C453" s="32"/>
      <c r="D453" s="32"/>
      <c r="E453" s="163"/>
      <c r="F453" s="164"/>
      <c r="H453" s="165"/>
    </row>
    <row r="454">
      <c r="A454" s="32"/>
      <c r="B454" s="32"/>
      <c r="C454" s="32"/>
      <c r="D454" s="32"/>
      <c r="E454" s="163"/>
      <c r="F454" s="164"/>
      <c r="H454" s="165"/>
    </row>
    <row r="455">
      <c r="A455" s="32"/>
      <c r="B455" s="32"/>
      <c r="C455" s="32"/>
      <c r="D455" s="32"/>
      <c r="E455" s="163"/>
      <c r="F455" s="164"/>
      <c r="H455" s="165"/>
    </row>
    <row r="456">
      <c r="A456" s="32"/>
      <c r="B456" s="32"/>
      <c r="C456" s="32"/>
      <c r="D456" s="32"/>
      <c r="E456" s="163"/>
      <c r="F456" s="164"/>
      <c r="H456" s="165"/>
    </row>
    <row r="457">
      <c r="A457" s="32"/>
      <c r="B457" s="32"/>
      <c r="C457" s="32"/>
      <c r="D457" s="32"/>
      <c r="E457" s="163"/>
      <c r="F457" s="164"/>
      <c r="H457" s="165"/>
    </row>
    <row r="458">
      <c r="A458" s="32"/>
      <c r="B458" s="32"/>
      <c r="C458" s="32"/>
      <c r="D458" s="32"/>
      <c r="E458" s="163"/>
      <c r="F458" s="164"/>
      <c r="H458" s="165"/>
    </row>
    <row r="459">
      <c r="A459" s="32"/>
      <c r="B459" s="32"/>
      <c r="C459" s="32"/>
      <c r="D459" s="32"/>
      <c r="E459" s="163"/>
      <c r="F459" s="164"/>
      <c r="H459" s="165"/>
    </row>
    <row r="460">
      <c r="A460" s="32"/>
      <c r="B460" s="32"/>
      <c r="C460" s="32"/>
      <c r="D460" s="32"/>
      <c r="E460" s="163"/>
      <c r="F460" s="164"/>
      <c r="H460" s="165"/>
    </row>
    <row r="461">
      <c r="A461" s="32"/>
      <c r="B461" s="32"/>
      <c r="C461" s="32"/>
      <c r="D461" s="32"/>
      <c r="E461" s="163"/>
      <c r="F461" s="164"/>
      <c r="H461" s="165"/>
    </row>
    <row r="462">
      <c r="A462" s="32"/>
      <c r="B462" s="32"/>
      <c r="C462" s="32"/>
      <c r="D462" s="32"/>
      <c r="E462" s="163"/>
      <c r="F462" s="164"/>
      <c r="H462" s="165"/>
    </row>
    <row r="463">
      <c r="A463" s="32"/>
      <c r="B463" s="32"/>
      <c r="C463" s="32"/>
      <c r="D463" s="32"/>
      <c r="E463" s="163"/>
      <c r="F463" s="164"/>
      <c r="H463" s="165"/>
    </row>
    <row r="464">
      <c r="A464" s="32"/>
      <c r="B464" s="32"/>
      <c r="C464" s="32"/>
      <c r="D464" s="32"/>
      <c r="E464" s="163"/>
      <c r="F464" s="164"/>
      <c r="H464" s="165"/>
    </row>
    <row r="465">
      <c r="A465" s="32"/>
      <c r="B465" s="32"/>
      <c r="C465" s="32"/>
      <c r="D465" s="32"/>
      <c r="E465" s="163"/>
      <c r="F465" s="164"/>
      <c r="H465" s="165"/>
    </row>
    <row r="466">
      <c r="A466" s="32"/>
      <c r="B466" s="32"/>
      <c r="C466" s="32"/>
      <c r="D466" s="32"/>
      <c r="E466" s="163"/>
      <c r="F466" s="164"/>
      <c r="H466" s="165"/>
    </row>
    <row r="467">
      <c r="A467" s="32"/>
      <c r="B467" s="32"/>
      <c r="C467" s="32"/>
      <c r="D467" s="32"/>
      <c r="E467" s="163"/>
      <c r="F467" s="164"/>
      <c r="H467" s="165"/>
    </row>
    <row r="468">
      <c r="A468" s="32"/>
      <c r="B468" s="32"/>
      <c r="C468" s="32"/>
      <c r="D468" s="32"/>
      <c r="E468" s="163"/>
      <c r="F468" s="164"/>
      <c r="H468" s="165"/>
    </row>
    <row r="469">
      <c r="A469" s="32"/>
      <c r="B469" s="32"/>
      <c r="C469" s="32"/>
      <c r="D469" s="32"/>
      <c r="E469" s="163"/>
      <c r="F469" s="164"/>
      <c r="H469" s="165"/>
    </row>
    <row r="470">
      <c r="A470" s="32"/>
      <c r="B470" s="32"/>
      <c r="C470" s="32"/>
      <c r="D470" s="32"/>
      <c r="E470" s="163"/>
      <c r="F470" s="164"/>
      <c r="H470" s="165"/>
    </row>
    <row r="471">
      <c r="A471" s="32"/>
      <c r="B471" s="32"/>
      <c r="C471" s="32"/>
      <c r="D471" s="32"/>
      <c r="E471" s="163"/>
      <c r="F471" s="164"/>
      <c r="H471" s="165"/>
    </row>
    <row r="472">
      <c r="A472" s="32"/>
      <c r="B472" s="32"/>
      <c r="C472" s="32"/>
      <c r="D472" s="32"/>
      <c r="E472" s="163"/>
      <c r="F472" s="164"/>
      <c r="H472" s="165"/>
    </row>
    <row r="473">
      <c r="A473" s="32"/>
      <c r="B473" s="32"/>
      <c r="C473" s="32"/>
      <c r="D473" s="32"/>
      <c r="E473" s="163"/>
      <c r="F473" s="164"/>
      <c r="H473" s="165"/>
    </row>
    <row r="474">
      <c r="A474" s="32"/>
      <c r="B474" s="32"/>
      <c r="C474" s="32"/>
      <c r="D474" s="32"/>
      <c r="E474" s="163"/>
      <c r="F474" s="164"/>
      <c r="H474" s="165"/>
    </row>
    <row r="475">
      <c r="A475" s="32"/>
      <c r="B475" s="32"/>
      <c r="C475" s="32"/>
      <c r="D475" s="32"/>
      <c r="E475" s="163"/>
      <c r="F475" s="164"/>
      <c r="H475" s="165"/>
    </row>
    <row r="476">
      <c r="A476" s="32"/>
      <c r="B476" s="32"/>
      <c r="C476" s="32"/>
      <c r="D476" s="32"/>
      <c r="E476" s="163"/>
      <c r="F476" s="164"/>
      <c r="H476" s="165"/>
    </row>
    <row r="477">
      <c r="A477" s="32"/>
      <c r="B477" s="32"/>
      <c r="C477" s="32"/>
      <c r="D477" s="32"/>
      <c r="E477" s="163"/>
      <c r="F477" s="164"/>
      <c r="H477" s="165"/>
    </row>
    <row r="478">
      <c r="A478" s="32"/>
      <c r="B478" s="32"/>
      <c r="C478" s="32"/>
      <c r="D478" s="32"/>
      <c r="E478" s="163"/>
      <c r="F478" s="164"/>
      <c r="H478" s="165"/>
    </row>
    <row r="479">
      <c r="A479" s="32"/>
      <c r="B479" s="32"/>
      <c r="C479" s="32"/>
      <c r="D479" s="32"/>
      <c r="E479" s="163"/>
      <c r="F479" s="164"/>
      <c r="H479" s="165"/>
    </row>
    <row r="480">
      <c r="A480" s="32"/>
      <c r="B480" s="32"/>
      <c r="C480" s="32"/>
      <c r="D480" s="32"/>
      <c r="E480" s="163"/>
      <c r="F480" s="164"/>
      <c r="H480" s="165"/>
    </row>
    <row r="481">
      <c r="A481" s="32"/>
      <c r="B481" s="32"/>
      <c r="C481" s="32"/>
      <c r="D481" s="32"/>
      <c r="E481" s="163"/>
      <c r="F481" s="164"/>
      <c r="H481" s="165"/>
    </row>
    <row r="482">
      <c r="A482" s="32"/>
      <c r="B482" s="32"/>
      <c r="C482" s="32"/>
      <c r="D482" s="32"/>
      <c r="E482" s="163"/>
      <c r="F482" s="164"/>
      <c r="H482" s="165"/>
    </row>
    <row r="483">
      <c r="A483" s="32"/>
      <c r="B483" s="32"/>
      <c r="C483" s="32"/>
      <c r="D483" s="32"/>
      <c r="E483" s="163"/>
      <c r="F483" s="164"/>
      <c r="H483" s="165"/>
    </row>
    <row r="484">
      <c r="A484" s="32"/>
      <c r="B484" s="32"/>
      <c r="C484" s="32"/>
      <c r="D484" s="32"/>
      <c r="E484" s="163"/>
      <c r="F484" s="164"/>
      <c r="H484" s="165"/>
    </row>
    <row r="485">
      <c r="A485" s="32"/>
      <c r="B485" s="32"/>
      <c r="C485" s="32"/>
      <c r="D485" s="32"/>
      <c r="E485" s="163"/>
      <c r="F485" s="164"/>
      <c r="H485" s="165"/>
    </row>
    <row r="486">
      <c r="A486" s="32"/>
      <c r="B486" s="32"/>
      <c r="C486" s="32"/>
      <c r="D486" s="32"/>
      <c r="E486" s="163"/>
      <c r="F486" s="164"/>
      <c r="H486" s="165"/>
    </row>
    <row r="487">
      <c r="A487" s="32"/>
      <c r="B487" s="32"/>
      <c r="C487" s="32"/>
      <c r="D487" s="32"/>
      <c r="E487" s="163"/>
      <c r="F487" s="164"/>
      <c r="H487" s="165"/>
    </row>
    <row r="488">
      <c r="A488" s="32"/>
      <c r="B488" s="32"/>
      <c r="C488" s="32"/>
      <c r="D488" s="32"/>
      <c r="E488" s="163"/>
      <c r="F488" s="164"/>
      <c r="H488" s="165"/>
    </row>
    <row r="489">
      <c r="A489" s="32"/>
      <c r="B489" s="32"/>
      <c r="C489" s="32"/>
      <c r="D489" s="32"/>
      <c r="E489" s="163"/>
      <c r="F489" s="164"/>
      <c r="H489" s="165"/>
    </row>
    <row r="490">
      <c r="A490" s="32"/>
      <c r="B490" s="32"/>
      <c r="C490" s="32"/>
      <c r="D490" s="32"/>
      <c r="E490" s="163"/>
      <c r="F490" s="164"/>
      <c r="H490" s="165"/>
    </row>
    <row r="491">
      <c r="A491" s="32"/>
      <c r="B491" s="32"/>
      <c r="C491" s="32"/>
      <c r="D491" s="32"/>
      <c r="E491" s="163"/>
      <c r="F491" s="164"/>
      <c r="H491" s="165"/>
    </row>
    <row r="492">
      <c r="A492" s="32"/>
      <c r="B492" s="32"/>
      <c r="C492" s="32"/>
      <c r="D492" s="32"/>
      <c r="E492" s="163"/>
      <c r="F492" s="164"/>
      <c r="H492" s="165"/>
    </row>
    <row r="493">
      <c r="A493" s="32"/>
      <c r="B493" s="32"/>
      <c r="C493" s="32"/>
      <c r="D493" s="32"/>
      <c r="E493" s="163"/>
      <c r="F493" s="164"/>
      <c r="H493" s="165"/>
    </row>
    <row r="494">
      <c r="A494" s="32"/>
      <c r="B494" s="32"/>
      <c r="C494" s="32"/>
      <c r="D494" s="32"/>
      <c r="E494" s="163"/>
      <c r="F494" s="164"/>
      <c r="H494" s="165"/>
    </row>
    <row r="495">
      <c r="A495" s="32"/>
      <c r="B495" s="32"/>
      <c r="C495" s="32"/>
      <c r="D495" s="32"/>
      <c r="E495" s="163"/>
      <c r="F495" s="164"/>
      <c r="H495" s="165"/>
    </row>
    <row r="496">
      <c r="A496" s="32"/>
      <c r="B496" s="32"/>
      <c r="C496" s="32"/>
      <c r="D496" s="32"/>
      <c r="E496" s="163"/>
      <c r="F496" s="164"/>
      <c r="H496" s="165"/>
    </row>
    <row r="497">
      <c r="A497" s="32"/>
      <c r="B497" s="32"/>
      <c r="C497" s="32"/>
      <c r="D497" s="32"/>
      <c r="E497" s="163"/>
      <c r="F497" s="164"/>
      <c r="H497" s="165"/>
    </row>
    <row r="498">
      <c r="A498" s="32"/>
      <c r="B498" s="32"/>
      <c r="C498" s="32"/>
      <c r="D498" s="32"/>
      <c r="E498" s="163"/>
      <c r="F498" s="164"/>
      <c r="H498" s="165"/>
    </row>
    <row r="499">
      <c r="A499" s="32"/>
      <c r="B499" s="32"/>
      <c r="C499" s="32"/>
      <c r="D499" s="32"/>
      <c r="E499" s="163"/>
      <c r="F499" s="164"/>
      <c r="H499" s="165"/>
    </row>
    <row r="500">
      <c r="A500" s="32"/>
      <c r="B500" s="32"/>
      <c r="C500" s="32"/>
      <c r="D500" s="32"/>
      <c r="E500" s="163"/>
      <c r="F500" s="164"/>
      <c r="H500" s="165"/>
    </row>
    <row r="501">
      <c r="A501" s="32"/>
      <c r="B501" s="32"/>
      <c r="C501" s="32"/>
      <c r="D501" s="32"/>
      <c r="E501" s="163"/>
      <c r="F501" s="164"/>
      <c r="H501" s="165"/>
    </row>
    <row r="502">
      <c r="A502" s="32"/>
      <c r="B502" s="32"/>
      <c r="C502" s="32"/>
      <c r="D502" s="32"/>
      <c r="E502" s="163"/>
      <c r="F502" s="164"/>
      <c r="H502" s="165"/>
    </row>
    <row r="503">
      <c r="A503" s="32"/>
      <c r="B503" s="32"/>
      <c r="C503" s="32"/>
      <c r="D503" s="32"/>
      <c r="E503" s="163"/>
      <c r="F503" s="164"/>
      <c r="H503" s="165"/>
    </row>
    <row r="504">
      <c r="A504" s="32"/>
      <c r="B504" s="32"/>
      <c r="C504" s="32"/>
      <c r="D504" s="32"/>
      <c r="E504" s="163"/>
      <c r="F504" s="164"/>
      <c r="H504" s="165"/>
    </row>
    <row r="505">
      <c r="A505" s="32"/>
      <c r="B505" s="32"/>
      <c r="C505" s="32"/>
      <c r="D505" s="32"/>
      <c r="E505" s="163"/>
      <c r="F505" s="164"/>
      <c r="H505" s="165"/>
    </row>
    <row r="506">
      <c r="A506" s="32"/>
      <c r="B506" s="32"/>
      <c r="C506" s="32"/>
      <c r="D506" s="32"/>
      <c r="E506" s="163"/>
      <c r="F506" s="164"/>
      <c r="H506" s="165"/>
    </row>
    <row r="507">
      <c r="A507" s="32"/>
      <c r="B507" s="32"/>
      <c r="C507" s="32"/>
      <c r="D507" s="32"/>
      <c r="E507" s="163"/>
      <c r="F507" s="164"/>
      <c r="H507" s="165"/>
    </row>
    <row r="508">
      <c r="A508" s="32"/>
      <c r="B508" s="32"/>
      <c r="C508" s="32"/>
      <c r="D508" s="32"/>
      <c r="E508" s="163"/>
      <c r="F508" s="164"/>
      <c r="H508" s="165"/>
    </row>
    <row r="509">
      <c r="A509" s="32"/>
      <c r="B509" s="32"/>
      <c r="C509" s="32"/>
      <c r="D509" s="32"/>
      <c r="E509" s="163"/>
      <c r="F509" s="164"/>
      <c r="H509" s="165"/>
    </row>
    <row r="510">
      <c r="A510" s="32"/>
      <c r="B510" s="32"/>
      <c r="C510" s="32"/>
      <c r="D510" s="32"/>
      <c r="E510" s="163"/>
      <c r="F510" s="164"/>
      <c r="H510" s="165"/>
    </row>
    <row r="511">
      <c r="A511" s="32"/>
      <c r="B511" s="32"/>
      <c r="C511" s="32"/>
      <c r="D511" s="32"/>
      <c r="E511" s="163"/>
      <c r="F511" s="164"/>
      <c r="H511" s="165"/>
    </row>
    <row r="512">
      <c r="A512" s="32"/>
      <c r="B512" s="32"/>
      <c r="C512" s="32"/>
      <c r="D512" s="32"/>
      <c r="E512" s="163"/>
      <c r="F512" s="164"/>
      <c r="H512" s="165"/>
    </row>
    <row r="513">
      <c r="A513" s="32"/>
      <c r="B513" s="32"/>
      <c r="C513" s="32"/>
      <c r="D513" s="32"/>
      <c r="E513" s="163"/>
      <c r="F513" s="164"/>
      <c r="H513" s="165"/>
    </row>
    <row r="514">
      <c r="A514" s="32"/>
      <c r="B514" s="32"/>
      <c r="C514" s="32"/>
      <c r="D514" s="32"/>
      <c r="E514" s="163"/>
      <c r="F514" s="164"/>
      <c r="H514" s="165"/>
    </row>
    <row r="515">
      <c r="A515" s="32"/>
      <c r="B515" s="32"/>
      <c r="C515" s="32"/>
      <c r="D515" s="32"/>
      <c r="E515" s="163"/>
      <c r="F515" s="164"/>
      <c r="H515" s="165"/>
    </row>
    <row r="516">
      <c r="A516" s="32"/>
      <c r="B516" s="32"/>
      <c r="C516" s="32"/>
      <c r="D516" s="32"/>
      <c r="E516" s="163"/>
      <c r="F516" s="164"/>
      <c r="H516" s="165"/>
    </row>
    <row r="517">
      <c r="A517" s="32"/>
      <c r="B517" s="32"/>
      <c r="C517" s="32"/>
      <c r="D517" s="32"/>
      <c r="E517" s="163"/>
      <c r="F517" s="164"/>
      <c r="H517" s="165"/>
    </row>
    <row r="518">
      <c r="A518" s="32"/>
      <c r="B518" s="32"/>
      <c r="C518" s="32"/>
      <c r="D518" s="32"/>
      <c r="E518" s="163"/>
      <c r="F518" s="164"/>
      <c r="H518" s="165"/>
    </row>
    <row r="519">
      <c r="A519" s="32"/>
      <c r="B519" s="32"/>
      <c r="C519" s="32"/>
      <c r="D519" s="32"/>
      <c r="E519" s="163"/>
      <c r="F519" s="164"/>
      <c r="H519" s="165"/>
    </row>
    <row r="520">
      <c r="A520" s="32"/>
      <c r="B520" s="32"/>
      <c r="C520" s="32"/>
      <c r="D520" s="32"/>
      <c r="E520" s="163"/>
      <c r="F520" s="164"/>
      <c r="H520" s="165"/>
    </row>
    <row r="521">
      <c r="A521" s="32"/>
      <c r="B521" s="32"/>
      <c r="C521" s="32"/>
      <c r="D521" s="32"/>
      <c r="E521" s="163"/>
      <c r="F521" s="164"/>
      <c r="H521" s="165"/>
    </row>
    <row r="522">
      <c r="A522" s="32"/>
      <c r="B522" s="32"/>
      <c r="C522" s="32"/>
      <c r="D522" s="32"/>
      <c r="E522" s="163"/>
      <c r="F522" s="164"/>
      <c r="H522" s="165"/>
    </row>
    <row r="523">
      <c r="A523" s="32"/>
      <c r="B523" s="32"/>
      <c r="C523" s="32"/>
      <c r="D523" s="32"/>
      <c r="E523" s="163"/>
      <c r="F523" s="164"/>
      <c r="H523" s="165"/>
    </row>
    <row r="524">
      <c r="A524" s="32"/>
      <c r="B524" s="32"/>
      <c r="C524" s="32"/>
      <c r="D524" s="32"/>
      <c r="E524" s="163"/>
      <c r="F524" s="164"/>
      <c r="H524" s="165"/>
    </row>
    <row r="525">
      <c r="A525" s="32"/>
      <c r="B525" s="32"/>
      <c r="C525" s="32"/>
      <c r="D525" s="32"/>
      <c r="E525" s="163"/>
      <c r="F525" s="164"/>
      <c r="H525" s="165"/>
    </row>
    <row r="526">
      <c r="A526" s="32"/>
      <c r="B526" s="32"/>
      <c r="C526" s="32"/>
      <c r="D526" s="32"/>
      <c r="E526" s="163"/>
      <c r="F526" s="164"/>
      <c r="H526" s="165"/>
    </row>
    <row r="527">
      <c r="A527" s="32"/>
      <c r="B527" s="32"/>
      <c r="C527" s="32"/>
      <c r="D527" s="32"/>
      <c r="E527" s="163"/>
      <c r="F527" s="164"/>
      <c r="H527" s="165"/>
    </row>
    <row r="528">
      <c r="A528" s="32"/>
      <c r="B528" s="32"/>
      <c r="C528" s="32"/>
      <c r="D528" s="32"/>
      <c r="E528" s="163"/>
      <c r="F528" s="164"/>
      <c r="H528" s="165"/>
    </row>
    <row r="529">
      <c r="A529" s="32"/>
      <c r="B529" s="32"/>
      <c r="C529" s="32"/>
      <c r="D529" s="32"/>
      <c r="E529" s="163"/>
      <c r="F529" s="164"/>
      <c r="H529" s="165"/>
    </row>
    <row r="530">
      <c r="A530" s="32"/>
      <c r="B530" s="32"/>
      <c r="C530" s="32"/>
      <c r="D530" s="32"/>
      <c r="E530" s="163"/>
      <c r="F530" s="164"/>
      <c r="H530" s="165"/>
    </row>
    <row r="531">
      <c r="A531" s="32"/>
      <c r="B531" s="32"/>
      <c r="C531" s="32"/>
      <c r="D531" s="32"/>
      <c r="E531" s="163"/>
      <c r="F531" s="164"/>
      <c r="H531" s="165"/>
    </row>
    <row r="532">
      <c r="A532" s="32"/>
      <c r="B532" s="32"/>
      <c r="C532" s="32"/>
      <c r="D532" s="32"/>
      <c r="E532" s="163"/>
      <c r="F532" s="164"/>
      <c r="H532" s="165"/>
    </row>
    <row r="533">
      <c r="A533" s="32"/>
      <c r="B533" s="32"/>
      <c r="C533" s="32"/>
      <c r="D533" s="32"/>
      <c r="E533" s="163"/>
      <c r="F533" s="164"/>
      <c r="H533" s="165"/>
    </row>
    <row r="534">
      <c r="A534" s="32"/>
      <c r="B534" s="32"/>
      <c r="C534" s="32"/>
      <c r="D534" s="32"/>
      <c r="E534" s="163"/>
      <c r="F534" s="164"/>
      <c r="H534" s="165"/>
    </row>
    <row r="535">
      <c r="A535" s="32"/>
      <c r="B535" s="32"/>
      <c r="C535" s="32"/>
      <c r="D535" s="32"/>
      <c r="E535" s="163"/>
      <c r="F535" s="164"/>
      <c r="H535" s="165"/>
    </row>
    <row r="536">
      <c r="A536" s="32"/>
      <c r="B536" s="32"/>
      <c r="C536" s="32"/>
      <c r="D536" s="32"/>
      <c r="E536" s="163"/>
      <c r="F536" s="164"/>
      <c r="H536" s="165"/>
    </row>
    <row r="537">
      <c r="A537" s="32"/>
      <c r="B537" s="32"/>
      <c r="C537" s="32"/>
      <c r="D537" s="32"/>
      <c r="E537" s="163"/>
      <c r="F537" s="164"/>
      <c r="H537" s="165"/>
    </row>
    <row r="538">
      <c r="A538" s="32"/>
      <c r="B538" s="32"/>
      <c r="C538" s="32"/>
      <c r="D538" s="32"/>
      <c r="E538" s="163"/>
      <c r="F538" s="164"/>
      <c r="H538" s="165"/>
    </row>
    <row r="539">
      <c r="A539" s="32"/>
      <c r="B539" s="32"/>
      <c r="C539" s="32"/>
      <c r="D539" s="32"/>
      <c r="E539" s="163"/>
      <c r="F539" s="164"/>
      <c r="H539" s="165"/>
    </row>
    <row r="540">
      <c r="A540" s="32"/>
      <c r="B540" s="32"/>
      <c r="C540" s="32"/>
      <c r="D540" s="32"/>
      <c r="E540" s="163"/>
      <c r="F540" s="164"/>
      <c r="H540" s="165"/>
    </row>
    <row r="541">
      <c r="A541" s="32"/>
      <c r="B541" s="32"/>
      <c r="C541" s="32"/>
      <c r="D541" s="32"/>
      <c r="E541" s="163"/>
      <c r="F541" s="164"/>
      <c r="H541" s="165"/>
    </row>
    <row r="542">
      <c r="A542" s="32"/>
      <c r="B542" s="32"/>
      <c r="C542" s="32"/>
      <c r="D542" s="32"/>
      <c r="E542" s="163"/>
      <c r="F542" s="164"/>
      <c r="H542" s="165"/>
    </row>
    <row r="543">
      <c r="A543" s="32"/>
      <c r="B543" s="32"/>
      <c r="C543" s="32"/>
      <c r="D543" s="32"/>
      <c r="E543" s="163"/>
      <c r="F543" s="164"/>
      <c r="H543" s="165"/>
    </row>
    <row r="544">
      <c r="A544" s="32"/>
      <c r="B544" s="32"/>
      <c r="C544" s="32"/>
      <c r="D544" s="32"/>
      <c r="E544" s="163"/>
      <c r="F544" s="164"/>
      <c r="H544" s="165"/>
    </row>
    <row r="545">
      <c r="A545" s="32"/>
      <c r="B545" s="32"/>
      <c r="C545" s="32"/>
      <c r="D545" s="32"/>
      <c r="E545" s="163"/>
      <c r="F545" s="164"/>
      <c r="H545" s="165"/>
    </row>
    <row r="546">
      <c r="A546" s="32"/>
      <c r="B546" s="32"/>
      <c r="C546" s="32"/>
      <c r="D546" s="32"/>
      <c r="E546" s="163"/>
      <c r="F546" s="164"/>
      <c r="H546" s="165"/>
    </row>
    <row r="547">
      <c r="A547" s="32"/>
      <c r="B547" s="32"/>
      <c r="C547" s="32"/>
      <c r="D547" s="32"/>
      <c r="E547" s="163"/>
      <c r="F547" s="164"/>
      <c r="H547" s="165"/>
    </row>
    <row r="548">
      <c r="A548" s="32"/>
      <c r="B548" s="32"/>
      <c r="C548" s="32"/>
      <c r="D548" s="32"/>
      <c r="E548" s="163"/>
      <c r="F548" s="164"/>
      <c r="H548" s="165"/>
    </row>
    <row r="549">
      <c r="A549" s="32"/>
      <c r="B549" s="32"/>
      <c r="C549" s="32"/>
      <c r="D549" s="32"/>
      <c r="E549" s="163"/>
      <c r="F549" s="164"/>
      <c r="H549" s="165"/>
    </row>
    <row r="550">
      <c r="A550" s="32"/>
      <c r="B550" s="32"/>
      <c r="C550" s="32"/>
      <c r="D550" s="32"/>
      <c r="E550" s="163"/>
      <c r="F550" s="164"/>
      <c r="H550" s="165"/>
    </row>
    <row r="551">
      <c r="A551" s="32"/>
      <c r="B551" s="32"/>
      <c r="C551" s="32"/>
      <c r="D551" s="32"/>
      <c r="E551" s="163"/>
      <c r="F551" s="164"/>
      <c r="H551" s="165"/>
    </row>
    <row r="552">
      <c r="A552" s="32"/>
      <c r="B552" s="32"/>
      <c r="C552" s="32"/>
      <c r="D552" s="32"/>
      <c r="E552" s="163"/>
      <c r="F552" s="164"/>
      <c r="H552" s="165"/>
    </row>
    <row r="553">
      <c r="A553" s="32"/>
      <c r="B553" s="32"/>
      <c r="C553" s="32"/>
      <c r="D553" s="32"/>
      <c r="E553" s="163"/>
      <c r="F553" s="164"/>
      <c r="H553" s="165"/>
    </row>
    <row r="554">
      <c r="A554" s="32"/>
      <c r="B554" s="32"/>
      <c r="C554" s="32"/>
      <c r="D554" s="32"/>
      <c r="E554" s="163"/>
      <c r="F554" s="164"/>
      <c r="H554" s="165"/>
    </row>
    <row r="555">
      <c r="A555" s="32"/>
      <c r="B555" s="32"/>
      <c r="C555" s="32"/>
      <c r="D555" s="32"/>
      <c r="E555" s="163"/>
      <c r="F555" s="164"/>
      <c r="H555" s="165"/>
    </row>
    <row r="556">
      <c r="A556" s="32"/>
      <c r="B556" s="32"/>
      <c r="C556" s="32"/>
      <c r="D556" s="32"/>
      <c r="E556" s="163"/>
      <c r="F556" s="164"/>
      <c r="H556" s="165"/>
    </row>
    <row r="557">
      <c r="A557" s="32"/>
      <c r="B557" s="32"/>
      <c r="C557" s="32"/>
      <c r="D557" s="32"/>
      <c r="E557" s="163"/>
      <c r="F557" s="164"/>
      <c r="H557" s="165"/>
    </row>
    <row r="558">
      <c r="A558" s="32"/>
      <c r="B558" s="32"/>
      <c r="C558" s="32"/>
      <c r="D558" s="32"/>
      <c r="E558" s="163"/>
      <c r="F558" s="164"/>
      <c r="H558" s="165"/>
    </row>
    <row r="559">
      <c r="A559" s="32"/>
      <c r="B559" s="32"/>
      <c r="C559" s="32"/>
      <c r="D559" s="32"/>
      <c r="E559" s="163"/>
      <c r="F559" s="164"/>
      <c r="H559" s="165"/>
    </row>
    <row r="560">
      <c r="A560" s="32"/>
      <c r="B560" s="32"/>
      <c r="C560" s="32"/>
      <c r="D560" s="32"/>
      <c r="E560" s="163"/>
      <c r="F560" s="164"/>
      <c r="H560" s="165"/>
    </row>
    <row r="561">
      <c r="A561" s="32"/>
      <c r="B561" s="32"/>
      <c r="C561" s="32"/>
      <c r="D561" s="32"/>
      <c r="E561" s="163"/>
      <c r="F561" s="164"/>
      <c r="H561" s="165"/>
    </row>
    <row r="562">
      <c r="A562" s="32"/>
      <c r="B562" s="32"/>
      <c r="C562" s="32"/>
      <c r="D562" s="32"/>
      <c r="E562" s="163"/>
      <c r="F562" s="164"/>
      <c r="H562" s="165"/>
    </row>
    <row r="563">
      <c r="A563" s="32"/>
      <c r="B563" s="32"/>
      <c r="C563" s="32"/>
      <c r="D563" s="32"/>
      <c r="E563" s="163"/>
      <c r="F563" s="164"/>
      <c r="H563" s="165"/>
    </row>
    <row r="564">
      <c r="A564" s="32"/>
      <c r="B564" s="32"/>
      <c r="C564" s="32"/>
      <c r="D564" s="32"/>
      <c r="E564" s="163"/>
      <c r="F564" s="164"/>
      <c r="H564" s="165"/>
    </row>
    <row r="565">
      <c r="A565" s="32"/>
      <c r="B565" s="32"/>
      <c r="C565" s="32"/>
      <c r="D565" s="32"/>
      <c r="E565" s="163"/>
      <c r="F565" s="164"/>
      <c r="H565" s="165"/>
    </row>
    <row r="566">
      <c r="A566" s="32"/>
      <c r="B566" s="32"/>
      <c r="C566" s="32"/>
      <c r="D566" s="32"/>
      <c r="E566" s="163"/>
      <c r="F566" s="164"/>
      <c r="H566" s="165"/>
    </row>
    <row r="567">
      <c r="A567" s="32"/>
      <c r="B567" s="32"/>
      <c r="C567" s="32"/>
      <c r="D567" s="32"/>
      <c r="E567" s="163"/>
      <c r="F567" s="164"/>
      <c r="H567" s="165"/>
    </row>
    <row r="568">
      <c r="A568" s="32"/>
      <c r="B568" s="32"/>
      <c r="C568" s="32"/>
      <c r="D568" s="32"/>
      <c r="E568" s="163"/>
      <c r="F568" s="164"/>
      <c r="H568" s="165"/>
    </row>
    <row r="569">
      <c r="A569" s="32"/>
      <c r="B569" s="32"/>
      <c r="C569" s="32"/>
      <c r="D569" s="32"/>
      <c r="E569" s="163"/>
      <c r="F569" s="164"/>
      <c r="H569" s="165"/>
    </row>
    <row r="570">
      <c r="A570" s="32"/>
      <c r="B570" s="32"/>
      <c r="C570" s="32"/>
      <c r="D570" s="32"/>
      <c r="E570" s="163"/>
      <c r="F570" s="164"/>
      <c r="H570" s="165"/>
    </row>
    <row r="571">
      <c r="A571" s="32"/>
      <c r="B571" s="32"/>
      <c r="C571" s="32"/>
      <c r="D571" s="32"/>
      <c r="E571" s="163"/>
      <c r="F571" s="164"/>
      <c r="H571" s="165"/>
    </row>
    <row r="572">
      <c r="A572" s="32"/>
      <c r="B572" s="32"/>
      <c r="C572" s="32"/>
      <c r="D572" s="32"/>
      <c r="E572" s="163"/>
      <c r="F572" s="164"/>
      <c r="H572" s="165"/>
    </row>
    <row r="573">
      <c r="A573" s="32"/>
      <c r="B573" s="32"/>
      <c r="C573" s="32"/>
      <c r="D573" s="32"/>
      <c r="E573" s="163"/>
      <c r="F573" s="164"/>
      <c r="H573" s="165"/>
    </row>
    <row r="574">
      <c r="A574" s="32"/>
      <c r="B574" s="32"/>
      <c r="C574" s="32"/>
      <c r="D574" s="32"/>
      <c r="E574" s="163"/>
      <c r="F574" s="164"/>
      <c r="H574" s="165"/>
    </row>
    <row r="575">
      <c r="A575" s="32"/>
      <c r="B575" s="32"/>
      <c r="C575" s="32"/>
      <c r="D575" s="32"/>
      <c r="E575" s="163"/>
      <c r="F575" s="164"/>
      <c r="H575" s="165"/>
    </row>
    <row r="576">
      <c r="A576" s="32"/>
      <c r="B576" s="32"/>
      <c r="C576" s="32"/>
      <c r="D576" s="32"/>
      <c r="E576" s="163"/>
      <c r="F576" s="164"/>
      <c r="H576" s="165"/>
    </row>
    <row r="577">
      <c r="A577" s="32"/>
      <c r="B577" s="32"/>
      <c r="C577" s="32"/>
      <c r="D577" s="32"/>
      <c r="E577" s="163"/>
      <c r="F577" s="164"/>
      <c r="H577" s="165"/>
    </row>
    <row r="578">
      <c r="A578" s="32"/>
      <c r="B578" s="32"/>
      <c r="C578" s="32"/>
      <c r="D578" s="32"/>
      <c r="E578" s="163"/>
      <c r="F578" s="164"/>
      <c r="H578" s="165"/>
    </row>
    <row r="579">
      <c r="A579" s="32"/>
      <c r="B579" s="32"/>
      <c r="C579" s="32"/>
      <c r="D579" s="32"/>
      <c r="E579" s="163"/>
      <c r="F579" s="164"/>
      <c r="H579" s="165"/>
    </row>
    <row r="580">
      <c r="A580" s="32"/>
      <c r="B580" s="32"/>
      <c r="C580" s="32"/>
      <c r="D580" s="32"/>
      <c r="E580" s="163"/>
      <c r="F580" s="164"/>
      <c r="H580" s="165"/>
    </row>
    <row r="581">
      <c r="A581" s="32"/>
      <c r="B581" s="32"/>
      <c r="C581" s="32"/>
      <c r="D581" s="32"/>
      <c r="E581" s="163"/>
      <c r="F581" s="164"/>
      <c r="H581" s="165"/>
    </row>
    <row r="582">
      <c r="A582" s="32"/>
      <c r="B582" s="32"/>
      <c r="C582" s="32"/>
      <c r="D582" s="32"/>
      <c r="E582" s="163"/>
      <c r="F582" s="164"/>
      <c r="H582" s="165"/>
    </row>
    <row r="583">
      <c r="A583" s="32"/>
      <c r="B583" s="32"/>
      <c r="C583" s="32"/>
      <c r="D583" s="32"/>
      <c r="E583" s="163"/>
      <c r="F583" s="164"/>
      <c r="H583" s="165"/>
    </row>
    <row r="584">
      <c r="A584" s="32"/>
      <c r="B584" s="32"/>
      <c r="C584" s="32"/>
      <c r="D584" s="32"/>
      <c r="E584" s="163"/>
      <c r="F584" s="164"/>
      <c r="H584" s="165"/>
    </row>
    <row r="585">
      <c r="A585" s="32"/>
      <c r="B585" s="32"/>
      <c r="C585" s="32"/>
      <c r="D585" s="32"/>
      <c r="E585" s="163"/>
      <c r="F585" s="164"/>
      <c r="H585" s="165"/>
    </row>
    <row r="586">
      <c r="A586" s="32"/>
      <c r="B586" s="32"/>
      <c r="C586" s="32"/>
      <c r="D586" s="32"/>
      <c r="E586" s="163"/>
      <c r="F586" s="164"/>
      <c r="H586" s="165"/>
    </row>
    <row r="587">
      <c r="A587" s="32"/>
      <c r="B587" s="32"/>
      <c r="C587" s="32"/>
      <c r="D587" s="32"/>
      <c r="E587" s="163"/>
      <c r="F587" s="164"/>
      <c r="H587" s="165"/>
    </row>
    <row r="588">
      <c r="A588" s="32"/>
      <c r="B588" s="32"/>
      <c r="C588" s="32"/>
      <c r="D588" s="32"/>
      <c r="E588" s="163"/>
      <c r="F588" s="164"/>
      <c r="H588" s="165"/>
    </row>
    <row r="589">
      <c r="A589" s="32"/>
      <c r="B589" s="32"/>
      <c r="C589" s="32"/>
      <c r="D589" s="32"/>
      <c r="E589" s="163"/>
      <c r="F589" s="164"/>
      <c r="H589" s="165"/>
    </row>
    <row r="590">
      <c r="A590" s="32"/>
      <c r="B590" s="32"/>
      <c r="C590" s="32"/>
      <c r="D590" s="32"/>
      <c r="E590" s="163"/>
      <c r="F590" s="164"/>
      <c r="H590" s="165"/>
    </row>
    <row r="591">
      <c r="A591" s="32"/>
      <c r="B591" s="32"/>
      <c r="C591" s="32"/>
      <c r="D591" s="32"/>
      <c r="E591" s="163"/>
      <c r="F591" s="164"/>
      <c r="H591" s="165"/>
    </row>
    <row r="592">
      <c r="A592" s="32"/>
      <c r="B592" s="32"/>
      <c r="C592" s="32"/>
      <c r="D592" s="32"/>
      <c r="E592" s="163"/>
      <c r="F592" s="164"/>
      <c r="H592" s="165"/>
    </row>
    <row r="593">
      <c r="A593" s="32"/>
      <c r="B593" s="32"/>
      <c r="C593" s="32"/>
      <c r="D593" s="32"/>
      <c r="E593" s="163"/>
      <c r="F593" s="164"/>
      <c r="H593" s="165"/>
    </row>
    <row r="594">
      <c r="A594" s="32"/>
      <c r="B594" s="32"/>
      <c r="C594" s="32"/>
      <c r="D594" s="32"/>
      <c r="E594" s="163"/>
      <c r="F594" s="164"/>
      <c r="H594" s="165"/>
    </row>
    <row r="595">
      <c r="A595" s="32"/>
      <c r="B595" s="32"/>
      <c r="C595" s="32"/>
      <c r="D595" s="32"/>
      <c r="E595" s="163"/>
      <c r="F595" s="164"/>
      <c r="H595" s="165"/>
    </row>
    <row r="596">
      <c r="A596" s="32"/>
      <c r="B596" s="32"/>
      <c r="C596" s="32"/>
      <c r="D596" s="32"/>
      <c r="E596" s="163"/>
      <c r="F596" s="164"/>
      <c r="H596" s="165"/>
    </row>
    <row r="597">
      <c r="A597" s="32"/>
      <c r="B597" s="32"/>
      <c r="C597" s="32"/>
      <c r="D597" s="32"/>
      <c r="E597" s="163"/>
      <c r="F597" s="164"/>
      <c r="H597" s="165"/>
    </row>
    <row r="598">
      <c r="A598" s="32"/>
      <c r="B598" s="32"/>
      <c r="C598" s="32"/>
      <c r="D598" s="32"/>
      <c r="E598" s="163"/>
      <c r="F598" s="164"/>
      <c r="H598" s="165"/>
    </row>
    <row r="599">
      <c r="A599" s="32"/>
      <c r="B599" s="32"/>
      <c r="C599" s="32"/>
      <c r="D599" s="32"/>
      <c r="E599" s="163"/>
      <c r="F599" s="164"/>
      <c r="H599" s="165"/>
    </row>
    <row r="600">
      <c r="A600" s="32"/>
      <c r="B600" s="32"/>
      <c r="C600" s="32"/>
      <c r="D600" s="32"/>
      <c r="E600" s="163"/>
      <c r="F600" s="164"/>
      <c r="H600" s="165"/>
    </row>
    <row r="601">
      <c r="A601" s="32"/>
      <c r="B601" s="32"/>
      <c r="C601" s="32"/>
      <c r="D601" s="32"/>
      <c r="E601" s="163"/>
      <c r="F601" s="164"/>
      <c r="H601" s="165"/>
    </row>
    <row r="602">
      <c r="A602" s="32"/>
      <c r="B602" s="32"/>
      <c r="C602" s="32"/>
      <c r="D602" s="32"/>
      <c r="E602" s="163"/>
      <c r="F602" s="164"/>
      <c r="H602" s="165"/>
    </row>
    <row r="603">
      <c r="A603" s="32"/>
      <c r="B603" s="32"/>
      <c r="C603" s="32"/>
      <c r="D603" s="32"/>
      <c r="E603" s="163"/>
      <c r="F603" s="164"/>
      <c r="H603" s="165"/>
    </row>
    <row r="604">
      <c r="A604" s="32"/>
      <c r="B604" s="32"/>
      <c r="C604" s="32"/>
      <c r="D604" s="32"/>
      <c r="E604" s="163"/>
      <c r="F604" s="164"/>
      <c r="H604" s="165"/>
    </row>
    <row r="605">
      <c r="A605" s="32"/>
      <c r="B605" s="32"/>
      <c r="C605" s="32"/>
      <c r="D605" s="32"/>
      <c r="E605" s="163"/>
      <c r="F605" s="164"/>
      <c r="H605" s="165"/>
    </row>
    <row r="606">
      <c r="A606" s="32"/>
      <c r="B606" s="32"/>
      <c r="C606" s="32"/>
      <c r="D606" s="32"/>
      <c r="E606" s="163"/>
      <c r="F606" s="164"/>
      <c r="H606" s="165"/>
    </row>
    <row r="607">
      <c r="A607" s="32"/>
      <c r="B607" s="32"/>
      <c r="C607" s="32"/>
      <c r="D607" s="32"/>
      <c r="E607" s="163"/>
      <c r="F607" s="164"/>
      <c r="H607" s="165"/>
    </row>
    <row r="608">
      <c r="A608" s="32"/>
      <c r="B608" s="32"/>
      <c r="C608" s="32"/>
      <c r="D608" s="32"/>
      <c r="E608" s="163"/>
      <c r="F608" s="164"/>
      <c r="H608" s="165"/>
    </row>
    <row r="609">
      <c r="A609" s="32"/>
      <c r="B609" s="32"/>
      <c r="C609" s="32"/>
      <c r="D609" s="32"/>
      <c r="E609" s="163"/>
      <c r="F609" s="164"/>
      <c r="H609" s="165"/>
    </row>
    <row r="610">
      <c r="A610" s="32"/>
      <c r="B610" s="32"/>
      <c r="C610" s="32"/>
      <c r="D610" s="32"/>
      <c r="E610" s="163"/>
      <c r="F610" s="164"/>
      <c r="H610" s="165"/>
    </row>
    <row r="611">
      <c r="A611" s="32"/>
      <c r="B611" s="32"/>
      <c r="C611" s="32"/>
      <c r="D611" s="32"/>
      <c r="E611" s="163"/>
      <c r="F611" s="164"/>
      <c r="H611" s="165"/>
    </row>
    <row r="612">
      <c r="A612" s="32"/>
      <c r="B612" s="32"/>
      <c r="C612" s="32"/>
      <c r="D612" s="32"/>
      <c r="E612" s="163"/>
      <c r="F612" s="164"/>
      <c r="H612" s="165"/>
    </row>
    <row r="613">
      <c r="A613" s="32"/>
      <c r="B613" s="32"/>
      <c r="C613" s="32"/>
      <c r="D613" s="32"/>
      <c r="E613" s="163"/>
      <c r="F613" s="164"/>
      <c r="H613" s="165"/>
    </row>
    <row r="614">
      <c r="A614" s="32"/>
      <c r="B614" s="32"/>
      <c r="C614" s="32"/>
      <c r="D614" s="32"/>
      <c r="E614" s="163"/>
      <c r="F614" s="164"/>
      <c r="H614" s="165"/>
    </row>
    <row r="615">
      <c r="A615" s="32"/>
      <c r="B615" s="32"/>
      <c r="C615" s="32"/>
      <c r="D615" s="32"/>
      <c r="E615" s="163"/>
      <c r="F615" s="164"/>
      <c r="H615" s="165"/>
    </row>
    <row r="616">
      <c r="A616" s="32"/>
      <c r="B616" s="32"/>
      <c r="C616" s="32"/>
      <c r="D616" s="32"/>
      <c r="E616" s="163"/>
      <c r="F616" s="164"/>
      <c r="H616" s="165"/>
    </row>
    <row r="617">
      <c r="A617" s="32"/>
      <c r="B617" s="32"/>
      <c r="C617" s="32"/>
      <c r="D617" s="32"/>
      <c r="E617" s="163"/>
      <c r="F617" s="164"/>
      <c r="H617" s="165"/>
    </row>
    <row r="618">
      <c r="A618" s="32"/>
      <c r="B618" s="32"/>
      <c r="C618" s="32"/>
      <c r="D618" s="32"/>
      <c r="E618" s="163"/>
      <c r="F618" s="164"/>
      <c r="H618" s="165"/>
    </row>
    <row r="619">
      <c r="A619" s="32"/>
      <c r="B619" s="32"/>
      <c r="C619" s="32"/>
      <c r="D619" s="32"/>
      <c r="E619" s="163"/>
      <c r="F619" s="164"/>
      <c r="H619" s="165"/>
    </row>
    <row r="620">
      <c r="A620" s="32"/>
      <c r="B620" s="32"/>
      <c r="C620" s="32"/>
      <c r="D620" s="32"/>
      <c r="E620" s="163"/>
      <c r="F620" s="164"/>
      <c r="H620" s="165"/>
    </row>
    <row r="621">
      <c r="A621" s="32"/>
      <c r="B621" s="32"/>
      <c r="C621" s="32"/>
      <c r="D621" s="32"/>
      <c r="E621" s="163"/>
      <c r="F621" s="164"/>
      <c r="H621" s="165"/>
    </row>
    <row r="622">
      <c r="A622" s="32"/>
      <c r="B622" s="32"/>
      <c r="C622" s="32"/>
      <c r="D622" s="32"/>
      <c r="E622" s="163"/>
      <c r="F622" s="164"/>
      <c r="H622" s="165"/>
    </row>
    <row r="623">
      <c r="A623" s="32"/>
      <c r="B623" s="32"/>
      <c r="C623" s="32"/>
      <c r="D623" s="32"/>
      <c r="E623" s="163"/>
      <c r="F623" s="164"/>
      <c r="H623" s="165"/>
    </row>
    <row r="624">
      <c r="A624" s="32"/>
      <c r="B624" s="32"/>
      <c r="C624" s="32"/>
      <c r="D624" s="32"/>
      <c r="E624" s="163"/>
      <c r="F624" s="164"/>
      <c r="H624" s="165"/>
    </row>
    <row r="625">
      <c r="A625" s="32"/>
      <c r="B625" s="32"/>
      <c r="C625" s="32"/>
      <c r="D625" s="32"/>
      <c r="E625" s="163"/>
      <c r="F625" s="164"/>
      <c r="H625" s="165"/>
    </row>
    <row r="626">
      <c r="A626" s="32"/>
      <c r="B626" s="32"/>
      <c r="C626" s="32"/>
      <c r="D626" s="32"/>
      <c r="E626" s="163"/>
      <c r="F626" s="164"/>
      <c r="H626" s="165"/>
    </row>
    <row r="627">
      <c r="A627" s="32"/>
      <c r="B627" s="32"/>
      <c r="C627" s="32"/>
      <c r="D627" s="32"/>
      <c r="E627" s="163"/>
      <c r="F627" s="164"/>
      <c r="H627" s="165"/>
    </row>
    <row r="628">
      <c r="A628" s="32"/>
      <c r="B628" s="32"/>
      <c r="C628" s="32"/>
      <c r="D628" s="32"/>
      <c r="E628" s="163"/>
      <c r="F628" s="164"/>
      <c r="H628" s="165"/>
    </row>
    <row r="629">
      <c r="A629" s="32"/>
      <c r="B629" s="32"/>
      <c r="C629" s="32"/>
      <c r="D629" s="32"/>
      <c r="E629" s="163"/>
      <c r="F629" s="164"/>
      <c r="H629" s="165"/>
    </row>
    <row r="630">
      <c r="A630" s="32"/>
      <c r="B630" s="32"/>
      <c r="C630" s="32"/>
      <c r="D630" s="32"/>
      <c r="E630" s="163"/>
      <c r="F630" s="164"/>
      <c r="H630" s="165"/>
    </row>
    <row r="631">
      <c r="A631" s="32"/>
      <c r="B631" s="32"/>
      <c r="C631" s="32"/>
      <c r="D631" s="32"/>
      <c r="E631" s="163"/>
      <c r="F631" s="164"/>
      <c r="H631" s="165"/>
    </row>
    <row r="632">
      <c r="A632" s="32"/>
      <c r="B632" s="32"/>
      <c r="C632" s="32"/>
      <c r="D632" s="32"/>
      <c r="E632" s="163"/>
      <c r="F632" s="164"/>
      <c r="H632" s="165"/>
    </row>
    <row r="633">
      <c r="A633" s="32"/>
      <c r="B633" s="32"/>
      <c r="C633" s="32"/>
      <c r="D633" s="32"/>
      <c r="E633" s="163"/>
      <c r="F633" s="164"/>
      <c r="H633" s="165"/>
    </row>
    <row r="634">
      <c r="A634" s="32"/>
      <c r="B634" s="32"/>
      <c r="C634" s="32"/>
      <c r="D634" s="32"/>
      <c r="E634" s="163"/>
      <c r="F634" s="164"/>
      <c r="H634" s="165"/>
    </row>
    <row r="635">
      <c r="A635" s="32"/>
      <c r="B635" s="32"/>
      <c r="C635" s="32"/>
      <c r="D635" s="32"/>
      <c r="E635" s="163"/>
      <c r="F635" s="164"/>
      <c r="H635" s="165"/>
    </row>
    <row r="636">
      <c r="A636" s="32"/>
      <c r="B636" s="32"/>
      <c r="C636" s="32"/>
      <c r="D636" s="32"/>
      <c r="E636" s="163"/>
      <c r="F636" s="164"/>
      <c r="H636" s="165"/>
    </row>
    <row r="637">
      <c r="A637" s="32"/>
      <c r="B637" s="32"/>
      <c r="C637" s="32"/>
      <c r="D637" s="32"/>
      <c r="E637" s="163"/>
      <c r="F637" s="164"/>
      <c r="H637" s="165"/>
    </row>
    <row r="638">
      <c r="A638" s="32"/>
      <c r="B638" s="32"/>
      <c r="C638" s="32"/>
      <c r="D638" s="32"/>
      <c r="E638" s="163"/>
      <c r="F638" s="164"/>
      <c r="H638" s="165"/>
    </row>
    <row r="639">
      <c r="A639" s="32"/>
      <c r="B639" s="32"/>
      <c r="C639" s="32"/>
      <c r="D639" s="32"/>
      <c r="E639" s="163"/>
      <c r="F639" s="164"/>
      <c r="H639" s="165"/>
    </row>
    <row r="640">
      <c r="A640" s="32"/>
      <c r="B640" s="32"/>
      <c r="C640" s="32"/>
      <c r="D640" s="32"/>
      <c r="E640" s="163"/>
      <c r="F640" s="164"/>
      <c r="H640" s="165"/>
    </row>
    <row r="641">
      <c r="A641" s="32"/>
      <c r="B641" s="32"/>
      <c r="C641" s="32"/>
      <c r="D641" s="32"/>
      <c r="E641" s="163"/>
      <c r="F641" s="164"/>
      <c r="H641" s="165"/>
    </row>
    <row r="642">
      <c r="A642" s="32"/>
      <c r="B642" s="32"/>
      <c r="C642" s="32"/>
      <c r="D642" s="32"/>
      <c r="E642" s="163"/>
      <c r="F642" s="164"/>
      <c r="H642" s="165"/>
    </row>
    <row r="643">
      <c r="A643" s="32"/>
      <c r="B643" s="32"/>
      <c r="C643" s="32"/>
      <c r="D643" s="32"/>
      <c r="E643" s="163"/>
      <c r="F643" s="164"/>
      <c r="H643" s="165"/>
    </row>
    <row r="644">
      <c r="A644" s="32"/>
      <c r="B644" s="32"/>
      <c r="C644" s="32"/>
      <c r="D644" s="32"/>
      <c r="E644" s="163"/>
      <c r="F644" s="164"/>
      <c r="H644" s="165"/>
    </row>
    <row r="645">
      <c r="A645" s="32"/>
      <c r="B645" s="32"/>
      <c r="C645" s="32"/>
      <c r="D645" s="32"/>
      <c r="E645" s="163"/>
      <c r="F645" s="164"/>
      <c r="H645" s="165"/>
    </row>
    <row r="646">
      <c r="A646" s="32"/>
      <c r="B646" s="32"/>
      <c r="C646" s="32"/>
      <c r="D646" s="32"/>
      <c r="E646" s="163"/>
      <c r="F646" s="164"/>
      <c r="H646" s="165"/>
    </row>
    <row r="647">
      <c r="A647" s="32"/>
      <c r="B647" s="32"/>
      <c r="C647" s="32"/>
      <c r="D647" s="32"/>
      <c r="E647" s="163"/>
      <c r="F647" s="164"/>
      <c r="H647" s="165"/>
    </row>
    <row r="648">
      <c r="A648" s="32"/>
      <c r="B648" s="32"/>
      <c r="C648" s="32"/>
      <c r="D648" s="32"/>
      <c r="E648" s="163"/>
      <c r="F648" s="164"/>
      <c r="H648" s="165"/>
    </row>
    <row r="649">
      <c r="A649" s="32"/>
      <c r="B649" s="32"/>
      <c r="C649" s="32"/>
      <c r="D649" s="32"/>
      <c r="E649" s="163"/>
      <c r="F649" s="164"/>
      <c r="H649" s="165"/>
    </row>
    <row r="650">
      <c r="A650" s="32"/>
      <c r="B650" s="32"/>
      <c r="C650" s="32"/>
      <c r="D650" s="32"/>
      <c r="E650" s="163"/>
      <c r="F650" s="164"/>
      <c r="H650" s="165"/>
    </row>
    <row r="651">
      <c r="A651" s="32"/>
      <c r="B651" s="32"/>
      <c r="C651" s="32"/>
      <c r="D651" s="32"/>
      <c r="E651" s="163"/>
      <c r="F651" s="164"/>
      <c r="H651" s="165"/>
    </row>
    <row r="652">
      <c r="A652" s="32"/>
      <c r="B652" s="32"/>
      <c r="C652" s="32"/>
      <c r="D652" s="32"/>
      <c r="E652" s="163"/>
      <c r="F652" s="164"/>
      <c r="H652" s="165"/>
    </row>
    <row r="653">
      <c r="A653" s="32"/>
      <c r="B653" s="32"/>
      <c r="C653" s="32"/>
      <c r="D653" s="32"/>
      <c r="E653" s="163"/>
      <c r="F653" s="164"/>
      <c r="H653" s="165"/>
    </row>
    <row r="654">
      <c r="A654" s="32"/>
      <c r="B654" s="32"/>
      <c r="C654" s="32"/>
      <c r="D654" s="32"/>
      <c r="E654" s="163"/>
      <c r="F654" s="164"/>
      <c r="H654" s="165"/>
    </row>
    <row r="655">
      <c r="A655" s="32"/>
      <c r="B655" s="32"/>
      <c r="C655" s="32"/>
      <c r="D655" s="32"/>
      <c r="E655" s="163"/>
      <c r="F655" s="164"/>
      <c r="H655" s="165"/>
    </row>
    <row r="656">
      <c r="A656" s="32"/>
      <c r="B656" s="32"/>
      <c r="C656" s="32"/>
      <c r="D656" s="32"/>
      <c r="E656" s="163"/>
      <c r="F656" s="164"/>
      <c r="H656" s="165"/>
    </row>
    <row r="657">
      <c r="A657" s="32"/>
      <c r="B657" s="32"/>
      <c r="C657" s="32"/>
      <c r="D657" s="32"/>
      <c r="E657" s="163"/>
      <c r="F657" s="164"/>
      <c r="H657" s="165"/>
    </row>
    <row r="658">
      <c r="A658" s="32"/>
      <c r="B658" s="32"/>
      <c r="C658" s="32"/>
      <c r="D658" s="32"/>
      <c r="E658" s="163"/>
      <c r="F658" s="164"/>
      <c r="H658" s="165"/>
    </row>
    <row r="659">
      <c r="A659" s="32"/>
      <c r="B659" s="32"/>
      <c r="C659" s="32"/>
      <c r="D659" s="32"/>
      <c r="E659" s="163"/>
      <c r="F659" s="164"/>
      <c r="H659" s="165"/>
    </row>
    <row r="660">
      <c r="A660" s="32"/>
      <c r="B660" s="32"/>
      <c r="C660" s="32"/>
      <c r="D660" s="32"/>
      <c r="E660" s="163"/>
      <c r="F660" s="164"/>
      <c r="H660" s="165"/>
    </row>
    <row r="661">
      <c r="A661" s="32"/>
      <c r="B661" s="32"/>
      <c r="C661" s="32"/>
      <c r="D661" s="32"/>
      <c r="E661" s="163"/>
      <c r="F661" s="164"/>
      <c r="H661" s="165"/>
    </row>
    <row r="662">
      <c r="A662" s="32"/>
      <c r="B662" s="32"/>
      <c r="C662" s="32"/>
      <c r="D662" s="32"/>
      <c r="E662" s="163"/>
      <c r="F662" s="164"/>
      <c r="H662" s="165"/>
    </row>
    <row r="663">
      <c r="A663" s="32"/>
      <c r="B663" s="32"/>
      <c r="C663" s="32"/>
      <c r="D663" s="32"/>
      <c r="E663" s="163"/>
      <c r="F663" s="164"/>
      <c r="H663" s="165"/>
    </row>
    <row r="664">
      <c r="A664" s="32"/>
      <c r="B664" s="32"/>
      <c r="C664" s="32"/>
      <c r="D664" s="32"/>
      <c r="E664" s="163"/>
      <c r="F664" s="164"/>
      <c r="H664" s="165"/>
    </row>
    <row r="665">
      <c r="A665" s="32"/>
      <c r="B665" s="32"/>
      <c r="C665" s="32"/>
      <c r="D665" s="32"/>
      <c r="E665" s="163"/>
      <c r="F665" s="164"/>
      <c r="H665" s="165"/>
    </row>
    <row r="666">
      <c r="A666" s="32"/>
      <c r="B666" s="32"/>
      <c r="C666" s="32"/>
      <c r="D666" s="32"/>
      <c r="E666" s="163"/>
      <c r="F666" s="164"/>
      <c r="H666" s="165"/>
    </row>
    <row r="667">
      <c r="A667" s="32"/>
      <c r="B667" s="32"/>
      <c r="C667" s="32"/>
      <c r="D667" s="32"/>
      <c r="E667" s="163"/>
      <c r="F667" s="164"/>
      <c r="H667" s="165"/>
    </row>
    <row r="668">
      <c r="A668" s="32"/>
      <c r="B668" s="32"/>
      <c r="C668" s="32"/>
      <c r="D668" s="32"/>
      <c r="E668" s="163"/>
      <c r="F668" s="164"/>
      <c r="H668" s="165"/>
    </row>
    <row r="669">
      <c r="A669" s="32"/>
      <c r="B669" s="32"/>
      <c r="C669" s="32"/>
      <c r="D669" s="32"/>
      <c r="E669" s="163"/>
      <c r="F669" s="164"/>
      <c r="H669" s="165"/>
    </row>
    <row r="670">
      <c r="A670" s="32"/>
      <c r="B670" s="32"/>
      <c r="C670" s="32"/>
      <c r="D670" s="32"/>
      <c r="E670" s="163"/>
      <c r="F670" s="164"/>
      <c r="H670" s="165"/>
    </row>
    <row r="671">
      <c r="A671" s="32"/>
      <c r="B671" s="32"/>
      <c r="C671" s="32"/>
      <c r="D671" s="32"/>
      <c r="E671" s="163"/>
      <c r="F671" s="164"/>
      <c r="H671" s="165"/>
    </row>
    <row r="672">
      <c r="A672" s="32"/>
      <c r="B672" s="32"/>
      <c r="C672" s="32"/>
      <c r="D672" s="32"/>
      <c r="E672" s="163"/>
      <c r="F672" s="164"/>
      <c r="H672" s="165"/>
    </row>
    <row r="673">
      <c r="A673" s="32"/>
      <c r="B673" s="32"/>
      <c r="C673" s="32"/>
      <c r="D673" s="32"/>
      <c r="E673" s="163"/>
      <c r="F673" s="164"/>
      <c r="H673" s="165"/>
    </row>
    <row r="674">
      <c r="A674" s="32"/>
      <c r="B674" s="32"/>
      <c r="C674" s="32"/>
      <c r="D674" s="32"/>
      <c r="E674" s="163"/>
      <c r="F674" s="164"/>
      <c r="H674" s="165"/>
    </row>
    <row r="675">
      <c r="A675" s="32"/>
      <c r="B675" s="32"/>
      <c r="C675" s="32"/>
      <c r="D675" s="32"/>
      <c r="E675" s="163"/>
      <c r="F675" s="164"/>
      <c r="H675" s="165"/>
    </row>
    <row r="676">
      <c r="A676" s="32"/>
      <c r="B676" s="32"/>
      <c r="C676" s="32"/>
      <c r="D676" s="32"/>
      <c r="E676" s="163"/>
      <c r="F676" s="164"/>
      <c r="H676" s="165"/>
    </row>
    <row r="677">
      <c r="A677" s="32"/>
      <c r="B677" s="32"/>
      <c r="C677" s="32"/>
      <c r="D677" s="32"/>
      <c r="E677" s="163"/>
      <c r="F677" s="164"/>
      <c r="H677" s="165"/>
    </row>
    <row r="678">
      <c r="A678" s="32"/>
      <c r="B678" s="32"/>
      <c r="C678" s="32"/>
      <c r="D678" s="32"/>
      <c r="E678" s="163"/>
      <c r="F678" s="164"/>
      <c r="H678" s="165"/>
    </row>
    <row r="679">
      <c r="A679" s="32"/>
      <c r="B679" s="32"/>
      <c r="C679" s="32"/>
      <c r="D679" s="32"/>
      <c r="E679" s="163"/>
      <c r="F679" s="164"/>
      <c r="H679" s="165"/>
    </row>
    <row r="680">
      <c r="A680" s="32"/>
      <c r="B680" s="32"/>
      <c r="C680" s="32"/>
      <c r="D680" s="32"/>
      <c r="E680" s="163"/>
      <c r="F680" s="164"/>
      <c r="H680" s="165"/>
    </row>
    <row r="681">
      <c r="A681" s="32"/>
      <c r="B681" s="32"/>
      <c r="C681" s="32"/>
      <c r="D681" s="32"/>
      <c r="E681" s="163"/>
      <c r="F681" s="164"/>
      <c r="H681" s="165"/>
    </row>
    <row r="682">
      <c r="A682" s="32"/>
      <c r="B682" s="32"/>
      <c r="C682" s="32"/>
      <c r="D682" s="32"/>
      <c r="E682" s="163"/>
      <c r="F682" s="164"/>
      <c r="H682" s="165"/>
    </row>
    <row r="683">
      <c r="A683" s="32"/>
      <c r="B683" s="32"/>
      <c r="C683" s="32"/>
      <c r="D683" s="32"/>
      <c r="E683" s="163"/>
      <c r="F683" s="164"/>
      <c r="H683" s="165"/>
    </row>
    <row r="684">
      <c r="A684" s="32"/>
      <c r="B684" s="32"/>
      <c r="C684" s="32"/>
      <c r="D684" s="32"/>
      <c r="E684" s="163"/>
      <c r="F684" s="164"/>
      <c r="H684" s="165"/>
    </row>
    <row r="685">
      <c r="A685" s="32"/>
      <c r="B685" s="32"/>
      <c r="C685" s="32"/>
      <c r="D685" s="32"/>
      <c r="E685" s="163"/>
      <c r="F685" s="164"/>
      <c r="H685" s="165"/>
    </row>
    <row r="686">
      <c r="A686" s="32"/>
      <c r="B686" s="32"/>
      <c r="C686" s="32"/>
      <c r="D686" s="32"/>
      <c r="E686" s="163"/>
      <c r="F686" s="164"/>
      <c r="H686" s="165"/>
    </row>
    <row r="687">
      <c r="A687" s="32"/>
      <c r="B687" s="32"/>
      <c r="C687" s="32"/>
      <c r="D687" s="32"/>
      <c r="E687" s="163"/>
      <c r="F687" s="164"/>
      <c r="H687" s="165"/>
    </row>
    <row r="688">
      <c r="A688" s="32"/>
      <c r="B688" s="32"/>
      <c r="C688" s="32"/>
      <c r="D688" s="32"/>
      <c r="E688" s="163"/>
      <c r="F688" s="164"/>
      <c r="H688" s="165"/>
    </row>
    <row r="689">
      <c r="A689" s="32"/>
      <c r="B689" s="32"/>
      <c r="C689" s="32"/>
      <c r="D689" s="32"/>
      <c r="E689" s="163"/>
      <c r="F689" s="164"/>
      <c r="H689" s="165"/>
    </row>
    <row r="690">
      <c r="A690" s="32"/>
      <c r="B690" s="32"/>
      <c r="C690" s="32"/>
      <c r="D690" s="32"/>
      <c r="E690" s="163"/>
      <c r="F690" s="164"/>
      <c r="H690" s="165"/>
    </row>
    <row r="691">
      <c r="A691" s="32"/>
      <c r="B691" s="32"/>
      <c r="C691" s="32"/>
      <c r="D691" s="32"/>
      <c r="E691" s="163"/>
      <c r="F691" s="164"/>
      <c r="H691" s="165"/>
    </row>
    <row r="692">
      <c r="A692" s="32"/>
      <c r="B692" s="32"/>
      <c r="C692" s="32"/>
      <c r="D692" s="32"/>
      <c r="E692" s="163"/>
      <c r="F692" s="164"/>
      <c r="H692" s="165"/>
    </row>
    <row r="693">
      <c r="A693" s="32"/>
      <c r="B693" s="32"/>
      <c r="C693" s="32"/>
      <c r="D693" s="32"/>
      <c r="E693" s="163"/>
      <c r="F693" s="164"/>
      <c r="H693" s="165"/>
    </row>
    <row r="694">
      <c r="A694" s="32"/>
      <c r="B694" s="32"/>
      <c r="C694" s="32"/>
      <c r="D694" s="32"/>
      <c r="E694" s="163"/>
      <c r="F694" s="164"/>
      <c r="H694" s="165"/>
    </row>
    <row r="695">
      <c r="A695" s="32"/>
      <c r="B695" s="32"/>
      <c r="C695" s="32"/>
      <c r="D695" s="32"/>
      <c r="E695" s="163"/>
      <c r="F695" s="164"/>
      <c r="H695" s="165"/>
    </row>
    <row r="696">
      <c r="A696" s="32"/>
      <c r="B696" s="32"/>
      <c r="C696" s="32"/>
      <c r="D696" s="32"/>
      <c r="E696" s="163"/>
      <c r="F696" s="164"/>
      <c r="H696" s="165"/>
    </row>
    <row r="697">
      <c r="A697" s="32"/>
      <c r="B697" s="32"/>
      <c r="C697" s="32"/>
      <c r="D697" s="32"/>
      <c r="E697" s="163"/>
      <c r="F697" s="164"/>
      <c r="H697" s="165"/>
    </row>
    <row r="698">
      <c r="A698" s="32"/>
      <c r="B698" s="32"/>
      <c r="C698" s="32"/>
      <c r="D698" s="32"/>
      <c r="E698" s="163"/>
      <c r="F698" s="164"/>
      <c r="H698" s="165"/>
    </row>
    <row r="699">
      <c r="A699" s="32"/>
      <c r="B699" s="32"/>
      <c r="C699" s="32"/>
      <c r="D699" s="32"/>
      <c r="E699" s="163"/>
      <c r="F699" s="164"/>
      <c r="H699" s="165"/>
    </row>
    <row r="700">
      <c r="A700" s="32"/>
      <c r="B700" s="32"/>
      <c r="C700" s="32"/>
      <c r="D700" s="32"/>
      <c r="E700" s="163"/>
      <c r="F700" s="164"/>
      <c r="H700" s="165"/>
    </row>
    <row r="701">
      <c r="A701" s="32"/>
      <c r="B701" s="32"/>
      <c r="C701" s="32"/>
      <c r="D701" s="32"/>
      <c r="E701" s="163"/>
      <c r="F701" s="164"/>
      <c r="H701" s="165"/>
    </row>
    <row r="702">
      <c r="A702" s="32"/>
      <c r="B702" s="32"/>
      <c r="C702" s="32"/>
      <c r="D702" s="32"/>
      <c r="E702" s="163"/>
      <c r="F702" s="164"/>
      <c r="H702" s="165"/>
    </row>
    <row r="703">
      <c r="A703" s="32"/>
      <c r="B703" s="32"/>
      <c r="C703" s="32"/>
      <c r="D703" s="32"/>
      <c r="E703" s="163"/>
      <c r="F703" s="164"/>
      <c r="H703" s="165"/>
    </row>
    <row r="704">
      <c r="A704" s="32"/>
      <c r="B704" s="32"/>
      <c r="C704" s="32"/>
      <c r="D704" s="32"/>
      <c r="E704" s="163"/>
      <c r="F704" s="164"/>
      <c r="H704" s="165"/>
    </row>
    <row r="705">
      <c r="A705" s="32"/>
      <c r="B705" s="32"/>
      <c r="C705" s="32"/>
      <c r="D705" s="32"/>
      <c r="E705" s="163"/>
      <c r="F705" s="164"/>
      <c r="H705" s="165"/>
    </row>
    <row r="706">
      <c r="A706" s="32"/>
      <c r="B706" s="32"/>
      <c r="C706" s="32"/>
      <c r="D706" s="32"/>
      <c r="E706" s="163"/>
      <c r="F706" s="164"/>
      <c r="H706" s="165"/>
    </row>
    <row r="707">
      <c r="A707" s="32"/>
      <c r="B707" s="32"/>
      <c r="C707" s="32"/>
      <c r="D707" s="32"/>
      <c r="E707" s="163"/>
      <c r="F707" s="164"/>
      <c r="H707" s="165"/>
    </row>
    <row r="708">
      <c r="A708" s="32"/>
      <c r="B708" s="32"/>
      <c r="C708" s="32"/>
      <c r="D708" s="32"/>
      <c r="E708" s="163"/>
      <c r="F708" s="164"/>
      <c r="H708" s="165"/>
    </row>
    <row r="709">
      <c r="A709" s="32"/>
      <c r="B709" s="32"/>
      <c r="C709" s="32"/>
      <c r="D709" s="32"/>
      <c r="E709" s="163"/>
      <c r="F709" s="164"/>
      <c r="H709" s="165"/>
    </row>
    <row r="710">
      <c r="A710" s="32"/>
      <c r="B710" s="32"/>
      <c r="C710" s="32"/>
      <c r="D710" s="32"/>
      <c r="E710" s="163"/>
      <c r="F710" s="164"/>
      <c r="H710" s="165"/>
    </row>
    <row r="711">
      <c r="A711" s="32"/>
      <c r="B711" s="32"/>
      <c r="C711" s="32"/>
      <c r="D711" s="32"/>
      <c r="E711" s="163"/>
      <c r="F711" s="164"/>
      <c r="H711" s="165"/>
    </row>
    <row r="712">
      <c r="A712" s="32"/>
      <c r="B712" s="32"/>
      <c r="C712" s="32"/>
      <c r="D712" s="32"/>
      <c r="E712" s="163"/>
      <c r="F712" s="164"/>
      <c r="H712" s="165"/>
    </row>
    <row r="713">
      <c r="A713" s="32"/>
      <c r="B713" s="32"/>
      <c r="C713" s="32"/>
      <c r="D713" s="32"/>
      <c r="E713" s="163"/>
      <c r="F713" s="164"/>
      <c r="H713" s="165"/>
    </row>
    <row r="714">
      <c r="A714" s="32"/>
      <c r="B714" s="32"/>
      <c r="C714" s="32"/>
      <c r="D714" s="32"/>
      <c r="E714" s="163"/>
      <c r="F714" s="164"/>
      <c r="H714" s="165"/>
    </row>
    <row r="715">
      <c r="A715" s="32"/>
      <c r="B715" s="32"/>
      <c r="C715" s="32"/>
      <c r="D715" s="32"/>
      <c r="E715" s="163"/>
      <c r="F715" s="164"/>
      <c r="H715" s="165"/>
    </row>
    <row r="716">
      <c r="A716" s="32"/>
      <c r="B716" s="32"/>
      <c r="C716" s="32"/>
      <c r="D716" s="32"/>
      <c r="E716" s="163"/>
      <c r="F716" s="164"/>
      <c r="H716" s="165"/>
    </row>
    <row r="717">
      <c r="A717" s="32"/>
      <c r="B717" s="32"/>
      <c r="C717" s="32"/>
      <c r="D717" s="32"/>
      <c r="E717" s="163"/>
      <c r="F717" s="164"/>
      <c r="H717" s="165"/>
    </row>
    <row r="718">
      <c r="A718" s="32"/>
      <c r="B718" s="32"/>
      <c r="C718" s="32"/>
      <c r="D718" s="32"/>
      <c r="E718" s="163"/>
      <c r="F718" s="164"/>
      <c r="H718" s="165"/>
    </row>
    <row r="719">
      <c r="A719" s="32"/>
      <c r="B719" s="32"/>
      <c r="C719" s="32"/>
      <c r="D719" s="32"/>
      <c r="E719" s="163"/>
      <c r="F719" s="164"/>
      <c r="H719" s="165"/>
    </row>
    <row r="720">
      <c r="A720" s="32"/>
      <c r="B720" s="32"/>
      <c r="C720" s="32"/>
      <c r="D720" s="32"/>
      <c r="E720" s="163"/>
      <c r="F720" s="164"/>
      <c r="H720" s="165"/>
    </row>
    <row r="721">
      <c r="A721" s="32"/>
      <c r="B721" s="32"/>
      <c r="C721" s="32"/>
      <c r="D721" s="32"/>
      <c r="E721" s="163"/>
      <c r="F721" s="164"/>
      <c r="H721" s="165"/>
    </row>
    <row r="722">
      <c r="A722" s="32"/>
      <c r="B722" s="32"/>
      <c r="C722" s="32"/>
      <c r="D722" s="32"/>
      <c r="E722" s="163"/>
      <c r="F722" s="164"/>
      <c r="H722" s="165"/>
    </row>
    <row r="723">
      <c r="A723" s="32"/>
      <c r="B723" s="32"/>
      <c r="C723" s="32"/>
      <c r="D723" s="32"/>
      <c r="E723" s="163"/>
      <c r="F723" s="164"/>
      <c r="H723" s="165"/>
    </row>
    <row r="724">
      <c r="A724" s="32"/>
      <c r="B724" s="32"/>
      <c r="C724" s="32"/>
      <c r="D724" s="32"/>
      <c r="E724" s="163"/>
      <c r="F724" s="164"/>
      <c r="H724" s="165"/>
    </row>
    <row r="725">
      <c r="A725" s="32"/>
      <c r="B725" s="32"/>
      <c r="C725" s="32"/>
      <c r="D725" s="32"/>
      <c r="E725" s="163"/>
      <c r="F725" s="164"/>
      <c r="H725" s="165"/>
    </row>
    <row r="726">
      <c r="A726" s="32"/>
      <c r="B726" s="32"/>
      <c r="C726" s="32"/>
      <c r="D726" s="32"/>
      <c r="E726" s="163"/>
      <c r="F726" s="164"/>
      <c r="H726" s="165"/>
    </row>
    <row r="727">
      <c r="A727" s="32"/>
      <c r="B727" s="32"/>
      <c r="C727" s="32"/>
      <c r="D727" s="32"/>
      <c r="E727" s="163"/>
      <c r="F727" s="164"/>
      <c r="H727" s="165"/>
    </row>
    <row r="728">
      <c r="A728" s="32"/>
      <c r="B728" s="32"/>
      <c r="C728" s="32"/>
      <c r="D728" s="32"/>
      <c r="E728" s="163"/>
      <c r="F728" s="164"/>
      <c r="H728" s="165"/>
    </row>
    <row r="729">
      <c r="A729" s="32"/>
      <c r="B729" s="32"/>
      <c r="C729" s="32"/>
      <c r="D729" s="32"/>
      <c r="E729" s="163"/>
      <c r="F729" s="164"/>
      <c r="H729" s="165"/>
    </row>
    <row r="730">
      <c r="A730" s="32"/>
      <c r="B730" s="32"/>
      <c r="C730" s="32"/>
      <c r="D730" s="32"/>
      <c r="E730" s="163"/>
      <c r="F730" s="164"/>
      <c r="H730" s="165"/>
    </row>
    <row r="731">
      <c r="A731" s="32"/>
      <c r="B731" s="32"/>
      <c r="C731" s="32"/>
      <c r="D731" s="32"/>
      <c r="E731" s="163"/>
      <c r="F731" s="164"/>
      <c r="H731" s="165"/>
    </row>
    <row r="732">
      <c r="A732" s="32"/>
      <c r="B732" s="32"/>
      <c r="C732" s="32"/>
      <c r="D732" s="32"/>
      <c r="E732" s="163"/>
      <c r="F732" s="164"/>
      <c r="H732" s="165"/>
    </row>
    <row r="733">
      <c r="A733" s="32"/>
      <c r="B733" s="32"/>
      <c r="C733" s="32"/>
      <c r="D733" s="32"/>
      <c r="E733" s="163"/>
      <c r="F733" s="164"/>
      <c r="H733" s="165"/>
    </row>
    <row r="734">
      <c r="A734" s="32"/>
      <c r="B734" s="32"/>
      <c r="C734" s="32"/>
      <c r="D734" s="32"/>
      <c r="E734" s="163"/>
      <c r="F734" s="164"/>
      <c r="H734" s="165"/>
    </row>
    <row r="735">
      <c r="A735" s="32"/>
      <c r="B735" s="32"/>
      <c r="C735" s="32"/>
      <c r="D735" s="32"/>
      <c r="E735" s="163"/>
      <c r="F735" s="164"/>
      <c r="H735" s="165"/>
    </row>
    <row r="736">
      <c r="A736" s="32"/>
      <c r="B736" s="32"/>
      <c r="C736" s="32"/>
      <c r="D736" s="32"/>
      <c r="E736" s="163"/>
      <c r="F736" s="164"/>
      <c r="H736" s="165"/>
    </row>
    <row r="737">
      <c r="A737" s="32"/>
      <c r="B737" s="32"/>
      <c r="C737" s="32"/>
      <c r="D737" s="32"/>
      <c r="E737" s="163"/>
      <c r="F737" s="164"/>
      <c r="H737" s="165"/>
    </row>
    <row r="738">
      <c r="A738" s="32"/>
      <c r="B738" s="32"/>
      <c r="C738" s="32"/>
      <c r="D738" s="32"/>
      <c r="E738" s="163"/>
      <c r="F738" s="164"/>
      <c r="H738" s="165"/>
    </row>
    <row r="739">
      <c r="A739" s="32"/>
      <c r="B739" s="32"/>
      <c r="C739" s="32"/>
      <c r="D739" s="32"/>
      <c r="E739" s="163"/>
      <c r="F739" s="164"/>
      <c r="H739" s="165"/>
    </row>
    <row r="740">
      <c r="A740" s="32"/>
      <c r="B740" s="32"/>
      <c r="C740" s="32"/>
      <c r="D740" s="32"/>
      <c r="E740" s="163"/>
      <c r="F740" s="164"/>
      <c r="H740" s="165"/>
    </row>
    <row r="741">
      <c r="A741" s="32"/>
      <c r="B741" s="32"/>
      <c r="C741" s="32"/>
      <c r="D741" s="32"/>
      <c r="E741" s="163"/>
      <c r="F741" s="164"/>
      <c r="H741" s="165"/>
    </row>
    <row r="742">
      <c r="A742" s="32"/>
      <c r="B742" s="32"/>
      <c r="C742" s="32"/>
      <c r="D742" s="32"/>
      <c r="E742" s="163"/>
      <c r="F742" s="164"/>
      <c r="H742" s="165"/>
    </row>
    <row r="743">
      <c r="A743" s="32"/>
      <c r="B743" s="32"/>
      <c r="C743" s="32"/>
      <c r="D743" s="32"/>
      <c r="E743" s="163"/>
      <c r="F743" s="164"/>
      <c r="H743" s="165"/>
    </row>
    <row r="744">
      <c r="A744" s="32"/>
      <c r="B744" s="32"/>
      <c r="C744" s="32"/>
      <c r="D744" s="32"/>
      <c r="E744" s="163"/>
      <c r="F744" s="164"/>
      <c r="H744" s="165"/>
    </row>
    <row r="745">
      <c r="A745" s="32"/>
      <c r="B745" s="32"/>
      <c r="C745" s="32"/>
      <c r="D745" s="32"/>
      <c r="E745" s="163"/>
      <c r="F745" s="164"/>
      <c r="H745" s="165"/>
    </row>
    <row r="746">
      <c r="A746" s="32"/>
      <c r="B746" s="32"/>
      <c r="C746" s="32"/>
      <c r="D746" s="32"/>
      <c r="E746" s="163"/>
      <c r="F746" s="164"/>
      <c r="H746" s="165"/>
    </row>
    <row r="747">
      <c r="A747" s="32"/>
      <c r="B747" s="32"/>
      <c r="C747" s="32"/>
      <c r="D747" s="32"/>
      <c r="E747" s="163"/>
      <c r="F747" s="164"/>
      <c r="H747" s="165"/>
    </row>
    <row r="748">
      <c r="A748" s="32"/>
      <c r="B748" s="32"/>
      <c r="C748" s="32"/>
      <c r="D748" s="32"/>
      <c r="E748" s="163"/>
      <c r="F748" s="164"/>
      <c r="H748" s="165"/>
    </row>
    <row r="749">
      <c r="A749" s="32"/>
      <c r="B749" s="32"/>
      <c r="C749" s="32"/>
      <c r="D749" s="32"/>
      <c r="E749" s="163"/>
      <c r="F749" s="164"/>
      <c r="H749" s="165"/>
    </row>
    <row r="750">
      <c r="A750" s="32"/>
      <c r="B750" s="32"/>
      <c r="C750" s="32"/>
      <c r="D750" s="32"/>
      <c r="E750" s="163"/>
      <c r="F750" s="164"/>
      <c r="H750" s="165"/>
    </row>
    <row r="751">
      <c r="A751" s="32"/>
      <c r="B751" s="32"/>
      <c r="C751" s="32"/>
      <c r="D751" s="32"/>
      <c r="E751" s="163"/>
      <c r="F751" s="164"/>
      <c r="H751" s="165"/>
    </row>
    <row r="752">
      <c r="A752" s="32"/>
      <c r="B752" s="32"/>
      <c r="C752" s="32"/>
      <c r="D752" s="32"/>
      <c r="E752" s="163"/>
      <c r="F752" s="164"/>
      <c r="H752" s="165"/>
    </row>
    <row r="753">
      <c r="A753" s="32"/>
      <c r="B753" s="32"/>
      <c r="C753" s="32"/>
      <c r="D753" s="32"/>
      <c r="E753" s="163"/>
      <c r="F753" s="164"/>
      <c r="H753" s="165"/>
    </row>
    <row r="754">
      <c r="A754" s="32"/>
      <c r="B754" s="32"/>
      <c r="C754" s="32"/>
      <c r="D754" s="32"/>
      <c r="E754" s="163"/>
      <c r="F754" s="164"/>
      <c r="H754" s="165"/>
    </row>
    <row r="755">
      <c r="A755" s="32"/>
      <c r="B755" s="32"/>
      <c r="C755" s="32"/>
      <c r="D755" s="32"/>
      <c r="E755" s="163"/>
      <c r="F755" s="164"/>
      <c r="H755" s="165"/>
    </row>
    <row r="756">
      <c r="A756" s="32"/>
      <c r="B756" s="32"/>
      <c r="C756" s="32"/>
      <c r="D756" s="32"/>
      <c r="E756" s="163"/>
      <c r="F756" s="164"/>
      <c r="H756" s="165"/>
    </row>
    <row r="757">
      <c r="A757" s="32"/>
      <c r="B757" s="32"/>
      <c r="C757" s="32"/>
      <c r="D757" s="32"/>
      <c r="E757" s="163"/>
      <c r="F757" s="164"/>
      <c r="H757" s="165"/>
    </row>
    <row r="758">
      <c r="A758" s="32"/>
      <c r="B758" s="32"/>
      <c r="C758" s="32"/>
      <c r="D758" s="32"/>
      <c r="E758" s="163"/>
      <c r="F758" s="164"/>
      <c r="H758" s="165"/>
    </row>
    <row r="759">
      <c r="A759" s="32"/>
      <c r="B759" s="32"/>
      <c r="C759" s="32"/>
      <c r="D759" s="32"/>
      <c r="E759" s="163"/>
      <c r="F759" s="164"/>
      <c r="H759" s="165"/>
    </row>
    <row r="760">
      <c r="A760" s="32"/>
      <c r="B760" s="32"/>
      <c r="C760" s="32"/>
      <c r="D760" s="32"/>
      <c r="E760" s="163"/>
      <c r="F760" s="164"/>
      <c r="H760" s="165"/>
    </row>
    <row r="761">
      <c r="A761" s="32"/>
      <c r="B761" s="32"/>
      <c r="C761" s="32"/>
      <c r="D761" s="32"/>
      <c r="E761" s="163"/>
      <c r="F761" s="164"/>
      <c r="H761" s="165"/>
    </row>
    <row r="762">
      <c r="A762" s="32"/>
      <c r="B762" s="32"/>
      <c r="C762" s="32"/>
      <c r="D762" s="32"/>
      <c r="E762" s="163"/>
      <c r="F762" s="164"/>
      <c r="H762" s="165"/>
    </row>
    <row r="763">
      <c r="A763" s="32"/>
      <c r="B763" s="32"/>
      <c r="C763" s="32"/>
      <c r="D763" s="32"/>
      <c r="E763" s="163"/>
      <c r="F763" s="164"/>
      <c r="H763" s="165"/>
    </row>
    <row r="764">
      <c r="A764" s="32"/>
      <c r="B764" s="32"/>
      <c r="C764" s="32"/>
      <c r="D764" s="32"/>
      <c r="E764" s="163"/>
      <c r="F764" s="164"/>
      <c r="H764" s="165"/>
    </row>
    <row r="765">
      <c r="A765" s="32"/>
      <c r="B765" s="32"/>
      <c r="C765" s="32"/>
      <c r="D765" s="32"/>
      <c r="E765" s="163"/>
      <c r="F765" s="164"/>
      <c r="H765" s="165"/>
    </row>
    <row r="766">
      <c r="A766" s="32"/>
      <c r="B766" s="32"/>
      <c r="C766" s="32"/>
      <c r="D766" s="32"/>
      <c r="E766" s="163"/>
      <c r="F766" s="164"/>
      <c r="H766" s="165"/>
    </row>
    <row r="767">
      <c r="A767" s="32"/>
      <c r="B767" s="32"/>
      <c r="C767" s="32"/>
      <c r="D767" s="32"/>
      <c r="E767" s="163"/>
      <c r="F767" s="164"/>
      <c r="H767" s="165"/>
    </row>
    <row r="768">
      <c r="A768" s="32"/>
      <c r="B768" s="32"/>
      <c r="C768" s="32"/>
      <c r="D768" s="32"/>
      <c r="E768" s="163"/>
      <c r="F768" s="164"/>
      <c r="H768" s="165"/>
    </row>
    <row r="769">
      <c r="A769" s="32"/>
      <c r="B769" s="32"/>
      <c r="C769" s="32"/>
      <c r="D769" s="32"/>
      <c r="E769" s="163"/>
      <c r="F769" s="164"/>
      <c r="H769" s="165"/>
    </row>
    <row r="770">
      <c r="A770" s="32"/>
      <c r="B770" s="32"/>
      <c r="C770" s="32"/>
      <c r="D770" s="32"/>
      <c r="E770" s="163"/>
      <c r="F770" s="164"/>
      <c r="H770" s="165"/>
    </row>
    <row r="771">
      <c r="A771" s="32"/>
      <c r="B771" s="32"/>
      <c r="C771" s="32"/>
      <c r="D771" s="32"/>
      <c r="E771" s="163"/>
      <c r="F771" s="164"/>
      <c r="H771" s="165"/>
    </row>
    <row r="772">
      <c r="A772" s="32"/>
      <c r="B772" s="32"/>
      <c r="C772" s="32"/>
      <c r="D772" s="32"/>
      <c r="E772" s="163"/>
      <c r="F772" s="164"/>
      <c r="H772" s="165"/>
    </row>
    <row r="773">
      <c r="A773" s="32"/>
      <c r="B773" s="32"/>
      <c r="C773" s="32"/>
      <c r="D773" s="32"/>
      <c r="E773" s="163"/>
      <c r="F773" s="164"/>
      <c r="H773" s="165"/>
    </row>
    <row r="774">
      <c r="A774" s="32"/>
      <c r="B774" s="32"/>
      <c r="C774" s="32"/>
      <c r="D774" s="32"/>
      <c r="E774" s="163"/>
      <c r="F774" s="164"/>
      <c r="H774" s="165"/>
    </row>
    <row r="775">
      <c r="A775" s="32"/>
      <c r="B775" s="32"/>
      <c r="C775" s="32"/>
      <c r="D775" s="32"/>
      <c r="E775" s="163"/>
      <c r="F775" s="164"/>
      <c r="H775" s="165"/>
    </row>
    <row r="776">
      <c r="A776" s="32"/>
      <c r="B776" s="32"/>
      <c r="C776" s="32"/>
      <c r="D776" s="32"/>
      <c r="E776" s="163"/>
      <c r="F776" s="164"/>
      <c r="H776" s="165"/>
    </row>
    <row r="777">
      <c r="A777" s="32"/>
      <c r="B777" s="32"/>
      <c r="C777" s="32"/>
      <c r="D777" s="32"/>
      <c r="E777" s="163"/>
      <c r="F777" s="164"/>
      <c r="H777" s="165"/>
    </row>
    <row r="778">
      <c r="A778" s="32"/>
      <c r="B778" s="32"/>
      <c r="C778" s="32"/>
      <c r="D778" s="32"/>
      <c r="E778" s="163"/>
      <c r="F778" s="164"/>
      <c r="H778" s="165"/>
    </row>
    <row r="779">
      <c r="A779" s="32"/>
      <c r="B779" s="32"/>
      <c r="C779" s="32"/>
      <c r="D779" s="32"/>
      <c r="E779" s="163"/>
      <c r="F779" s="164"/>
      <c r="H779" s="165"/>
    </row>
    <row r="780">
      <c r="A780" s="32"/>
      <c r="B780" s="32"/>
      <c r="C780" s="32"/>
      <c r="D780" s="32"/>
      <c r="E780" s="163"/>
      <c r="F780" s="164"/>
      <c r="H780" s="165"/>
    </row>
    <row r="781">
      <c r="A781" s="32"/>
      <c r="B781" s="32"/>
      <c r="C781" s="32"/>
      <c r="D781" s="32"/>
      <c r="E781" s="163"/>
      <c r="F781" s="164"/>
      <c r="H781" s="165"/>
    </row>
    <row r="782">
      <c r="A782" s="32"/>
      <c r="B782" s="32"/>
      <c r="C782" s="32"/>
      <c r="D782" s="32"/>
      <c r="E782" s="163"/>
      <c r="F782" s="164"/>
      <c r="H782" s="165"/>
    </row>
    <row r="783">
      <c r="A783" s="32"/>
      <c r="B783" s="32"/>
      <c r="C783" s="32"/>
      <c r="D783" s="32"/>
      <c r="E783" s="163"/>
      <c r="F783" s="164"/>
      <c r="H783" s="165"/>
    </row>
    <row r="784">
      <c r="A784" s="32"/>
      <c r="B784" s="32"/>
      <c r="C784" s="32"/>
      <c r="D784" s="32"/>
      <c r="E784" s="163"/>
      <c r="F784" s="164"/>
      <c r="H784" s="165"/>
    </row>
    <row r="785">
      <c r="A785" s="32"/>
      <c r="B785" s="32"/>
      <c r="C785" s="32"/>
      <c r="D785" s="32"/>
      <c r="E785" s="163"/>
      <c r="F785" s="164"/>
      <c r="H785" s="165"/>
    </row>
    <row r="786">
      <c r="A786" s="32"/>
      <c r="B786" s="32"/>
      <c r="C786" s="32"/>
      <c r="D786" s="32"/>
      <c r="E786" s="163"/>
      <c r="F786" s="164"/>
      <c r="H786" s="165"/>
    </row>
    <row r="787">
      <c r="A787" s="32"/>
      <c r="B787" s="32"/>
      <c r="C787" s="32"/>
      <c r="D787" s="32"/>
      <c r="E787" s="163"/>
      <c r="F787" s="164"/>
      <c r="H787" s="165"/>
    </row>
    <row r="788">
      <c r="A788" s="32"/>
      <c r="B788" s="32"/>
      <c r="C788" s="32"/>
      <c r="D788" s="32"/>
      <c r="E788" s="163"/>
      <c r="F788" s="164"/>
      <c r="H788" s="165"/>
    </row>
    <row r="789">
      <c r="A789" s="32"/>
      <c r="B789" s="32"/>
      <c r="C789" s="32"/>
      <c r="D789" s="32"/>
      <c r="E789" s="163"/>
      <c r="F789" s="164"/>
      <c r="H789" s="165"/>
    </row>
    <row r="790">
      <c r="A790" s="32"/>
      <c r="B790" s="32"/>
      <c r="C790" s="32"/>
      <c r="D790" s="32"/>
      <c r="E790" s="163"/>
      <c r="F790" s="164"/>
      <c r="H790" s="165"/>
    </row>
    <row r="791">
      <c r="A791" s="32"/>
      <c r="B791" s="32"/>
      <c r="C791" s="32"/>
      <c r="D791" s="32"/>
      <c r="E791" s="163"/>
      <c r="F791" s="164"/>
      <c r="H791" s="165"/>
    </row>
    <row r="792">
      <c r="A792" s="32"/>
      <c r="B792" s="32"/>
      <c r="C792" s="32"/>
      <c r="D792" s="32"/>
      <c r="E792" s="163"/>
      <c r="F792" s="164"/>
      <c r="H792" s="165"/>
    </row>
    <row r="793">
      <c r="A793" s="32"/>
      <c r="B793" s="32"/>
      <c r="C793" s="32"/>
      <c r="D793" s="32"/>
      <c r="E793" s="163"/>
      <c r="F793" s="164"/>
      <c r="H793" s="165"/>
    </row>
    <row r="794">
      <c r="A794" s="32"/>
      <c r="B794" s="32"/>
      <c r="C794" s="32"/>
      <c r="D794" s="32"/>
      <c r="E794" s="163"/>
      <c r="F794" s="164"/>
      <c r="H794" s="165"/>
    </row>
    <row r="795">
      <c r="A795" s="32"/>
      <c r="B795" s="32"/>
      <c r="C795" s="32"/>
      <c r="D795" s="32"/>
      <c r="E795" s="163"/>
      <c r="F795" s="164"/>
      <c r="H795" s="165"/>
    </row>
    <row r="796">
      <c r="A796" s="32"/>
      <c r="B796" s="32"/>
      <c r="C796" s="32"/>
      <c r="D796" s="32"/>
      <c r="E796" s="163"/>
      <c r="F796" s="164"/>
      <c r="H796" s="165"/>
    </row>
    <row r="797">
      <c r="A797" s="32"/>
      <c r="B797" s="32"/>
      <c r="C797" s="32"/>
      <c r="D797" s="32"/>
      <c r="E797" s="163"/>
      <c r="F797" s="164"/>
      <c r="H797" s="165"/>
    </row>
    <row r="798">
      <c r="A798" s="32"/>
      <c r="B798" s="32"/>
      <c r="C798" s="32"/>
      <c r="D798" s="32"/>
      <c r="E798" s="163"/>
      <c r="F798" s="164"/>
      <c r="H798" s="165"/>
    </row>
    <row r="799">
      <c r="A799" s="32"/>
      <c r="B799" s="32"/>
      <c r="C799" s="32"/>
      <c r="D799" s="32"/>
      <c r="E799" s="163"/>
      <c r="F799" s="164"/>
      <c r="H799" s="165"/>
    </row>
    <row r="800">
      <c r="A800" s="32"/>
      <c r="B800" s="32"/>
      <c r="C800" s="32"/>
      <c r="D800" s="32"/>
      <c r="E800" s="163"/>
      <c r="F800" s="164"/>
      <c r="H800" s="165"/>
    </row>
    <row r="801">
      <c r="A801" s="32"/>
      <c r="B801" s="32"/>
      <c r="C801" s="32"/>
      <c r="D801" s="32"/>
      <c r="E801" s="163"/>
      <c r="F801" s="164"/>
      <c r="H801" s="165"/>
    </row>
    <row r="802">
      <c r="A802" s="32"/>
      <c r="B802" s="32"/>
      <c r="C802" s="32"/>
      <c r="D802" s="32"/>
      <c r="E802" s="163"/>
      <c r="F802" s="164"/>
      <c r="H802" s="165"/>
    </row>
    <row r="803">
      <c r="A803" s="32"/>
      <c r="B803" s="32"/>
      <c r="C803" s="32"/>
      <c r="D803" s="32"/>
      <c r="E803" s="163"/>
      <c r="F803" s="164"/>
      <c r="H803" s="165"/>
    </row>
    <row r="804">
      <c r="A804" s="32"/>
      <c r="B804" s="32"/>
      <c r="C804" s="32"/>
      <c r="D804" s="32"/>
      <c r="E804" s="163"/>
      <c r="F804" s="164"/>
      <c r="H804" s="165"/>
    </row>
    <row r="805">
      <c r="A805" s="32"/>
      <c r="B805" s="32"/>
      <c r="C805" s="32"/>
      <c r="D805" s="32"/>
      <c r="E805" s="163"/>
      <c r="F805" s="164"/>
      <c r="H805" s="165"/>
    </row>
    <row r="806">
      <c r="A806" s="32"/>
      <c r="B806" s="32"/>
      <c r="C806" s="32"/>
      <c r="D806" s="32"/>
      <c r="E806" s="163"/>
      <c r="F806" s="164"/>
      <c r="H806" s="165"/>
    </row>
    <row r="807">
      <c r="A807" s="32"/>
      <c r="B807" s="32"/>
      <c r="C807" s="32"/>
      <c r="D807" s="32"/>
      <c r="E807" s="163"/>
      <c r="F807" s="164"/>
      <c r="H807" s="165"/>
    </row>
    <row r="808">
      <c r="A808" s="32"/>
      <c r="B808" s="32"/>
      <c r="C808" s="32"/>
      <c r="D808" s="32"/>
      <c r="E808" s="163"/>
      <c r="F808" s="164"/>
      <c r="H808" s="165"/>
    </row>
    <row r="809">
      <c r="A809" s="32"/>
      <c r="B809" s="32"/>
      <c r="C809" s="32"/>
      <c r="D809" s="32"/>
      <c r="E809" s="163"/>
      <c r="F809" s="164"/>
      <c r="H809" s="165"/>
    </row>
    <row r="810">
      <c r="A810" s="32"/>
      <c r="B810" s="32"/>
      <c r="C810" s="32"/>
      <c r="D810" s="32"/>
      <c r="E810" s="163"/>
      <c r="F810" s="164"/>
      <c r="H810" s="165"/>
    </row>
    <row r="811">
      <c r="A811" s="32"/>
      <c r="B811" s="32"/>
      <c r="C811" s="32"/>
      <c r="D811" s="32"/>
      <c r="E811" s="163"/>
      <c r="F811" s="164"/>
      <c r="H811" s="165"/>
    </row>
    <row r="812">
      <c r="A812" s="32"/>
      <c r="B812" s="32"/>
      <c r="C812" s="32"/>
      <c r="D812" s="32"/>
      <c r="E812" s="163"/>
      <c r="F812" s="164"/>
      <c r="H812" s="165"/>
    </row>
    <row r="813">
      <c r="A813" s="32"/>
      <c r="B813" s="32"/>
      <c r="C813" s="32"/>
      <c r="D813" s="32"/>
      <c r="E813" s="163"/>
      <c r="F813" s="164"/>
      <c r="H813" s="165"/>
    </row>
    <row r="814">
      <c r="A814" s="32"/>
      <c r="B814" s="32"/>
      <c r="C814" s="32"/>
      <c r="D814" s="32"/>
      <c r="E814" s="163"/>
      <c r="F814" s="164"/>
      <c r="H814" s="165"/>
    </row>
    <row r="815">
      <c r="A815" s="32"/>
      <c r="B815" s="32"/>
      <c r="C815" s="32"/>
      <c r="D815" s="32"/>
      <c r="E815" s="163"/>
      <c r="F815" s="164"/>
      <c r="H815" s="165"/>
    </row>
    <row r="816">
      <c r="A816" s="32"/>
      <c r="B816" s="32"/>
      <c r="C816" s="32"/>
      <c r="D816" s="32"/>
      <c r="E816" s="163"/>
      <c r="F816" s="164"/>
      <c r="H816" s="165"/>
    </row>
    <row r="817">
      <c r="A817" s="32"/>
      <c r="B817" s="32"/>
      <c r="C817" s="32"/>
      <c r="D817" s="32"/>
      <c r="E817" s="163"/>
      <c r="F817" s="164"/>
      <c r="H817" s="165"/>
    </row>
    <row r="818">
      <c r="A818" s="32"/>
      <c r="B818" s="32"/>
      <c r="C818" s="32"/>
      <c r="D818" s="32"/>
      <c r="E818" s="163"/>
      <c r="F818" s="164"/>
      <c r="H818" s="165"/>
    </row>
    <row r="819">
      <c r="A819" s="32"/>
      <c r="B819" s="32"/>
      <c r="C819" s="32"/>
      <c r="D819" s="32"/>
      <c r="E819" s="163"/>
      <c r="F819" s="164"/>
      <c r="H819" s="165"/>
    </row>
    <row r="820">
      <c r="A820" s="32"/>
      <c r="B820" s="32"/>
      <c r="C820" s="32"/>
      <c r="D820" s="32"/>
      <c r="E820" s="163"/>
      <c r="F820" s="164"/>
      <c r="H820" s="165"/>
    </row>
    <row r="821">
      <c r="A821" s="32"/>
      <c r="B821" s="32"/>
      <c r="C821" s="32"/>
      <c r="D821" s="32"/>
      <c r="E821" s="163"/>
      <c r="F821" s="164"/>
      <c r="H821" s="165"/>
    </row>
    <row r="822">
      <c r="A822" s="32"/>
      <c r="B822" s="32"/>
      <c r="C822" s="32"/>
      <c r="D822" s="32"/>
      <c r="E822" s="163"/>
      <c r="F822" s="164"/>
      <c r="H822" s="165"/>
    </row>
    <row r="823">
      <c r="A823" s="32"/>
      <c r="B823" s="32"/>
      <c r="C823" s="32"/>
      <c r="D823" s="32"/>
      <c r="E823" s="163"/>
      <c r="F823" s="164"/>
      <c r="H823" s="165"/>
    </row>
    <row r="824">
      <c r="A824" s="32"/>
      <c r="B824" s="32"/>
      <c r="C824" s="32"/>
      <c r="D824" s="32"/>
      <c r="E824" s="163"/>
      <c r="F824" s="164"/>
      <c r="H824" s="165"/>
    </row>
    <row r="825">
      <c r="A825" s="32"/>
      <c r="B825" s="32"/>
      <c r="C825" s="32"/>
      <c r="D825" s="32"/>
      <c r="E825" s="163"/>
      <c r="F825" s="164"/>
      <c r="H825" s="165"/>
    </row>
    <row r="826">
      <c r="A826" s="32"/>
      <c r="B826" s="32"/>
      <c r="C826" s="32"/>
      <c r="D826" s="32"/>
      <c r="E826" s="163"/>
      <c r="F826" s="164"/>
      <c r="H826" s="165"/>
    </row>
    <row r="827">
      <c r="A827" s="32"/>
      <c r="B827" s="32"/>
      <c r="C827" s="32"/>
      <c r="D827" s="32"/>
      <c r="E827" s="163"/>
      <c r="F827" s="164"/>
      <c r="H827" s="165"/>
    </row>
    <row r="828">
      <c r="A828" s="32"/>
      <c r="B828" s="32"/>
      <c r="C828" s="32"/>
      <c r="D828" s="32"/>
      <c r="E828" s="163"/>
      <c r="F828" s="164"/>
      <c r="H828" s="165"/>
    </row>
    <row r="829">
      <c r="A829" s="32"/>
      <c r="B829" s="32"/>
      <c r="C829" s="32"/>
      <c r="D829" s="32"/>
      <c r="E829" s="163"/>
      <c r="F829" s="164"/>
      <c r="H829" s="165"/>
    </row>
    <row r="830">
      <c r="A830" s="32"/>
      <c r="B830" s="32"/>
      <c r="C830" s="32"/>
      <c r="D830" s="32"/>
      <c r="E830" s="163"/>
      <c r="F830" s="164"/>
      <c r="H830" s="165"/>
    </row>
    <row r="831">
      <c r="A831" s="32"/>
      <c r="B831" s="32"/>
      <c r="C831" s="32"/>
      <c r="D831" s="32"/>
      <c r="E831" s="163"/>
      <c r="F831" s="164"/>
      <c r="H831" s="165"/>
    </row>
    <row r="832">
      <c r="A832" s="32"/>
      <c r="B832" s="32"/>
      <c r="C832" s="32"/>
      <c r="D832" s="32"/>
      <c r="E832" s="163"/>
      <c r="F832" s="164"/>
      <c r="H832" s="165"/>
    </row>
    <row r="833">
      <c r="A833" s="32"/>
      <c r="B833" s="32"/>
      <c r="C833" s="32"/>
      <c r="D833" s="32"/>
      <c r="E833" s="163"/>
      <c r="F833" s="164"/>
      <c r="H833" s="165"/>
    </row>
    <row r="834">
      <c r="A834" s="32"/>
      <c r="B834" s="32"/>
      <c r="C834" s="32"/>
      <c r="D834" s="32"/>
      <c r="E834" s="163"/>
      <c r="F834" s="164"/>
      <c r="H834" s="165"/>
    </row>
    <row r="835">
      <c r="A835" s="32"/>
      <c r="B835" s="32"/>
      <c r="C835" s="32"/>
      <c r="D835" s="32"/>
      <c r="E835" s="163"/>
      <c r="F835" s="164"/>
      <c r="H835" s="165"/>
    </row>
    <row r="836">
      <c r="A836" s="32"/>
      <c r="B836" s="32"/>
      <c r="C836" s="32"/>
      <c r="D836" s="32"/>
      <c r="E836" s="163"/>
      <c r="F836" s="164"/>
      <c r="H836" s="165"/>
    </row>
    <row r="837">
      <c r="A837" s="32"/>
      <c r="B837" s="32"/>
      <c r="C837" s="32"/>
      <c r="D837" s="32"/>
      <c r="E837" s="163"/>
      <c r="F837" s="164"/>
      <c r="H837" s="165"/>
    </row>
    <row r="838">
      <c r="A838" s="32"/>
      <c r="B838" s="32"/>
      <c r="C838" s="32"/>
      <c r="D838" s="32"/>
      <c r="E838" s="163"/>
      <c r="F838" s="164"/>
      <c r="H838" s="165"/>
    </row>
    <row r="839">
      <c r="A839" s="32"/>
      <c r="B839" s="32"/>
      <c r="C839" s="32"/>
      <c r="D839" s="32"/>
      <c r="E839" s="163"/>
      <c r="F839" s="164"/>
      <c r="H839" s="165"/>
    </row>
    <row r="840">
      <c r="A840" s="32"/>
      <c r="B840" s="32"/>
      <c r="C840" s="32"/>
      <c r="D840" s="32"/>
      <c r="E840" s="163"/>
      <c r="F840" s="164"/>
      <c r="H840" s="165"/>
    </row>
    <row r="841">
      <c r="A841" s="32"/>
      <c r="B841" s="32"/>
      <c r="C841" s="32"/>
      <c r="D841" s="32"/>
      <c r="E841" s="163"/>
      <c r="F841" s="164"/>
      <c r="H841" s="165"/>
    </row>
    <row r="842">
      <c r="A842" s="32"/>
      <c r="B842" s="32"/>
      <c r="C842" s="32"/>
      <c r="D842" s="32"/>
      <c r="E842" s="163"/>
      <c r="F842" s="164"/>
      <c r="H842" s="165"/>
    </row>
    <row r="843">
      <c r="A843" s="32"/>
      <c r="B843" s="32"/>
      <c r="C843" s="32"/>
      <c r="D843" s="32"/>
      <c r="E843" s="163"/>
      <c r="F843" s="164"/>
      <c r="H843" s="165"/>
    </row>
    <row r="844">
      <c r="A844" s="32"/>
      <c r="B844" s="32"/>
      <c r="C844" s="32"/>
      <c r="D844" s="32"/>
      <c r="E844" s="163"/>
      <c r="F844" s="164"/>
      <c r="H844" s="165"/>
    </row>
    <row r="845">
      <c r="A845" s="32"/>
      <c r="B845" s="32"/>
      <c r="C845" s="32"/>
      <c r="D845" s="32"/>
      <c r="E845" s="163"/>
      <c r="F845" s="164"/>
      <c r="H845" s="165"/>
    </row>
    <row r="846">
      <c r="A846" s="32"/>
      <c r="B846" s="32"/>
      <c r="C846" s="32"/>
      <c r="D846" s="32"/>
      <c r="E846" s="163"/>
      <c r="F846" s="164"/>
      <c r="H846" s="165"/>
    </row>
    <row r="847">
      <c r="A847" s="32"/>
      <c r="B847" s="32"/>
      <c r="C847" s="32"/>
      <c r="D847" s="32"/>
      <c r="E847" s="163"/>
      <c r="F847" s="164"/>
      <c r="H847" s="165"/>
    </row>
    <row r="848">
      <c r="A848" s="32"/>
      <c r="B848" s="32"/>
      <c r="C848" s="32"/>
      <c r="D848" s="32"/>
      <c r="E848" s="163"/>
      <c r="F848" s="164"/>
      <c r="H848" s="165"/>
    </row>
    <row r="849">
      <c r="A849" s="32"/>
      <c r="B849" s="32"/>
      <c r="C849" s="32"/>
      <c r="D849" s="32"/>
      <c r="E849" s="163"/>
      <c r="F849" s="164"/>
      <c r="H849" s="165"/>
    </row>
    <row r="850">
      <c r="A850" s="32"/>
      <c r="B850" s="32"/>
      <c r="C850" s="32"/>
      <c r="D850" s="32"/>
      <c r="E850" s="163"/>
      <c r="F850" s="164"/>
      <c r="H850" s="165"/>
    </row>
    <row r="851">
      <c r="A851" s="32"/>
      <c r="B851" s="32"/>
      <c r="C851" s="32"/>
      <c r="D851" s="32"/>
      <c r="E851" s="163"/>
      <c r="F851" s="164"/>
      <c r="H851" s="165"/>
    </row>
    <row r="852">
      <c r="A852" s="32"/>
      <c r="B852" s="32"/>
      <c r="C852" s="32"/>
      <c r="D852" s="32"/>
      <c r="E852" s="163"/>
      <c r="F852" s="164"/>
      <c r="H852" s="165"/>
    </row>
    <row r="853">
      <c r="A853" s="32"/>
      <c r="B853" s="32"/>
      <c r="C853" s="32"/>
      <c r="D853" s="32"/>
      <c r="E853" s="163"/>
      <c r="F853" s="164"/>
      <c r="H853" s="165"/>
    </row>
    <row r="854">
      <c r="A854" s="32"/>
      <c r="B854" s="32"/>
      <c r="C854" s="32"/>
      <c r="D854" s="32"/>
      <c r="E854" s="163"/>
      <c r="F854" s="164"/>
      <c r="H854" s="165"/>
    </row>
    <row r="855">
      <c r="A855" s="32"/>
      <c r="B855" s="32"/>
      <c r="C855" s="32"/>
      <c r="D855" s="32"/>
      <c r="E855" s="163"/>
      <c r="F855" s="164"/>
      <c r="H855" s="165"/>
    </row>
    <row r="856">
      <c r="A856" s="32"/>
      <c r="B856" s="32"/>
      <c r="C856" s="32"/>
      <c r="D856" s="32"/>
      <c r="E856" s="163"/>
      <c r="F856" s="164"/>
      <c r="H856" s="165"/>
    </row>
    <row r="857">
      <c r="A857" s="32"/>
      <c r="B857" s="32"/>
      <c r="C857" s="32"/>
      <c r="D857" s="32"/>
      <c r="E857" s="163"/>
      <c r="F857" s="164"/>
      <c r="H857" s="165"/>
    </row>
    <row r="858">
      <c r="A858" s="32"/>
      <c r="B858" s="32"/>
      <c r="C858" s="32"/>
      <c r="D858" s="32"/>
      <c r="E858" s="163"/>
      <c r="F858" s="164"/>
      <c r="H858" s="165"/>
    </row>
    <row r="859">
      <c r="A859" s="32"/>
      <c r="B859" s="32"/>
      <c r="C859" s="32"/>
      <c r="D859" s="32"/>
      <c r="E859" s="163"/>
      <c r="F859" s="164"/>
      <c r="H859" s="165"/>
    </row>
    <row r="860">
      <c r="A860" s="32"/>
      <c r="B860" s="32"/>
      <c r="C860" s="32"/>
      <c r="D860" s="32"/>
      <c r="E860" s="163"/>
      <c r="F860" s="164"/>
      <c r="H860" s="165"/>
    </row>
    <row r="861">
      <c r="A861" s="32"/>
      <c r="B861" s="32"/>
      <c r="C861" s="32"/>
      <c r="D861" s="32"/>
      <c r="E861" s="163"/>
      <c r="F861" s="164"/>
      <c r="H861" s="165"/>
    </row>
    <row r="862">
      <c r="A862" s="32"/>
      <c r="B862" s="32"/>
      <c r="C862" s="32"/>
      <c r="D862" s="32"/>
      <c r="E862" s="163"/>
      <c r="F862" s="164"/>
      <c r="H862" s="165"/>
    </row>
    <row r="863">
      <c r="A863" s="32"/>
      <c r="B863" s="32"/>
      <c r="C863" s="32"/>
      <c r="D863" s="32"/>
      <c r="E863" s="163"/>
      <c r="F863" s="164"/>
      <c r="H863" s="165"/>
    </row>
    <row r="864">
      <c r="A864" s="32"/>
      <c r="B864" s="32"/>
      <c r="C864" s="32"/>
      <c r="D864" s="32"/>
      <c r="E864" s="163"/>
      <c r="F864" s="164"/>
      <c r="H864" s="165"/>
    </row>
    <row r="865">
      <c r="A865" s="32"/>
      <c r="B865" s="32"/>
      <c r="C865" s="32"/>
      <c r="D865" s="32"/>
      <c r="E865" s="163"/>
      <c r="F865" s="164"/>
      <c r="H865" s="165"/>
    </row>
    <row r="866">
      <c r="A866" s="32"/>
      <c r="B866" s="32"/>
      <c r="C866" s="32"/>
      <c r="D866" s="32"/>
      <c r="E866" s="163"/>
      <c r="F866" s="164"/>
      <c r="H866" s="165"/>
    </row>
    <row r="867">
      <c r="A867" s="32"/>
      <c r="B867" s="32"/>
      <c r="C867" s="32"/>
      <c r="D867" s="32"/>
      <c r="E867" s="163"/>
      <c r="F867" s="164"/>
      <c r="H867" s="165"/>
    </row>
    <row r="868">
      <c r="A868" s="32"/>
      <c r="B868" s="32"/>
      <c r="C868" s="32"/>
      <c r="D868" s="32"/>
      <c r="E868" s="163"/>
      <c r="F868" s="164"/>
      <c r="H868" s="165"/>
    </row>
    <row r="869">
      <c r="A869" s="32"/>
      <c r="B869" s="32"/>
      <c r="C869" s="32"/>
      <c r="D869" s="32"/>
      <c r="E869" s="163"/>
      <c r="F869" s="164"/>
      <c r="H869" s="165"/>
    </row>
    <row r="870">
      <c r="A870" s="32"/>
      <c r="B870" s="32"/>
      <c r="C870" s="32"/>
      <c r="D870" s="32"/>
      <c r="E870" s="163"/>
      <c r="F870" s="164"/>
      <c r="H870" s="165"/>
    </row>
    <row r="871">
      <c r="A871" s="32"/>
      <c r="B871" s="32"/>
      <c r="C871" s="32"/>
      <c r="D871" s="32"/>
      <c r="E871" s="163"/>
      <c r="F871" s="164"/>
      <c r="H871" s="165"/>
    </row>
    <row r="872">
      <c r="A872" s="32"/>
      <c r="B872" s="32"/>
      <c r="C872" s="32"/>
      <c r="D872" s="32"/>
      <c r="E872" s="163"/>
      <c r="F872" s="164"/>
      <c r="H872" s="165"/>
    </row>
    <row r="873">
      <c r="A873" s="32"/>
      <c r="B873" s="32"/>
      <c r="C873" s="32"/>
      <c r="D873" s="32"/>
      <c r="E873" s="163"/>
      <c r="F873" s="164"/>
      <c r="H873" s="165"/>
    </row>
    <row r="874">
      <c r="A874" s="32"/>
      <c r="B874" s="32"/>
      <c r="C874" s="32"/>
      <c r="D874" s="32"/>
      <c r="E874" s="163"/>
      <c r="F874" s="164"/>
      <c r="H874" s="165"/>
    </row>
    <row r="875">
      <c r="A875" s="32"/>
      <c r="B875" s="32"/>
      <c r="C875" s="32"/>
      <c r="D875" s="32"/>
      <c r="E875" s="163"/>
      <c r="F875" s="164"/>
      <c r="H875" s="165"/>
    </row>
    <row r="876">
      <c r="A876" s="32"/>
      <c r="B876" s="32"/>
      <c r="C876" s="32"/>
      <c r="D876" s="32"/>
      <c r="E876" s="163"/>
      <c r="F876" s="164"/>
      <c r="H876" s="165"/>
    </row>
    <row r="877">
      <c r="A877" s="32"/>
      <c r="B877" s="32"/>
      <c r="C877" s="32"/>
      <c r="D877" s="32"/>
      <c r="E877" s="163"/>
      <c r="F877" s="164"/>
      <c r="H877" s="165"/>
    </row>
    <row r="878">
      <c r="A878" s="32"/>
      <c r="B878" s="32"/>
      <c r="C878" s="32"/>
      <c r="D878" s="32"/>
      <c r="E878" s="163"/>
      <c r="F878" s="164"/>
      <c r="H878" s="165"/>
    </row>
    <row r="879">
      <c r="A879" s="32"/>
      <c r="B879" s="32"/>
      <c r="C879" s="32"/>
      <c r="D879" s="32"/>
      <c r="E879" s="163"/>
      <c r="F879" s="164"/>
      <c r="H879" s="165"/>
    </row>
    <row r="880">
      <c r="A880" s="32"/>
      <c r="B880" s="32"/>
      <c r="C880" s="32"/>
      <c r="D880" s="32"/>
      <c r="E880" s="163"/>
      <c r="F880" s="164"/>
      <c r="H880" s="165"/>
    </row>
    <row r="881">
      <c r="A881" s="32"/>
      <c r="B881" s="32"/>
      <c r="C881" s="32"/>
      <c r="D881" s="32"/>
      <c r="E881" s="163"/>
      <c r="F881" s="164"/>
      <c r="H881" s="165"/>
    </row>
    <row r="882">
      <c r="A882" s="32"/>
      <c r="B882" s="32"/>
      <c r="C882" s="32"/>
      <c r="D882" s="32"/>
      <c r="E882" s="163"/>
      <c r="F882" s="164"/>
      <c r="H882" s="165"/>
    </row>
    <row r="883">
      <c r="A883" s="32"/>
      <c r="B883" s="32"/>
      <c r="C883" s="32"/>
      <c r="D883" s="32"/>
      <c r="E883" s="163"/>
      <c r="F883" s="164"/>
      <c r="H883" s="165"/>
    </row>
    <row r="884">
      <c r="A884" s="32"/>
      <c r="B884" s="32"/>
      <c r="C884" s="32"/>
      <c r="D884" s="32"/>
      <c r="E884" s="163"/>
      <c r="F884" s="164"/>
      <c r="H884" s="165"/>
    </row>
    <row r="885">
      <c r="A885" s="32"/>
      <c r="B885" s="32"/>
      <c r="C885" s="32"/>
      <c r="D885" s="32"/>
      <c r="E885" s="163"/>
      <c r="F885" s="164"/>
      <c r="H885" s="165"/>
    </row>
    <row r="886">
      <c r="A886" s="32"/>
      <c r="B886" s="32"/>
      <c r="C886" s="32"/>
      <c r="D886" s="32"/>
      <c r="E886" s="163"/>
      <c r="F886" s="164"/>
      <c r="H886" s="165"/>
    </row>
    <row r="887">
      <c r="A887" s="32"/>
      <c r="B887" s="32"/>
      <c r="C887" s="32"/>
      <c r="D887" s="32"/>
      <c r="E887" s="163"/>
      <c r="F887" s="164"/>
      <c r="H887" s="165"/>
    </row>
    <row r="888">
      <c r="A888" s="32"/>
      <c r="B888" s="32"/>
      <c r="C888" s="32"/>
      <c r="D888" s="32"/>
      <c r="E888" s="163"/>
      <c r="F888" s="164"/>
      <c r="H888" s="165"/>
    </row>
    <row r="889">
      <c r="A889" s="32"/>
      <c r="B889" s="32"/>
      <c r="C889" s="32"/>
      <c r="D889" s="32"/>
      <c r="E889" s="163"/>
      <c r="F889" s="164"/>
      <c r="H889" s="165"/>
    </row>
    <row r="890">
      <c r="A890" s="32"/>
      <c r="B890" s="32"/>
      <c r="C890" s="32"/>
      <c r="D890" s="32"/>
      <c r="E890" s="163"/>
      <c r="F890" s="164"/>
      <c r="H890" s="165"/>
    </row>
    <row r="891">
      <c r="A891" s="32"/>
      <c r="B891" s="32"/>
      <c r="C891" s="32"/>
      <c r="D891" s="32"/>
      <c r="E891" s="163"/>
      <c r="F891" s="164"/>
      <c r="H891" s="165"/>
    </row>
    <row r="892">
      <c r="A892" s="32"/>
      <c r="B892" s="32"/>
      <c r="C892" s="32"/>
      <c r="D892" s="32"/>
      <c r="E892" s="163"/>
      <c r="F892" s="164"/>
      <c r="H892" s="165"/>
    </row>
    <row r="893">
      <c r="A893" s="32"/>
      <c r="B893" s="32"/>
      <c r="C893" s="32"/>
      <c r="D893" s="32"/>
      <c r="E893" s="163"/>
      <c r="F893" s="164"/>
      <c r="H893" s="165"/>
    </row>
    <row r="894">
      <c r="A894" s="32"/>
      <c r="B894" s="32"/>
      <c r="C894" s="32"/>
      <c r="D894" s="32"/>
      <c r="E894" s="163"/>
      <c r="F894" s="164"/>
      <c r="H894" s="165"/>
    </row>
    <row r="895">
      <c r="A895" s="32"/>
      <c r="B895" s="32"/>
      <c r="C895" s="32"/>
      <c r="D895" s="32"/>
      <c r="E895" s="163"/>
      <c r="F895" s="164"/>
      <c r="H895" s="165"/>
    </row>
    <row r="896">
      <c r="A896" s="32"/>
      <c r="B896" s="32"/>
      <c r="C896" s="32"/>
      <c r="D896" s="32"/>
      <c r="E896" s="163"/>
      <c r="F896" s="164"/>
      <c r="H896" s="165"/>
    </row>
    <row r="897">
      <c r="A897" s="32"/>
      <c r="B897" s="32"/>
      <c r="C897" s="32"/>
      <c r="D897" s="32"/>
      <c r="E897" s="163"/>
      <c r="F897" s="164"/>
      <c r="H897" s="165"/>
    </row>
    <row r="898">
      <c r="A898" s="32"/>
      <c r="B898" s="32"/>
      <c r="C898" s="32"/>
      <c r="D898" s="32"/>
      <c r="E898" s="163"/>
      <c r="F898" s="164"/>
      <c r="H898" s="165"/>
    </row>
    <row r="899">
      <c r="A899" s="32"/>
      <c r="B899" s="32"/>
      <c r="C899" s="32"/>
      <c r="D899" s="32"/>
      <c r="E899" s="163"/>
      <c r="F899" s="164"/>
      <c r="H899" s="165"/>
    </row>
    <row r="900">
      <c r="A900" s="32"/>
      <c r="B900" s="32"/>
      <c r="C900" s="32"/>
      <c r="D900" s="32"/>
      <c r="E900" s="163"/>
      <c r="F900" s="164"/>
      <c r="H900" s="165"/>
    </row>
    <row r="901">
      <c r="A901" s="32"/>
      <c r="B901" s="32"/>
      <c r="C901" s="32"/>
      <c r="D901" s="32"/>
      <c r="E901" s="163"/>
      <c r="F901" s="164"/>
      <c r="H901" s="165"/>
    </row>
    <row r="902">
      <c r="A902" s="32"/>
      <c r="B902" s="32"/>
      <c r="C902" s="32"/>
      <c r="D902" s="32"/>
      <c r="E902" s="163"/>
      <c r="F902" s="164"/>
      <c r="H902" s="165"/>
    </row>
    <row r="903">
      <c r="A903" s="32"/>
      <c r="B903" s="32"/>
      <c r="C903" s="32"/>
      <c r="D903" s="32"/>
      <c r="E903" s="163"/>
      <c r="F903" s="164"/>
      <c r="H903" s="165"/>
    </row>
    <row r="904">
      <c r="A904" s="32"/>
      <c r="B904" s="32"/>
      <c r="C904" s="32"/>
      <c r="D904" s="32"/>
      <c r="E904" s="163"/>
      <c r="F904" s="164"/>
      <c r="H904" s="165"/>
    </row>
    <row r="905">
      <c r="A905" s="32"/>
      <c r="B905" s="32"/>
      <c r="C905" s="32"/>
      <c r="D905" s="32"/>
      <c r="E905" s="163"/>
      <c r="F905" s="164"/>
      <c r="H905" s="165"/>
    </row>
    <row r="906">
      <c r="A906" s="32"/>
      <c r="B906" s="32"/>
      <c r="C906" s="32"/>
      <c r="D906" s="32"/>
      <c r="E906" s="163"/>
      <c r="F906" s="164"/>
      <c r="H906" s="165"/>
    </row>
    <row r="907">
      <c r="A907" s="32"/>
      <c r="B907" s="32"/>
      <c r="C907" s="32"/>
      <c r="D907" s="32"/>
      <c r="E907" s="163"/>
      <c r="F907" s="164"/>
      <c r="H907" s="165"/>
    </row>
    <row r="908">
      <c r="A908" s="32"/>
      <c r="B908" s="32"/>
      <c r="C908" s="32"/>
      <c r="D908" s="32"/>
      <c r="E908" s="163"/>
      <c r="F908" s="164"/>
      <c r="H908" s="165"/>
    </row>
    <row r="909">
      <c r="A909" s="32"/>
      <c r="B909" s="32"/>
      <c r="C909" s="32"/>
      <c r="D909" s="32"/>
      <c r="E909" s="163"/>
      <c r="F909" s="164"/>
      <c r="H909" s="165"/>
    </row>
    <row r="910">
      <c r="A910" s="32"/>
      <c r="B910" s="32"/>
      <c r="C910" s="32"/>
      <c r="D910" s="32"/>
      <c r="E910" s="163"/>
      <c r="F910" s="164"/>
      <c r="H910" s="165"/>
    </row>
    <row r="911">
      <c r="A911" s="32"/>
      <c r="B911" s="32"/>
      <c r="C911" s="32"/>
      <c r="D911" s="32"/>
      <c r="E911" s="163"/>
      <c r="F911" s="164"/>
      <c r="H911" s="165"/>
    </row>
    <row r="912">
      <c r="A912" s="32"/>
      <c r="B912" s="32"/>
      <c r="C912" s="32"/>
      <c r="D912" s="32"/>
      <c r="E912" s="163"/>
      <c r="F912" s="164"/>
      <c r="H912" s="165"/>
    </row>
    <row r="913">
      <c r="A913" s="32"/>
      <c r="B913" s="32"/>
      <c r="C913" s="32"/>
      <c r="D913" s="32"/>
      <c r="E913" s="163"/>
      <c r="F913" s="164"/>
      <c r="H913" s="165"/>
    </row>
    <row r="914">
      <c r="A914" s="32"/>
      <c r="B914" s="32"/>
      <c r="C914" s="32"/>
      <c r="D914" s="32"/>
      <c r="E914" s="163"/>
      <c r="F914" s="164"/>
      <c r="H914" s="165"/>
    </row>
    <row r="915">
      <c r="A915" s="32"/>
      <c r="B915" s="32"/>
      <c r="C915" s="32"/>
      <c r="D915" s="32"/>
      <c r="E915" s="163"/>
      <c r="F915" s="164"/>
      <c r="H915" s="165"/>
    </row>
    <row r="916">
      <c r="A916" s="32"/>
      <c r="B916" s="32"/>
      <c r="C916" s="32"/>
      <c r="D916" s="32"/>
      <c r="E916" s="163"/>
      <c r="F916" s="164"/>
      <c r="H916" s="165"/>
    </row>
    <row r="917">
      <c r="A917" s="32"/>
      <c r="B917" s="32"/>
      <c r="C917" s="32"/>
      <c r="D917" s="32"/>
      <c r="E917" s="163"/>
      <c r="F917" s="164"/>
      <c r="H917" s="165"/>
    </row>
    <row r="918">
      <c r="A918" s="32"/>
      <c r="B918" s="32"/>
      <c r="C918" s="32"/>
      <c r="D918" s="32"/>
      <c r="E918" s="163"/>
      <c r="F918" s="164"/>
      <c r="H918" s="165"/>
    </row>
    <row r="919">
      <c r="A919" s="32"/>
      <c r="B919" s="32"/>
      <c r="C919" s="32"/>
      <c r="D919" s="32"/>
      <c r="E919" s="163"/>
      <c r="F919" s="164"/>
      <c r="H919" s="165"/>
    </row>
    <row r="920">
      <c r="A920" s="32"/>
      <c r="B920" s="32"/>
      <c r="C920" s="32"/>
      <c r="D920" s="32"/>
      <c r="E920" s="163"/>
      <c r="F920" s="164"/>
      <c r="H920" s="165"/>
    </row>
    <row r="921">
      <c r="A921" s="32"/>
      <c r="B921" s="32"/>
      <c r="C921" s="32"/>
      <c r="D921" s="32"/>
      <c r="E921" s="163"/>
      <c r="F921" s="164"/>
      <c r="H921" s="165"/>
    </row>
    <row r="922">
      <c r="A922" s="32"/>
      <c r="B922" s="32"/>
      <c r="C922" s="32"/>
      <c r="D922" s="32"/>
      <c r="E922" s="163"/>
      <c r="F922" s="164"/>
      <c r="H922" s="165"/>
    </row>
    <row r="923">
      <c r="A923" s="32"/>
      <c r="B923" s="32"/>
      <c r="C923" s="32"/>
      <c r="D923" s="32"/>
      <c r="E923" s="163"/>
      <c r="F923" s="164"/>
      <c r="H923" s="165"/>
    </row>
    <row r="924">
      <c r="A924" s="32"/>
      <c r="B924" s="32"/>
      <c r="C924" s="32"/>
      <c r="D924" s="32"/>
      <c r="E924" s="163"/>
      <c r="F924" s="164"/>
      <c r="H924" s="165"/>
    </row>
    <row r="925">
      <c r="A925" s="32"/>
      <c r="B925" s="32"/>
      <c r="C925" s="32"/>
      <c r="D925" s="32"/>
      <c r="E925" s="163"/>
      <c r="F925" s="164"/>
      <c r="H925" s="165"/>
    </row>
    <row r="926">
      <c r="A926" s="32"/>
      <c r="B926" s="32"/>
      <c r="C926" s="32"/>
      <c r="D926" s="32"/>
      <c r="E926" s="163"/>
      <c r="F926" s="164"/>
      <c r="H926" s="165"/>
    </row>
    <row r="927">
      <c r="A927" s="32"/>
      <c r="B927" s="32"/>
      <c r="C927" s="32"/>
      <c r="D927" s="32"/>
      <c r="E927" s="163"/>
      <c r="F927" s="164"/>
      <c r="H927" s="165"/>
    </row>
    <row r="928">
      <c r="A928" s="32"/>
      <c r="B928" s="32"/>
      <c r="C928" s="32"/>
      <c r="D928" s="32"/>
      <c r="E928" s="163"/>
      <c r="F928" s="164"/>
      <c r="H928" s="165"/>
    </row>
    <row r="929">
      <c r="A929" s="32"/>
      <c r="B929" s="32"/>
      <c r="C929" s="32"/>
      <c r="D929" s="32"/>
      <c r="E929" s="163"/>
      <c r="F929" s="164"/>
      <c r="H929" s="165"/>
    </row>
    <row r="930">
      <c r="A930" s="32"/>
      <c r="B930" s="32"/>
      <c r="C930" s="32"/>
      <c r="D930" s="32"/>
      <c r="E930" s="163"/>
      <c r="F930" s="164"/>
      <c r="H930" s="165"/>
    </row>
    <row r="931">
      <c r="A931" s="32"/>
      <c r="B931" s="32"/>
      <c r="C931" s="32"/>
      <c r="D931" s="32"/>
      <c r="E931" s="163"/>
      <c r="F931" s="164"/>
      <c r="H931" s="165"/>
    </row>
    <row r="932">
      <c r="A932" s="32"/>
      <c r="B932" s="32"/>
      <c r="C932" s="32"/>
      <c r="D932" s="32"/>
      <c r="E932" s="163"/>
      <c r="F932" s="164"/>
      <c r="H932" s="165"/>
    </row>
    <row r="933">
      <c r="A933" s="32"/>
      <c r="B933" s="32"/>
      <c r="C933" s="32"/>
      <c r="D933" s="32"/>
      <c r="E933" s="163"/>
      <c r="F933" s="164"/>
      <c r="H933" s="165"/>
    </row>
    <row r="934">
      <c r="A934" s="32"/>
      <c r="B934" s="32"/>
      <c r="C934" s="32"/>
      <c r="D934" s="32"/>
      <c r="E934" s="163"/>
      <c r="F934" s="164"/>
      <c r="H934" s="165"/>
    </row>
    <row r="935">
      <c r="A935" s="32"/>
      <c r="B935" s="32"/>
      <c r="C935" s="32"/>
      <c r="D935" s="32"/>
      <c r="E935" s="163"/>
      <c r="F935" s="164"/>
      <c r="H935" s="165"/>
    </row>
    <row r="936">
      <c r="A936" s="32"/>
      <c r="B936" s="32"/>
      <c r="C936" s="32"/>
      <c r="D936" s="32"/>
      <c r="E936" s="163"/>
      <c r="F936" s="164"/>
      <c r="H936" s="165"/>
    </row>
    <row r="937">
      <c r="A937" s="32"/>
      <c r="B937" s="32"/>
      <c r="C937" s="32"/>
      <c r="D937" s="32"/>
      <c r="E937" s="163"/>
      <c r="F937" s="164"/>
      <c r="H937" s="165"/>
    </row>
    <row r="938">
      <c r="A938" s="32"/>
      <c r="B938" s="32"/>
      <c r="C938" s="32"/>
      <c r="D938" s="32"/>
      <c r="E938" s="163"/>
      <c r="F938" s="164"/>
      <c r="H938" s="165"/>
    </row>
    <row r="939">
      <c r="A939" s="32"/>
      <c r="B939" s="32"/>
      <c r="C939" s="32"/>
      <c r="D939" s="32"/>
      <c r="E939" s="163"/>
      <c r="F939" s="164"/>
      <c r="H939" s="165"/>
    </row>
    <row r="940">
      <c r="A940" s="32"/>
      <c r="B940" s="32"/>
      <c r="C940" s="32"/>
      <c r="D940" s="32"/>
      <c r="E940" s="163"/>
      <c r="F940" s="164"/>
      <c r="H940" s="165"/>
    </row>
    <row r="941">
      <c r="A941" s="32"/>
      <c r="B941" s="32"/>
      <c r="C941" s="32"/>
      <c r="D941" s="32"/>
      <c r="E941" s="163"/>
      <c r="F941" s="164"/>
      <c r="H941" s="165"/>
    </row>
    <row r="942">
      <c r="A942" s="32"/>
      <c r="B942" s="32"/>
      <c r="C942" s="32"/>
      <c r="D942" s="32"/>
      <c r="E942" s="163"/>
      <c r="F942" s="164"/>
      <c r="H942" s="165"/>
    </row>
    <row r="943">
      <c r="A943" s="32"/>
      <c r="B943" s="32"/>
      <c r="C943" s="32"/>
      <c r="D943" s="32"/>
      <c r="E943" s="163"/>
      <c r="F943" s="164"/>
      <c r="H943" s="165"/>
    </row>
    <row r="944">
      <c r="A944" s="32"/>
      <c r="B944" s="32"/>
      <c r="C944" s="32"/>
      <c r="D944" s="32"/>
      <c r="E944" s="163"/>
      <c r="F944" s="164"/>
      <c r="H944" s="165"/>
    </row>
    <row r="945">
      <c r="A945" s="32"/>
      <c r="B945" s="32"/>
      <c r="C945" s="32"/>
      <c r="D945" s="32"/>
      <c r="E945" s="163"/>
      <c r="F945" s="164"/>
      <c r="H945" s="165"/>
    </row>
    <row r="946">
      <c r="A946" s="32"/>
      <c r="B946" s="32"/>
      <c r="C946" s="32"/>
      <c r="D946" s="32"/>
      <c r="E946" s="163"/>
      <c r="F946" s="164"/>
      <c r="H946" s="165"/>
    </row>
    <row r="947">
      <c r="A947" s="32"/>
      <c r="B947" s="32"/>
      <c r="C947" s="32"/>
      <c r="D947" s="32"/>
      <c r="E947" s="163"/>
      <c r="F947" s="164"/>
      <c r="H947" s="165"/>
    </row>
    <row r="948">
      <c r="A948" s="32"/>
      <c r="B948" s="32"/>
      <c r="C948" s="32"/>
      <c r="D948" s="32"/>
      <c r="E948" s="163"/>
      <c r="F948" s="164"/>
      <c r="H948" s="165"/>
    </row>
    <row r="949">
      <c r="A949" s="32"/>
      <c r="B949" s="32"/>
      <c r="C949" s="32"/>
      <c r="D949" s="32"/>
      <c r="E949" s="163"/>
      <c r="F949" s="164"/>
      <c r="H949" s="165"/>
    </row>
    <row r="950">
      <c r="A950" s="32"/>
      <c r="B950" s="32"/>
      <c r="C950" s="32"/>
      <c r="D950" s="32"/>
      <c r="E950" s="163"/>
      <c r="F950" s="164"/>
      <c r="H950" s="165"/>
    </row>
    <row r="951">
      <c r="A951" s="32"/>
      <c r="B951" s="32"/>
      <c r="C951" s="32"/>
      <c r="D951" s="32"/>
      <c r="E951" s="163"/>
      <c r="F951" s="164"/>
      <c r="H951" s="165"/>
    </row>
    <row r="952">
      <c r="A952" s="32"/>
      <c r="B952" s="32"/>
      <c r="C952" s="32"/>
      <c r="D952" s="32"/>
      <c r="E952" s="163"/>
      <c r="F952" s="164"/>
      <c r="H952" s="165"/>
    </row>
    <row r="953">
      <c r="A953" s="32"/>
      <c r="B953" s="32"/>
      <c r="C953" s="32"/>
      <c r="D953" s="32"/>
      <c r="E953" s="163"/>
      <c r="F953" s="164"/>
      <c r="H953" s="165"/>
    </row>
    <row r="954">
      <c r="A954" s="32"/>
      <c r="B954" s="32"/>
      <c r="C954" s="32"/>
      <c r="D954" s="32"/>
      <c r="E954" s="163"/>
      <c r="F954" s="164"/>
      <c r="H954" s="165"/>
    </row>
    <row r="955">
      <c r="A955" s="32"/>
      <c r="B955" s="32"/>
      <c r="C955" s="32"/>
      <c r="D955" s="32"/>
      <c r="E955" s="163"/>
      <c r="F955" s="164"/>
      <c r="H955" s="165"/>
    </row>
    <row r="956">
      <c r="A956" s="32"/>
      <c r="B956" s="32"/>
      <c r="C956" s="32"/>
      <c r="D956" s="32"/>
      <c r="E956" s="163"/>
      <c r="F956" s="164"/>
      <c r="H956" s="165"/>
    </row>
    <row r="957">
      <c r="A957" s="32"/>
      <c r="B957" s="32"/>
      <c r="C957" s="32"/>
      <c r="D957" s="32"/>
      <c r="E957" s="163"/>
      <c r="F957" s="164"/>
      <c r="H957" s="165"/>
    </row>
    <row r="958">
      <c r="A958" s="32"/>
      <c r="B958" s="32"/>
      <c r="C958" s="32"/>
      <c r="D958" s="32"/>
      <c r="E958" s="163"/>
      <c r="F958" s="164"/>
      <c r="H958" s="165"/>
    </row>
    <row r="959">
      <c r="A959" s="32"/>
      <c r="B959" s="32"/>
      <c r="C959" s="32"/>
      <c r="D959" s="32"/>
      <c r="E959" s="163"/>
      <c r="F959" s="164"/>
      <c r="H959" s="165"/>
    </row>
    <row r="960">
      <c r="A960" s="32"/>
      <c r="B960" s="32"/>
      <c r="C960" s="32"/>
      <c r="D960" s="32"/>
      <c r="E960" s="163"/>
      <c r="F960" s="164"/>
      <c r="H960" s="165"/>
    </row>
    <row r="961">
      <c r="A961" s="32"/>
      <c r="B961" s="32"/>
      <c r="C961" s="32"/>
      <c r="D961" s="32"/>
      <c r="E961" s="163"/>
      <c r="F961" s="164"/>
      <c r="H961" s="165"/>
    </row>
    <row r="962">
      <c r="A962" s="32"/>
      <c r="B962" s="32"/>
      <c r="C962" s="32"/>
      <c r="D962" s="32"/>
      <c r="E962" s="163"/>
      <c r="F962" s="164"/>
      <c r="H962" s="165"/>
    </row>
    <row r="963">
      <c r="A963" s="32"/>
      <c r="B963" s="32"/>
      <c r="C963" s="32"/>
      <c r="D963" s="32"/>
      <c r="E963" s="163"/>
      <c r="F963" s="164"/>
      <c r="H963" s="165"/>
    </row>
    <row r="964">
      <c r="A964" s="32"/>
      <c r="B964" s="32"/>
      <c r="C964" s="32"/>
      <c r="D964" s="32"/>
      <c r="E964" s="163"/>
      <c r="F964" s="164"/>
      <c r="H964" s="165"/>
    </row>
    <row r="965">
      <c r="A965" s="32"/>
      <c r="B965" s="32"/>
      <c r="C965" s="32"/>
      <c r="D965" s="32"/>
      <c r="E965" s="163"/>
      <c r="F965" s="164"/>
      <c r="H965" s="165"/>
    </row>
    <row r="966">
      <c r="A966" s="32"/>
      <c r="B966" s="32"/>
      <c r="C966" s="32"/>
      <c r="D966" s="32"/>
      <c r="E966" s="163"/>
      <c r="F966" s="164"/>
      <c r="H966" s="165"/>
    </row>
    <row r="967">
      <c r="A967" s="32"/>
      <c r="B967" s="32"/>
      <c r="C967" s="32"/>
      <c r="D967" s="32"/>
      <c r="E967" s="163"/>
      <c r="F967" s="164"/>
      <c r="H967" s="165"/>
    </row>
    <row r="968">
      <c r="A968" s="32"/>
      <c r="B968" s="32"/>
      <c r="C968" s="32"/>
      <c r="D968" s="32"/>
      <c r="E968" s="163"/>
      <c r="F968" s="164"/>
      <c r="H968" s="165"/>
    </row>
    <row r="969">
      <c r="A969" s="32"/>
      <c r="B969" s="32"/>
      <c r="C969" s="32"/>
      <c r="D969" s="32"/>
      <c r="E969" s="163"/>
      <c r="F969" s="164"/>
      <c r="H969" s="165"/>
    </row>
    <row r="970">
      <c r="A970" s="32"/>
      <c r="B970" s="32"/>
      <c r="C970" s="32"/>
      <c r="D970" s="32"/>
      <c r="E970" s="163"/>
      <c r="F970" s="164"/>
      <c r="H970" s="165"/>
    </row>
    <row r="971">
      <c r="A971" s="32"/>
      <c r="B971" s="32"/>
      <c r="C971" s="32"/>
      <c r="D971" s="32"/>
      <c r="E971" s="163"/>
      <c r="F971" s="164"/>
      <c r="H971" s="165"/>
    </row>
    <row r="972">
      <c r="A972" s="32"/>
      <c r="B972" s="32"/>
      <c r="C972" s="32"/>
      <c r="D972" s="32"/>
      <c r="E972" s="163"/>
      <c r="F972" s="164"/>
      <c r="H972" s="165"/>
    </row>
    <row r="973">
      <c r="A973" s="32"/>
      <c r="B973" s="32"/>
      <c r="C973" s="32"/>
      <c r="D973" s="32"/>
      <c r="E973" s="163"/>
      <c r="F973" s="164"/>
      <c r="H973" s="165"/>
    </row>
    <row r="974">
      <c r="A974" s="32"/>
      <c r="B974" s="32"/>
      <c r="C974" s="32"/>
      <c r="D974" s="32"/>
      <c r="E974" s="163"/>
      <c r="F974" s="164"/>
      <c r="H974" s="165"/>
    </row>
    <row r="975">
      <c r="A975" s="32"/>
      <c r="B975" s="32"/>
      <c r="C975" s="32"/>
      <c r="D975" s="32"/>
      <c r="E975" s="163"/>
      <c r="F975" s="164"/>
      <c r="H975" s="165"/>
    </row>
    <row r="976">
      <c r="A976" s="32"/>
      <c r="B976" s="32"/>
      <c r="C976" s="32"/>
      <c r="D976" s="32"/>
      <c r="E976" s="163"/>
      <c r="F976" s="164"/>
      <c r="H976" s="165"/>
    </row>
    <row r="977">
      <c r="A977" s="32"/>
      <c r="B977" s="32"/>
      <c r="C977" s="32"/>
      <c r="D977" s="32"/>
      <c r="E977" s="163"/>
      <c r="F977" s="164"/>
      <c r="H977" s="165"/>
    </row>
    <row r="978">
      <c r="A978" s="32"/>
      <c r="B978" s="32"/>
      <c r="C978" s="32"/>
      <c r="D978" s="32"/>
      <c r="E978" s="163"/>
      <c r="F978" s="164"/>
      <c r="H978" s="165"/>
    </row>
    <row r="979">
      <c r="A979" s="32"/>
      <c r="B979" s="32"/>
      <c r="C979" s="32"/>
      <c r="D979" s="32"/>
      <c r="E979" s="163"/>
      <c r="F979" s="164"/>
      <c r="H979" s="165"/>
    </row>
    <row r="980">
      <c r="A980" s="32"/>
      <c r="B980" s="32"/>
      <c r="C980" s="32"/>
      <c r="D980" s="32"/>
      <c r="E980" s="163"/>
      <c r="F980" s="164"/>
      <c r="H980" s="165"/>
    </row>
    <row r="981">
      <c r="A981" s="32"/>
      <c r="B981" s="32"/>
      <c r="C981" s="32"/>
      <c r="D981" s="32"/>
      <c r="E981" s="163"/>
      <c r="F981" s="164"/>
      <c r="H981" s="165"/>
    </row>
    <row r="982">
      <c r="A982" s="32"/>
      <c r="B982" s="32"/>
      <c r="C982" s="32"/>
      <c r="D982" s="32"/>
      <c r="E982" s="163"/>
      <c r="F982" s="164"/>
      <c r="H982" s="165"/>
    </row>
    <row r="983">
      <c r="A983" s="32"/>
      <c r="B983" s="32"/>
      <c r="C983" s="32"/>
      <c r="D983" s="32"/>
      <c r="E983" s="163"/>
      <c r="F983" s="164"/>
      <c r="H983" s="165"/>
    </row>
    <row r="984">
      <c r="A984" s="32"/>
      <c r="B984" s="32"/>
      <c r="C984" s="32"/>
      <c r="D984" s="32"/>
      <c r="E984" s="163"/>
      <c r="F984" s="164"/>
      <c r="H984" s="165"/>
    </row>
    <row r="985">
      <c r="A985" s="32"/>
      <c r="B985" s="32"/>
      <c r="C985" s="32"/>
      <c r="D985" s="32"/>
      <c r="E985" s="163"/>
      <c r="F985" s="164"/>
      <c r="H985" s="165"/>
    </row>
    <row r="986">
      <c r="A986" s="32"/>
      <c r="B986" s="32"/>
      <c r="C986" s="32"/>
      <c r="D986" s="32"/>
      <c r="E986" s="163"/>
      <c r="F986" s="164"/>
      <c r="H986" s="165"/>
    </row>
    <row r="987">
      <c r="A987" s="32"/>
      <c r="B987" s="32"/>
      <c r="C987" s="32"/>
      <c r="D987" s="32"/>
      <c r="E987" s="163"/>
      <c r="F987" s="164"/>
      <c r="H987" s="165"/>
    </row>
    <row r="988">
      <c r="A988" s="32"/>
      <c r="B988" s="32"/>
      <c r="C988" s="32"/>
      <c r="D988" s="32"/>
      <c r="E988" s="163"/>
      <c r="F988" s="164"/>
      <c r="H988" s="165"/>
    </row>
    <row r="989">
      <c r="A989" s="32"/>
      <c r="B989" s="32"/>
      <c r="C989" s="32"/>
      <c r="D989" s="32"/>
      <c r="E989" s="163"/>
      <c r="F989" s="164"/>
      <c r="H989" s="165"/>
    </row>
    <row r="990">
      <c r="A990" s="32"/>
      <c r="B990" s="32"/>
      <c r="C990" s="32"/>
      <c r="D990" s="32"/>
      <c r="E990" s="163"/>
      <c r="F990" s="164"/>
      <c r="H990" s="165"/>
    </row>
    <row r="991">
      <c r="A991" s="32"/>
      <c r="B991" s="32"/>
      <c r="C991" s="32"/>
      <c r="D991" s="32"/>
      <c r="E991" s="163"/>
      <c r="F991" s="164"/>
      <c r="H991" s="165"/>
    </row>
    <row r="992">
      <c r="A992" s="32"/>
      <c r="B992" s="32"/>
      <c r="C992" s="32"/>
      <c r="D992" s="32"/>
      <c r="E992" s="163"/>
      <c r="F992" s="164"/>
      <c r="H992" s="165"/>
    </row>
    <row r="993">
      <c r="A993" s="32"/>
      <c r="B993" s="32"/>
      <c r="C993" s="32"/>
      <c r="D993" s="32"/>
      <c r="E993" s="163"/>
      <c r="F993" s="164"/>
      <c r="H993" s="165"/>
    </row>
    <row r="994">
      <c r="A994" s="32"/>
      <c r="B994" s="32"/>
      <c r="C994" s="32"/>
      <c r="D994" s="32"/>
      <c r="E994" s="163"/>
      <c r="F994" s="164"/>
      <c r="H994" s="165"/>
    </row>
    <row r="995">
      <c r="A995" s="32"/>
      <c r="B995" s="32"/>
      <c r="C995" s="32"/>
      <c r="D995" s="32"/>
      <c r="E995" s="163"/>
      <c r="F995" s="164"/>
      <c r="H995" s="165"/>
    </row>
    <row r="996">
      <c r="A996" s="32"/>
      <c r="B996" s="32"/>
      <c r="C996" s="32"/>
      <c r="D996" s="32"/>
      <c r="E996" s="163"/>
      <c r="F996" s="164"/>
      <c r="H996" s="165"/>
    </row>
    <row r="997">
      <c r="A997" s="32"/>
      <c r="B997" s="32"/>
      <c r="C997" s="32"/>
      <c r="D997" s="32"/>
      <c r="E997" s="163"/>
      <c r="F997" s="164"/>
      <c r="H997" s="165"/>
    </row>
    <row r="998">
      <c r="A998" s="32"/>
      <c r="B998" s="32"/>
      <c r="C998" s="32"/>
      <c r="D998" s="32"/>
      <c r="E998" s="163"/>
      <c r="F998" s="164"/>
      <c r="H998" s="165"/>
    </row>
    <row r="999">
      <c r="A999" s="32"/>
      <c r="B999" s="32"/>
      <c r="C999" s="32"/>
      <c r="D999" s="32"/>
      <c r="E999" s="163"/>
      <c r="F999" s="164"/>
      <c r="H999" s="165"/>
    </row>
    <row r="1000">
      <c r="A1000" s="32"/>
      <c r="B1000" s="32"/>
      <c r="C1000" s="32"/>
      <c r="D1000" s="32"/>
      <c r="E1000" s="163"/>
      <c r="F1000" s="164"/>
      <c r="H1000" s="165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20.5"/>
    <col customWidth="1" min="3" max="3" width="12.25"/>
    <col customWidth="1" min="4" max="4" width="59.25"/>
    <col customWidth="1" min="5" max="5" width="16.5"/>
  </cols>
  <sheetData>
    <row r="1">
      <c r="A1" s="166" t="s">
        <v>71</v>
      </c>
      <c r="B1" s="48" t="s">
        <v>1723</v>
      </c>
      <c r="C1" s="167" t="s">
        <v>1724</v>
      </c>
      <c r="D1" s="48" t="s">
        <v>1725</v>
      </c>
      <c r="E1" s="48" t="s">
        <v>1726</v>
      </c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</row>
    <row r="2">
      <c r="A2" s="168" t="s">
        <v>1727</v>
      </c>
      <c r="B2" s="14" t="str">
        <f t="shared" ref="B2:B35" si="1">DEC2HEX(HEX2DEC(A2)+10844576)</f>
        <v>AE81A0</v>
      </c>
      <c r="C2" s="64">
        <f t="shared" ref="C2:C34" si="2">HEX2DEC(B3)-HEX2DEC(B2)</f>
        <v>16</v>
      </c>
      <c r="D2" s="14" t="s">
        <v>1728</v>
      </c>
      <c r="E2" s="14" t="s">
        <v>1729</v>
      </c>
    </row>
    <row r="3">
      <c r="A3" s="168" t="s">
        <v>1730</v>
      </c>
      <c r="B3" t="str">
        <f t="shared" si="1"/>
        <v>AE81B0</v>
      </c>
      <c r="C3" s="64">
        <f t="shared" si="2"/>
        <v>16</v>
      </c>
      <c r="D3" s="14" t="s">
        <v>1731</v>
      </c>
      <c r="E3" s="14" t="s">
        <v>1729</v>
      </c>
    </row>
    <row r="4">
      <c r="A4" s="168" t="s">
        <v>1732</v>
      </c>
      <c r="B4" s="14" t="str">
        <f t="shared" si="1"/>
        <v>AE81C0</v>
      </c>
      <c r="C4" s="64">
        <f t="shared" si="2"/>
        <v>16</v>
      </c>
      <c r="D4" s="14" t="s">
        <v>1733</v>
      </c>
      <c r="E4" s="14" t="s">
        <v>1734</v>
      </c>
    </row>
    <row r="5">
      <c r="A5" s="168" t="s">
        <v>1735</v>
      </c>
      <c r="B5" t="str">
        <f t="shared" si="1"/>
        <v>AE81D0</v>
      </c>
      <c r="C5" s="64">
        <f t="shared" si="2"/>
        <v>24</v>
      </c>
      <c r="D5" s="14" t="s">
        <v>1736</v>
      </c>
      <c r="E5" s="14" t="s">
        <v>1734</v>
      </c>
    </row>
    <row r="6">
      <c r="A6" s="168" t="s">
        <v>1737</v>
      </c>
      <c r="B6" s="14" t="str">
        <f t="shared" si="1"/>
        <v>AE81E8</v>
      </c>
      <c r="C6" s="64">
        <f t="shared" si="2"/>
        <v>16</v>
      </c>
      <c r="D6" s="14" t="s">
        <v>1738</v>
      </c>
      <c r="E6" s="14" t="s">
        <v>1734</v>
      </c>
    </row>
    <row r="7">
      <c r="A7" s="168" t="s">
        <v>1739</v>
      </c>
      <c r="B7" t="str">
        <f t="shared" si="1"/>
        <v>AE81F8</v>
      </c>
      <c r="C7" s="64">
        <f t="shared" si="2"/>
        <v>16</v>
      </c>
      <c r="D7" s="14" t="s">
        <v>1740</v>
      </c>
      <c r="E7" s="14" t="s">
        <v>1734</v>
      </c>
    </row>
    <row r="8">
      <c r="A8" s="168" t="s">
        <v>1741</v>
      </c>
      <c r="B8" s="14" t="str">
        <f t="shared" si="1"/>
        <v>AE8208</v>
      </c>
      <c r="C8" s="64">
        <f t="shared" si="2"/>
        <v>16</v>
      </c>
      <c r="D8" s="14" t="s">
        <v>1742</v>
      </c>
      <c r="E8" s="14" t="s">
        <v>1734</v>
      </c>
    </row>
    <row r="9">
      <c r="A9" s="168" t="s">
        <v>1743</v>
      </c>
      <c r="B9" t="str">
        <f t="shared" si="1"/>
        <v>AE8218</v>
      </c>
      <c r="C9" s="64">
        <f t="shared" si="2"/>
        <v>16</v>
      </c>
      <c r="D9" s="14" t="s">
        <v>1744</v>
      </c>
      <c r="E9" s="14" t="s">
        <v>1734</v>
      </c>
    </row>
    <row r="10">
      <c r="A10" s="168" t="s">
        <v>1745</v>
      </c>
      <c r="B10" s="14" t="str">
        <f t="shared" si="1"/>
        <v>AE8228</v>
      </c>
      <c r="C10" s="64">
        <f t="shared" si="2"/>
        <v>16</v>
      </c>
      <c r="D10" s="14" t="s">
        <v>1746</v>
      </c>
      <c r="E10" s="14" t="s">
        <v>1734</v>
      </c>
    </row>
    <row r="11">
      <c r="A11" s="168" t="s">
        <v>1747</v>
      </c>
      <c r="B11" t="str">
        <f t="shared" si="1"/>
        <v>AE8238</v>
      </c>
      <c r="C11" s="64">
        <f t="shared" si="2"/>
        <v>16</v>
      </c>
      <c r="D11" s="14" t="s">
        <v>1748</v>
      </c>
      <c r="E11" s="14" t="s">
        <v>1734</v>
      </c>
    </row>
    <row r="12">
      <c r="A12" s="168" t="s">
        <v>1749</v>
      </c>
      <c r="B12" s="14" t="str">
        <f t="shared" si="1"/>
        <v>AE8248</v>
      </c>
      <c r="C12" s="64">
        <f t="shared" si="2"/>
        <v>16</v>
      </c>
      <c r="D12" s="14" t="s">
        <v>1750</v>
      </c>
      <c r="E12" s="14" t="s">
        <v>1729</v>
      </c>
    </row>
    <row r="13">
      <c r="A13" s="168" t="s">
        <v>1751</v>
      </c>
      <c r="B13" t="str">
        <f t="shared" si="1"/>
        <v>AE8258</v>
      </c>
      <c r="C13" s="64">
        <f t="shared" si="2"/>
        <v>16</v>
      </c>
      <c r="D13" s="14" t="s">
        <v>1752</v>
      </c>
      <c r="E13" s="14" t="s">
        <v>1729</v>
      </c>
    </row>
    <row r="14">
      <c r="A14" s="169" t="s">
        <v>1753</v>
      </c>
      <c r="B14" s="14" t="str">
        <f t="shared" si="1"/>
        <v>AE8268</v>
      </c>
      <c r="C14" s="64">
        <f t="shared" si="2"/>
        <v>16</v>
      </c>
      <c r="D14" s="14" t="s">
        <v>1754</v>
      </c>
      <c r="E14" s="14" t="s">
        <v>1729</v>
      </c>
    </row>
    <row r="15">
      <c r="A15" s="169" t="s">
        <v>1755</v>
      </c>
      <c r="B15" t="str">
        <f t="shared" si="1"/>
        <v>AE8278</v>
      </c>
      <c r="C15" s="64">
        <f t="shared" si="2"/>
        <v>16</v>
      </c>
      <c r="D15" s="14" t="s">
        <v>1756</v>
      </c>
      <c r="E15" s="52" t="s">
        <v>1757</v>
      </c>
    </row>
    <row r="16">
      <c r="A16" s="169" t="s">
        <v>1758</v>
      </c>
      <c r="B16" s="14" t="str">
        <f t="shared" si="1"/>
        <v>AE8288</v>
      </c>
      <c r="C16" s="64">
        <f t="shared" si="2"/>
        <v>16</v>
      </c>
      <c r="D16" s="14" t="s">
        <v>1759</v>
      </c>
      <c r="E16" s="52" t="s">
        <v>1757</v>
      </c>
    </row>
    <row r="17">
      <c r="A17" s="169" t="s">
        <v>1760</v>
      </c>
      <c r="B17" t="str">
        <f t="shared" si="1"/>
        <v>AE8298</v>
      </c>
      <c r="C17" s="64">
        <f t="shared" si="2"/>
        <v>16</v>
      </c>
      <c r="D17" s="14" t="s">
        <v>1761</v>
      </c>
      <c r="E17" s="42" t="s">
        <v>1762</v>
      </c>
    </row>
    <row r="18">
      <c r="A18" s="169" t="s">
        <v>1763</v>
      </c>
      <c r="B18" s="14" t="str">
        <f t="shared" si="1"/>
        <v>AE82A8</v>
      </c>
      <c r="C18" s="64">
        <f t="shared" si="2"/>
        <v>16</v>
      </c>
      <c r="D18" s="14" t="s">
        <v>1764</v>
      </c>
      <c r="E18" s="42" t="s">
        <v>1762</v>
      </c>
    </row>
    <row r="19">
      <c r="A19" s="169" t="s">
        <v>1765</v>
      </c>
      <c r="B19" t="str">
        <f t="shared" si="1"/>
        <v>AE82B8</v>
      </c>
      <c r="C19" s="64">
        <f t="shared" si="2"/>
        <v>16</v>
      </c>
      <c r="D19" s="14" t="s">
        <v>1766</v>
      </c>
      <c r="E19" s="42" t="s">
        <v>1762</v>
      </c>
    </row>
    <row r="20">
      <c r="A20" s="169" t="s">
        <v>1767</v>
      </c>
      <c r="B20" s="14" t="str">
        <f t="shared" si="1"/>
        <v>AE82C8</v>
      </c>
      <c r="C20" s="64">
        <f t="shared" si="2"/>
        <v>16</v>
      </c>
      <c r="D20" s="14" t="s">
        <v>1768</v>
      </c>
      <c r="E20" s="42" t="s">
        <v>1762</v>
      </c>
    </row>
    <row r="21">
      <c r="A21" s="169" t="s">
        <v>1769</v>
      </c>
      <c r="B21" t="str">
        <f t="shared" si="1"/>
        <v>AE82D8</v>
      </c>
      <c r="C21" s="64">
        <f t="shared" si="2"/>
        <v>16</v>
      </c>
      <c r="D21" s="14" t="s">
        <v>1770</v>
      </c>
      <c r="E21" s="42" t="s">
        <v>1762</v>
      </c>
    </row>
    <row r="22">
      <c r="A22" s="169" t="s">
        <v>1771</v>
      </c>
      <c r="B22" s="14" t="str">
        <f t="shared" si="1"/>
        <v>AE82E8</v>
      </c>
      <c r="C22" s="64">
        <f t="shared" si="2"/>
        <v>16</v>
      </c>
      <c r="D22" s="14" t="s">
        <v>1772</v>
      </c>
      <c r="E22" s="42" t="s">
        <v>1762</v>
      </c>
    </row>
    <row r="23">
      <c r="A23" s="169" t="s">
        <v>1773</v>
      </c>
      <c r="B23" t="str">
        <f t="shared" si="1"/>
        <v>AE82F8</v>
      </c>
      <c r="C23" s="64">
        <f t="shared" si="2"/>
        <v>16</v>
      </c>
      <c r="D23" s="14" t="s">
        <v>1774</v>
      </c>
      <c r="E23" s="42" t="s">
        <v>1762</v>
      </c>
    </row>
    <row r="24">
      <c r="A24" s="169" t="s">
        <v>1775</v>
      </c>
      <c r="B24" s="14" t="str">
        <f t="shared" si="1"/>
        <v>AE8308</v>
      </c>
      <c r="C24" s="64">
        <f t="shared" si="2"/>
        <v>16</v>
      </c>
      <c r="D24" s="14" t="s">
        <v>1776</v>
      </c>
      <c r="E24" s="42" t="s">
        <v>1762</v>
      </c>
    </row>
    <row r="25">
      <c r="A25" s="169" t="s">
        <v>1777</v>
      </c>
      <c r="B25" t="str">
        <f t="shared" si="1"/>
        <v>AE8318</v>
      </c>
      <c r="C25" s="64">
        <f t="shared" si="2"/>
        <v>16</v>
      </c>
      <c r="D25" s="14" t="s">
        <v>1778</v>
      </c>
      <c r="E25" s="42" t="s">
        <v>1762</v>
      </c>
    </row>
    <row r="26">
      <c r="A26" s="169" t="s">
        <v>1779</v>
      </c>
      <c r="B26" s="14" t="str">
        <f t="shared" si="1"/>
        <v>AE8328</v>
      </c>
      <c r="C26" s="64">
        <f t="shared" si="2"/>
        <v>16</v>
      </c>
      <c r="D26" s="14" t="s">
        <v>1780</v>
      </c>
      <c r="E26" s="42" t="s">
        <v>1762</v>
      </c>
    </row>
    <row r="27">
      <c r="A27" s="169" t="s">
        <v>1781</v>
      </c>
      <c r="B27" t="str">
        <f t="shared" si="1"/>
        <v>AE8338</v>
      </c>
      <c r="C27" s="64">
        <f t="shared" si="2"/>
        <v>16</v>
      </c>
      <c r="D27" s="14" t="s">
        <v>1782</v>
      </c>
      <c r="E27" s="42" t="s">
        <v>1762</v>
      </c>
    </row>
    <row r="28">
      <c r="A28" s="169" t="s">
        <v>1783</v>
      </c>
      <c r="B28" s="14" t="str">
        <f t="shared" si="1"/>
        <v>AE8348</v>
      </c>
      <c r="C28" s="64">
        <f t="shared" si="2"/>
        <v>16</v>
      </c>
      <c r="D28" s="14" t="s">
        <v>1784</v>
      </c>
      <c r="E28" s="42" t="s">
        <v>1762</v>
      </c>
    </row>
    <row r="29">
      <c r="A29" s="169" t="s">
        <v>1785</v>
      </c>
      <c r="B29" t="str">
        <f t="shared" si="1"/>
        <v>AE8358</v>
      </c>
      <c r="C29" s="64">
        <f t="shared" si="2"/>
        <v>16</v>
      </c>
      <c r="D29" s="14" t="s">
        <v>1786</v>
      </c>
      <c r="E29" s="42" t="s">
        <v>1762</v>
      </c>
    </row>
    <row r="30">
      <c r="A30" s="169" t="s">
        <v>1787</v>
      </c>
      <c r="B30" s="14" t="str">
        <f t="shared" si="1"/>
        <v>AE8368</v>
      </c>
      <c r="C30" s="64">
        <f t="shared" si="2"/>
        <v>16</v>
      </c>
      <c r="D30" s="14" t="s">
        <v>1788</v>
      </c>
      <c r="E30" s="14" t="s">
        <v>1729</v>
      </c>
    </row>
    <row r="31">
      <c r="A31" s="169" t="s">
        <v>1789</v>
      </c>
      <c r="B31" t="str">
        <f t="shared" si="1"/>
        <v>AE8378</v>
      </c>
      <c r="C31" s="64">
        <f t="shared" si="2"/>
        <v>16</v>
      </c>
      <c r="D31" s="14" t="s">
        <v>1790</v>
      </c>
      <c r="E31" s="14" t="s">
        <v>1729</v>
      </c>
    </row>
    <row r="32">
      <c r="A32" s="169" t="s">
        <v>1791</v>
      </c>
      <c r="B32" s="14" t="str">
        <f t="shared" si="1"/>
        <v>AE8388</v>
      </c>
      <c r="C32" s="64">
        <f t="shared" si="2"/>
        <v>16</v>
      </c>
      <c r="D32" s="14" t="s">
        <v>1792</v>
      </c>
      <c r="E32" s="14" t="s">
        <v>1729</v>
      </c>
    </row>
    <row r="33">
      <c r="A33" s="169" t="s">
        <v>1793</v>
      </c>
      <c r="B33" t="str">
        <f t="shared" si="1"/>
        <v>AE8398</v>
      </c>
      <c r="C33" s="64">
        <f t="shared" si="2"/>
        <v>16</v>
      </c>
      <c r="D33" s="14" t="s">
        <v>1794</v>
      </c>
      <c r="E33" s="42" t="s">
        <v>1762</v>
      </c>
    </row>
    <row r="34">
      <c r="A34" s="169" t="s">
        <v>1795</v>
      </c>
      <c r="B34" s="14" t="str">
        <f t="shared" si="1"/>
        <v>AE83A8</v>
      </c>
      <c r="C34" s="64">
        <f t="shared" si="2"/>
        <v>16</v>
      </c>
      <c r="D34" s="14" t="s">
        <v>1796</v>
      </c>
      <c r="E34" s="42" t="s">
        <v>1762</v>
      </c>
    </row>
    <row r="35">
      <c r="A35" s="169" t="s">
        <v>1797</v>
      </c>
      <c r="B35" t="str">
        <f t="shared" si="1"/>
        <v>AE83B8</v>
      </c>
      <c r="C35" s="64">
        <v>16.0</v>
      </c>
      <c r="D35" s="14" t="s">
        <v>1798</v>
      </c>
      <c r="E35" s="42" t="s">
        <v>1762</v>
      </c>
    </row>
    <row r="36">
      <c r="A36" s="168"/>
      <c r="C36" s="47"/>
    </row>
    <row r="37">
      <c r="A37" s="169" t="s">
        <v>1799</v>
      </c>
      <c r="B37" t="str">
        <f t="shared" ref="B37:B54" si="3">DEC2HEX(HEX2DEC(A37)+10844576)</f>
        <v>AE8B14</v>
      </c>
      <c r="C37" s="64">
        <f t="shared" ref="C37:C53" si="4">HEX2DEC(B38)-HEX2DEC(B37)</f>
        <v>16</v>
      </c>
      <c r="D37" s="14" t="s">
        <v>1800</v>
      </c>
    </row>
    <row r="38">
      <c r="A38" s="169" t="s">
        <v>1801</v>
      </c>
      <c r="B38" t="str">
        <f t="shared" si="3"/>
        <v>AE8B24</v>
      </c>
      <c r="C38" s="64">
        <f t="shared" si="4"/>
        <v>24</v>
      </c>
      <c r="D38" s="14" t="s">
        <v>1802</v>
      </c>
    </row>
    <row r="39">
      <c r="A39" s="169" t="s">
        <v>1803</v>
      </c>
      <c r="B39" t="str">
        <f t="shared" si="3"/>
        <v>AE8B3C</v>
      </c>
      <c r="C39" s="64">
        <f t="shared" si="4"/>
        <v>16</v>
      </c>
      <c r="D39" s="14" t="s">
        <v>1804</v>
      </c>
    </row>
    <row r="40">
      <c r="A40" s="169" t="s">
        <v>1805</v>
      </c>
      <c r="B40" t="str">
        <f t="shared" si="3"/>
        <v>AE8B4C</v>
      </c>
      <c r="C40" s="64">
        <f t="shared" si="4"/>
        <v>16</v>
      </c>
      <c r="D40" s="14" t="s">
        <v>1806</v>
      </c>
    </row>
    <row r="41">
      <c r="A41" s="169" t="s">
        <v>1807</v>
      </c>
      <c r="B41" t="str">
        <f t="shared" si="3"/>
        <v>AE8B5C</v>
      </c>
      <c r="C41" s="64">
        <f t="shared" si="4"/>
        <v>16</v>
      </c>
      <c r="D41" s="14" t="s">
        <v>1808</v>
      </c>
    </row>
    <row r="42">
      <c r="A42" s="169" t="s">
        <v>1809</v>
      </c>
      <c r="B42" t="str">
        <f t="shared" si="3"/>
        <v>AE8B6C</v>
      </c>
      <c r="C42" s="64">
        <f t="shared" si="4"/>
        <v>16</v>
      </c>
      <c r="D42" s="14" t="s">
        <v>1810</v>
      </c>
    </row>
    <row r="43">
      <c r="A43" s="169" t="s">
        <v>1811</v>
      </c>
      <c r="B43" t="str">
        <f t="shared" si="3"/>
        <v>AE8B7C</v>
      </c>
      <c r="C43" s="64">
        <f t="shared" si="4"/>
        <v>16</v>
      </c>
      <c r="D43" s="14" t="s">
        <v>1812</v>
      </c>
    </row>
    <row r="44">
      <c r="A44" s="169" t="s">
        <v>1813</v>
      </c>
      <c r="B44" t="str">
        <f t="shared" si="3"/>
        <v>AE8B8C</v>
      </c>
      <c r="C44" s="64">
        <f t="shared" si="4"/>
        <v>16</v>
      </c>
      <c r="D44" s="14" t="s">
        <v>1814</v>
      </c>
    </row>
    <row r="45">
      <c r="A45" s="169" t="s">
        <v>1815</v>
      </c>
      <c r="B45" t="str">
        <f t="shared" si="3"/>
        <v>AE8B9C</v>
      </c>
      <c r="C45" s="64">
        <f t="shared" si="4"/>
        <v>16</v>
      </c>
      <c r="D45" s="14" t="s">
        <v>1816</v>
      </c>
    </row>
    <row r="46">
      <c r="A46" s="169" t="s">
        <v>1817</v>
      </c>
      <c r="B46" t="str">
        <f t="shared" si="3"/>
        <v>AE8BAC</v>
      </c>
      <c r="C46" s="64">
        <f t="shared" si="4"/>
        <v>16</v>
      </c>
      <c r="D46" s="14" t="s">
        <v>1818</v>
      </c>
    </row>
    <row r="47">
      <c r="A47" s="169" t="s">
        <v>1819</v>
      </c>
      <c r="B47" t="str">
        <f t="shared" si="3"/>
        <v>AE8BBC</v>
      </c>
      <c r="C47" s="64">
        <f t="shared" si="4"/>
        <v>16</v>
      </c>
      <c r="D47" s="14" t="s">
        <v>1820</v>
      </c>
    </row>
    <row r="48">
      <c r="A48" s="169" t="s">
        <v>1821</v>
      </c>
      <c r="B48" t="str">
        <f t="shared" si="3"/>
        <v>AE8BCC</v>
      </c>
      <c r="C48" s="64">
        <f t="shared" si="4"/>
        <v>16</v>
      </c>
      <c r="D48" s="14" t="s">
        <v>1822</v>
      </c>
    </row>
    <row r="49">
      <c r="A49" s="169" t="s">
        <v>1823</v>
      </c>
      <c r="B49" t="str">
        <f t="shared" si="3"/>
        <v>AE8BDC</v>
      </c>
      <c r="C49" s="64">
        <f t="shared" si="4"/>
        <v>16</v>
      </c>
      <c r="D49" s="14" t="s">
        <v>1824</v>
      </c>
    </row>
    <row r="50">
      <c r="A50" s="169" t="s">
        <v>1825</v>
      </c>
      <c r="B50" t="str">
        <f t="shared" si="3"/>
        <v>AE8BEC</v>
      </c>
      <c r="C50" s="64">
        <f t="shared" si="4"/>
        <v>16</v>
      </c>
      <c r="D50" s="14" t="s">
        <v>1826</v>
      </c>
    </row>
    <row r="51">
      <c r="A51" s="169" t="s">
        <v>1827</v>
      </c>
      <c r="B51" t="str">
        <f t="shared" si="3"/>
        <v>AE8BFC</v>
      </c>
      <c r="C51" s="64">
        <f t="shared" si="4"/>
        <v>16</v>
      </c>
      <c r="D51" s="14" t="s">
        <v>1828</v>
      </c>
    </row>
    <row r="52">
      <c r="A52" s="169" t="s">
        <v>1829</v>
      </c>
      <c r="B52" t="str">
        <f t="shared" si="3"/>
        <v>AE8C0C</v>
      </c>
      <c r="C52" s="64">
        <f t="shared" si="4"/>
        <v>16</v>
      </c>
      <c r="D52" s="14" t="s">
        <v>1830</v>
      </c>
    </row>
    <row r="53">
      <c r="A53" s="169" t="s">
        <v>1831</v>
      </c>
      <c r="B53" t="str">
        <f t="shared" si="3"/>
        <v>AE8C1C</v>
      </c>
      <c r="C53" s="64">
        <f t="shared" si="4"/>
        <v>16</v>
      </c>
      <c r="D53" s="14" t="s">
        <v>1832</v>
      </c>
    </row>
    <row r="54">
      <c r="A54" s="169" t="s">
        <v>1833</v>
      </c>
      <c r="B54" t="str">
        <f t="shared" si="3"/>
        <v>AE8C2C</v>
      </c>
      <c r="C54" s="64">
        <v>16.0</v>
      </c>
      <c r="D54" s="14" t="s">
        <v>1834</v>
      </c>
    </row>
    <row r="55">
      <c r="A55" s="168"/>
      <c r="C55" s="47"/>
    </row>
    <row r="56">
      <c r="A56" s="168"/>
      <c r="C56" s="47"/>
    </row>
    <row r="57">
      <c r="A57" s="168"/>
      <c r="C57" s="47"/>
    </row>
    <row r="58">
      <c r="A58" s="169"/>
      <c r="C58" s="47"/>
    </row>
    <row r="59">
      <c r="A59" s="169"/>
      <c r="C59" s="47"/>
    </row>
    <row r="60">
      <c r="A60" s="169"/>
      <c r="C60" s="47"/>
    </row>
    <row r="61">
      <c r="A61" s="168"/>
      <c r="C61" s="47"/>
    </row>
    <row r="62">
      <c r="A62" s="168"/>
      <c r="C62" s="47"/>
    </row>
    <row r="63">
      <c r="A63" s="168"/>
      <c r="C63" s="47"/>
    </row>
    <row r="64">
      <c r="A64" s="168"/>
      <c r="C64" s="47"/>
    </row>
    <row r="65">
      <c r="A65" s="168"/>
      <c r="C65" s="47"/>
    </row>
    <row r="66">
      <c r="A66" s="168"/>
      <c r="C66" s="47"/>
    </row>
    <row r="67">
      <c r="A67" s="168"/>
      <c r="C67" s="47"/>
    </row>
    <row r="68">
      <c r="A68" s="168"/>
      <c r="C68" s="47"/>
    </row>
    <row r="69">
      <c r="A69" s="168"/>
      <c r="C69" s="47"/>
    </row>
    <row r="70">
      <c r="A70" s="168"/>
      <c r="C70" s="47"/>
    </row>
    <row r="71">
      <c r="A71" s="168"/>
      <c r="C71" s="47"/>
    </row>
    <row r="72">
      <c r="A72" s="168"/>
      <c r="C72" s="47"/>
    </row>
    <row r="73">
      <c r="A73" s="168"/>
      <c r="C73" s="47"/>
    </row>
    <row r="74">
      <c r="A74" s="168"/>
      <c r="C74" s="47"/>
    </row>
    <row r="75">
      <c r="A75" s="168"/>
      <c r="C75" s="47"/>
    </row>
    <row r="76">
      <c r="A76" s="168"/>
      <c r="C76" s="47"/>
    </row>
    <row r="77">
      <c r="A77" s="168"/>
      <c r="C77" s="47"/>
    </row>
    <row r="78">
      <c r="A78" s="168"/>
      <c r="C78" s="47"/>
    </row>
    <row r="79">
      <c r="A79" s="168"/>
      <c r="C79" s="47"/>
    </row>
    <row r="80">
      <c r="A80" s="168"/>
      <c r="C80" s="47"/>
    </row>
    <row r="81">
      <c r="A81" s="168"/>
      <c r="C81" s="47"/>
    </row>
    <row r="82">
      <c r="A82" s="168"/>
      <c r="C82" s="47"/>
    </row>
    <row r="83">
      <c r="A83" s="168"/>
      <c r="C83" s="47"/>
    </row>
    <row r="84">
      <c r="A84" s="168"/>
      <c r="C84" s="47"/>
    </row>
    <row r="85">
      <c r="A85" s="168"/>
      <c r="C85" s="47"/>
    </row>
    <row r="86">
      <c r="A86" s="168"/>
      <c r="C86" s="47"/>
    </row>
    <row r="87">
      <c r="A87" s="168"/>
      <c r="C87" s="47"/>
    </row>
    <row r="88">
      <c r="A88" s="168"/>
      <c r="C88" s="47"/>
    </row>
    <row r="89">
      <c r="A89" s="168"/>
      <c r="C89" s="47"/>
    </row>
    <row r="90">
      <c r="A90" s="168"/>
      <c r="C90" s="47"/>
    </row>
    <row r="91">
      <c r="A91" s="168"/>
      <c r="C91" s="47"/>
    </row>
    <row r="92">
      <c r="A92" s="168"/>
      <c r="C92" s="47"/>
    </row>
    <row r="93">
      <c r="A93" s="168"/>
      <c r="C93" s="47"/>
    </row>
    <row r="94">
      <c r="A94" s="168"/>
      <c r="C94" s="47"/>
    </row>
    <row r="95">
      <c r="A95" s="168"/>
      <c r="C95" s="47"/>
    </row>
    <row r="96">
      <c r="A96" s="168"/>
      <c r="C96" s="47"/>
    </row>
    <row r="97">
      <c r="A97" s="168"/>
      <c r="C97" s="47"/>
    </row>
    <row r="98">
      <c r="A98" s="168"/>
      <c r="C98" s="47"/>
    </row>
    <row r="99">
      <c r="A99" s="168"/>
      <c r="C99" s="47"/>
    </row>
    <row r="100">
      <c r="A100" s="168"/>
      <c r="C100" s="47"/>
    </row>
    <row r="101">
      <c r="A101" s="168"/>
      <c r="C101" s="47"/>
    </row>
    <row r="102">
      <c r="A102" s="168"/>
      <c r="C102" s="47"/>
    </row>
    <row r="103">
      <c r="A103" s="168"/>
      <c r="C103" s="47"/>
    </row>
    <row r="104">
      <c r="A104" s="168"/>
      <c r="C104" s="47"/>
    </row>
    <row r="105">
      <c r="A105" s="168"/>
      <c r="C105" s="47"/>
    </row>
    <row r="106">
      <c r="A106" s="168"/>
      <c r="C106" s="47"/>
    </row>
    <row r="107">
      <c r="A107" s="168"/>
      <c r="C107" s="47"/>
    </row>
    <row r="108">
      <c r="A108" s="168"/>
      <c r="C108" s="47"/>
    </row>
    <row r="109">
      <c r="A109" s="168"/>
      <c r="C109" s="47"/>
    </row>
    <row r="110">
      <c r="A110" s="168"/>
      <c r="C110" s="47"/>
    </row>
    <row r="111">
      <c r="A111" s="168"/>
      <c r="C111" s="47"/>
    </row>
    <row r="112">
      <c r="A112" s="168"/>
      <c r="C112" s="47"/>
    </row>
    <row r="113">
      <c r="A113" s="168"/>
      <c r="C113" s="47"/>
    </row>
    <row r="114">
      <c r="A114" s="168"/>
      <c r="C114" s="47"/>
    </row>
    <row r="115">
      <c r="A115" s="168"/>
      <c r="C115" s="47"/>
    </row>
    <row r="116">
      <c r="A116" s="168"/>
      <c r="C116" s="47"/>
    </row>
    <row r="117">
      <c r="A117" s="168"/>
      <c r="C117" s="47"/>
    </row>
    <row r="118">
      <c r="A118" s="168"/>
      <c r="C118" s="47"/>
    </row>
    <row r="119">
      <c r="A119" s="168"/>
      <c r="C119" s="47"/>
    </row>
    <row r="120">
      <c r="A120" s="168"/>
      <c r="C120" s="47"/>
    </row>
    <row r="121">
      <c r="A121" s="168"/>
      <c r="C121" s="47"/>
    </row>
    <row r="122">
      <c r="A122" s="168"/>
      <c r="C122" s="47"/>
    </row>
    <row r="123">
      <c r="A123" s="168"/>
      <c r="C123" s="47"/>
    </row>
    <row r="124">
      <c r="A124" s="168"/>
      <c r="C124" s="47"/>
    </row>
    <row r="125">
      <c r="A125" s="168"/>
      <c r="C125" s="47"/>
    </row>
    <row r="126">
      <c r="A126" s="168"/>
      <c r="C126" s="47"/>
    </row>
    <row r="127">
      <c r="A127" s="168"/>
      <c r="C127" s="47"/>
    </row>
    <row r="128">
      <c r="A128" s="168"/>
      <c r="C128" s="47"/>
    </row>
    <row r="129">
      <c r="A129" s="168"/>
      <c r="C129" s="47"/>
    </row>
    <row r="130">
      <c r="A130" s="168"/>
      <c r="C130" s="47"/>
    </row>
    <row r="131">
      <c r="A131" s="168"/>
      <c r="C131" s="47"/>
    </row>
    <row r="132">
      <c r="A132" s="168"/>
      <c r="C132" s="47"/>
    </row>
    <row r="133">
      <c r="A133" s="168"/>
      <c r="C133" s="47"/>
    </row>
    <row r="134">
      <c r="A134" s="168"/>
      <c r="C134" s="47"/>
    </row>
    <row r="135">
      <c r="A135" s="168"/>
      <c r="C135" s="47"/>
    </row>
    <row r="136">
      <c r="A136" s="168"/>
      <c r="C136" s="47"/>
    </row>
    <row r="137">
      <c r="A137" s="168"/>
      <c r="C137" s="47"/>
    </row>
    <row r="138">
      <c r="A138" s="168"/>
      <c r="C138" s="47"/>
    </row>
    <row r="139">
      <c r="A139" s="168"/>
      <c r="C139" s="47"/>
    </row>
    <row r="140">
      <c r="A140" s="168"/>
      <c r="C140" s="47"/>
    </row>
    <row r="141">
      <c r="A141" s="168"/>
      <c r="C141" s="47"/>
    </row>
    <row r="142">
      <c r="A142" s="168"/>
      <c r="C142" s="47"/>
    </row>
    <row r="143">
      <c r="A143" s="168"/>
      <c r="C143" s="47"/>
    </row>
    <row r="144">
      <c r="A144" s="168"/>
      <c r="C144" s="47"/>
    </row>
    <row r="145">
      <c r="A145" s="168"/>
      <c r="C145" s="47"/>
    </row>
    <row r="146">
      <c r="A146" s="168"/>
      <c r="C146" s="47"/>
    </row>
    <row r="147">
      <c r="A147" s="168"/>
      <c r="C147" s="47"/>
    </row>
    <row r="148">
      <c r="A148" s="168"/>
      <c r="C148" s="47"/>
    </row>
    <row r="149">
      <c r="A149" s="168"/>
      <c r="C149" s="47"/>
    </row>
    <row r="150">
      <c r="A150" s="168"/>
      <c r="C150" s="47"/>
    </row>
    <row r="151">
      <c r="A151" s="168"/>
      <c r="C151" s="47"/>
    </row>
    <row r="152">
      <c r="A152" s="168"/>
      <c r="C152" s="47"/>
    </row>
    <row r="153">
      <c r="A153" s="168"/>
      <c r="C153" s="47"/>
    </row>
    <row r="154">
      <c r="A154" s="168"/>
      <c r="C154" s="47"/>
    </row>
    <row r="155">
      <c r="A155" s="168"/>
      <c r="C155" s="47"/>
    </row>
    <row r="156">
      <c r="A156" s="168"/>
      <c r="C156" s="47"/>
    </row>
    <row r="157">
      <c r="A157" s="168"/>
      <c r="C157" s="47"/>
    </row>
    <row r="158">
      <c r="A158" s="168"/>
      <c r="C158" s="47"/>
    </row>
    <row r="159">
      <c r="A159" s="168"/>
      <c r="C159" s="47"/>
    </row>
    <row r="160">
      <c r="A160" s="168"/>
      <c r="C160" s="47"/>
    </row>
    <row r="161">
      <c r="A161" s="168"/>
      <c r="C161" s="47"/>
    </row>
    <row r="162">
      <c r="A162" s="168"/>
      <c r="C162" s="47"/>
    </row>
    <row r="163">
      <c r="A163" s="168"/>
      <c r="C163" s="47"/>
    </row>
    <row r="164">
      <c r="A164" s="168"/>
      <c r="C164" s="47"/>
    </row>
    <row r="165">
      <c r="A165" s="168"/>
      <c r="C165" s="47"/>
    </row>
    <row r="166">
      <c r="A166" s="168"/>
      <c r="C166" s="47"/>
    </row>
    <row r="167">
      <c r="A167" s="168"/>
      <c r="C167" s="47"/>
    </row>
    <row r="168">
      <c r="A168" s="168"/>
      <c r="C168" s="47"/>
    </row>
    <row r="169">
      <c r="A169" s="168"/>
      <c r="C169" s="47"/>
    </row>
    <row r="170">
      <c r="A170" s="168"/>
      <c r="C170" s="47"/>
    </row>
    <row r="171">
      <c r="A171" s="168"/>
      <c r="C171" s="47"/>
    </row>
    <row r="172">
      <c r="A172" s="168"/>
      <c r="C172" s="47"/>
    </row>
    <row r="173">
      <c r="A173" s="168"/>
      <c r="C173" s="47"/>
    </row>
    <row r="174">
      <c r="A174" s="168"/>
      <c r="C174" s="47"/>
    </row>
    <row r="175">
      <c r="A175" s="168"/>
      <c r="C175" s="47"/>
    </row>
    <row r="176">
      <c r="A176" s="168"/>
      <c r="C176" s="47"/>
    </row>
    <row r="177">
      <c r="A177" s="168"/>
      <c r="C177" s="47"/>
    </row>
    <row r="178">
      <c r="A178" s="168"/>
      <c r="C178" s="47"/>
    </row>
    <row r="179">
      <c r="A179" s="168"/>
      <c r="C179" s="47"/>
    </row>
    <row r="180">
      <c r="A180" s="168"/>
      <c r="C180" s="47"/>
    </row>
    <row r="181">
      <c r="A181" s="168"/>
      <c r="C181" s="47"/>
    </row>
    <row r="182">
      <c r="A182" s="168"/>
      <c r="C182" s="47"/>
    </row>
    <row r="183">
      <c r="A183" s="168"/>
      <c r="C183" s="47"/>
    </row>
    <row r="184">
      <c r="A184" s="168"/>
      <c r="C184" s="47"/>
    </row>
    <row r="185">
      <c r="A185" s="168"/>
      <c r="C185" s="47"/>
    </row>
    <row r="186">
      <c r="A186" s="168"/>
      <c r="C186" s="47"/>
    </row>
    <row r="187">
      <c r="A187" s="168"/>
      <c r="C187" s="47"/>
    </row>
    <row r="188">
      <c r="A188" s="168"/>
      <c r="C188" s="47"/>
    </row>
    <row r="189">
      <c r="A189" s="168"/>
      <c r="C189" s="47"/>
    </row>
    <row r="190">
      <c r="A190" s="168"/>
      <c r="C190" s="47"/>
    </row>
    <row r="191">
      <c r="A191" s="168"/>
      <c r="C191" s="47"/>
    </row>
    <row r="192">
      <c r="A192" s="168"/>
      <c r="C192" s="47"/>
    </row>
    <row r="193">
      <c r="A193" s="168"/>
      <c r="C193" s="47"/>
    </row>
    <row r="194">
      <c r="A194" s="168"/>
      <c r="C194" s="47"/>
    </row>
    <row r="195">
      <c r="A195" s="168"/>
      <c r="C195" s="47"/>
    </row>
    <row r="196">
      <c r="A196" s="168"/>
      <c r="C196" s="47"/>
    </row>
    <row r="197">
      <c r="A197" s="168"/>
      <c r="C197" s="47"/>
    </row>
    <row r="198">
      <c r="A198" s="168"/>
      <c r="C198" s="47"/>
    </row>
    <row r="199">
      <c r="A199" s="168"/>
      <c r="C199" s="47"/>
    </row>
    <row r="200">
      <c r="A200" s="168"/>
      <c r="C200" s="47"/>
    </row>
    <row r="201">
      <c r="A201" s="168"/>
      <c r="C201" s="47"/>
    </row>
    <row r="202">
      <c r="A202" s="168"/>
      <c r="C202" s="47"/>
    </row>
    <row r="203">
      <c r="A203" s="168"/>
      <c r="C203" s="47"/>
    </row>
    <row r="204">
      <c r="A204" s="168"/>
      <c r="C204" s="47"/>
    </row>
    <row r="205">
      <c r="A205" s="168"/>
      <c r="C205" s="47"/>
    </row>
    <row r="206">
      <c r="A206" s="168"/>
      <c r="C206" s="47"/>
    </row>
    <row r="207">
      <c r="A207" s="168"/>
      <c r="C207" s="47"/>
    </row>
    <row r="208">
      <c r="A208" s="168"/>
      <c r="C208" s="47"/>
    </row>
    <row r="209">
      <c r="A209" s="168"/>
      <c r="C209" s="47"/>
    </row>
    <row r="210">
      <c r="A210" s="168"/>
      <c r="C210" s="47"/>
    </row>
    <row r="211">
      <c r="A211" s="168"/>
      <c r="C211" s="47"/>
    </row>
    <row r="212">
      <c r="A212" s="168"/>
      <c r="C212" s="47"/>
    </row>
    <row r="213">
      <c r="A213" s="168"/>
      <c r="C213" s="47"/>
    </row>
    <row r="214">
      <c r="A214" s="168"/>
      <c r="C214" s="47"/>
    </row>
    <row r="215">
      <c r="A215" s="168"/>
      <c r="C215" s="47"/>
    </row>
    <row r="216">
      <c r="A216" s="168"/>
      <c r="C216" s="47"/>
    </row>
    <row r="217">
      <c r="A217" s="168"/>
      <c r="C217" s="47"/>
    </row>
    <row r="218">
      <c r="A218" s="168"/>
      <c r="C218" s="47"/>
    </row>
    <row r="219">
      <c r="A219" s="168"/>
      <c r="C219" s="47"/>
    </row>
    <row r="220">
      <c r="A220" s="168"/>
      <c r="C220" s="47"/>
    </row>
    <row r="221">
      <c r="A221" s="168"/>
      <c r="C221" s="47"/>
    </row>
    <row r="222">
      <c r="A222" s="168"/>
      <c r="C222" s="47"/>
    </row>
    <row r="223">
      <c r="A223" s="168"/>
      <c r="C223" s="47"/>
    </row>
    <row r="224">
      <c r="A224" s="168"/>
      <c r="C224" s="47"/>
    </row>
    <row r="225">
      <c r="A225" s="168"/>
      <c r="C225" s="47"/>
    </row>
    <row r="226">
      <c r="A226" s="168"/>
      <c r="C226" s="47"/>
    </row>
    <row r="227">
      <c r="A227" s="168"/>
      <c r="C227" s="47"/>
    </row>
    <row r="228">
      <c r="A228" s="168"/>
      <c r="C228" s="47"/>
    </row>
    <row r="229">
      <c r="A229" s="168"/>
      <c r="C229" s="47"/>
    </row>
    <row r="230">
      <c r="A230" s="168"/>
      <c r="C230" s="47"/>
    </row>
    <row r="231">
      <c r="A231" s="168"/>
      <c r="C231" s="47"/>
    </row>
    <row r="232">
      <c r="A232" s="168"/>
      <c r="C232" s="47"/>
    </row>
    <row r="233">
      <c r="A233" s="168"/>
      <c r="C233" s="47"/>
    </row>
    <row r="234">
      <c r="A234" s="168"/>
      <c r="C234" s="47"/>
    </row>
    <row r="235">
      <c r="A235" s="168"/>
      <c r="C235" s="47"/>
    </row>
    <row r="236">
      <c r="A236" s="168"/>
      <c r="C236" s="47"/>
    </row>
    <row r="237">
      <c r="A237" s="168"/>
      <c r="C237" s="47"/>
    </row>
    <row r="238">
      <c r="A238" s="168"/>
      <c r="C238" s="47"/>
    </row>
    <row r="239">
      <c r="A239" s="168"/>
      <c r="C239" s="47"/>
    </row>
    <row r="240">
      <c r="A240" s="168"/>
      <c r="C240" s="47"/>
    </row>
    <row r="241">
      <c r="A241" s="168"/>
      <c r="C241" s="47"/>
    </row>
    <row r="242">
      <c r="A242" s="168"/>
      <c r="C242" s="47"/>
    </row>
    <row r="243">
      <c r="A243" s="168"/>
      <c r="C243" s="47"/>
    </row>
    <row r="244">
      <c r="A244" s="168"/>
      <c r="C244" s="47"/>
    </row>
    <row r="245">
      <c r="A245" s="168"/>
      <c r="C245" s="47"/>
    </row>
    <row r="246">
      <c r="A246" s="168"/>
      <c r="C246" s="47"/>
    </row>
    <row r="247">
      <c r="A247" s="168"/>
      <c r="C247" s="47"/>
    </row>
    <row r="248">
      <c r="A248" s="168"/>
      <c r="C248" s="47"/>
    </row>
    <row r="249">
      <c r="A249" s="168"/>
      <c r="C249" s="47"/>
    </row>
    <row r="250">
      <c r="A250" s="168"/>
      <c r="C250" s="47"/>
    </row>
    <row r="251">
      <c r="A251" s="168"/>
      <c r="C251" s="47"/>
    </row>
    <row r="252">
      <c r="A252" s="168"/>
      <c r="C252" s="47"/>
    </row>
    <row r="253">
      <c r="A253" s="168"/>
      <c r="C253" s="47"/>
    </row>
    <row r="254">
      <c r="A254" s="168"/>
      <c r="C254" s="47"/>
    </row>
    <row r="255">
      <c r="A255" s="168"/>
      <c r="C255" s="47"/>
    </row>
    <row r="256">
      <c r="A256" s="168"/>
      <c r="C256" s="47"/>
    </row>
    <row r="257">
      <c r="A257" s="168"/>
      <c r="C257" s="47"/>
    </row>
    <row r="258">
      <c r="A258" s="168"/>
      <c r="C258" s="47"/>
    </row>
    <row r="259">
      <c r="A259" s="168"/>
      <c r="C259" s="47"/>
    </row>
    <row r="260">
      <c r="A260" s="168"/>
      <c r="C260" s="47"/>
    </row>
    <row r="261">
      <c r="A261" s="168"/>
      <c r="C261" s="47"/>
    </row>
    <row r="262">
      <c r="A262" s="168"/>
      <c r="C262" s="47"/>
    </row>
    <row r="263">
      <c r="A263" s="168"/>
      <c r="C263" s="47"/>
    </row>
    <row r="264">
      <c r="A264" s="168"/>
      <c r="C264" s="47"/>
    </row>
    <row r="265">
      <c r="A265" s="168"/>
      <c r="C265" s="47"/>
    </row>
    <row r="266">
      <c r="A266" s="168"/>
      <c r="C266" s="47"/>
    </row>
    <row r="267">
      <c r="A267" s="168"/>
      <c r="C267" s="47"/>
    </row>
    <row r="268">
      <c r="A268" s="168"/>
      <c r="C268" s="47"/>
    </row>
    <row r="269">
      <c r="A269" s="168"/>
      <c r="C269" s="47"/>
    </row>
    <row r="270">
      <c r="A270" s="168"/>
      <c r="C270" s="47"/>
    </row>
    <row r="271">
      <c r="A271" s="168"/>
      <c r="C271" s="47"/>
    </row>
    <row r="272">
      <c r="A272" s="168"/>
      <c r="C272" s="47"/>
    </row>
    <row r="273">
      <c r="A273" s="168"/>
      <c r="C273" s="47"/>
    </row>
    <row r="274">
      <c r="A274" s="168"/>
      <c r="C274" s="47"/>
    </row>
    <row r="275">
      <c r="A275" s="168"/>
      <c r="C275" s="47"/>
    </row>
    <row r="276">
      <c r="A276" s="168"/>
      <c r="C276" s="47"/>
    </row>
    <row r="277">
      <c r="A277" s="168"/>
      <c r="C277" s="47"/>
    </row>
    <row r="278">
      <c r="A278" s="168"/>
      <c r="C278" s="47"/>
    </row>
    <row r="279">
      <c r="A279" s="168"/>
      <c r="C279" s="47"/>
    </row>
    <row r="280">
      <c r="A280" s="168"/>
      <c r="C280" s="47"/>
    </row>
    <row r="281">
      <c r="A281" s="168"/>
      <c r="C281" s="47"/>
    </row>
    <row r="282">
      <c r="A282" s="168"/>
      <c r="C282" s="47"/>
    </row>
    <row r="283">
      <c r="A283" s="168"/>
      <c r="C283" s="47"/>
    </row>
    <row r="284">
      <c r="A284" s="168"/>
      <c r="C284" s="47"/>
    </row>
    <row r="285">
      <c r="A285" s="168"/>
      <c r="C285" s="47"/>
    </row>
    <row r="286">
      <c r="A286" s="168"/>
      <c r="C286" s="47"/>
    </row>
    <row r="287">
      <c r="A287" s="168"/>
      <c r="C287" s="47"/>
    </row>
    <row r="288">
      <c r="A288" s="168"/>
      <c r="C288" s="47"/>
    </row>
    <row r="289">
      <c r="A289" s="168"/>
      <c r="C289" s="47"/>
    </row>
    <row r="290">
      <c r="A290" s="168"/>
      <c r="C290" s="47"/>
    </row>
    <row r="291">
      <c r="A291" s="168"/>
      <c r="C291" s="47"/>
    </row>
    <row r="292">
      <c r="A292" s="168"/>
      <c r="C292" s="47"/>
    </row>
    <row r="293">
      <c r="A293" s="168"/>
      <c r="C293" s="47"/>
    </row>
    <row r="294">
      <c r="A294" s="168"/>
      <c r="C294" s="47"/>
    </row>
    <row r="295">
      <c r="A295" s="168"/>
      <c r="C295" s="47"/>
    </row>
    <row r="296">
      <c r="A296" s="168"/>
      <c r="C296" s="47"/>
    </row>
    <row r="297">
      <c r="A297" s="168"/>
      <c r="C297" s="47"/>
    </row>
    <row r="298">
      <c r="A298" s="168"/>
      <c r="C298" s="47"/>
    </row>
    <row r="299">
      <c r="A299" s="168"/>
      <c r="C299" s="47"/>
    </row>
    <row r="300">
      <c r="A300" s="168"/>
      <c r="C300" s="47"/>
    </row>
    <row r="301">
      <c r="A301" s="168"/>
      <c r="C301" s="47"/>
    </row>
    <row r="302">
      <c r="A302" s="168"/>
      <c r="C302" s="47"/>
    </row>
    <row r="303">
      <c r="A303" s="168"/>
      <c r="C303" s="47"/>
    </row>
    <row r="304">
      <c r="A304" s="168"/>
      <c r="C304" s="47"/>
    </row>
    <row r="305">
      <c r="A305" s="168"/>
      <c r="C305" s="47"/>
    </row>
    <row r="306">
      <c r="A306" s="168"/>
      <c r="C306" s="47"/>
    </row>
    <row r="307">
      <c r="A307" s="168"/>
      <c r="C307" s="47"/>
    </row>
    <row r="308">
      <c r="A308" s="168"/>
      <c r="C308" s="47"/>
    </row>
    <row r="309">
      <c r="A309" s="168"/>
      <c r="C309" s="47"/>
    </row>
    <row r="310">
      <c r="A310" s="168"/>
      <c r="C310" s="47"/>
    </row>
    <row r="311">
      <c r="A311" s="168"/>
      <c r="C311" s="47"/>
    </row>
    <row r="312">
      <c r="A312" s="168"/>
      <c r="C312" s="47"/>
    </row>
    <row r="313">
      <c r="A313" s="168"/>
      <c r="C313" s="47"/>
    </row>
    <row r="314">
      <c r="A314" s="168"/>
      <c r="C314" s="47"/>
    </row>
    <row r="315">
      <c r="A315" s="168"/>
      <c r="C315" s="47"/>
    </row>
    <row r="316">
      <c r="A316" s="168"/>
      <c r="C316" s="47"/>
    </row>
    <row r="317">
      <c r="A317" s="168"/>
      <c r="C317" s="47"/>
    </row>
    <row r="318">
      <c r="A318" s="168"/>
      <c r="C318" s="47"/>
    </row>
    <row r="319">
      <c r="A319" s="168"/>
      <c r="C319" s="47"/>
    </row>
    <row r="320">
      <c r="A320" s="168"/>
      <c r="C320" s="47"/>
    </row>
    <row r="321">
      <c r="A321" s="168"/>
      <c r="C321" s="47"/>
    </row>
    <row r="322">
      <c r="A322" s="168"/>
      <c r="C322" s="47"/>
    </row>
    <row r="323">
      <c r="A323" s="168"/>
      <c r="C323" s="47"/>
    </row>
    <row r="324">
      <c r="A324" s="168"/>
      <c r="C324" s="47"/>
    </row>
    <row r="325">
      <c r="A325" s="168"/>
      <c r="C325" s="47"/>
    </row>
    <row r="326">
      <c r="A326" s="168"/>
      <c r="C326" s="47"/>
    </row>
    <row r="327">
      <c r="A327" s="168"/>
      <c r="C327" s="47"/>
    </row>
    <row r="328">
      <c r="A328" s="168"/>
      <c r="C328" s="47"/>
    </row>
    <row r="329">
      <c r="A329" s="168"/>
      <c r="C329" s="47"/>
    </row>
    <row r="330">
      <c r="A330" s="168"/>
      <c r="C330" s="47"/>
    </row>
    <row r="331">
      <c r="A331" s="168"/>
      <c r="C331" s="47"/>
    </row>
    <row r="332">
      <c r="A332" s="168"/>
      <c r="C332" s="47"/>
    </row>
    <row r="333">
      <c r="A333" s="168"/>
      <c r="C333" s="47"/>
    </row>
    <row r="334">
      <c r="A334" s="168"/>
      <c r="C334" s="47"/>
    </row>
    <row r="335">
      <c r="A335" s="168"/>
      <c r="C335" s="47"/>
    </row>
    <row r="336">
      <c r="A336" s="168"/>
      <c r="C336" s="47"/>
    </row>
    <row r="337">
      <c r="A337" s="168"/>
      <c r="C337" s="47"/>
    </row>
    <row r="338">
      <c r="A338" s="168"/>
      <c r="C338" s="47"/>
    </row>
    <row r="339">
      <c r="A339" s="168"/>
      <c r="C339" s="47"/>
    </row>
    <row r="340">
      <c r="A340" s="168"/>
      <c r="C340" s="47"/>
    </row>
    <row r="341">
      <c r="A341" s="168"/>
      <c r="C341" s="47"/>
    </row>
    <row r="342">
      <c r="A342" s="168"/>
      <c r="C342" s="47"/>
    </row>
    <row r="343">
      <c r="A343" s="168"/>
      <c r="C343" s="47"/>
    </row>
    <row r="344">
      <c r="A344" s="168"/>
      <c r="C344" s="47"/>
    </row>
    <row r="345">
      <c r="A345" s="168"/>
      <c r="C345" s="47"/>
    </row>
    <row r="346">
      <c r="A346" s="168"/>
      <c r="C346" s="47"/>
    </row>
    <row r="347">
      <c r="A347" s="168"/>
      <c r="C347" s="47"/>
    </row>
    <row r="348">
      <c r="A348" s="168"/>
      <c r="C348" s="47"/>
    </row>
    <row r="349">
      <c r="A349" s="168"/>
      <c r="C349" s="47"/>
    </row>
    <row r="350">
      <c r="A350" s="168"/>
      <c r="C350" s="47"/>
    </row>
    <row r="351">
      <c r="A351" s="168"/>
      <c r="C351" s="47"/>
    </row>
    <row r="352">
      <c r="A352" s="168"/>
      <c r="C352" s="47"/>
    </row>
    <row r="353">
      <c r="A353" s="168"/>
      <c r="C353" s="47"/>
    </row>
    <row r="354">
      <c r="A354" s="168"/>
      <c r="C354" s="47"/>
    </row>
    <row r="355">
      <c r="A355" s="168"/>
      <c r="C355" s="47"/>
    </row>
    <row r="356">
      <c r="A356" s="168"/>
      <c r="C356" s="47"/>
    </row>
    <row r="357">
      <c r="A357" s="168"/>
      <c r="C357" s="47"/>
    </row>
    <row r="358">
      <c r="A358" s="168"/>
      <c r="C358" s="47"/>
    </row>
    <row r="359">
      <c r="A359" s="168"/>
      <c r="C359" s="47"/>
    </row>
    <row r="360">
      <c r="A360" s="168"/>
      <c r="C360" s="47"/>
    </row>
    <row r="361">
      <c r="A361" s="168"/>
      <c r="C361" s="47"/>
    </row>
    <row r="362">
      <c r="A362" s="168"/>
      <c r="C362" s="47"/>
    </row>
    <row r="363">
      <c r="A363" s="168"/>
      <c r="C363" s="47"/>
    </row>
    <row r="364">
      <c r="A364" s="168"/>
      <c r="C364" s="47"/>
    </row>
    <row r="365">
      <c r="A365" s="168"/>
      <c r="C365" s="47"/>
    </row>
    <row r="366">
      <c r="A366" s="168"/>
      <c r="C366" s="47"/>
    </row>
    <row r="367">
      <c r="A367" s="168"/>
      <c r="C367" s="47"/>
    </row>
    <row r="368">
      <c r="A368" s="168"/>
      <c r="C368" s="47"/>
    </row>
    <row r="369">
      <c r="A369" s="168"/>
      <c r="C369" s="47"/>
    </row>
    <row r="370">
      <c r="A370" s="168"/>
      <c r="C370" s="47"/>
    </row>
    <row r="371">
      <c r="A371" s="168"/>
      <c r="C371" s="47"/>
    </row>
    <row r="372">
      <c r="A372" s="168"/>
      <c r="C372" s="47"/>
    </row>
    <row r="373">
      <c r="A373" s="168"/>
      <c r="C373" s="47"/>
    </row>
    <row r="374">
      <c r="A374" s="168"/>
      <c r="C374" s="47"/>
    </row>
    <row r="375">
      <c r="A375" s="168"/>
      <c r="C375" s="47"/>
    </row>
    <row r="376">
      <c r="A376" s="168"/>
      <c r="C376" s="47"/>
    </row>
    <row r="377">
      <c r="A377" s="168"/>
      <c r="C377" s="47"/>
    </row>
    <row r="378">
      <c r="A378" s="168"/>
      <c r="C378" s="47"/>
    </row>
    <row r="379">
      <c r="A379" s="168"/>
      <c r="C379" s="47"/>
    </row>
    <row r="380">
      <c r="A380" s="168"/>
      <c r="C380" s="47"/>
    </row>
    <row r="381">
      <c r="A381" s="168"/>
      <c r="C381" s="47"/>
    </row>
    <row r="382">
      <c r="A382" s="168"/>
      <c r="C382" s="47"/>
    </row>
    <row r="383">
      <c r="A383" s="168"/>
      <c r="C383" s="47"/>
    </row>
    <row r="384">
      <c r="A384" s="168"/>
      <c r="C384" s="47"/>
    </row>
    <row r="385">
      <c r="A385" s="168"/>
      <c r="C385" s="47"/>
    </row>
    <row r="386">
      <c r="A386" s="168"/>
      <c r="C386" s="47"/>
    </row>
    <row r="387">
      <c r="A387" s="168"/>
      <c r="C387" s="47"/>
    </row>
    <row r="388">
      <c r="A388" s="168"/>
      <c r="C388" s="47"/>
    </row>
    <row r="389">
      <c r="A389" s="168"/>
      <c r="C389" s="47"/>
    </row>
    <row r="390">
      <c r="A390" s="168"/>
      <c r="C390" s="47"/>
    </row>
    <row r="391">
      <c r="A391" s="168"/>
      <c r="C391" s="47"/>
    </row>
    <row r="392">
      <c r="A392" s="168"/>
      <c r="C392" s="47"/>
    </row>
    <row r="393">
      <c r="A393" s="168"/>
      <c r="C393" s="47"/>
    </row>
    <row r="394">
      <c r="A394" s="168"/>
      <c r="C394" s="47"/>
    </row>
    <row r="395">
      <c r="A395" s="168"/>
      <c r="C395" s="47"/>
    </row>
    <row r="396">
      <c r="A396" s="168"/>
      <c r="C396" s="47"/>
    </row>
    <row r="397">
      <c r="A397" s="168"/>
      <c r="C397" s="47"/>
    </row>
    <row r="398">
      <c r="A398" s="168"/>
      <c r="C398" s="47"/>
    </row>
    <row r="399">
      <c r="A399" s="168"/>
      <c r="C399" s="47"/>
    </row>
    <row r="400">
      <c r="A400" s="168"/>
      <c r="C400" s="47"/>
    </row>
    <row r="401">
      <c r="A401" s="168"/>
      <c r="C401" s="47"/>
    </row>
    <row r="402">
      <c r="A402" s="168"/>
      <c r="C402" s="47"/>
    </row>
    <row r="403">
      <c r="A403" s="168"/>
      <c r="C403" s="47"/>
    </row>
    <row r="404">
      <c r="A404" s="168"/>
      <c r="C404" s="47"/>
    </row>
    <row r="405">
      <c r="A405" s="168"/>
      <c r="C405" s="47"/>
    </row>
    <row r="406">
      <c r="A406" s="168"/>
      <c r="C406" s="47"/>
    </row>
    <row r="407">
      <c r="A407" s="168"/>
      <c r="C407" s="47"/>
    </row>
    <row r="408">
      <c r="A408" s="168"/>
      <c r="C408" s="47"/>
    </row>
    <row r="409">
      <c r="A409" s="168"/>
      <c r="C409" s="47"/>
    </row>
    <row r="410">
      <c r="A410" s="168"/>
      <c r="C410" s="47"/>
    </row>
    <row r="411">
      <c r="A411" s="168"/>
      <c r="C411" s="47"/>
    </row>
    <row r="412">
      <c r="A412" s="168"/>
      <c r="C412" s="47"/>
    </row>
    <row r="413">
      <c r="A413" s="168"/>
      <c r="C413" s="47"/>
    </row>
    <row r="414">
      <c r="A414" s="168"/>
      <c r="C414" s="47"/>
    </row>
    <row r="415">
      <c r="A415" s="168"/>
      <c r="C415" s="47"/>
    </row>
    <row r="416">
      <c r="A416" s="168"/>
      <c r="C416" s="47"/>
    </row>
    <row r="417">
      <c r="A417" s="168"/>
      <c r="C417" s="47"/>
    </row>
    <row r="418">
      <c r="A418" s="168"/>
      <c r="C418" s="47"/>
    </row>
    <row r="419">
      <c r="A419" s="168"/>
      <c r="C419" s="47"/>
    </row>
    <row r="420">
      <c r="A420" s="168"/>
      <c r="C420" s="47"/>
    </row>
    <row r="421">
      <c r="A421" s="168"/>
      <c r="C421" s="47"/>
    </row>
    <row r="422">
      <c r="A422" s="168"/>
      <c r="C422" s="47"/>
    </row>
    <row r="423">
      <c r="A423" s="168"/>
      <c r="C423" s="47"/>
    </row>
    <row r="424">
      <c r="A424" s="168"/>
      <c r="C424" s="47"/>
    </row>
    <row r="425">
      <c r="A425" s="168"/>
      <c r="C425" s="47"/>
    </row>
    <row r="426">
      <c r="A426" s="168"/>
      <c r="C426" s="47"/>
    </row>
    <row r="427">
      <c r="A427" s="168"/>
      <c r="C427" s="47"/>
    </row>
    <row r="428">
      <c r="A428" s="168"/>
      <c r="C428" s="47"/>
    </row>
    <row r="429">
      <c r="A429" s="168"/>
      <c r="C429" s="47"/>
    </row>
    <row r="430">
      <c r="A430" s="168"/>
      <c r="C430" s="47"/>
    </row>
    <row r="431">
      <c r="A431" s="168"/>
      <c r="C431" s="47"/>
    </row>
    <row r="432">
      <c r="A432" s="168"/>
      <c r="C432" s="47"/>
    </row>
    <row r="433">
      <c r="A433" s="168"/>
      <c r="C433" s="47"/>
    </row>
    <row r="434">
      <c r="A434" s="168"/>
      <c r="C434" s="47"/>
    </row>
    <row r="435">
      <c r="A435" s="168"/>
      <c r="C435" s="47"/>
    </row>
    <row r="436">
      <c r="A436" s="168"/>
      <c r="C436" s="47"/>
    </row>
    <row r="437">
      <c r="A437" s="168"/>
      <c r="C437" s="47"/>
    </row>
    <row r="438">
      <c r="A438" s="168"/>
      <c r="C438" s="47"/>
    </row>
    <row r="439">
      <c r="A439" s="168"/>
      <c r="C439" s="47"/>
    </row>
    <row r="440">
      <c r="A440" s="168"/>
      <c r="C440" s="47"/>
    </row>
    <row r="441">
      <c r="A441" s="168"/>
      <c r="C441" s="47"/>
    </row>
    <row r="442">
      <c r="A442" s="168"/>
      <c r="C442" s="47"/>
    </row>
    <row r="443">
      <c r="A443" s="168"/>
      <c r="C443" s="47"/>
    </row>
    <row r="444">
      <c r="A444" s="168"/>
      <c r="C444" s="47"/>
    </row>
    <row r="445">
      <c r="A445" s="168"/>
      <c r="C445" s="47"/>
    </row>
    <row r="446">
      <c r="A446" s="168"/>
      <c r="C446" s="47"/>
    </row>
    <row r="447">
      <c r="A447" s="168"/>
      <c r="C447" s="47"/>
    </row>
    <row r="448">
      <c r="A448" s="168"/>
      <c r="C448" s="47"/>
    </row>
    <row r="449">
      <c r="A449" s="168"/>
      <c r="C449" s="47"/>
    </row>
    <row r="450">
      <c r="A450" s="168"/>
      <c r="C450" s="47"/>
    </row>
    <row r="451">
      <c r="A451" s="168"/>
      <c r="C451" s="47"/>
    </row>
    <row r="452">
      <c r="A452" s="168"/>
      <c r="C452" s="47"/>
    </row>
    <row r="453">
      <c r="A453" s="168"/>
      <c r="C453" s="47"/>
    </row>
    <row r="454">
      <c r="A454" s="168"/>
      <c r="C454" s="47"/>
    </row>
    <row r="455">
      <c r="A455" s="168"/>
      <c r="C455" s="47"/>
    </row>
    <row r="456">
      <c r="A456" s="168"/>
      <c r="C456" s="47"/>
    </row>
    <row r="457">
      <c r="A457" s="168"/>
      <c r="C457" s="47"/>
    </row>
    <row r="458">
      <c r="A458" s="168"/>
      <c r="C458" s="47"/>
    </row>
    <row r="459">
      <c r="A459" s="168"/>
      <c r="C459" s="47"/>
    </row>
    <row r="460">
      <c r="A460" s="168"/>
      <c r="C460" s="47"/>
    </row>
    <row r="461">
      <c r="A461" s="168"/>
      <c r="C461" s="47"/>
    </row>
    <row r="462">
      <c r="A462" s="168"/>
      <c r="C462" s="47"/>
    </row>
    <row r="463">
      <c r="A463" s="168"/>
      <c r="C463" s="47"/>
    </row>
    <row r="464">
      <c r="A464" s="168"/>
      <c r="C464" s="47"/>
    </row>
    <row r="465">
      <c r="A465" s="168"/>
      <c r="C465" s="47"/>
    </row>
    <row r="466">
      <c r="A466" s="168"/>
      <c r="C466" s="47"/>
    </row>
    <row r="467">
      <c r="A467" s="168"/>
      <c r="C467" s="47"/>
    </row>
    <row r="468">
      <c r="A468" s="168"/>
      <c r="C468" s="47"/>
    </row>
    <row r="469">
      <c r="A469" s="168"/>
      <c r="C469" s="47"/>
    </row>
    <row r="470">
      <c r="A470" s="168"/>
      <c r="C470" s="47"/>
    </row>
    <row r="471">
      <c r="A471" s="168"/>
      <c r="C471" s="47"/>
    </row>
    <row r="472">
      <c r="A472" s="168"/>
      <c r="C472" s="47"/>
    </row>
    <row r="473">
      <c r="A473" s="168"/>
      <c r="C473" s="47"/>
    </row>
    <row r="474">
      <c r="A474" s="168"/>
      <c r="C474" s="47"/>
    </row>
    <row r="475">
      <c r="A475" s="168"/>
      <c r="C475" s="47"/>
    </row>
    <row r="476">
      <c r="A476" s="168"/>
      <c r="C476" s="47"/>
    </row>
    <row r="477">
      <c r="A477" s="168"/>
      <c r="C477" s="47"/>
    </row>
    <row r="478">
      <c r="A478" s="168"/>
      <c r="C478" s="47"/>
    </row>
    <row r="479">
      <c r="A479" s="168"/>
      <c r="C479" s="47"/>
    </row>
    <row r="480">
      <c r="A480" s="168"/>
      <c r="C480" s="47"/>
    </row>
    <row r="481">
      <c r="A481" s="168"/>
      <c r="C481" s="47"/>
    </row>
    <row r="482">
      <c r="A482" s="168"/>
      <c r="C482" s="47"/>
    </row>
    <row r="483">
      <c r="A483" s="168"/>
      <c r="C483" s="47"/>
    </row>
    <row r="484">
      <c r="A484" s="168"/>
      <c r="C484" s="47"/>
    </row>
    <row r="485">
      <c r="A485" s="168"/>
      <c r="C485" s="47"/>
    </row>
    <row r="486">
      <c r="A486" s="168"/>
      <c r="C486" s="47"/>
    </row>
    <row r="487">
      <c r="A487" s="168"/>
      <c r="C487" s="47"/>
    </row>
    <row r="488">
      <c r="A488" s="168"/>
      <c r="C488" s="47"/>
    </row>
    <row r="489">
      <c r="A489" s="168"/>
      <c r="C489" s="47"/>
    </row>
    <row r="490">
      <c r="A490" s="168"/>
      <c r="C490" s="47"/>
    </row>
    <row r="491">
      <c r="A491" s="168"/>
      <c r="C491" s="47"/>
    </row>
    <row r="492">
      <c r="A492" s="168"/>
      <c r="C492" s="47"/>
    </row>
    <row r="493">
      <c r="A493" s="168"/>
      <c r="C493" s="47"/>
    </row>
    <row r="494">
      <c r="A494" s="168"/>
      <c r="C494" s="47"/>
    </row>
    <row r="495">
      <c r="A495" s="168"/>
      <c r="C495" s="47"/>
    </row>
    <row r="496">
      <c r="A496" s="168"/>
      <c r="C496" s="47"/>
    </row>
    <row r="497">
      <c r="A497" s="168"/>
      <c r="C497" s="47"/>
    </row>
    <row r="498">
      <c r="A498" s="168"/>
      <c r="C498" s="47"/>
    </row>
    <row r="499">
      <c r="A499" s="168"/>
      <c r="C499" s="47"/>
    </row>
    <row r="500">
      <c r="A500" s="168"/>
      <c r="C500" s="47"/>
    </row>
    <row r="501">
      <c r="A501" s="168"/>
      <c r="C501" s="47"/>
    </row>
    <row r="502">
      <c r="A502" s="168"/>
      <c r="C502" s="47"/>
    </row>
    <row r="503">
      <c r="A503" s="168"/>
      <c r="C503" s="47"/>
    </row>
    <row r="504">
      <c r="A504" s="168"/>
      <c r="C504" s="47"/>
    </row>
    <row r="505">
      <c r="A505" s="168"/>
      <c r="C505" s="47"/>
    </row>
    <row r="506">
      <c r="A506" s="168"/>
      <c r="C506" s="47"/>
    </row>
    <row r="507">
      <c r="A507" s="168"/>
      <c r="C507" s="47"/>
    </row>
    <row r="508">
      <c r="A508" s="168"/>
      <c r="C508" s="47"/>
    </row>
    <row r="509">
      <c r="A509" s="168"/>
      <c r="C509" s="47"/>
    </row>
    <row r="510">
      <c r="A510" s="168"/>
      <c r="C510" s="47"/>
    </row>
    <row r="511">
      <c r="A511" s="168"/>
      <c r="C511" s="47"/>
    </row>
    <row r="512">
      <c r="A512" s="168"/>
      <c r="C512" s="47"/>
    </row>
    <row r="513">
      <c r="A513" s="168"/>
      <c r="C513" s="47"/>
    </row>
    <row r="514">
      <c r="A514" s="168"/>
      <c r="C514" s="47"/>
    </row>
    <row r="515">
      <c r="A515" s="168"/>
      <c r="C515" s="47"/>
    </row>
    <row r="516">
      <c r="A516" s="168"/>
      <c r="C516" s="47"/>
    </row>
    <row r="517">
      <c r="A517" s="168"/>
      <c r="C517" s="47"/>
    </row>
    <row r="518">
      <c r="A518" s="168"/>
      <c r="C518" s="47"/>
    </row>
    <row r="519">
      <c r="A519" s="168"/>
      <c r="C519" s="47"/>
    </row>
    <row r="520">
      <c r="A520" s="168"/>
      <c r="C520" s="47"/>
    </row>
    <row r="521">
      <c r="A521" s="168"/>
      <c r="C521" s="47"/>
    </row>
    <row r="522">
      <c r="A522" s="168"/>
      <c r="C522" s="47"/>
    </row>
    <row r="523">
      <c r="A523" s="168"/>
      <c r="C523" s="47"/>
    </row>
    <row r="524">
      <c r="A524" s="168"/>
      <c r="C524" s="47"/>
    </row>
    <row r="525">
      <c r="A525" s="168"/>
      <c r="C525" s="47"/>
    </row>
    <row r="526">
      <c r="A526" s="168"/>
      <c r="C526" s="47"/>
    </row>
    <row r="527">
      <c r="A527" s="168"/>
      <c r="C527" s="47"/>
    </row>
    <row r="528">
      <c r="A528" s="168"/>
      <c r="C528" s="47"/>
    </row>
    <row r="529">
      <c r="A529" s="168"/>
      <c r="C529" s="47"/>
    </row>
    <row r="530">
      <c r="A530" s="168"/>
      <c r="C530" s="47"/>
    </row>
    <row r="531">
      <c r="A531" s="168"/>
      <c r="C531" s="47"/>
    </row>
    <row r="532">
      <c r="A532" s="168"/>
      <c r="C532" s="47"/>
    </row>
    <row r="533">
      <c r="A533" s="168"/>
      <c r="C533" s="47"/>
    </row>
    <row r="534">
      <c r="A534" s="168"/>
      <c r="C534" s="47"/>
    </row>
    <row r="535">
      <c r="A535" s="168"/>
      <c r="C535" s="47"/>
    </row>
    <row r="536">
      <c r="A536" s="168"/>
      <c r="C536" s="47"/>
    </row>
    <row r="537">
      <c r="A537" s="168"/>
      <c r="C537" s="47"/>
    </row>
    <row r="538">
      <c r="A538" s="168"/>
      <c r="C538" s="47"/>
    </row>
    <row r="539">
      <c r="A539" s="168"/>
      <c r="C539" s="47"/>
    </row>
    <row r="540">
      <c r="A540" s="168"/>
      <c r="C540" s="47"/>
    </row>
    <row r="541">
      <c r="A541" s="168"/>
      <c r="C541" s="47"/>
    </row>
    <row r="542">
      <c r="A542" s="168"/>
      <c r="C542" s="47"/>
    </row>
    <row r="543">
      <c r="A543" s="168"/>
      <c r="C543" s="47"/>
    </row>
    <row r="544">
      <c r="A544" s="168"/>
      <c r="C544" s="47"/>
    </row>
    <row r="545">
      <c r="A545" s="168"/>
      <c r="C545" s="47"/>
    </row>
    <row r="546">
      <c r="A546" s="168"/>
      <c r="C546" s="47"/>
    </row>
    <row r="547">
      <c r="A547" s="168"/>
      <c r="C547" s="47"/>
    </row>
    <row r="548">
      <c r="A548" s="168"/>
      <c r="C548" s="47"/>
    </row>
    <row r="549">
      <c r="A549" s="168"/>
      <c r="C549" s="47"/>
    </row>
    <row r="550">
      <c r="A550" s="168"/>
      <c r="C550" s="47"/>
    </row>
    <row r="551">
      <c r="A551" s="168"/>
      <c r="C551" s="47"/>
    </row>
    <row r="552">
      <c r="A552" s="168"/>
      <c r="C552" s="47"/>
    </row>
    <row r="553">
      <c r="A553" s="168"/>
      <c r="C553" s="47"/>
    </row>
    <row r="554">
      <c r="A554" s="168"/>
      <c r="C554" s="47"/>
    </row>
    <row r="555">
      <c r="A555" s="168"/>
      <c r="C555" s="47"/>
    </row>
    <row r="556">
      <c r="A556" s="168"/>
      <c r="C556" s="47"/>
    </row>
    <row r="557">
      <c r="A557" s="168"/>
      <c r="C557" s="47"/>
    </row>
    <row r="558">
      <c r="A558" s="168"/>
      <c r="C558" s="47"/>
    </row>
    <row r="559">
      <c r="A559" s="168"/>
      <c r="C559" s="47"/>
    </row>
    <row r="560">
      <c r="A560" s="168"/>
      <c r="C560" s="47"/>
    </row>
    <row r="561">
      <c r="A561" s="168"/>
      <c r="C561" s="47"/>
    </row>
    <row r="562">
      <c r="A562" s="168"/>
      <c r="C562" s="47"/>
    </row>
    <row r="563">
      <c r="A563" s="168"/>
      <c r="C563" s="47"/>
    </row>
    <row r="564">
      <c r="A564" s="168"/>
      <c r="C564" s="47"/>
    </row>
    <row r="565">
      <c r="A565" s="168"/>
      <c r="C565" s="47"/>
    </row>
    <row r="566">
      <c r="A566" s="168"/>
      <c r="C566" s="47"/>
    </row>
    <row r="567">
      <c r="A567" s="168"/>
      <c r="C567" s="47"/>
    </row>
    <row r="568">
      <c r="A568" s="168"/>
      <c r="C568" s="47"/>
    </row>
    <row r="569">
      <c r="A569" s="168"/>
      <c r="C569" s="47"/>
    </row>
    <row r="570">
      <c r="A570" s="168"/>
      <c r="C570" s="47"/>
    </row>
    <row r="571">
      <c r="A571" s="168"/>
      <c r="C571" s="47"/>
    </row>
    <row r="572">
      <c r="A572" s="168"/>
      <c r="C572" s="47"/>
    </row>
    <row r="573">
      <c r="A573" s="168"/>
      <c r="C573" s="47"/>
    </row>
    <row r="574">
      <c r="A574" s="168"/>
      <c r="C574" s="47"/>
    </row>
    <row r="575">
      <c r="A575" s="168"/>
      <c r="C575" s="47"/>
    </row>
    <row r="576">
      <c r="A576" s="168"/>
      <c r="C576" s="47"/>
    </row>
    <row r="577">
      <c r="A577" s="168"/>
      <c r="C577" s="47"/>
    </row>
    <row r="578">
      <c r="A578" s="168"/>
      <c r="C578" s="47"/>
    </row>
    <row r="579">
      <c r="A579" s="168"/>
      <c r="C579" s="47"/>
    </row>
    <row r="580">
      <c r="A580" s="168"/>
      <c r="C580" s="47"/>
    </row>
    <row r="581">
      <c r="A581" s="168"/>
      <c r="C581" s="47"/>
    </row>
    <row r="582">
      <c r="A582" s="168"/>
      <c r="C582" s="47"/>
    </row>
    <row r="583">
      <c r="A583" s="168"/>
      <c r="C583" s="47"/>
    </row>
    <row r="584">
      <c r="A584" s="168"/>
      <c r="C584" s="47"/>
    </row>
    <row r="585">
      <c r="A585" s="168"/>
      <c r="C585" s="47"/>
    </row>
    <row r="586">
      <c r="A586" s="168"/>
      <c r="C586" s="47"/>
    </row>
    <row r="587">
      <c r="A587" s="168"/>
      <c r="C587" s="47"/>
    </row>
    <row r="588">
      <c r="A588" s="168"/>
      <c r="C588" s="47"/>
    </row>
    <row r="589">
      <c r="A589" s="168"/>
      <c r="C589" s="47"/>
    </row>
    <row r="590">
      <c r="A590" s="168"/>
      <c r="C590" s="47"/>
    </row>
    <row r="591">
      <c r="A591" s="168"/>
      <c r="C591" s="47"/>
    </row>
    <row r="592">
      <c r="A592" s="168"/>
      <c r="C592" s="47"/>
    </row>
    <row r="593">
      <c r="A593" s="168"/>
      <c r="C593" s="47"/>
    </row>
    <row r="594">
      <c r="A594" s="168"/>
      <c r="C594" s="47"/>
    </row>
    <row r="595">
      <c r="A595" s="168"/>
      <c r="C595" s="47"/>
    </row>
    <row r="596">
      <c r="A596" s="168"/>
      <c r="C596" s="47"/>
    </row>
    <row r="597">
      <c r="A597" s="168"/>
      <c r="C597" s="47"/>
    </row>
    <row r="598">
      <c r="A598" s="168"/>
      <c r="C598" s="47"/>
    </row>
    <row r="599">
      <c r="A599" s="168"/>
      <c r="C599" s="47"/>
    </row>
    <row r="600">
      <c r="A600" s="168"/>
      <c r="C600" s="47"/>
    </row>
    <row r="601">
      <c r="A601" s="168"/>
      <c r="C601" s="47"/>
    </row>
    <row r="602">
      <c r="A602" s="168"/>
      <c r="C602" s="47"/>
    </row>
    <row r="603">
      <c r="A603" s="168"/>
      <c r="C603" s="47"/>
    </row>
    <row r="604">
      <c r="A604" s="168"/>
      <c r="C604" s="47"/>
    </row>
    <row r="605">
      <c r="A605" s="168"/>
      <c r="C605" s="47"/>
    </row>
    <row r="606">
      <c r="A606" s="168"/>
      <c r="C606" s="47"/>
    </row>
    <row r="607">
      <c r="A607" s="168"/>
      <c r="C607" s="47"/>
    </row>
    <row r="608">
      <c r="A608" s="168"/>
      <c r="C608" s="47"/>
    </row>
    <row r="609">
      <c r="A609" s="168"/>
      <c r="C609" s="47"/>
    </row>
    <row r="610">
      <c r="A610" s="168"/>
      <c r="C610" s="47"/>
    </row>
    <row r="611">
      <c r="A611" s="168"/>
      <c r="C611" s="47"/>
    </row>
    <row r="612">
      <c r="A612" s="168"/>
      <c r="C612" s="47"/>
    </row>
    <row r="613">
      <c r="A613" s="168"/>
      <c r="C613" s="47"/>
    </row>
    <row r="614">
      <c r="A614" s="168"/>
      <c r="C614" s="47"/>
    </row>
    <row r="615">
      <c r="A615" s="168"/>
      <c r="C615" s="47"/>
    </row>
    <row r="616">
      <c r="A616" s="168"/>
      <c r="C616" s="47"/>
    </row>
    <row r="617">
      <c r="A617" s="168"/>
      <c r="C617" s="47"/>
    </row>
    <row r="618">
      <c r="A618" s="168"/>
      <c r="C618" s="47"/>
    </row>
    <row r="619">
      <c r="A619" s="168"/>
      <c r="C619" s="47"/>
    </row>
    <row r="620">
      <c r="A620" s="168"/>
      <c r="C620" s="47"/>
    </row>
    <row r="621">
      <c r="A621" s="168"/>
      <c r="C621" s="47"/>
    </row>
    <row r="622">
      <c r="A622" s="168"/>
      <c r="C622" s="47"/>
    </row>
    <row r="623">
      <c r="A623" s="168"/>
      <c r="C623" s="47"/>
    </row>
    <row r="624">
      <c r="A624" s="168"/>
      <c r="C624" s="47"/>
    </row>
    <row r="625">
      <c r="A625" s="168"/>
      <c r="C625" s="47"/>
    </row>
    <row r="626">
      <c r="A626" s="168"/>
      <c r="C626" s="47"/>
    </row>
    <row r="627">
      <c r="A627" s="168"/>
      <c r="C627" s="47"/>
    </row>
    <row r="628">
      <c r="A628" s="168"/>
      <c r="C628" s="47"/>
    </row>
    <row r="629">
      <c r="A629" s="168"/>
      <c r="C629" s="47"/>
    </row>
    <row r="630">
      <c r="A630" s="168"/>
      <c r="C630" s="47"/>
    </row>
    <row r="631">
      <c r="A631" s="168"/>
      <c r="C631" s="47"/>
    </row>
    <row r="632">
      <c r="A632" s="168"/>
      <c r="C632" s="47"/>
    </row>
    <row r="633">
      <c r="A633" s="168"/>
      <c r="C633" s="47"/>
    </row>
    <row r="634">
      <c r="A634" s="168"/>
      <c r="C634" s="47"/>
    </row>
    <row r="635">
      <c r="A635" s="168"/>
      <c r="C635" s="47"/>
    </row>
    <row r="636">
      <c r="A636" s="168"/>
      <c r="C636" s="47"/>
    </row>
    <row r="637">
      <c r="A637" s="168"/>
      <c r="C637" s="47"/>
    </row>
    <row r="638">
      <c r="A638" s="168"/>
      <c r="C638" s="47"/>
    </row>
    <row r="639">
      <c r="A639" s="168"/>
      <c r="C639" s="47"/>
    </row>
    <row r="640">
      <c r="A640" s="168"/>
      <c r="C640" s="47"/>
    </row>
    <row r="641">
      <c r="A641" s="168"/>
      <c r="C641" s="47"/>
    </row>
    <row r="642">
      <c r="A642" s="168"/>
      <c r="C642" s="47"/>
    </row>
    <row r="643">
      <c r="A643" s="168"/>
      <c r="C643" s="47"/>
    </row>
    <row r="644">
      <c r="A644" s="168"/>
      <c r="C644" s="47"/>
    </row>
    <row r="645">
      <c r="A645" s="168"/>
      <c r="C645" s="47"/>
    </row>
    <row r="646">
      <c r="A646" s="168"/>
      <c r="C646" s="47"/>
    </row>
    <row r="647">
      <c r="A647" s="168"/>
      <c r="C647" s="47"/>
    </row>
    <row r="648">
      <c r="A648" s="168"/>
      <c r="C648" s="47"/>
    </row>
    <row r="649">
      <c r="A649" s="168"/>
      <c r="C649" s="47"/>
    </row>
    <row r="650">
      <c r="A650" s="168"/>
      <c r="C650" s="47"/>
    </row>
    <row r="651">
      <c r="A651" s="168"/>
      <c r="C651" s="47"/>
    </row>
    <row r="652">
      <c r="A652" s="168"/>
      <c r="C652" s="47"/>
    </row>
    <row r="653">
      <c r="A653" s="168"/>
      <c r="C653" s="47"/>
    </row>
    <row r="654">
      <c r="A654" s="168"/>
      <c r="C654" s="47"/>
    </row>
    <row r="655">
      <c r="A655" s="168"/>
      <c r="C655" s="47"/>
    </row>
    <row r="656">
      <c r="A656" s="168"/>
      <c r="C656" s="47"/>
    </row>
    <row r="657">
      <c r="A657" s="168"/>
      <c r="C657" s="47"/>
    </row>
    <row r="658">
      <c r="A658" s="168"/>
      <c r="C658" s="47"/>
    </row>
    <row r="659">
      <c r="A659" s="168"/>
      <c r="C659" s="47"/>
    </row>
    <row r="660">
      <c r="A660" s="168"/>
      <c r="C660" s="47"/>
    </row>
    <row r="661">
      <c r="A661" s="168"/>
      <c r="C661" s="47"/>
    </row>
    <row r="662">
      <c r="A662" s="168"/>
      <c r="C662" s="47"/>
    </row>
    <row r="663">
      <c r="A663" s="168"/>
      <c r="C663" s="47"/>
    </row>
    <row r="664">
      <c r="A664" s="168"/>
      <c r="C664" s="47"/>
    </row>
    <row r="665">
      <c r="A665" s="168"/>
      <c r="C665" s="47"/>
    </row>
    <row r="666">
      <c r="A666" s="168"/>
      <c r="C666" s="47"/>
    </row>
    <row r="667">
      <c r="A667" s="168"/>
      <c r="C667" s="47"/>
    </row>
    <row r="668">
      <c r="A668" s="168"/>
      <c r="C668" s="47"/>
    </row>
    <row r="669">
      <c r="A669" s="168"/>
      <c r="C669" s="47"/>
    </row>
    <row r="670">
      <c r="A670" s="168"/>
      <c r="C670" s="47"/>
    </row>
    <row r="671">
      <c r="A671" s="168"/>
      <c r="C671" s="47"/>
    </row>
    <row r="672">
      <c r="A672" s="168"/>
      <c r="C672" s="47"/>
    </row>
    <row r="673">
      <c r="A673" s="168"/>
      <c r="C673" s="47"/>
    </row>
    <row r="674">
      <c r="A674" s="168"/>
      <c r="C674" s="47"/>
    </row>
    <row r="675">
      <c r="A675" s="168"/>
      <c r="C675" s="47"/>
    </row>
    <row r="676">
      <c r="A676" s="168"/>
      <c r="C676" s="47"/>
    </row>
    <row r="677">
      <c r="A677" s="168"/>
      <c r="C677" s="47"/>
    </row>
    <row r="678">
      <c r="A678" s="168"/>
      <c r="C678" s="47"/>
    </row>
    <row r="679">
      <c r="A679" s="168"/>
      <c r="C679" s="47"/>
    </row>
    <row r="680">
      <c r="A680" s="168"/>
      <c r="C680" s="47"/>
    </row>
    <row r="681">
      <c r="A681" s="168"/>
      <c r="C681" s="47"/>
    </row>
    <row r="682">
      <c r="A682" s="168"/>
      <c r="C682" s="47"/>
    </row>
    <row r="683">
      <c r="A683" s="168"/>
      <c r="C683" s="47"/>
    </row>
    <row r="684">
      <c r="A684" s="168"/>
      <c r="C684" s="47"/>
    </row>
    <row r="685">
      <c r="A685" s="168"/>
      <c r="C685" s="47"/>
    </row>
    <row r="686">
      <c r="A686" s="168"/>
      <c r="C686" s="47"/>
    </row>
    <row r="687">
      <c r="A687" s="168"/>
      <c r="C687" s="47"/>
    </row>
    <row r="688">
      <c r="A688" s="168"/>
      <c r="C688" s="47"/>
    </row>
    <row r="689">
      <c r="A689" s="168"/>
      <c r="C689" s="47"/>
    </row>
    <row r="690">
      <c r="A690" s="168"/>
      <c r="C690" s="47"/>
    </row>
    <row r="691">
      <c r="A691" s="168"/>
      <c r="C691" s="47"/>
    </row>
    <row r="692">
      <c r="A692" s="168"/>
      <c r="C692" s="47"/>
    </row>
    <row r="693">
      <c r="A693" s="168"/>
      <c r="C693" s="47"/>
    </row>
    <row r="694">
      <c r="A694" s="168"/>
      <c r="C694" s="47"/>
    </row>
    <row r="695">
      <c r="A695" s="168"/>
      <c r="C695" s="47"/>
    </row>
    <row r="696">
      <c r="A696" s="168"/>
      <c r="C696" s="47"/>
    </row>
    <row r="697">
      <c r="A697" s="168"/>
      <c r="C697" s="47"/>
    </row>
    <row r="698">
      <c r="A698" s="168"/>
      <c r="C698" s="47"/>
    </row>
    <row r="699">
      <c r="A699" s="168"/>
      <c r="C699" s="47"/>
    </row>
    <row r="700">
      <c r="A700" s="168"/>
      <c r="C700" s="47"/>
    </row>
    <row r="701">
      <c r="A701" s="168"/>
      <c r="C701" s="47"/>
    </row>
    <row r="702">
      <c r="A702" s="168"/>
      <c r="C702" s="47"/>
    </row>
    <row r="703">
      <c r="A703" s="168"/>
      <c r="C703" s="47"/>
    </row>
    <row r="704">
      <c r="A704" s="168"/>
      <c r="C704" s="47"/>
    </row>
    <row r="705">
      <c r="A705" s="168"/>
      <c r="C705" s="47"/>
    </row>
    <row r="706">
      <c r="A706" s="168"/>
      <c r="C706" s="47"/>
    </row>
    <row r="707">
      <c r="A707" s="168"/>
      <c r="C707" s="47"/>
    </row>
    <row r="708">
      <c r="A708" s="168"/>
      <c r="C708" s="47"/>
    </row>
    <row r="709">
      <c r="A709" s="168"/>
      <c r="C709" s="47"/>
    </row>
    <row r="710">
      <c r="A710" s="168"/>
      <c r="C710" s="47"/>
    </row>
    <row r="711">
      <c r="A711" s="168"/>
      <c r="C711" s="47"/>
    </row>
    <row r="712">
      <c r="A712" s="168"/>
      <c r="C712" s="47"/>
    </row>
    <row r="713">
      <c r="A713" s="168"/>
      <c r="C713" s="47"/>
    </row>
    <row r="714">
      <c r="A714" s="168"/>
      <c r="C714" s="47"/>
    </row>
    <row r="715">
      <c r="A715" s="168"/>
      <c r="C715" s="47"/>
    </row>
    <row r="716">
      <c r="A716" s="168"/>
      <c r="C716" s="47"/>
    </row>
    <row r="717">
      <c r="A717" s="168"/>
      <c r="C717" s="47"/>
    </row>
    <row r="718">
      <c r="A718" s="168"/>
      <c r="C718" s="47"/>
    </row>
    <row r="719">
      <c r="A719" s="168"/>
      <c r="C719" s="47"/>
    </row>
    <row r="720">
      <c r="A720" s="168"/>
      <c r="C720" s="47"/>
    </row>
    <row r="721">
      <c r="A721" s="168"/>
      <c r="C721" s="47"/>
    </row>
    <row r="722">
      <c r="A722" s="168"/>
      <c r="C722" s="47"/>
    </row>
    <row r="723">
      <c r="A723" s="168"/>
      <c r="C723" s="47"/>
    </row>
    <row r="724">
      <c r="A724" s="168"/>
      <c r="C724" s="47"/>
    </row>
    <row r="725">
      <c r="A725" s="168"/>
      <c r="C725" s="47"/>
    </row>
    <row r="726">
      <c r="A726" s="168"/>
      <c r="C726" s="47"/>
    </row>
    <row r="727">
      <c r="A727" s="168"/>
      <c r="C727" s="47"/>
    </row>
    <row r="728">
      <c r="A728" s="168"/>
      <c r="C728" s="47"/>
    </row>
    <row r="729">
      <c r="A729" s="168"/>
      <c r="C729" s="47"/>
    </row>
    <row r="730">
      <c r="A730" s="168"/>
      <c r="C730" s="47"/>
    </row>
    <row r="731">
      <c r="A731" s="168"/>
      <c r="C731" s="47"/>
    </row>
    <row r="732">
      <c r="A732" s="168"/>
      <c r="C732" s="47"/>
    </row>
    <row r="733">
      <c r="A733" s="168"/>
      <c r="C733" s="47"/>
    </row>
    <row r="734">
      <c r="A734" s="168"/>
      <c r="C734" s="47"/>
    </row>
    <row r="735">
      <c r="A735" s="168"/>
      <c r="C735" s="47"/>
    </row>
    <row r="736">
      <c r="A736" s="168"/>
      <c r="C736" s="47"/>
    </row>
    <row r="737">
      <c r="A737" s="168"/>
      <c r="C737" s="47"/>
    </row>
    <row r="738">
      <c r="A738" s="168"/>
      <c r="C738" s="47"/>
    </row>
    <row r="739">
      <c r="A739" s="168"/>
      <c r="C739" s="47"/>
    </row>
    <row r="740">
      <c r="A740" s="168"/>
      <c r="C740" s="47"/>
    </row>
    <row r="741">
      <c r="A741" s="168"/>
      <c r="C741" s="47"/>
    </row>
    <row r="742">
      <c r="A742" s="168"/>
      <c r="C742" s="47"/>
    </row>
    <row r="743">
      <c r="A743" s="168"/>
      <c r="C743" s="47"/>
    </row>
    <row r="744">
      <c r="A744" s="168"/>
      <c r="C744" s="47"/>
    </row>
    <row r="745">
      <c r="A745" s="168"/>
      <c r="C745" s="47"/>
    </row>
    <row r="746">
      <c r="A746" s="168"/>
      <c r="C746" s="47"/>
    </row>
    <row r="747">
      <c r="A747" s="168"/>
      <c r="C747" s="47"/>
    </row>
    <row r="748">
      <c r="A748" s="168"/>
      <c r="C748" s="47"/>
    </row>
    <row r="749">
      <c r="A749" s="168"/>
      <c r="C749" s="47"/>
    </row>
    <row r="750">
      <c r="A750" s="168"/>
      <c r="C750" s="47"/>
    </row>
    <row r="751">
      <c r="A751" s="168"/>
      <c r="C751" s="47"/>
    </row>
    <row r="752">
      <c r="A752" s="168"/>
      <c r="C752" s="47"/>
    </row>
    <row r="753">
      <c r="A753" s="168"/>
      <c r="C753" s="47"/>
    </row>
    <row r="754">
      <c r="A754" s="168"/>
      <c r="C754" s="47"/>
    </row>
    <row r="755">
      <c r="A755" s="168"/>
      <c r="C755" s="47"/>
    </row>
    <row r="756">
      <c r="A756" s="168"/>
      <c r="C756" s="47"/>
    </row>
    <row r="757">
      <c r="A757" s="168"/>
      <c r="C757" s="47"/>
    </row>
    <row r="758">
      <c r="A758" s="168"/>
      <c r="C758" s="47"/>
    </row>
    <row r="759">
      <c r="A759" s="168"/>
      <c r="C759" s="47"/>
    </row>
    <row r="760">
      <c r="A760" s="168"/>
      <c r="C760" s="47"/>
    </row>
    <row r="761">
      <c r="A761" s="168"/>
      <c r="C761" s="47"/>
    </row>
    <row r="762">
      <c r="A762" s="168"/>
      <c r="C762" s="47"/>
    </row>
    <row r="763">
      <c r="A763" s="168"/>
      <c r="C763" s="47"/>
    </row>
    <row r="764">
      <c r="A764" s="168"/>
      <c r="C764" s="47"/>
    </row>
    <row r="765">
      <c r="A765" s="168"/>
      <c r="C765" s="47"/>
    </row>
    <row r="766">
      <c r="A766" s="168"/>
      <c r="C766" s="47"/>
    </row>
    <row r="767">
      <c r="A767" s="168"/>
      <c r="C767" s="47"/>
    </row>
    <row r="768">
      <c r="A768" s="168"/>
      <c r="C768" s="47"/>
    </row>
    <row r="769">
      <c r="A769" s="168"/>
      <c r="C769" s="47"/>
    </row>
    <row r="770">
      <c r="A770" s="168"/>
      <c r="C770" s="47"/>
    </row>
    <row r="771">
      <c r="A771" s="168"/>
      <c r="C771" s="47"/>
    </row>
    <row r="772">
      <c r="A772" s="168"/>
      <c r="C772" s="47"/>
    </row>
    <row r="773">
      <c r="A773" s="168"/>
      <c r="C773" s="47"/>
    </row>
    <row r="774">
      <c r="A774" s="168"/>
      <c r="C774" s="47"/>
    </row>
    <row r="775">
      <c r="A775" s="168"/>
      <c r="C775" s="47"/>
    </row>
    <row r="776">
      <c r="A776" s="168"/>
      <c r="C776" s="47"/>
    </row>
    <row r="777">
      <c r="A777" s="168"/>
      <c r="C777" s="47"/>
    </row>
    <row r="778">
      <c r="A778" s="168"/>
      <c r="C778" s="47"/>
    </row>
    <row r="779">
      <c r="A779" s="168"/>
      <c r="C779" s="47"/>
    </row>
    <row r="780">
      <c r="A780" s="168"/>
      <c r="C780" s="47"/>
    </row>
    <row r="781">
      <c r="A781" s="168"/>
      <c r="C781" s="47"/>
    </row>
    <row r="782">
      <c r="A782" s="168"/>
      <c r="C782" s="47"/>
    </row>
    <row r="783">
      <c r="A783" s="168"/>
      <c r="C783" s="47"/>
    </row>
    <row r="784">
      <c r="A784" s="168"/>
      <c r="C784" s="47"/>
    </row>
    <row r="785">
      <c r="A785" s="168"/>
      <c r="C785" s="47"/>
    </row>
    <row r="786">
      <c r="A786" s="168"/>
      <c r="C786" s="47"/>
    </row>
    <row r="787">
      <c r="A787" s="168"/>
      <c r="C787" s="47"/>
    </row>
    <row r="788">
      <c r="A788" s="168"/>
      <c r="C788" s="47"/>
    </row>
    <row r="789">
      <c r="A789" s="168"/>
      <c r="C789" s="47"/>
    </row>
    <row r="790">
      <c r="A790" s="168"/>
      <c r="C790" s="47"/>
    </row>
    <row r="791">
      <c r="A791" s="168"/>
      <c r="C791" s="47"/>
    </row>
    <row r="792">
      <c r="A792" s="168"/>
      <c r="C792" s="47"/>
    </row>
    <row r="793">
      <c r="A793" s="168"/>
      <c r="C793" s="47"/>
    </row>
    <row r="794">
      <c r="A794" s="168"/>
      <c r="C794" s="47"/>
    </row>
    <row r="795">
      <c r="A795" s="168"/>
      <c r="C795" s="47"/>
    </row>
    <row r="796">
      <c r="A796" s="168"/>
      <c r="C796" s="47"/>
    </row>
    <row r="797">
      <c r="A797" s="168"/>
      <c r="C797" s="47"/>
    </row>
    <row r="798">
      <c r="A798" s="168"/>
      <c r="C798" s="47"/>
    </row>
    <row r="799">
      <c r="A799" s="168"/>
      <c r="C799" s="47"/>
    </row>
    <row r="800">
      <c r="A800" s="168"/>
      <c r="C800" s="47"/>
    </row>
    <row r="801">
      <c r="A801" s="168"/>
      <c r="C801" s="47"/>
    </row>
    <row r="802">
      <c r="A802" s="168"/>
      <c r="C802" s="47"/>
    </row>
    <row r="803">
      <c r="A803" s="168"/>
      <c r="C803" s="47"/>
    </row>
    <row r="804">
      <c r="A804" s="168"/>
      <c r="C804" s="47"/>
    </row>
    <row r="805">
      <c r="A805" s="168"/>
      <c r="C805" s="47"/>
    </row>
    <row r="806">
      <c r="A806" s="168"/>
      <c r="C806" s="47"/>
    </row>
    <row r="807">
      <c r="A807" s="168"/>
      <c r="C807" s="47"/>
    </row>
    <row r="808">
      <c r="A808" s="168"/>
      <c r="C808" s="47"/>
    </row>
    <row r="809">
      <c r="A809" s="168"/>
      <c r="C809" s="47"/>
    </row>
    <row r="810">
      <c r="A810" s="168"/>
      <c r="C810" s="47"/>
    </row>
    <row r="811">
      <c r="A811" s="168"/>
      <c r="C811" s="47"/>
    </row>
    <row r="812">
      <c r="A812" s="168"/>
      <c r="C812" s="47"/>
    </row>
    <row r="813">
      <c r="A813" s="168"/>
      <c r="C813" s="47"/>
    </row>
    <row r="814">
      <c r="A814" s="168"/>
      <c r="C814" s="47"/>
    </row>
    <row r="815">
      <c r="A815" s="168"/>
      <c r="C815" s="47"/>
    </row>
    <row r="816">
      <c r="A816" s="168"/>
      <c r="C816" s="47"/>
    </row>
    <row r="817">
      <c r="A817" s="168"/>
      <c r="C817" s="47"/>
    </row>
    <row r="818">
      <c r="A818" s="168"/>
      <c r="C818" s="47"/>
    </row>
    <row r="819">
      <c r="A819" s="168"/>
      <c r="C819" s="47"/>
    </row>
    <row r="820">
      <c r="A820" s="168"/>
      <c r="C820" s="47"/>
    </row>
    <row r="821">
      <c r="A821" s="168"/>
      <c r="C821" s="47"/>
    </row>
    <row r="822">
      <c r="A822" s="168"/>
      <c r="C822" s="47"/>
    </row>
    <row r="823">
      <c r="A823" s="168"/>
      <c r="C823" s="47"/>
    </row>
    <row r="824">
      <c r="A824" s="168"/>
      <c r="C824" s="47"/>
    </row>
    <row r="825">
      <c r="A825" s="168"/>
      <c r="C825" s="47"/>
    </row>
    <row r="826">
      <c r="A826" s="168"/>
      <c r="C826" s="47"/>
    </row>
    <row r="827">
      <c r="A827" s="168"/>
      <c r="C827" s="47"/>
    </row>
    <row r="828">
      <c r="A828" s="168"/>
      <c r="C828" s="47"/>
    </row>
    <row r="829">
      <c r="A829" s="168"/>
      <c r="C829" s="47"/>
    </row>
    <row r="830">
      <c r="A830" s="168"/>
      <c r="C830" s="47"/>
    </row>
    <row r="831">
      <c r="A831" s="168"/>
      <c r="C831" s="47"/>
    </row>
    <row r="832">
      <c r="A832" s="168"/>
      <c r="C832" s="47"/>
    </row>
    <row r="833">
      <c r="A833" s="168"/>
      <c r="C833" s="47"/>
    </row>
    <row r="834">
      <c r="A834" s="168"/>
      <c r="C834" s="47"/>
    </row>
    <row r="835">
      <c r="A835" s="168"/>
      <c r="C835" s="47"/>
    </row>
    <row r="836">
      <c r="A836" s="168"/>
      <c r="C836" s="47"/>
    </row>
    <row r="837">
      <c r="A837" s="168"/>
      <c r="C837" s="47"/>
    </row>
    <row r="838">
      <c r="A838" s="168"/>
      <c r="C838" s="47"/>
    </row>
    <row r="839">
      <c r="A839" s="168"/>
      <c r="C839" s="47"/>
    </row>
    <row r="840">
      <c r="A840" s="168"/>
      <c r="C840" s="47"/>
    </row>
    <row r="841">
      <c r="A841" s="168"/>
      <c r="C841" s="47"/>
    </row>
    <row r="842">
      <c r="A842" s="168"/>
      <c r="C842" s="47"/>
    </row>
    <row r="843">
      <c r="A843" s="168"/>
      <c r="C843" s="47"/>
    </row>
    <row r="844">
      <c r="A844" s="168"/>
      <c r="C844" s="47"/>
    </row>
    <row r="845">
      <c r="A845" s="168"/>
      <c r="C845" s="47"/>
    </row>
    <row r="846">
      <c r="A846" s="168"/>
      <c r="C846" s="47"/>
    </row>
    <row r="847">
      <c r="A847" s="168"/>
      <c r="C847" s="47"/>
    </row>
    <row r="848">
      <c r="A848" s="168"/>
      <c r="C848" s="47"/>
    </row>
    <row r="849">
      <c r="A849" s="168"/>
      <c r="C849" s="47"/>
    </row>
    <row r="850">
      <c r="A850" s="168"/>
      <c r="C850" s="47"/>
    </row>
    <row r="851">
      <c r="A851" s="168"/>
      <c r="C851" s="47"/>
    </row>
    <row r="852">
      <c r="A852" s="168"/>
      <c r="C852" s="47"/>
    </row>
    <row r="853">
      <c r="A853" s="168"/>
      <c r="C853" s="47"/>
    </row>
    <row r="854">
      <c r="A854" s="168"/>
      <c r="C854" s="47"/>
    </row>
    <row r="855">
      <c r="A855" s="168"/>
      <c r="C855" s="47"/>
    </row>
    <row r="856">
      <c r="A856" s="168"/>
      <c r="C856" s="47"/>
    </row>
    <row r="857">
      <c r="A857" s="168"/>
      <c r="C857" s="47"/>
    </row>
    <row r="858">
      <c r="A858" s="168"/>
      <c r="C858" s="47"/>
    </row>
    <row r="859">
      <c r="A859" s="168"/>
      <c r="C859" s="47"/>
    </row>
    <row r="860">
      <c r="A860" s="168"/>
      <c r="C860" s="47"/>
    </row>
    <row r="861">
      <c r="A861" s="168"/>
      <c r="C861" s="47"/>
    </row>
    <row r="862">
      <c r="A862" s="168"/>
      <c r="C862" s="47"/>
    </row>
    <row r="863">
      <c r="A863" s="168"/>
      <c r="C863" s="47"/>
    </row>
    <row r="864">
      <c r="A864" s="168"/>
      <c r="C864" s="47"/>
    </row>
    <row r="865">
      <c r="A865" s="168"/>
      <c r="C865" s="47"/>
    </row>
    <row r="866">
      <c r="A866" s="168"/>
      <c r="C866" s="47"/>
    </row>
    <row r="867">
      <c r="A867" s="168"/>
      <c r="C867" s="47"/>
    </row>
    <row r="868">
      <c r="A868" s="168"/>
      <c r="C868" s="47"/>
    </row>
    <row r="869">
      <c r="A869" s="168"/>
      <c r="C869" s="47"/>
    </row>
    <row r="870">
      <c r="A870" s="168"/>
      <c r="C870" s="47"/>
    </row>
    <row r="871">
      <c r="A871" s="168"/>
      <c r="C871" s="47"/>
    </row>
    <row r="872">
      <c r="A872" s="168"/>
      <c r="C872" s="47"/>
    </row>
    <row r="873">
      <c r="A873" s="168"/>
      <c r="C873" s="47"/>
    </row>
    <row r="874">
      <c r="A874" s="168"/>
      <c r="C874" s="47"/>
    </row>
    <row r="875">
      <c r="A875" s="168"/>
      <c r="C875" s="47"/>
    </row>
    <row r="876">
      <c r="A876" s="168"/>
      <c r="C876" s="47"/>
    </row>
    <row r="877">
      <c r="A877" s="168"/>
      <c r="C877" s="47"/>
    </row>
    <row r="878">
      <c r="A878" s="168"/>
      <c r="C878" s="47"/>
    </row>
    <row r="879">
      <c r="A879" s="168"/>
      <c r="C879" s="47"/>
    </row>
    <row r="880">
      <c r="A880" s="168"/>
      <c r="C880" s="47"/>
    </row>
    <row r="881">
      <c r="A881" s="168"/>
      <c r="C881" s="47"/>
    </row>
    <row r="882">
      <c r="A882" s="168"/>
      <c r="C882" s="47"/>
    </row>
    <row r="883">
      <c r="A883" s="168"/>
      <c r="C883" s="47"/>
    </row>
    <row r="884">
      <c r="A884" s="168"/>
      <c r="C884" s="47"/>
    </row>
    <row r="885">
      <c r="A885" s="168"/>
      <c r="C885" s="47"/>
    </row>
    <row r="886">
      <c r="A886" s="168"/>
      <c r="C886" s="47"/>
    </row>
    <row r="887">
      <c r="A887" s="168"/>
      <c r="C887" s="47"/>
    </row>
    <row r="888">
      <c r="A888" s="168"/>
      <c r="C888" s="47"/>
    </row>
    <row r="889">
      <c r="A889" s="168"/>
      <c r="C889" s="47"/>
    </row>
    <row r="890">
      <c r="A890" s="168"/>
      <c r="C890" s="47"/>
    </row>
    <row r="891">
      <c r="A891" s="168"/>
      <c r="C891" s="47"/>
    </row>
    <row r="892">
      <c r="A892" s="168"/>
      <c r="C892" s="47"/>
    </row>
    <row r="893">
      <c r="A893" s="168"/>
      <c r="C893" s="47"/>
    </row>
    <row r="894">
      <c r="A894" s="168"/>
      <c r="C894" s="47"/>
    </row>
    <row r="895">
      <c r="A895" s="168"/>
      <c r="C895" s="47"/>
    </row>
    <row r="896">
      <c r="A896" s="168"/>
      <c r="C896" s="47"/>
    </row>
    <row r="897">
      <c r="A897" s="168"/>
      <c r="C897" s="47"/>
    </row>
    <row r="898">
      <c r="A898" s="168"/>
      <c r="C898" s="47"/>
    </row>
    <row r="899">
      <c r="A899" s="168"/>
      <c r="C899" s="47"/>
    </row>
    <row r="900">
      <c r="A900" s="168"/>
      <c r="C900" s="47"/>
    </row>
    <row r="901">
      <c r="A901" s="168"/>
      <c r="C901" s="47"/>
    </row>
    <row r="902">
      <c r="A902" s="168"/>
      <c r="C902" s="47"/>
    </row>
    <row r="903">
      <c r="A903" s="168"/>
      <c r="C903" s="47"/>
    </row>
    <row r="904">
      <c r="A904" s="168"/>
      <c r="C904" s="47"/>
    </row>
    <row r="905">
      <c r="A905" s="168"/>
      <c r="C905" s="47"/>
    </row>
    <row r="906">
      <c r="A906" s="168"/>
      <c r="C906" s="47"/>
    </row>
    <row r="907">
      <c r="A907" s="168"/>
      <c r="C907" s="47"/>
    </row>
    <row r="908">
      <c r="A908" s="168"/>
      <c r="C908" s="47"/>
    </row>
    <row r="909">
      <c r="A909" s="168"/>
      <c r="C909" s="47"/>
    </row>
    <row r="910">
      <c r="A910" s="168"/>
      <c r="C910" s="47"/>
    </row>
    <row r="911">
      <c r="A911" s="168"/>
      <c r="C911" s="47"/>
    </row>
    <row r="912">
      <c r="A912" s="168"/>
      <c r="C912" s="47"/>
    </row>
    <row r="913">
      <c r="A913" s="168"/>
      <c r="C913" s="47"/>
    </row>
    <row r="914">
      <c r="A914" s="168"/>
      <c r="C914" s="47"/>
    </row>
    <row r="915">
      <c r="A915" s="168"/>
      <c r="C915" s="47"/>
    </row>
    <row r="916">
      <c r="A916" s="168"/>
      <c r="C916" s="47"/>
    </row>
    <row r="917">
      <c r="A917" s="168"/>
      <c r="C917" s="47"/>
    </row>
    <row r="918">
      <c r="A918" s="168"/>
      <c r="C918" s="47"/>
    </row>
    <row r="919">
      <c r="A919" s="168"/>
      <c r="C919" s="47"/>
    </row>
    <row r="920">
      <c r="A920" s="168"/>
      <c r="C920" s="47"/>
    </row>
    <row r="921">
      <c r="A921" s="168"/>
      <c r="C921" s="47"/>
    </row>
    <row r="922">
      <c r="A922" s="168"/>
      <c r="C922" s="47"/>
    </row>
    <row r="923">
      <c r="A923" s="168"/>
      <c r="C923" s="47"/>
    </row>
    <row r="924">
      <c r="A924" s="168"/>
      <c r="C924" s="47"/>
    </row>
    <row r="925">
      <c r="A925" s="168"/>
      <c r="C925" s="47"/>
    </row>
    <row r="926">
      <c r="A926" s="168"/>
      <c r="C926" s="47"/>
    </row>
    <row r="927">
      <c r="A927" s="168"/>
      <c r="C927" s="47"/>
    </row>
    <row r="928">
      <c r="A928" s="168"/>
      <c r="C928" s="47"/>
    </row>
    <row r="929">
      <c r="A929" s="168"/>
      <c r="C929" s="47"/>
    </row>
    <row r="930">
      <c r="A930" s="168"/>
      <c r="C930" s="47"/>
    </row>
    <row r="931">
      <c r="A931" s="168"/>
      <c r="C931" s="47"/>
    </row>
    <row r="932">
      <c r="A932" s="168"/>
      <c r="C932" s="47"/>
    </row>
    <row r="933">
      <c r="A933" s="168"/>
      <c r="C933" s="47"/>
    </row>
    <row r="934">
      <c r="A934" s="168"/>
      <c r="C934" s="47"/>
    </row>
    <row r="935">
      <c r="A935" s="168"/>
      <c r="C935" s="47"/>
    </row>
    <row r="936">
      <c r="A936" s="168"/>
      <c r="C936" s="47"/>
    </row>
    <row r="937">
      <c r="A937" s="168"/>
      <c r="C937" s="47"/>
    </row>
    <row r="938">
      <c r="A938" s="168"/>
      <c r="C938" s="47"/>
    </row>
    <row r="939">
      <c r="A939" s="168"/>
      <c r="C939" s="47"/>
    </row>
    <row r="940">
      <c r="A940" s="168"/>
      <c r="C940" s="47"/>
    </row>
    <row r="941">
      <c r="A941" s="168"/>
      <c r="C941" s="47"/>
    </row>
    <row r="942">
      <c r="A942" s="168"/>
      <c r="C942" s="47"/>
    </row>
    <row r="943">
      <c r="A943" s="168"/>
      <c r="C943" s="47"/>
    </row>
    <row r="944">
      <c r="A944" s="168"/>
      <c r="C944" s="47"/>
    </row>
    <row r="945">
      <c r="A945" s="168"/>
      <c r="C945" s="47"/>
    </row>
    <row r="946">
      <c r="A946" s="168"/>
      <c r="C946" s="47"/>
    </row>
    <row r="947">
      <c r="A947" s="168"/>
      <c r="C947" s="47"/>
    </row>
    <row r="948">
      <c r="A948" s="168"/>
      <c r="C948" s="47"/>
    </row>
    <row r="949">
      <c r="A949" s="168"/>
      <c r="C949" s="47"/>
    </row>
    <row r="950">
      <c r="A950" s="168"/>
      <c r="C950" s="47"/>
    </row>
    <row r="951">
      <c r="A951" s="168"/>
      <c r="C951" s="47"/>
    </row>
    <row r="952">
      <c r="A952" s="168"/>
      <c r="C952" s="47"/>
    </row>
    <row r="953">
      <c r="A953" s="168"/>
      <c r="C953" s="47"/>
    </row>
    <row r="954">
      <c r="A954" s="168"/>
      <c r="C954" s="47"/>
    </row>
    <row r="955">
      <c r="A955" s="168"/>
      <c r="C955" s="47"/>
    </row>
    <row r="956">
      <c r="A956" s="168"/>
      <c r="C956" s="47"/>
    </row>
    <row r="957">
      <c r="A957" s="168"/>
      <c r="C957" s="47"/>
    </row>
    <row r="958">
      <c r="A958" s="168"/>
      <c r="C958" s="47"/>
    </row>
    <row r="959">
      <c r="A959" s="168"/>
      <c r="C959" s="47"/>
    </row>
    <row r="960">
      <c r="A960" s="168"/>
      <c r="C960" s="47"/>
    </row>
    <row r="961">
      <c r="A961" s="168"/>
      <c r="C961" s="47"/>
    </row>
    <row r="962">
      <c r="A962" s="168"/>
      <c r="C962" s="47"/>
    </row>
    <row r="963">
      <c r="A963" s="168"/>
      <c r="C963" s="47"/>
    </row>
    <row r="964">
      <c r="A964" s="168"/>
      <c r="C964" s="47"/>
    </row>
    <row r="965">
      <c r="A965" s="168"/>
      <c r="C965" s="47"/>
    </row>
    <row r="966">
      <c r="A966" s="168"/>
      <c r="C966" s="47"/>
    </row>
    <row r="967">
      <c r="A967" s="168"/>
      <c r="C967" s="47"/>
    </row>
    <row r="968">
      <c r="A968" s="168"/>
      <c r="C968" s="47"/>
    </row>
    <row r="969">
      <c r="A969" s="168"/>
      <c r="C969" s="47"/>
    </row>
    <row r="970">
      <c r="A970" s="168"/>
      <c r="C970" s="47"/>
    </row>
    <row r="971">
      <c r="A971" s="168"/>
      <c r="C971" s="47"/>
    </row>
    <row r="972">
      <c r="A972" s="168"/>
      <c r="C972" s="47"/>
    </row>
    <row r="973">
      <c r="A973" s="168"/>
      <c r="C973" s="47"/>
    </row>
    <row r="974">
      <c r="A974" s="168"/>
      <c r="C974" s="47"/>
    </row>
    <row r="975">
      <c r="A975" s="168"/>
      <c r="C975" s="47"/>
    </row>
    <row r="976">
      <c r="A976" s="168"/>
      <c r="C976" s="47"/>
    </row>
    <row r="977">
      <c r="A977" s="168"/>
      <c r="C977" s="47"/>
    </row>
    <row r="978">
      <c r="A978" s="168"/>
      <c r="C978" s="47"/>
    </row>
    <row r="979">
      <c r="A979" s="168"/>
      <c r="C979" s="47"/>
    </row>
    <row r="980">
      <c r="A980" s="168"/>
      <c r="C980" s="47"/>
    </row>
    <row r="981">
      <c r="A981" s="168"/>
      <c r="C981" s="47"/>
    </row>
    <row r="982">
      <c r="A982" s="168"/>
      <c r="C982" s="47"/>
    </row>
    <row r="983">
      <c r="A983" s="168"/>
      <c r="C983" s="47"/>
    </row>
    <row r="984">
      <c r="A984" s="168"/>
      <c r="C984" s="47"/>
    </row>
    <row r="985">
      <c r="A985" s="168"/>
      <c r="C985" s="47"/>
    </row>
    <row r="986">
      <c r="A986" s="168"/>
      <c r="C986" s="47"/>
    </row>
    <row r="987">
      <c r="A987" s="168"/>
      <c r="C987" s="47"/>
    </row>
    <row r="988">
      <c r="A988" s="168"/>
      <c r="C988" s="47"/>
    </row>
    <row r="989">
      <c r="A989" s="168"/>
      <c r="C989" s="47"/>
    </row>
    <row r="990">
      <c r="A990" s="168"/>
      <c r="C990" s="47"/>
    </row>
    <row r="991">
      <c r="A991" s="168"/>
      <c r="C991" s="47"/>
    </row>
    <row r="992">
      <c r="A992" s="168"/>
      <c r="C992" s="47"/>
    </row>
    <row r="993">
      <c r="A993" s="168"/>
      <c r="C993" s="47"/>
    </row>
    <row r="994">
      <c r="A994" s="168"/>
      <c r="C994" s="47"/>
    </row>
    <row r="995">
      <c r="A995" s="168"/>
      <c r="C995" s="47"/>
    </row>
    <row r="996">
      <c r="A996" s="168"/>
      <c r="C996" s="47"/>
    </row>
    <row r="997">
      <c r="A997" s="168"/>
      <c r="C997" s="47"/>
    </row>
    <row r="998">
      <c r="A998" s="168"/>
      <c r="C998" s="47"/>
    </row>
    <row r="999">
      <c r="A999" s="168"/>
      <c r="C999" s="47"/>
    </row>
    <row r="1000">
      <c r="A1000" s="168"/>
      <c r="C1000" s="47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3.38"/>
    <col customWidth="1" min="4" max="4" width="5.88"/>
    <col customWidth="1" min="5" max="5" width="8.38"/>
    <col customWidth="1" min="6" max="6" width="11.0"/>
    <col customWidth="1" min="7" max="7" width="5.63"/>
    <col customWidth="1" min="8" max="8" width="36.63"/>
  </cols>
  <sheetData>
    <row r="1">
      <c r="A1" s="170" t="s">
        <v>1036</v>
      </c>
      <c r="B1" s="171" t="s">
        <v>1835</v>
      </c>
      <c r="C1" s="170" t="s">
        <v>1836</v>
      </c>
      <c r="D1" s="170" t="s">
        <v>0</v>
      </c>
      <c r="E1" s="170" t="s">
        <v>71</v>
      </c>
      <c r="F1" s="170" t="s">
        <v>2</v>
      </c>
      <c r="G1" s="170" t="s">
        <v>72</v>
      </c>
      <c r="H1" s="172" t="s">
        <v>4</v>
      </c>
      <c r="I1" s="173" t="s">
        <v>5</v>
      </c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</row>
    <row r="2">
      <c r="A2" s="31">
        <v>0.0</v>
      </c>
      <c r="B2" s="97" t="s">
        <v>872</v>
      </c>
      <c r="C2" s="31" t="s">
        <v>1837</v>
      </c>
      <c r="D2" s="174" t="s">
        <v>95</v>
      </c>
      <c r="E2" s="175" t="s">
        <v>95</v>
      </c>
      <c r="F2" s="174" t="s">
        <v>95</v>
      </c>
      <c r="G2" s="174" t="s">
        <v>95</v>
      </c>
      <c r="H2" s="176" t="s">
        <v>95</v>
      </c>
      <c r="I2" s="34" t="s">
        <v>1838</v>
      </c>
    </row>
    <row r="3">
      <c r="A3" s="31">
        <v>0.0</v>
      </c>
      <c r="B3" s="31" t="s">
        <v>822</v>
      </c>
      <c r="C3" s="31" t="s">
        <v>1837</v>
      </c>
      <c r="D3" s="174" t="s">
        <v>95</v>
      </c>
      <c r="E3" s="175" t="s">
        <v>95</v>
      </c>
      <c r="F3" s="174" t="s">
        <v>95</v>
      </c>
      <c r="G3" s="174" t="s">
        <v>95</v>
      </c>
      <c r="H3" s="176" t="s">
        <v>95</v>
      </c>
      <c r="I3" s="34" t="s">
        <v>1839</v>
      </c>
    </row>
    <row r="4">
      <c r="A4" s="177">
        <v>1.0</v>
      </c>
      <c r="B4" s="177" t="s">
        <v>95</v>
      </c>
      <c r="C4" s="174" t="s">
        <v>95</v>
      </c>
      <c r="D4" s="178">
        <v>17.0</v>
      </c>
      <c r="E4" s="179" t="str">
        <f t="shared" ref="E4:E234" si="1">DEC2HEX(1826765+INT(D4/8))</f>
        <v>1BDFCF</v>
      </c>
      <c r="F4" s="178" t="str">
        <f t="shared" ref="F4:F234" si="2">DEC2HEX(10844576+HEX2DEC(E4),6)</f>
        <v>C1596F</v>
      </c>
      <c r="G4" s="178">
        <f t="shared" ref="G4:G234" si="3">MOD(D4,8)</f>
        <v>1</v>
      </c>
      <c r="H4" s="180" t="s">
        <v>98</v>
      </c>
      <c r="I4" s="38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>
      <c r="A5" s="177">
        <v>2.0</v>
      </c>
      <c r="B5" s="177" t="s">
        <v>95</v>
      </c>
      <c r="C5" s="177" t="s">
        <v>95</v>
      </c>
      <c r="D5" s="177">
        <v>18.0</v>
      </c>
      <c r="E5" s="179" t="str">
        <f t="shared" si="1"/>
        <v>1BDFCF</v>
      </c>
      <c r="F5" s="178" t="str">
        <f t="shared" si="2"/>
        <v>C1596F</v>
      </c>
      <c r="G5" s="178">
        <f t="shared" si="3"/>
        <v>2</v>
      </c>
      <c r="H5" s="180" t="s">
        <v>99</v>
      </c>
      <c r="I5" s="38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>
      <c r="A6" s="177">
        <v>3.0</v>
      </c>
      <c r="B6" s="177" t="s">
        <v>95</v>
      </c>
      <c r="C6" s="174" t="s">
        <v>95</v>
      </c>
      <c r="D6" s="178">
        <v>19.0</v>
      </c>
      <c r="E6" s="179" t="str">
        <f t="shared" si="1"/>
        <v>1BDFCF</v>
      </c>
      <c r="F6" s="178" t="str">
        <f t="shared" si="2"/>
        <v>C1596F</v>
      </c>
      <c r="G6" s="178">
        <f t="shared" si="3"/>
        <v>3</v>
      </c>
      <c r="H6" s="180" t="s">
        <v>100</v>
      </c>
      <c r="I6" s="38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>
      <c r="A7" s="177">
        <v>4.0</v>
      </c>
      <c r="B7" s="177" t="s">
        <v>95</v>
      </c>
      <c r="C7" s="177" t="s">
        <v>95</v>
      </c>
      <c r="D7" s="177">
        <v>20.0</v>
      </c>
      <c r="E7" s="179" t="str">
        <f t="shared" si="1"/>
        <v>1BDFCF</v>
      </c>
      <c r="F7" s="178" t="str">
        <f t="shared" si="2"/>
        <v>C1596F</v>
      </c>
      <c r="G7" s="178">
        <f t="shared" si="3"/>
        <v>4</v>
      </c>
      <c r="H7" s="180"/>
      <c r="I7" s="38"/>
      <c r="J7" s="181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>
      <c r="A8" s="177">
        <v>5.0</v>
      </c>
      <c r="B8" s="177" t="s">
        <v>95</v>
      </c>
      <c r="C8" s="174" t="s">
        <v>95</v>
      </c>
      <c r="D8" s="178">
        <v>21.0</v>
      </c>
      <c r="E8" s="179" t="str">
        <f t="shared" si="1"/>
        <v>1BDFCF</v>
      </c>
      <c r="F8" s="178" t="str">
        <f t="shared" si="2"/>
        <v>C1596F</v>
      </c>
      <c r="G8" s="178">
        <f t="shared" si="3"/>
        <v>5</v>
      </c>
      <c r="H8" s="180" t="s">
        <v>103</v>
      </c>
      <c r="I8" s="38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>
      <c r="A9" s="177">
        <v>6.0</v>
      </c>
      <c r="B9" s="177" t="s">
        <v>95</v>
      </c>
      <c r="C9" s="177" t="s">
        <v>95</v>
      </c>
      <c r="D9" s="177">
        <v>22.0</v>
      </c>
      <c r="E9" s="179" t="str">
        <f t="shared" si="1"/>
        <v>1BDFCF</v>
      </c>
      <c r="F9" s="178" t="str">
        <f t="shared" si="2"/>
        <v>C1596F</v>
      </c>
      <c r="G9" s="178">
        <f t="shared" si="3"/>
        <v>6</v>
      </c>
      <c r="H9" s="180" t="s">
        <v>104</v>
      </c>
      <c r="I9" s="38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>
      <c r="A10" s="177">
        <v>7.0</v>
      </c>
      <c r="B10" s="177" t="s">
        <v>95</v>
      </c>
      <c r="C10" s="174" t="s">
        <v>95</v>
      </c>
      <c r="D10" s="178">
        <v>23.0</v>
      </c>
      <c r="E10" s="179" t="str">
        <f t="shared" si="1"/>
        <v>1BDFCF</v>
      </c>
      <c r="F10" s="178" t="str">
        <f t="shared" si="2"/>
        <v>C1596F</v>
      </c>
      <c r="G10" s="178">
        <f t="shared" si="3"/>
        <v>7</v>
      </c>
      <c r="H10" s="180" t="s">
        <v>105</v>
      </c>
      <c r="I10" s="38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177">
        <v>8.0</v>
      </c>
      <c r="B11" s="177" t="s">
        <v>95</v>
      </c>
      <c r="C11" s="177" t="s">
        <v>95</v>
      </c>
      <c r="D11" s="177">
        <v>24.0</v>
      </c>
      <c r="E11" s="179" t="str">
        <f t="shared" si="1"/>
        <v>1BDFD0</v>
      </c>
      <c r="F11" s="178" t="str">
        <f t="shared" si="2"/>
        <v>C15970</v>
      </c>
      <c r="G11" s="178">
        <f t="shared" si="3"/>
        <v>0</v>
      </c>
      <c r="H11" s="180" t="s">
        <v>106</v>
      </c>
      <c r="I11" s="38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>
      <c r="A12" s="177">
        <v>9.0</v>
      </c>
      <c r="B12" s="177" t="s">
        <v>95</v>
      </c>
      <c r="C12" s="174" t="s">
        <v>95</v>
      </c>
      <c r="D12" s="178">
        <v>25.0</v>
      </c>
      <c r="E12" s="179" t="str">
        <f t="shared" si="1"/>
        <v>1BDFD0</v>
      </c>
      <c r="F12" s="178" t="str">
        <f t="shared" si="2"/>
        <v>C15970</v>
      </c>
      <c r="G12" s="178">
        <f t="shared" si="3"/>
        <v>1</v>
      </c>
      <c r="H12" s="180" t="s">
        <v>107</v>
      </c>
      <c r="I12" s="38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>
      <c r="A13" s="177">
        <v>10.0</v>
      </c>
      <c r="B13" s="177" t="s">
        <v>95</v>
      </c>
      <c r="C13" s="177" t="s">
        <v>95</v>
      </c>
      <c r="D13" s="177">
        <v>26.0</v>
      </c>
      <c r="E13" s="179" t="str">
        <f t="shared" si="1"/>
        <v>1BDFD0</v>
      </c>
      <c r="F13" s="178" t="str">
        <f t="shared" si="2"/>
        <v>C15970</v>
      </c>
      <c r="G13" s="178">
        <f t="shared" si="3"/>
        <v>2</v>
      </c>
      <c r="H13" s="180" t="s">
        <v>108</v>
      </c>
      <c r="I13" s="38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>
      <c r="A14" s="177">
        <v>11.0</v>
      </c>
      <c r="B14" s="177" t="s">
        <v>95</v>
      </c>
      <c r="C14" s="174" t="s">
        <v>95</v>
      </c>
      <c r="D14" s="178">
        <v>27.0</v>
      </c>
      <c r="E14" s="179" t="str">
        <f t="shared" si="1"/>
        <v>1BDFD0</v>
      </c>
      <c r="F14" s="178" t="str">
        <f t="shared" si="2"/>
        <v>C15970</v>
      </c>
      <c r="G14" s="178">
        <f t="shared" si="3"/>
        <v>3</v>
      </c>
      <c r="H14" s="180" t="s">
        <v>109</v>
      </c>
      <c r="I14" s="38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>
      <c r="A15" s="177">
        <v>12.0</v>
      </c>
      <c r="B15" s="177" t="s">
        <v>95</v>
      </c>
      <c r="C15" s="177" t="s">
        <v>95</v>
      </c>
      <c r="D15" s="177">
        <v>28.0</v>
      </c>
      <c r="E15" s="179" t="str">
        <f t="shared" si="1"/>
        <v>1BDFD0</v>
      </c>
      <c r="F15" s="178" t="str">
        <f t="shared" si="2"/>
        <v>C15970</v>
      </c>
      <c r="G15" s="178">
        <f t="shared" si="3"/>
        <v>4</v>
      </c>
      <c r="H15" s="180" t="s">
        <v>110</v>
      </c>
      <c r="I15" s="38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>
      <c r="A16" s="177">
        <v>13.0</v>
      </c>
      <c r="B16" s="177" t="s">
        <v>95</v>
      </c>
      <c r="C16" s="174" t="s">
        <v>95</v>
      </c>
      <c r="D16" s="178">
        <v>29.0</v>
      </c>
      <c r="E16" s="179" t="str">
        <f t="shared" si="1"/>
        <v>1BDFD0</v>
      </c>
      <c r="F16" s="178" t="str">
        <f t="shared" si="2"/>
        <v>C15970</v>
      </c>
      <c r="G16" s="178">
        <f t="shared" si="3"/>
        <v>5</v>
      </c>
      <c r="H16" s="180" t="s">
        <v>111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>
      <c r="A17" s="177">
        <v>14.0</v>
      </c>
      <c r="B17" s="177" t="s">
        <v>95</v>
      </c>
      <c r="C17" s="177" t="s">
        <v>95</v>
      </c>
      <c r="D17" s="177">
        <v>30.0</v>
      </c>
      <c r="E17" s="179" t="str">
        <f t="shared" si="1"/>
        <v>1BDFD0</v>
      </c>
      <c r="F17" s="178" t="str">
        <f t="shared" si="2"/>
        <v>C15970</v>
      </c>
      <c r="G17" s="178">
        <f t="shared" si="3"/>
        <v>6</v>
      </c>
      <c r="H17" s="180" t="s">
        <v>112</v>
      </c>
      <c r="I17" s="38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>
      <c r="A18" s="177">
        <v>15.0</v>
      </c>
      <c r="B18" s="177" t="s">
        <v>95</v>
      </c>
      <c r="C18" s="174" t="s">
        <v>95</v>
      </c>
      <c r="D18" s="178">
        <v>31.0</v>
      </c>
      <c r="E18" s="179" t="str">
        <f t="shared" si="1"/>
        <v>1BDFD0</v>
      </c>
      <c r="F18" s="178" t="str">
        <f t="shared" si="2"/>
        <v>C15970</v>
      </c>
      <c r="G18" s="178">
        <f t="shared" si="3"/>
        <v>7</v>
      </c>
      <c r="H18" s="180" t="s">
        <v>113</v>
      </c>
      <c r="I18" s="38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>
      <c r="A19" s="177">
        <v>16.0</v>
      </c>
      <c r="B19" s="177" t="s">
        <v>95</v>
      </c>
      <c r="C19" s="177" t="s">
        <v>95</v>
      </c>
      <c r="D19" s="177">
        <v>32.0</v>
      </c>
      <c r="E19" s="179" t="str">
        <f t="shared" si="1"/>
        <v>1BDFD1</v>
      </c>
      <c r="F19" s="178" t="str">
        <f t="shared" si="2"/>
        <v>C15971</v>
      </c>
      <c r="G19" s="178">
        <f t="shared" si="3"/>
        <v>0</v>
      </c>
      <c r="H19" s="180" t="s">
        <v>114</v>
      </c>
      <c r="I19" s="38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>
      <c r="A20" s="177">
        <v>17.0</v>
      </c>
      <c r="B20" s="177" t="s">
        <v>95</v>
      </c>
      <c r="C20" s="174" t="s">
        <v>95</v>
      </c>
      <c r="D20" s="178">
        <v>33.0</v>
      </c>
      <c r="E20" s="179" t="str">
        <f t="shared" si="1"/>
        <v>1BDFD1</v>
      </c>
      <c r="F20" s="178" t="str">
        <f t="shared" si="2"/>
        <v>C15971</v>
      </c>
      <c r="G20" s="178">
        <f t="shared" si="3"/>
        <v>1</v>
      </c>
      <c r="H20" s="180" t="s">
        <v>115</v>
      </c>
      <c r="I20" s="38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>
      <c r="A21" s="177">
        <v>18.0</v>
      </c>
      <c r="B21" s="177" t="s">
        <v>95</v>
      </c>
      <c r="C21" s="177" t="s">
        <v>95</v>
      </c>
      <c r="D21" s="177">
        <v>34.0</v>
      </c>
      <c r="E21" s="179" t="str">
        <f t="shared" si="1"/>
        <v>1BDFD1</v>
      </c>
      <c r="F21" s="178" t="str">
        <f t="shared" si="2"/>
        <v>C15971</v>
      </c>
      <c r="G21" s="178">
        <f t="shared" si="3"/>
        <v>2</v>
      </c>
      <c r="H21" s="180" t="s">
        <v>116</v>
      </c>
      <c r="I21" s="38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>
      <c r="A22" s="177">
        <v>19.0</v>
      </c>
      <c r="B22" s="177" t="s">
        <v>95</v>
      </c>
      <c r="C22" s="174" t="s">
        <v>95</v>
      </c>
      <c r="D22" s="178">
        <v>35.0</v>
      </c>
      <c r="E22" s="179" t="str">
        <f t="shared" si="1"/>
        <v>1BDFD1</v>
      </c>
      <c r="F22" s="178" t="str">
        <f t="shared" si="2"/>
        <v>C15971</v>
      </c>
      <c r="G22" s="178">
        <f t="shared" si="3"/>
        <v>3</v>
      </c>
      <c r="H22" s="180" t="s">
        <v>117</v>
      </c>
      <c r="I22" s="38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>
      <c r="A23" s="177">
        <v>20.0</v>
      </c>
      <c r="B23" s="177" t="s">
        <v>95</v>
      </c>
      <c r="C23" s="177" t="s">
        <v>95</v>
      </c>
      <c r="D23" s="177">
        <v>36.0</v>
      </c>
      <c r="E23" s="179" t="str">
        <f t="shared" si="1"/>
        <v>1BDFD1</v>
      </c>
      <c r="F23" s="178" t="str">
        <f t="shared" si="2"/>
        <v>C15971</v>
      </c>
      <c r="G23" s="178">
        <f t="shared" si="3"/>
        <v>4</v>
      </c>
      <c r="H23" s="180" t="s">
        <v>118</v>
      </c>
      <c r="I23" s="38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>
      <c r="A24" s="177">
        <v>21.0</v>
      </c>
      <c r="B24" s="177" t="s">
        <v>95</v>
      </c>
      <c r="C24" s="174" t="s">
        <v>95</v>
      </c>
      <c r="D24" s="178">
        <v>37.0</v>
      </c>
      <c r="E24" s="179" t="str">
        <f t="shared" si="1"/>
        <v>1BDFD1</v>
      </c>
      <c r="F24" s="178" t="str">
        <f t="shared" si="2"/>
        <v>C15971</v>
      </c>
      <c r="G24" s="178">
        <f t="shared" si="3"/>
        <v>5</v>
      </c>
      <c r="H24" s="180" t="s">
        <v>119</v>
      </c>
      <c r="I24" s="38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>
      <c r="A25" s="177">
        <v>22.0</v>
      </c>
      <c r="B25" s="177" t="s">
        <v>95</v>
      </c>
      <c r="C25" s="177" t="s">
        <v>95</v>
      </c>
      <c r="D25" s="177">
        <v>38.0</v>
      </c>
      <c r="E25" s="179" t="str">
        <f t="shared" si="1"/>
        <v>1BDFD1</v>
      </c>
      <c r="F25" s="178" t="str">
        <f t="shared" si="2"/>
        <v>C15971</v>
      </c>
      <c r="G25" s="178">
        <f t="shared" si="3"/>
        <v>6</v>
      </c>
      <c r="H25" s="180"/>
      <c r="I25" s="38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>
      <c r="A26" s="177">
        <v>23.0</v>
      </c>
      <c r="B26" s="177" t="s">
        <v>95</v>
      </c>
      <c r="C26" s="174" t="s">
        <v>95</v>
      </c>
      <c r="D26" s="178">
        <v>39.0</v>
      </c>
      <c r="E26" s="179" t="str">
        <f t="shared" si="1"/>
        <v>1BDFD1</v>
      </c>
      <c r="F26" s="178" t="str">
        <f t="shared" si="2"/>
        <v>C15971</v>
      </c>
      <c r="G26" s="178">
        <f t="shared" si="3"/>
        <v>7</v>
      </c>
      <c r="H26" s="180"/>
      <c r="I26" s="38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>
      <c r="A27" s="177">
        <v>24.0</v>
      </c>
      <c r="B27" s="177" t="s">
        <v>95</v>
      </c>
      <c r="C27" s="177" t="s">
        <v>95</v>
      </c>
      <c r="D27" s="177">
        <v>40.0</v>
      </c>
      <c r="E27" s="179" t="str">
        <f t="shared" si="1"/>
        <v>1BDFD2</v>
      </c>
      <c r="F27" s="178" t="str">
        <f t="shared" si="2"/>
        <v>C15972</v>
      </c>
      <c r="G27" s="178">
        <f t="shared" si="3"/>
        <v>0</v>
      </c>
      <c r="H27" s="180" t="s">
        <v>120</v>
      </c>
      <c r="I27" s="38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>
      <c r="A28" s="177">
        <v>25.0</v>
      </c>
      <c r="B28" s="177" t="s">
        <v>95</v>
      </c>
      <c r="C28" s="174" t="s">
        <v>95</v>
      </c>
      <c r="D28" s="178">
        <v>41.0</v>
      </c>
      <c r="E28" s="179" t="str">
        <f t="shared" si="1"/>
        <v>1BDFD2</v>
      </c>
      <c r="F28" s="178" t="str">
        <f t="shared" si="2"/>
        <v>C15972</v>
      </c>
      <c r="G28" s="178">
        <f t="shared" si="3"/>
        <v>1</v>
      </c>
      <c r="H28" s="180" t="s">
        <v>122</v>
      </c>
      <c r="I28" s="38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>
      <c r="A29" s="177">
        <v>26.0</v>
      </c>
      <c r="B29" s="177" t="s">
        <v>95</v>
      </c>
      <c r="C29" s="177" t="s">
        <v>95</v>
      </c>
      <c r="D29" s="177">
        <v>42.0</v>
      </c>
      <c r="E29" s="179" t="str">
        <f t="shared" si="1"/>
        <v>1BDFD2</v>
      </c>
      <c r="F29" s="178" t="str">
        <f t="shared" si="2"/>
        <v>C15972</v>
      </c>
      <c r="G29" s="178">
        <f t="shared" si="3"/>
        <v>2</v>
      </c>
      <c r="H29" s="180"/>
      <c r="I29" s="38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>
      <c r="A30" s="177">
        <v>27.0</v>
      </c>
      <c r="B30" s="177" t="s">
        <v>95</v>
      </c>
      <c r="C30" s="174" t="s">
        <v>95</v>
      </c>
      <c r="D30" s="178">
        <v>43.0</v>
      </c>
      <c r="E30" s="179" t="str">
        <f t="shared" si="1"/>
        <v>1BDFD2</v>
      </c>
      <c r="F30" s="178" t="str">
        <f t="shared" si="2"/>
        <v>C15972</v>
      </c>
      <c r="G30" s="178">
        <f t="shared" si="3"/>
        <v>3</v>
      </c>
      <c r="H30" s="180" t="s">
        <v>124</v>
      </c>
      <c r="I30" s="38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>
      <c r="A31" s="177">
        <v>28.0</v>
      </c>
      <c r="B31" s="177" t="s">
        <v>95</v>
      </c>
      <c r="C31" s="177" t="s">
        <v>95</v>
      </c>
      <c r="D31" s="177">
        <v>44.0</v>
      </c>
      <c r="E31" s="179" t="str">
        <f t="shared" si="1"/>
        <v>1BDFD2</v>
      </c>
      <c r="F31" s="178" t="str">
        <f t="shared" si="2"/>
        <v>C15972</v>
      </c>
      <c r="G31" s="178">
        <f t="shared" si="3"/>
        <v>4</v>
      </c>
      <c r="H31" s="180" t="s">
        <v>1840</v>
      </c>
      <c r="I31" s="38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>
      <c r="A32" s="177">
        <v>29.0</v>
      </c>
      <c r="B32" s="177" t="s">
        <v>95</v>
      </c>
      <c r="C32" s="174" t="s">
        <v>95</v>
      </c>
      <c r="D32" s="178">
        <v>45.0</v>
      </c>
      <c r="E32" s="179" t="str">
        <f t="shared" si="1"/>
        <v>1BDFD2</v>
      </c>
      <c r="F32" s="178" t="str">
        <f t="shared" si="2"/>
        <v>C15972</v>
      </c>
      <c r="G32" s="178">
        <f t="shared" si="3"/>
        <v>5</v>
      </c>
      <c r="H32" s="180" t="s">
        <v>126</v>
      </c>
      <c r="I32" s="38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>
      <c r="A33" s="177">
        <v>30.0</v>
      </c>
      <c r="B33" s="177" t="s">
        <v>95</v>
      </c>
      <c r="C33" s="177" t="s">
        <v>95</v>
      </c>
      <c r="D33" s="177">
        <v>46.0</v>
      </c>
      <c r="E33" s="179" t="str">
        <f t="shared" si="1"/>
        <v>1BDFD2</v>
      </c>
      <c r="F33" s="178" t="str">
        <f t="shared" si="2"/>
        <v>C15972</v>
      </c>
      <c r="G33" s="178">
        <f t="shared" si="3"/>
        <v>6</v>
      </c>
      <c r="H33" s="180" t="s">
        <v>127</v>
      </c>
      <c r="I33" s="38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>
      <c r="A34" s="177">
        <v>31.0</v>
      </c>
      <c r="B34" s="177" t="s">
        <v>95</v>
      </c>
      <c r="C34" s="174" t="s">
        <v>95</v>
      </c>
      <c r="D34" s="178">
        <v>47.0</v>
      </c>
      <c r="E34" s="179" t="str">
        <f t="shared" si="1"/>
        <v>1BDFD2</v>
      </c>
      <c r="F34" s="178" t="str">
        <f t="shared" si="2"/>
        <v>C15972</v>
      </c>
      <c r="G34" s="178">
        <f t="shared" si="3"/>
        <v>7</v>
      </c>
      <c r="H34" s="180" t="s">
        <v>128</v>
      </c>
      <c r="I34" s="38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>
      <c r="A35" s="177">
        <v>32.0</v>
      </c>
      <c r="B35" s="177" t="s">
        <v>95</v>
      </c>
      <c r="C35" s="177" t="s">
        <v>95</v>
      </c>
      <c r="D35" s="177">
        <v>48.0</v>
      </c>
      <c r="E35" s="179" t="str">
        <f t="shared" si="1"/>
        <v>1BDFD3</v>
      </c>
      <c r="F35" s="178" t="str">
        <f t="shared" si="2"/>
        <v>C15973</v>
      </c>
      <c r="G35" s="178">
        <f t="shared" si="3"/>
        <v>0</v>
      </c>
      <c r="H35" s="180" t="s">
        <v>130</v>
      </c>
      <c r="I35" s="38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>
      <c r="A36" s="177">
        <v>33.0</v>
      </c>
      <c r="B36" s="177" t="s">
        <v>95</v>
      </c>
      <c r="C36" s="174" t="s">
        <v>95</v>
      </c>
      <c r="D36" s="178">
        <v>49.0</v>
      </c>
      <c r="E36" s="179" t="str">
        <f t="shared" si="1"/>
        <v>1BDFD3</v>
      </c>
      <c r="F36" s="178" t="str">
        <f t="shared" si="2"/>
        <v>C15973</v>
      </c>
      <c r="G36" s="178">
        <f t="shared" si="3"/>
        <v>1</v>
      </c>
      <c r="H36" s="180" t="s">
        <v>1841</v>
      </c>
      <c r="I36" s="38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>
      <c r="A37" s="177">
        <v>34.0</v>
      </c>
      <c r="B37" s="177" t="s">
        <v>95</v>
      </c>
      <c r="C37" s="177" t="s">
        <v>95</v>
      </c>
      <c r="D37" s="177">
        <v>50.0</v>
      </c>
      <c r="E37" s="179" t="str">
        <f t="shared" si="1"/>
        <v>1BDFD3</v>
      </c>
      <c r="F37" s="178" t="str">
        <f t="shared" si="2"/>
        <v>C15973</v>
      </c>
      <c r="G37" s="178">
        <f t="shared" si="3"/>
        <v>2</v>
      </c>
      <c r="H37" s="180" t="s">
        <v>133</v>
      </c>
      <c r="I37" s="38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>
      <c r="A38" s="177">
        <v>35.0</v>
      </c>
      <c r="B38" s="177" t="s">
        <v>95</v>
      </c>
      <c r="C38" s="174" t="s">
        <v>95</v>
      </c>
      <c r="D38" s="178">
        <v>51.0</v>
      </c>
      <c r="E38" s="179" t="str">
        <f t="shared" si="1"/>
        <v>1BDFD3</v>
      </c>
      <c r="F38" s="178" t="str">
        <f t="shared" si="2"/>
        <v>C15973</v>
      </c>
      <c r="G38" s="178">
        <f t="shared" si="3"/>
        <v>3</v>
      </c>
      <c r="H38" s="180" t="s">
        <v>135</v>
      </c>
      <c r="I38" s="38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>
      <c r="A39" s="177">
        <v>36.0</v>
      </c>
      <c r="B39" s="177" t="s">
        <v>95</v>
      </c>
      <c r="C39" s="177" t="s">
        <v>95</v>
      </c>
      <c r="D39" s="177">
        <v>52.0</v>
      </c>
      <c r="E39" s="179" t="str">
        <f t="shared" si="1"/>
        <v>1BDFD3</v>
      </c>
      <c r="F39" s="178" t="str">
        <f t="shared" si="2"/>
        <v>C15973</v>
      </c>
      <c r="G39" s="178">
        <f t="shared" si="3"/>
        <v>4</v>
      </c>
      <c r="H39" s="180" t="s">
        <v>1842</v>
      </c>
      <c r="I39" s="38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>
      <c r="A40" s="177">
        <v>37.0</v>
      </c>
      <c r="B40" s="177" t="s">
        <v>95</v>
      </c>
      <c r="C40" s="174" t="s">
        <v>95</v>
      </c>
      <c r="D40" s="178">
        <v>53.0</v>
      </c>
      <c r="E40" s="179" t="str">
        <f t="shared" si="1"/>
        <v>1BDFD3</v>
      </c>
      <c r="F40" s="178" t="str">
        <f t="shared" si="2"/>
        <v>C15973</v>
      </c>
      <c r="G40" s="178">
        <f t="shared" si="3"/>
        <v>5</v>
      </c>
      <c r="H40" s="180" t="s">
        <v>138</v>
      </c>
      <c r="I40" s="38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>
      <c r="A41" s="177">
        <v>38.0</v>
      </c>
      <c r="B41" s="177" t="s">
        <v>95</v>
      </c>
      <c r="C41" s="177" t="s">
        <v>95</v>
      </c>
      <c r="D41" s="177">
        <v>54.0</v>
      </c>
      <c r="E41" s="179" t="str">
        <f t="shared" si="1"/>
        <v>1BDFD3</v>
      </c>
      <c r="F41" s="178" t="str">
        <f t="shared" si="2"/>
        <v>C15973</v>
      </c>
      <c r="G41" s="178">
        <f t="shared" si="3"/>
        <v>6</v>
      </c>
      <c r="H41" s="180" t="s">
        <v>139</v>
      </c>
      <c r="I41" s="38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>
      <c r="A42" s="177">
        <v>39.0</v>
      </c>
      <c r="B42" s="177" t="s">
        <v>95</v>
      </c>
      <c r="C42" s="174" t="s">
        <v>95</v>
      </c>
      <c r="D42" s="178">
        <v>55.0</v>
      </c>
      <c r="E42" s="179" t="str">
        <f t="shared" si="1"/>
        <v>1BDFD3</v>
      </c>
      <c r="F42" s="178" t="str">
        <f t="shared" si="2"/>
        <v>C15973</v>
      </c>
      <c r="G42" s="178">
        <f t="shared" si="3"/>
        <v>7</v>
      </c>
      <c r="H42" s="180" t="s">
        <v>140</v>
      </c>
      <c r="I42" s="38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>
      <c r="A43" s="177">
        <v>40.0</v>
      </c>
      <c r="B43" s="177" t="s">
        <v>95</v>
      </c>
      <c r="C43" s="177" t="s">
        <v>95</v>
      </c>
      <c r="D43" s="177">
        <v>56.0</v>
      </c>
      <c r="E43" s="179" t="str">
        <f t="shared" si="1"/>
        <v>1BDFD4</v>
      </c>
      <c r="F43" s="178" t="str">
        <f t="shared" si="2"/>
        <v>C15974</v>
      </c>
      <c r="G43" s="178">
        <f t="shared" si="3"/>
        <v>0</v>
      </c>
      <c r="H43" s="180" t="s">
        <v>1843</v>
      </c>
      <c r="I43" s="38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>
      <c r="A44" s="31">
        <v>41.0</v>
      </c>
      <c r="B44" s="99" t="s">
        <v>834</v>
      </c>
      <c r="C44" s="174">
        <v>136.0</v>
      </c>
      <c r="D44" s="3">
        <v>57.0</v>
      </c>
      <c r="E44" s="182" t="str">
        <f t="shared" si="1"/>
        <v>1BDFD4</v>
      </c>
      <c r="F44" s="3" t="str">
        <f t="shared" si="2"/>
        <v>C15974</v>
      </c>
      <c r="G44" s="3">
        <f t="shared" si="3"/>
        <v>1</v>
      </c>
      <c r="H44" s="183"/>
      <c r="I44" s="44"/>
    </row>
    <row r="45">
      <c r="A45" s="177">
        <v>42.0</v>
      </c>
      <c r="B45" s="184" t="s">
        <v>793</v>
      </c>
      <c r="C45" s="177" t="s">
        <v>95</v>
      </c>
      <c r="D45" s="177">
        <v>58.0</v>
      </c>
      <c r="E45" s="179" t="str">
        <f t="shared" si="1"/>
        <v>1BDFD4</v>
      </c>
      <c r="F45" s="178" t="str">
        <f t="shared" si="2"/>
        <v>C15974</v>
      </c>
      <c r="G45" s="178">
        <f t="shared" si="3"/>
        <v>2</v>
      </c>
      <c r="H45" s="180" t="s">
        <v>142</v>
      </c>
      <c r="I45" s="38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>
      <c r="A46" s="31">
        <v>43.0</v>
      </c>
      <c r="B46" s="99" t="s">
        <v>788</v>
      </c>
      <c r="C46" s="174">
        <v>140.0</v>
      </c>
      <c r="D46" s="3">
        <v>59.0</v>
      </c>
      <c r="E46" s="182" t="str">
        <f t="shared" si="1"/>
        <v>1BDFD4</v>
      </c>
      <c r="F46" s="3" t="str">
        <f t="shared" si="2"/>
        <v>C15974</v>
      </c>
      <c r="G46" s="3">
        <f t="shared" si="3"/>
        <v>3</v>
      </c>
      <c r="H46" s="183" t="s">
        <v>143</v>
      </c>
      <c r="I46" s="44"/>
    </row>
    <row r="47">
      <c r="A47" s="177">
        <v>44.0</v>
      </c>
      <c r="B47" s="184" t="s">
        <v>1390</v>
      </c>
      <c r="C47" s="177" t="s">
        <v>95</v>
      </c>
      <c r="D47" s="177">
        <v>60.0</v>
      </c>
      <c r="E47" s="179" t="str">
        <f t="shared" si="1"/>
        <v>1BDFD4</v>
      </c>
      <c r="F47" s="178" t="str">
        <f t="shared" si="2"/>
        <v>C15974</v>
      </c>
      <c r="G47" s="178">
        <f t="shared" si="3"/>
        <v>4</v>
      </c>
      <c r="H47" s="180"/>
      <c r="I47" s="38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>
      <c r="A48" s="31">
        <v>45.0</v>
      </c>
      <c r="B48" s="99" t="s">
        <v>796</v>
      </c>
      <c r="C48" s="174">
        <v>144.0</v>
      </c>
      <c r="D48" s="3">
        <v>61.0</v>
      </c>
      <c r="E48" s="182" t="str">
        <f t="shared" si="1"/>
        <v>1BDFD4</v>
      </c>
      <c r="F48" s="3" t="str">
        <f t="shared" si="2"/>
        <v>C15974</v>
      </c>
      <c r="G48" s="3">
        <f t="shared" si="3"/>
        <v>5</v>
      </c>
      <c r="H48" s="183"/>
      <c r="I48" s="44"/>
    </row>
    <row r="49">
      <c r="A49" s="177">
        <v>46.0</v>
      </c>
      <c r="B49" s="184" t="s">
        <v>815</v>
      </c>
      <c r="C49" s="177" t="s">
        <v>95</v>
      </c>
      <c r="D49" s="177">
        <v>62.0</v>
      </c>
      <c r="E49" s="179" t="str">
        <f t="shared" si="1"/>
        <v>1BDFD4</v>
      </c>
      <c r="F49" s="178" t="str">
        <f t="shared" si="2"/>
        <v>C15974</v>
      </c>
      <c r="G49" s="178">
        <f t="shared" si="3"/>
        <v>6</v>
      </c>
      <c r="H49" s="180"/>
      <c r="I49" s="38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>
      <c r="A50" s="31">
        <v>47.0</v>
      </c>
      <c r="B50" s="99" t="s">
        <v>792</v>
      </c>
      <c r="C50" s="174">
        <v>148.0</v>
      </c>
      <c r="D50" s="3">
        <v>63.0</v>
      </c>
      <c r="E50" s="182" t="str">
        <f t="shared" si="1"/>
        <v>1BDFD4</v>
      </c>
      <c r="F50" s="3" t="str">
        <f t="shared" si="2"/>
        <v>C15974</v>
      </c>
      <c r="G50" s="3">
        <f t="shared" si="3"/>
        <v>7</v>
      </c>
      <c r="H50" s="183"/>
      <c r="I50" s="44"/>
    </row>
    <row r="51">
      <c r="A51" s="177">
        <v>48.0</v>
      </c>
      <c r="B51" s="184" t="s">
        <v>860</v>
      </c>
      <c r="C51" s="177" t="s">
        <v>95</v>
      </c>
      <c r="D51" s="177">
        <v>64.0</v>
      </c>
      <c r="E51" s="179" t="str">
        <f t="shared" si="1"/>
        <v>1BDFD5</v>
      </c>
      <c r="F51" s="178" t="str">
        <f t="shared" si="2"/>
        <v>C15975</v>
      </c>
      <c r="G51" s="178">
        <f t="shared" si="3"/>
        <v>0</v>
      </c>
      <c r="H51" s="180" t="s">
        <v>146</v>
      </c>
      <c r="I51" s="38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>
      <c r="A52" s="31">
        <v>49.0</v>
      </c>
      <c r="B52" s="99" t="s">
        <v>846</v>
      </c>
      <c r="C52" s="174">
        <v>152.0</v>
      </c>
      <c r="D52" s="3">
        <v>65.0</v>
      </c>
      <c r="E52" s="182" t="str">
        <f t="shared" si="1"/>
        <v>1BDFD5</v>
      </c>
      <c r="F52" s="3" t="str">
        <f t="shared" si="2"/>
        <v>C15975</v>
      </c>
      <c r="G52" s="3">
        <f t="shared" si="3"/>
        <v>1</v>
      </c>
      <c r="H52" s="183"/>
      <c r="I52" s="44"/>
    </row>
    <row r="53">
      <c r="A53" s="177">
        <v>50.0</v>
      </c>
      <c r="B53" s="184" t="s">
        <v>835</v>
      </c>
      <c r="C53" s="177" t="s">
        <v>95</v>
      </c>
      <c r="D53" s="177">
        <v>66.0</v>
      </c>
      <c r="E53" s="179" t="str">
        <f t="shared" si="1"/>
        <v>1BDFD5</v>
      </c>
      <c r="F53" s="178" t="str">
        <f t="shared" si="2"/>
        <v>C15975</v>
      </c>
      <c r="G53" s="178">
        <f t="shared" si="3"/>
        <v>2</v>
      </c>
      <c r="H53" s="180"/>
      <c r="I53" s="38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>
      <c r="A54" s="31">
        <v>51.0</v>
      </c>
      <c r="B54" s="99" t="s">
        <v>1421</v>
      </c>
      <c r="C54" s="174">
        <v>156.0</v>
      </c>
      <c r="D54" s="3">
        <v>67.0</v>
      </c>
      <c r="E54" s="182" t="str">
        <f t="shared" si="1"/>
        <v>1BDFD5</v>
      </c>
      <c r="F54" s="3" t="str">
        <f t="shared" si="2"/>
        <v>C15975</v>
      </c>
      <c r="G54" s="3">
        <f t="shared" si="3"/>
        <v>3</v>
      </c>
      <c r="H54" s="183"/>
      <c r="I54" s="44"/>
    </row>
    <row r="55">
      <c r="A55" s="177">
        <v>52.0</v>
      </c>
      <c r="B55" s="184" t="s">
        <v>778</v>
      </c>
      <c r="C55" s="177" t="s">
        <v>95</v>
      </c>
      <c r="D55" s="177">
        <v>68.0</v>
      </c>
      <c r="E55" s="179" t="str">
        <f t="shared" si="1"/>
        <v>1BDFD5</v>
      </c>
      <c r="F55" s="178" t="str">
        <f t="shared" si="2"/>
        <v>C15975</v>
      </c>
      <c r="G55" s="178">
        <f t="shared" si="3"/>
        <v>4</v>
      </c>
      <c r="H55" s="180"/>
      <c r="I55" s="38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>
      <c r="A56" s="31">
        <v>53.0</v>
      </c>
      <c r="B56" s="99" t="s">
        <v>1428</v>
      </c>
      <c r="C56" s="174">
        <v>160.0</v>
      </c>
      <c r="D56" s="3">
        <v>69.0</v>
      </c>
      <c r="E56" s="182" t="str">
        <f t="shared" si="1"/>
        <v>1BDFD5</v>
      </c>
      <c r="F56" s="3" t="str">
        <f t="shared" si="2"/>
        <v>C15975</v>
      </c>
      <c r="G56" s="3">
        <f t="shared" si="3"/>
        <v>5</v>
      </c>
      <c r="H56" s="183"/>
      <c r="I56" s="44"/>
    </row>
    <row r="57">
      <c r="A57" s="177">
        <v>54.0</v>
      </c>
      <c r="B57" s="184" t="s">
        <v>842</v>
      </c>
      <c r="C57" s="177" t="s">
        <v>95</v>
      </c>
      <c r="D57" s="177">
        <v>70.0</v>
      </c>
      <c r="E57" s="179" t="str">
        <f t="shared" si="1"/>
        <v>1BDFD5</v>
      </c>
      <c r="F57" s="178" t="str">
        <f t="shared" si="2"/>
        <v>C15975</v>
      </c>
      <c r="G57" s="178">
        <f t="shared" si="3"/>
        <v>6</v>
      </c>
      <c r="H57" s="180"/>
      <c r="I57" s="38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>
      <c r="A58" s="31">
        <v>55.0</v>
      </c>
      <c r="B58" s="99" t="s">
        <v>820</v>
      </c>
      <c r="C58" s="174">
        <v>164.0</v>
      </c>
      <c r="D58" s="3">
        <v>71.0</v>
      </c>
      <c r="E58" s="182" t="str">
        <f t="shared" si="1"/>
        <v>1BDFD5</v>
      </c>
      <c r="F58" s="3" t="str">
        <f t="shared" si="2"/>
        <v>C15975</v>
      </c>
      <c r="G58" s="3">
        <f t="shared" si="3"/>
        <v>7</v>
      </c>
      <c r="H58" s="183"/>
      <c r="I58" s="44"/>
    </row>
    <row r="59">
      <c r="A59" s="177">
        <v>56.0</v>
      </c>
      <c r="B59" s="184" t="s">
        <v>1437</v>
      </c>
      <c r="C59" s="177" t="s">
        <v>95</v>
      </c>
      <c r="D59" s="177">
        <v>72.0</v>
      </c>
      <c r="E59" s="179" t="str">
        <f t="shared" si="1"/>
        <v>1BDFD6</v>
      </c>
      <c r="F59" s="178" t="str">
        <f t="shared" si="2"/>
        <v>C15976</v>
      </c>
      <c r="G59" s="178">
        <f t="shared" si="3"/>
        <v>0</v>
      </c>
      <c r="H59" s="180"/>
      <c r="I59" s="38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>
      <c r="A60" s="31">
        <v>57.0</v>
      </c>
      <c r="B60" s="99" t="s">
        <v>1441</v>
      </c>
      <c r="C60" s="174">
        <v>168.0</v>
      </c>
      <c r="D60" s="3">
        <v>73.0</v>
      </c>
      <c r="E60" s="182" t="str">
        <f t="shared" si="1"/>
        <v>1BDFD6</v>
      </c>
      <c r="F60" s="3" t="str">
        <f t="shared" si="2"/>
        <v>C15976</v>
      </c>
      <c r="G60" s="3">
        <f t="shared" si="3"/>
        <v>1</v>
      </c>
      <c r="H60" s="183" t="s">
        <v>1844</v>
      </c>
      <c r="I60" s="44"/>
    </row>
    <row r="61">
      <c r="A61" s="177">
        <v>58.0</v>
      </c>
      <c r="B61" s="184" t="s">
        <v>783</v>
      </c>
      <c r="C61" s="177" t="s">
        <v>95</v>
      </c>
      <c r="D61" s="177">
        <v>74.0</v>
      </c>
      <c r="E61" s="179" t="str">
        <f t="shared" si="1"/>
        <v>1BDFD6</v>
      </c>
      <c r="F61" s="178" t="str">
        <f t="shared" si="2"/>
        <v>C15976</v>
      </c>
      <c r="G61" s="178">
        <f t="shared" si="3"/>
        <v>2</v>
      </c>
      <c r="H61" s="180" t="s">
        <v>157</v>
      </c>
      <c r="I61" s="38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>
      <c r="A62" s="31">
        <v>59.0</v>
      </c>
      <c r="B62" s="99" t="s">
        <v>816</v>
      </c>
      <c r="C62" s="174">
        <v>172.0</v>
      </c>
      <c r="D62" s="3">
        <v>75.0</v>
      </c>
      <c r="E62" s="182" t="str">
        <f t="shared" si="1"/>
        <v>1BDFD6</v>
      </c>
      <c r="F62" s="3" t="str">
        <f t="shared" si="2"/>
        <v>C15976</v>
      </c>
      <c r="G62" s="3">
        <f t="shared" si="3"/>
        <v>3</v>
      </c>
      <c r="H62" s="183"/>
      <c r="I62" s="44"/>
    </row>
    <row r="63">
      <c r="A63" s="177">
        <v>60.0</v>
      </c>
      <c r="B63" s="184" t="s">
        <v>782</v>
      </c>
      <c r="C63" s="177" t="s">
        <v>95</v>
      </c>
      <c r="D63" s="177">
        <v>76.0</v>
      </c>
      <c r="E63" s="179" t="str">
        <f t="shared" si="1"/>
        <v>1BDFD6</v>
      </c>
      <c r="F63" s="178" t="str">
        <f t="shared" si="2"/>
        <v>C15976</v>
      </c>
      <c r="G63" s="178">
        <f t="shared" si="3"/>
        <v>4</v>
      </c>
      <c r="H63" s="180"/>
      <c r="I63" s="38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>
      <c r="A64" s="31">
        <v>61.0</v>
      </c>
      <c r="B64" s="99" t="s">
        <v>780</v>
      </c>
      <c r="C64" s="174">
        <v>176.0</v>
      </c>
      <c r="D64" s="3">
        <v>77.0</v>
      </c>
      <c r="E64" s="182" t="str">
        <f t="shared" si="1"/>
        <v>1BDFD6</v>
      </c>
      <c r="F64" s="3" t="str">
        <f t="shared" si="2"/>
        <v>C15976</v>
      </c>
      <c r="G64" s="3">
        <f t="shared" si="3"/>
        <v>5</v>
      </c>
      <c r="H64" s="183"/>
      <c r="I64" s="44"/>
    </row>
    <row r="65">
      <c r="A65" s="177">
        <v>62.0</v>
      </c>
      <c r="B65" s="184" t="s">
        <v>1453</v>
      </c>
      <c r="C65" s="177" t="s">
        <v>95</v>
      </c>
      <c r="D65" s="177">
        <v>78.0</v>
      </c>
      <c r="E65" s="179" t="str">
        <f t="shared" si="1"/>
        <v>1BDFD6</v>
      </c>
      <c r="F65" s="178" t="str">
        <f t="shared" si="2"/>
        <v>C15976</v>
      </c>
      <c r="G65" s="178">
        <f t="shared" si="3"/>
        <v>6</v>
      </c>
      <c r="H65" s="180"/>
      <c r="I65" s="38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>
      <c r="A66" s="31">
        <v>63.0</v>
      </c>
      <c r="B66" s="99" t="s">
        <v>841</v>
      </c>
      <c r="C66" s="174">
        <v>180.0</v>
      </c>
      <c r="D66" s="3">
        <v>79.0</v>
      </c>
      <c r="E66" s="182" t="str">
        <f t="shared" si="1"/>
        <v>1BDFD6</v>
      </c>
      <c r="F66" s="3" t="str">
        <f t="shared" si="2"/>
        <v>C15976</v>
      </c>
      <c r="G66" s="3">
        <f t="shared" si="3"/>
        <v>7</v>
      </c>
      <c r="H66" s="183"/>
      <c r="I66" s="44"/>
    </row>
    <row r="67">
      <c r="A67" s="177">
        <v>64.0</v>
      </c>
      <c r="B67" s="184" t="s">
        <v>1459</v>
      </c>
      <c r="C67" s="177" t="s">
        <v>95</v>
      </c>
      <c r="D67" s="177">
        <v>80.0</v>
      </c>
      <c r="E67" s="179" t="str">
        <f t="shared" si="1"/>
        <v>1BDFD7</v>
      </c>
      <c r="F67" s="178" t="str">
        <f t="shared" si="2"/>
        <v>C15977</v>
      </c>
      <c r="G67" s="178">
        <f t="shared" si="3"/>
        <v>0</v>
      </c>
      <c r="H67" s="180"/>
      <c r="I67" s="38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>
      <c r="A68" s="31">
        <v>65.0</v>
      </c>
      <c r="B68" s="99" t="s">
        <v>1463</v>
      </c>
      <c r="C68" s="174">
        <v>184.0</v>
      </c>
      <c r="D68" s="3">
        <v>81.0</v>
      </c>
      <c r="E68" s="182" t="str">
        <f t="shared" si="1"/>
        <v>1BDFD7</v>
      </c>
      <c r="F68" s="3" t="str">
        <f t="shared" si="2"/>
        <v>C15977</v>
      </c>
      <c r="G68" s="3">
        <f t="shared" si="3"/>
        <v>1</v>
      </c>
      <c r="H68" s="183"/>
      <c r="I68" s="44"/>
    </row>
    <row r="69">
      <c r="A69" s="177">
        <v>66.0</v>
      </c>
      <c r="B69" s="184" t="s">
        <v>1466</v>
      </c>
      <c r="C69" s="177" t="s">
        <v>95</v>
      </c>
      <c r="D69" s="177">
        <v>82.0</v>
      </c>
      <c r="E69" s="179" t="str">
        <f t="shared" si="1"/>
        <v>1BDFD7</v>
      </c>
      <c r="F69" s="178" t="str">
        <f t="shared" si="2"/>
        <v>C15977</v>
      </c>
      <c r="G69" s="178">
        <f t="shared" si="3"/>
        <v>2</v>
      </c>
      <c r="H69" s="180"/>
      <c r="I69" s="38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>
      <c r="A70" s="31">
        <v>67.0</v>
      </c>
      <c r="B70" s="99" t="s">
        <v>779</v>
      </c>
      <c r="C70" s="174">
        <v>188.0</v>
      </c>
      <c r="D70" s="3">
        <v>83.0</v>
      </c>
      <c r="E70" s="182" t="str">
        <f t="shared" si="1"/>
        <v>1BDFD7</v>
      </c>
      <c r="F70" s="3" t="str">
        <f t="shared" si="2"/>
        <v>C15977</v>
      </c>
      <c r="G70" s="3">
        <f t="shared" si="3"/>
        <v>3</v>
      </c>
      <c r="H70" s="183"/>
      <c r="I70" s="44"/>
    </row>
    <row r="71">
      <c r="A71" s="177">
        <v>68.0</v>
      </c>
      <c r="B71" s="184" t="s">
        <v>789</v>
      </c>
      <c r="C71" s="177" t="s">
        <v>95</v>
      </c>
      <c r="D71" s="177">
        <v>84.0</v>
      </c>
      <c r="E71" s="179" t="str">
        <f t="shared" si="1"/>
        <v>1BDFD7</v>
      </c>
      <c r="F71" s="178" t="str">
        <f t="shared" si="2"/>
        <v>C15977</v>
      </c>
      <c r="G71" s="178">
        <f t="shared" si="3"/>
        <v>4</v>
      </c>
      <c r="H71" s="180"/>
      <c r="I71" s="38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>
      <c r="A72" s="31">
        <v>69.0</v>
      </c>
      <c r="B72" s="99" t="s">
        <v>1475</v>
      </c>
      <c r="C72" s="174">
        <v>192.0</v>
      </c>
      <c r="D72" s="3">
        <v>85.0</v>
      </c>
      <c r="E72" s="182" t="str">
        <f t="shared" si="1"/>
        <v>1BDFD7</v>
      </c>
      <c r="F72" s="3" t="str">
        <f t="shared" si="2"/>
        <v>C15977</v>
      </c>
      <c r="G72" s="3">
        <f t="shared" si="3"/>
        <v>5</v>
      </c>
      <c r="H72" s="183"/>
      <c r="I72" s="44"/>
    </row>
    <row r="73">
      <c r="A73" s="177">
        <v>70.0</v>
      </c>
      <c r="B73" s="184" t="s">
        <v>840</v>
      </c>
      <c r="C73" s="177" t="s">
        <v>95</v>
      </c>
      <c r="D73" s="177">
        <v>86.0</v>
      </c>
      <c r="E73" s="179" t="str">
        <f t="shared" si="1"/>
        <v>1BDFD7</v>
      </c>
      <c r="F73" s="178" t="str">
        <f t="shared" si="2"/>
        <v>C15977</v>
      </c>
      <c r="G73" s="178">
        <f t="shared" si="3"/>
        <v>6</v>
      </c>
      <c r="H73" s="180" t="s">
        <v>170</v>
      </c>
      <c r="I73" s="38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>
      <c r="A74" s="31">
        <v>71.0</v>
      </c>
      <c r="B74" s="99" t="s">
        <v>822</v>
      </c>
      <c r="C74" s="174">
        <v>196.0</v>
      </c>
      <c r="D74" s="3">
        <v>87.0</v>
      </c>
      <c r="E74" s="182" t="str">
        <f t="shared" si="1"/>
        <v>1BDFD7</v>
      </c>
      <c r="F74" s="3" t="str">
        <f t="shared" si="2"/>
        <v>C15977</v>
      </c>
      <c r="G74" s="3">
        <f t="shared" si="3"/>
        <v>7</v>
      </c>
      <c r="H74" s="183"/>
      <c r="I74" s="44"/>
    </row>
    <row r="75">
      <c r="A75" s="177">
        <v>72.0</v>
      </c>
      <c r="B75" s="184" t="s">
        <v>832</v>
      </c>
      <c r="C75" s="177" t="s">
        <v>95</v>
      </c>
      <c r="D75" s="177">
        <v>88.0</v>
      </c>
      <c r="E75" s="179" t="str">
        <f t="shared" si="1"/>
        <v>1BDFD8</v>
      </c>
      <c r="F75" s="178" t="str">
        <f t="shared" si="2"/>
        <v>C15978</v>
      </c>
      <c r="G75" s="178">
        <f t="shared" si="3"/>
        <v>0</v>
      </c>
      <c r="H75" s="180"/>
      <c r="I75" s="38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>
      <c r="A76" s="31">
        <v>73.0</v>
      </c>
      <c r="B76" s="99" t="s">
        <v>813</v>
      </c>
      <c r="C76" s="174">
        <v>200.0</v>
      </c>
      <c r="D76" s="3">
        <v>89.0</v>
      </c>
      <c r="E76" s="182" t="str">
        <f t="shared" si="1"/>
        <v>1BDFD8</v>
      </c>
      <c r="F76" s="3" t="str">
        <f t="shared" si="2"/>
        <v>C15978</v>
      </c>
      <c r="G76" s="3">
        <f t="shared" si="3"/>
        <v>1</v>
      </c>
      <c r="H76" s="183" t="s">
        <v>1845</v>
      </c>
      <c r="I76" s="44"/>
    </row>
    <row r="77">
      <c r="A77" s="177">
        <v>74.0</v>
      </c>
      <c r="B77" s="184" t="s">
        <v>1489</v>
      </c>
      <c r="C77" s="177" t="s">
        <v>95</v>
      </c>
      <c r="D77" s="177">
        <v>90.0</v>
      </c>
      <c r="E77" s="179" t="str">
        <f t="shared" si="1"/>
        <v>1BDFD8</v>
      </c>
      <c r="F77" s="178" t="str">
        <f t="shared" si="2"/>
        <v>C15978</v>
      </c>
      <c r="G77" s="178">
        <f t="shared" si="3"/>
        <v>2</v>
      </c>
      <c r="H77" s="180"/>
      <c r="I77" s="38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>
      <c r="A78" s="31">
        <v>75.0</v>
      </c>
      <c r="B78" s="99" t="s">
        <v>852</v>
      </c>
      <c r="C78" s="174">
        <v>204.0</v>
      </c>
      <c r="D78" s="3">
        <v>91.0</v>
      </c>
      <c r="E78" s="182" t="str">
        <f t="shared" si="1"/>
        <v>1BDFD8</v>
      </c>
      <c r="F78" s="3" t="str">
        <f t="shared" si="2"/>
        <v>C15978</v>
      </c>
      <c r="G78" s="3">
        <f t="shared" si="3"/>
        <v>3</v>
      </c>
      <c r="H78" s="183" t="s">
        <v>177</v>
      </c>
      <c r="I78" s="44"/>
    </row>
    <row r="79">
      <c r="A79" s="177">
        <v>76.0</v>
      </c>
      <c r="B79" s="184" t="s">
        <v>823</v>
      </c>
      <c r="C79" s="177" t="s">
        <v>95</v>
      </c>
      <c r="D79" s="177">
        <v>92.0</v>
      </c>
      <c r="E79" s="179" t="str">
        <f t="shared" si="1"/>
        <v>1BDFD8</v>
      </c>
      <c r="F79" s="178" t="str">
        <f t="shared" si="2"/>
        <v>C15978</v>
      </c>
      <c r="G79" s="178">
        <f t="shared" si="3"/>
        <v>4</v>
      </c>
      <c r="H79" s="180" t="s">
        <v>179</v>
      </c>
      <c r="I79" s="38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>
      <c r="A80" s="31">
        <v>77.0</v>
      </c>
      <c r="B80" s="99" t="s">
        <v>786</v>
      </c>
      <c r="C80" s="174">
        <v>208.0</v>
      </c>
      <c r="D80" s="3">
        <v>93.0</v>
      </c>
      <c r="E80" s="182" t="str">
        <f t="shared" si="1"/>
        <v>1BDFD8</v>
      </c>
      <c r="F80" s="3" t="str">
        <f t="shared" si="2"/>
        <v>C15978</v>
      </c>
      <c r="G80" s="3">
        <f t="shared" si="3"/>
        <v>5</v>
      </c>
      <c r="H80" s="183" t="s">
        <v>180</v>
      </c>
      <c r="I80" s="44"/>
    </row>
    <row r="81">
      <c r="A81" s="177">
        <v>78.0</v>
      </c>
      <c r="B81" s="184" t="s">
        <v>1500</v>
      </c>
      <c r="C81" s="177" t="s">
        <v>95</v>
      </c>
      <c r="D81" s="177">
        <v>94.0</v>
      </c>
      <c r="E81" s="179" t="str">
        <f t="shared" si="1"/>
        <v>1BDFD8</v>
      </c>
      <c r="F81" s="178" t="str">
        <f t="shared" si="2"/>
        <v>C15978</v>
      </c>
      <c r="G81" s="178">
        <f t="shared" si="3"/>
        <v>6</v>
      </c>
      <c r="H81" s="180" t="s">
        <v>181</v>
      </c>
      <c r="I81" s="38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>
      <c r="A82" s="31">
        <v>79.0</v>
      </c>
      <c r="B82" s="99" t="s">
        <v>833</v>
      </c>
      <c r="C82" s="174">
        <v>212.0</v>
      </c>
      <c r="D82" s="3">
        <v>95.0</v>
      </c>
      <c r="E82" s="182" t="str">
        <f t="shared" si="1"/>
        <v>1BDFD8</v>
      </c>
      <c r="F82" s="3" t="str">
        <f t="shared" si="2"/>
        <v>C15978</v>
      </c>
      <c r="G82" s="3">
        <f t="shared" si="3"/>
        <v>7</v>
      </c>
      <c r="H82" s="183" t="s">
        <v>182</v>
      </c>
      <c r="I82" s="44"/>
    </row>
    <row r="83">
      <c r="A83" s="177">
        <v>80.0</v>
      </c>
      <c r="B83" s="184" t="s">
        <v>784</v>
      </c>
      <c r="C83" s="177" t="s">
        <v>95</v>
      </c>
      <c r="D83" s="177">
        <v>96.0</v>
      </c>
      <c r="E83" s="179" t="str">
        <f t="shared" si="1"/>
        <v>1BDFD9</v>
      </c>
      <c r="F83" s="178" t="str">
        <f t="shared" si="2"/>
        <v>C15979</v>
      </c>
      <c r="G83" s="178">
        <f t="shared" si="3"/>
        <v>0</v>
      </c>
      <c r="H83" s="180"/>
      <c r="I83" s="38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>
      <c r="A84" s="31">
        <v>81.0</v>
      </c>
      <c r="B84" s="99" t="s">
        <v>856</v>
      </c>
      <c r="C84" s="174">
        <v>216.0</v>
      </c>
      <c r="D84" s="3">
        <v>97.0</v>
      </c>
      <c r="E84" s="182" t="str">
        <f t="shared" si="1"/>
        <v>1BDFD9</v>
      </c>
      <c r="F84" s="3" t="str">
        <f t="shared" si="2"/>
        <v>C15979</v>
      </c>
      <c r="G84" s="3">
        <f t="shared" si="3"/>
        <v>1</v>
      </c>
      <c r="H84" s="183"/>
      <c r="I84" s="44"/>
    </row>
    <row r="85">
      <c r="A85" s="177">
        <v>82.0</v>
      </c>
      <c r="B85" s="184" t="s">
        <v>1511</v>
      </c>
      <c r="C85" s="177" t="s">
        <v>95</v>
      </c>
      <c r="D85" s="177">
        <v>98.0</v>
      </c>
      <c r="E85" s="179" t="str">
        <f t="shared" si="1"/>
        <v>1BDFD9</v>
      </c>
      <c r="F85" s="178" t="str">
        <f t="shared" si="2"/>
        <v>C15979</v>
      </c>
      <c r="G85" s="178">
        <f t="shared" si="3"/>
        <v>2</v>
      </c>
      <c r="H85" s="180"/>
      <c r="I85" s="38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>
      <c r="A86" s="31">
        <v>83.0</v>
      </c>
      <c r="B86" s="99" t="s">
        <v>858</v>
      </c>
      <c r="C86" s="174">
        <v>220.0</v>
      </c>
      <c r="D86" s="3">
        <v>99.0</v>
      </c>
      <c r="E86" s="182" t="str">
        <f t="shared" si="1"/>
        <v>1BDFD9</v>
      </c>
      <c r="F86" s="3" t="str">
        <f t="shared" si="2"/>
        <v>C15979</v>
      </c>
      <c r="G86" s="3">
        <f t="shared" si="3"/>
        <v>3</v>
      </c>
      <c r="H86" s="183"/>
      <c r="I86" s="44"/>
    </row>
    <row r="87">
      <c r="A87" s="177">
        <v>84.0</v>
      </c>
      <c r="B87" s="184" t="s">
        <v>801</v>
      </c>
      <c r="C87" s="177" t="s">
        <v>95</v>
      </c>
      <c r="D87" s="177">
        <v>100.0</v>
      </c>
      <c r="E87" s="179" t="str">
        <f t="shared" si="1"/>
        <v>1BDFD9</v>
      </c>
      <c r="F87" s="178" t="str">
        <f t="shared" si="2"/>
        <v>C15979</v>
      </c>
      <c r="G87" s="178">
        <f t="shared" si="3"/>
        <v>4</v>
      </c>
      <c r="H87" s="180"/>
      <c r="I87" s="38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>
      <c r="A88" s="31">
        <v>85.0</v>
      </c>
      <c r="B88" s="99" t="s">
        <v>824</v>
      </c>
      <c r="C88" s="174">
        <v>224.0</v>
      </c>
      <c r="D88" s="3">
        <v>101.0</v>
      </c>
      <c r="E88" s="182" t="str">
        <f t="shared" si="1"/>
        <v>1BDFD9</v>
      </c>
      <c r="F88" s="3" t="str">
        <f t="shared" si="2"/>
        <v>C15979</v>
      </c>
      <c r="G88" s="3">
        <f t="shared" si="3"/>
        <v>5</v>
      </c>
      <c r="H88" s="183"/>
      <c r="I88" s="44"/>
    </row>
    <row r="89">
      <c r="A89" s="177">
        <v>86.0</v>
      </c>
      <c r="B89" s="184" t="s">
        <v>1521</v>
      </c>
      <c r="C89" s="177" t="s">
        <v>95</v>
      </c>
      <c r="D89" s="177">
        <v>102.0</v>
      </c>
      <c r="E89" s="179" t="str">
        <f t="shared" si="1"/>
        <v>1BDFD9</v>
      </c>
      <c r="F89" s="178" t="str">
        <f t="shared" si="2"/>
        <v>C15979</v>
      </c>
      <c r="G89" s="178">
        <f t="shared" si="3"/>
        <v>6</v>
      </c>
      <c r="H89" s="180"/>
      <c r="I89" s="38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>
      <c r="A90" s="31">
        <v>87.0</v>
      </c>
      <c r="B90" s="99" t="s">
        <v>863</v>
      </c>
      <c r="C90" s="174">
        <v>228.0</v>
      </c>
      <c r="D90" s="3">
        <v>103.0</v>
      </c>
      <c r="E90" s="182" t="str">
        <f t="shared" si="1"/>
        <v>1BDFD9</v>
      </c>
      <c r="F90" s="3" t="str">
        <f t="shared" si="2"/>
        <v>C15979</v>
      </c>
      <c r="G90" s="3">
        <f t="shared" si="3"/>
        <v>7</v>
      </c>
      <c r="H90" s="183" t="s">
        <v>1846</v>
      </c>
      <c r="I90" s="44"/>
    </row>
    <row r="91">
      <c r="A91" s="177">
        <v>88.0</v>
      </c>
      <c r="B91" s="184" t="s">
        <v>848</v>
      </c>
      <c r="C91" s="177" t="s">
        <v>95</v>
      </c>
      <c r="D91" s="177">
        <v>104.0</v>
      </c>
      <c r="E91" s="179" t="str">
        <f t="shared" si="1"/>
        <v>1BDFDA</v>
      </c>
      <c r="F91" s="178" t="str">
        <f t="shared" si="2"/>
        <v>C1597A</v>
      </c>
      <c r="G91" s="178">
        <f t="shared" si="3"/>
        <v>0</v>
      </c>
      <c r="H91" s="180"/>
      <c r="I91" s="38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>
      <c r="A92" s="31">
        <v>89.0</v>
      </c>
      <c r="B92" s="99" t="s">
        <v>1528</v>
      </c>
      <c r="C92" s="174">
        <v>232.0</v>
      </c>
      <c r="D92" s="3">
        <v>105.0</v>
      </c>
      <c r="E92" s="182" t="str">
        <f t="shared" si="1"/>
        <v>1BDFDA</v>
      </c>
      <c r="F92" s="3" t="str">
        <f t="shared" si="2"/>
        <v>C1597A</v>
      </c>
      <c r="G92" s="3">
        <f t="shared" si="3"/>
        <v>1</v>
      </c>
      <c r="H92" s="183" t="s">
        <v>195</v>
      </c>
      <c r="I92" s="44"/>
    </row>
    <row r="93">
      <c r="A93" s="177">
        <v>90.0</v>
      </c>
      <c r="B93" s="184" t="s">
        <v>865</v>
      </c>
      <c r="C93" s="177" t="s">
        <v>95</v>
      </c>
      <c r="D93" s="177">
        <v>106.0</v>
      </c>
      <c r="E93" s="179" t="str">
        <f t="shared" si="1"/>
        <v>1BDFDA</v>
      </c>
      <c r="F93" s="178" t="str">
        <f t="shared" si="2"/>
        <v>C1597A</v>
      </c>
      <c r="G93" s="178">
        <f t="shared" si="3"/>
        <v>2</v>
      </c>
      <c r="H93" s="180"/>
      <c r="I93" s="38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>
      <c r="A94" s="31">
        <v>91.0</v>
      </c>
      <c r="B94" s="99" t="s">
        <v>866</v>
      </c>
      <c r="C94" s="174">
        <v>236.0</v>
      </c>
      <c r="D94" s="3">
        <v>107.0</v>
      </c>
      <c r="E94" s="182" t="str">
        <f t="shared" si="1"/>
        <v>1BDFDA</v>
      </c>
      <c r="F94" s="3" t="str">
        <f t="shared" si="2"/>
        <v>C1597A</v>
      </c>
      <c r="G94" s="3">
        <f t="shared" si="3"/>
        <v>3</v>
      </c>
      <c r="H94" s="183" t="s">
        <v>196</v>
      </c>
      <c r="I94" s="44"/>
    </row>
    <row r="95">
      <c r="A95" s="177">
        <v>92.0</v>
      </c>
      <c r="B95" s="184" t="s">
        <v>859</v>
      </c>
      <c r="C95" s="177" t="s">
        <v>95</v>
      </c>
      <c r="D95" s="177">
        <v>108.0</v>
      </c>
      <c r="E95" s="179" t="str">
        <f t="shared" si="1"/>
        <v>1BDFDA</v>
      </c>
      <c r="F95" s="178" t="str">
        <f t="shared" si="2"/>
        <v>C1597A</v>
      </c>
      <c r="G95" s="178">
        <f t="shared" si="3"/>
        <v>4</v>
      </c>
      <c r="H95" s="180" t="s">
        <v>198</v>
      </c>
      <c r="I95" s="38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>
      <c r="A96" s="31">
        <v>93.0</v>
      </c>
      <c r="B96" s="99" t="s">
        <v>808</v>
      </c>
      <c r="C96" s="174">
        <v>240.0</v>
      </c>
      <c r="D96" s="3">
        <v>109.0</v>
      </c>
      <c r="E96" s="182" t="str">
        <f t="shared" si="1"/>
        <v>1BDFDA</v>
      </c>
      <c r="F96" s="3" t="str">
        <f t="shared" si="2"/>
        <v>C1597A</v>
      </c>
      <c r="G96" s="3">
        <f t="shared" si="3"/>
        <v>5</v>
      </c>
      <c r="H96" s="183" t="s">
        <v>200</v>
      </c>
      <c r="I96" s="44"/>
    </row>
    <row r="97">
      <c r="A97" s="177">
        <v>94.0</v>
      </c>
      <c r="B97" s="184" t="s">
        <v>1542</v>
      </c>
      <c r="C97" s="177" t="s">
        <v>95</v>
      </c>
      <c r="D97" s="177">
        <v>110.0</v>
      </c>
      <c r="E97" s="179" t="str">
        <f t="shared" si="1"/>
        <v>1BDFDA</v>
      </c>
      <c r="F97" s="178" t="str">
        <f t="shared" si="2"/>
        <v>C1597A</v>
      </c>
      <c r="G97" s="178">
        <f t="shared" si="3"/>
        <v>6</v>
      </c>
      <c r="H97" s="180" t="s">
        <v>202</v>
      </c>
      <c r="I97" s="38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>
      <c r="A98" s="31">
        <v>95.0</v>
      </c>
      <c r="B98" s="97" t="s">
        <v>869</v>
      </c>
      <c r="C98" s="174">
        <v>244.0</v>
      </c>
      <c r="D98" s="3">
        <v>111.0</v>
      </c>
      <c r="E98" s="182" t="str">
        <f t="shared" si="1"/>
        <v>1BDFDA</v>
      </c>
      <c r="F98" s="3" t="str">
        <f t="shared" si="2"/>
        <v>C1597A</v>
      </c>
      <c r="G98" s="3">
        <f t="shared" si="3"/>
        <v>7</v>
      </c>
      <c r="H98" s="183"/>
      <c r="I98" s="44"/>
    </row>
    <row r="99">
      <c r="A99" s="177">
        <v>96.0</v>
      </c>
      <c r="B99" s="185" t="s">
        <v>806</v>
      </c>
      <c r="C99" s="177" t="s">
        <v>95</v>
      </c>
      <c r="D99" s="177">
        <v>112.0</v>
      </c>
      <c r="E99" s="179" t="str">
        <f t="shared" si="1"/>
        <v>1BDFDB</v>
      </c>
      <c r="F99" s="178" t="str">
        <f t="shared" si="2"/>
        <v>C1597B</v>
      </c>
      <c r="G99" s="178">
        <f t="shared" si="3"/>
        <v>0</v>
      </c>
      <c r="H99" s="180"/>
      <c r="I99" s="38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>
      <c r="A100" s="31">
        <v>97.0</v>
      </c>
      <c r="B100" s="97" t="s">
        <v>870</v>
      </c>
      <c r="C100" s="174">
        <v>248.0</v>
      </c>
      <c r="D100" s="3">
        <v>113.0</v>
      </c>
      <c r="E100" s="182" t="str">
        <f t="shared" si="1"/>
        <v>1BDFDB</v>
      </c>
      <c r="F100" s="3" t="str">
        <f t="shared" si="2"/>
        <v>C1597B</v>
      </c>
      <c r="G100" s="3">
        <f t="shared" si="3"/>
        <v>1</v>
      </c>
      <c r="H100" s="183"/>
      <c r="I100" s="44"/>
    </row>
    <row r="101">
      <c r="A101" s="177">
        <v>98.0</v>
      </c>
      <c r="B101" s="185" t="s">
        <v>839</v>
      </c>
      <c r="C101" s="177" t="s">
        <v>95</v>
      </c>
      <c r="D101" s="177">
        <v>114.0</v>
      </c>
      <c r="E101" s="179" t="str">
        <f t="shared" si="1"/>
        <v>1BDFDB</v>
      </c>
      <c r="F101" s="178" t="str">
        <f t="shared" si="2"/>
        <v>C1597B</v>
      </c>
      <c r="G101" s="178">
        <f t="shared" si="3"/>
        <v>2</v>
      </c>
      <c r="H101" s="180"/>
      <c r="I101" s="38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>
      <c r="A102" s="31">
        <v>99.0</v>
      </c>
      <c r="B102" s="97" t="s">
        <v>849</v>
      </c>
      <c r="C102" s="174">
        <v>252.0</v>
      </c>
      <c r="D102" s="3">
        <v>115.0</v>
      </c>
      <c r="E102" s="182" t="str">
        <f t="shared" si="1"/>
        <v>1BDFDB</v>
      </c>
      <c r="F102" s="3" t="str">
        <f t="shared" si="2"/>
        <v>C1597B</v>
      </c>
      <c r="G102" s="3">
        <f t="shared" si="3"/>
        <v>3</v>
      </c>
      <c r="H102" s="183"/>
      <c r="I102" s="44"/>
    </row>
    <row r="103">
      <c r="A103" s="177">
        <v>100.0</v>
      </c>
      <c r="B103" s="185" t="s">
        <v>874</v>
      </c>
      <c r="C103" s="177" t="s">
        <v>95</v>
      </c>
      <c r="D103" s="177">
        <v>116.0</v>
      </c>
      <c r="E103" s="179" t="str">
        <f t="shared" si="1"/>
        <v>1BDFDB</v>
      </c>
      <c r="F103" s="178" t="str">
        <f t="shared" si="2"/>
        <v>C1597B</v>
      </c>
      <c r="G103" s="178">
        <f t="shared" si="3"/>
        <v>4</v>
      </c>
      <c r="H103" s="180"/>
      <c r="I103" s="38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>
      <c r="A104" s="31">
        <v>101.0</v>
      </c>
      <c r="B104" s="97" t="s">
        <v>872</v>
      </c>
      <c r="C104" s="31" t="s">
        <v>834</v>
      </c>
      <c r="D104" s="3">
        <v>117.0</v>
      </c>
      <c r="E104" s="182" t="str">
        <f t="shared" si="1"/>
        <v>1BDFDB</v>
      </c>
      <c r="F104" s="3" t="str">
        <f t="shared" si="2"/>
        <v>C1597B</v>
      </c>
      <c r="G104" s="3">
        <f t="shared" si="3"/>
        <v>5</v>
      </c>
      <c r="H104" s="183"/>
      <c r="I104" s="44"/>
    </row>
    <row r="105">
      <c r="A105" s="177">
        <v>102.0</v>
      </c>
      <c r="B105" s="185" t="s">
        <v>837</v>
      </c>
      <c r="C105" s="177" t="s">
        <v>95</v>
      </c>
      <c r="D105" s="177">
        <v>118.0</v>
      </c>
      <c r="E105" s="179" t="str">
        <f t="shared" si="1"/>
        <v>1BDFDB</v>
      </c>
      <c r="F105" s="178" t="str">
        <f t="shared" si="2"/>
        <v>C1597B</v>
      </c>
      <c r="G105" s="178">
        <f t="shared" si="3"/>
        <v>6</v>
      </c>
      <c r="H105" s="180"/>
      <c r="I105" s="38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>
      <c r="A106" s="31">
        <v>103.0</v>
      </c>
      <c r="B106" s="97" t="s">
        <v>798</v>
      </c>
      <c r="C106" s="174" t="s">
        <v>788</v>
      </c>
      <c r="D106" s="3">
        <v>119.0</v>
      </c>
      <c r="E106" s="182" t="str">
        <f t="shared" si="1"/>
        <v>1BDFDB</v>
      </c>
      <c r="F106" s="3" t="str">
        <f t="shared" si="2"/>
        <v>C1597B</v>
      </c>
      <c r="G106" s="3">
        <f t="shared" si="3"/>
        <v>7</v>
      </c>
      <c r="H106" s="183"/>
      <c r="I106" s="44"/>
    </row>
    <row r="107">
      <c r="A107" s="177">
        <v>104.0</v>
      </c>
      <c r="B107" s="185" t="s">
        <v>95</v>
      </c>
      <c r="C107" s="177" t="s">
        <v>95</v>
      </c>
      <c r="D107" s="177">
        <v>120.0</v>
      </c>
      <c r="E107" s="179" t="str">
        <f t="shared" si="1"/>
        <v>1BDFDC</v>
      </c>
      <c r="F107" s="178" t="str">
        <f t="shared" si="2"/>
        <v>C1597C</v>
      </c>
      <c r="G107" s="178">
        <f t="shared" si="3"/>
        <v>0</v>
      </c>
      <c r="H107" s="180" t="s">
        <v>213</v>
      </c>
      <c r="I107" s="38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>
      <c r="A108" s="177">
        <v>105.0</v>
      </c>
      <c r="B108" s="185" t="s">
        <v>95</v>
      </c>
      <c r="C108" s="174" t="s">
        <v>95</v>
      </c>
      <c r="D108" s="178">
        <v>121.0</v>
      </c>
      <c r="E108" s="179" t="str">
        <f t="shared" si="1"/>
        <v>1BDFDC</v>
      </c>
      <c r="F108" s="178" t="str">
        <f t="shared" si="2"/>
        <v>C1597C</v>
      </c>
      <c r="G108" s="178">
        <f t="shared" si="3"/>
        <v>1</v>
      </c>
      <c r="H108" s="180" t="s">
        <v>215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>
      <c r="A109" s="177">
        <v>106.0</v>
      </c>
      <c r="B109" s="185" t="s">
        <v>95</v>
      </c>
      <c r="C109" s="177" t="s">
        <v>95</v>
      </c>
      <c r="D109" s="177">
        <v>122.0</v>
      </c>
      <c r="E109" s="179" t="str">
        <f t="shared" si="1"/>
        <v>1BDFDC</v>
      </c>
      <c r="F109" s="178" t="str">
        <f t="shared" si="2"/>
        <v>C1597C</v>
      </c>
      <c r="G109" s="178">
        <f t="shared" si="3"/>
        <v>2</v>
      </c>
      <c r="H109" s="180" t="s">
        <v>217</v>
      </c>
      <c r="I109" s="38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>
      <c r="A110" s="177">
        <v>107.0</v>
      </c>
      <c r="B110" s="185" t="s">
        <v>95</v>
      </c>
      <c r="C110" s="174" t="s">
        <v>95</v>
      </c>
      <c r="D110" s="178">
        <v>123.0</v>
      </c>
      <c r="E110" s="179" t="str">
        <f t="shared" si="1"/>
        <v>1BDFDC</v>
      </c>
      <c r="F110" s="178" t="str">
        <f t="shared" si="2"/>
        <v>C1597C</v>
      </c>
      <c r="G110" s="178">
        <f t="shared" si="3"/>
        <v>3</v>
      </c>
      <c r="H110" s="180"/>
      <c r="I110" s="38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>
      <c r="A111" s="177">
        <v>108.0</v>
      </c>
      <c r="B111" s="185" t="s">
        <v>95</v>
      </c>
      <c r="C111" s="177" t="s">
        <v>95</v>
      </c>
      <c r="D111" s="177">
        <v>124.0</v>
      </c>
      <c r="E111" s="179" t="str">
        <f t="shared" si="1"/>
        <v>1BDFDC</v>
      </c>
      <c r="F111" s="178" t="str">
        <f t="shared" si="2"/>
        <v>C1597C</v>
      </c>
      <c r="G111" s="178">
        <f t="shared" si="3"/>
        <v>4</v>
      </c>
      <c r="H111" s="180" t="s">
        <v>220</v>
      </c>
      <c r="I111" s="38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>
      <c r="A112" s="177">
        <v>109.0</v>
      </c>
      <c r="B112" s="185" t="s">
        <v>95</v>
      </c>
      <c r="C112" s="174" t="s">
        <v>95</v>
      </c>
      <c r="D112" s="178">
        <v>125.0</v>
      </c>
      <c r="E112" s="179" t="str">
        <f t="shared" si="1"/>
        <v>1BDFDC</v>
      </c>
      <c r="F112" s="178" t="str">
        <f t="shared" si="2"/>
        <v>C1597C</v>
      </c>
      <c r="G112" s="178">
        <f t="shared" si="3"/>
        <v>5</v>
      </c>
      <c r="H112" s="180"/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>
      <c r="A113" s="177">
        <v>110.0</v>
      </c>
      <c r="B113" s="185" t="s">
        <v>95</v>
      </c>
      <c r="C113" s="177" t="s">
        <v>95</v>
      </c>
      <c r="D113" s="177">
        <v>126.0</v>
      </c>
      <c r="E113" s="179" t="str">
        <f t="shared" si="1"/>
        <v>1BDFDC</v>
      </c>
      <c r="F113" s="178" t="str">
        <f t="shared" si="2"/>
        <v>C1597C</v>
      </c>
      <c r="G113" s="178">
        <f t="shared" si="3"/>
        <v>6</v>
      </c>
      <c r="H113" s="180"/>
      <c r="I113" s="38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>
      <c r="A114" s="177">
        <v>111.0</v>
      </c>
      <c r="B114" s="185" t="s">
        <v>95</v>
      </c>
      <c r="C114" s="174" t="s">
        <v>95</v>
      </c>
      <c r="D114" s="178">
        <v>127.0</v>
      </c>
      <c r="E114" s="179" t="str">
        <f t="shared" si="1"/>
        <v>1BDFDC</v>
      </c>
      <c r="F114" s="178" t="str">
        <f t="shared" si="2"/>
        <v>C1597C</v>
      </c>
      <c r="G114" s="178">
        <f t="shared" si="3"/>
        <v>7</v>
      </c>
      <c r="H114" s="180"/>
      <c r="I114" s="38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>
      <c r="A115" s="177">
        <v>112.0</v>
      </c>
      <c r="B115" s="185" t="s">
        <v>95</v>
      </c>
      <c r="C115" s="177" t="s">
        <v>95</v>
      </c>
      <c r="D115" s="177">
        <v>128.0</v>
      </c>
      <c r="E115" s="179" t="str">
        <f t="shared" si="1"/>
        <v>1BDFDD</v>
      </c>
      <c r="F115" s="178" t="str">
        <f t="shared" si="2"/>
        <v>C1597D</v>
      </c>
      <c r="G115" s="178">
        <f t="shared" si="3"/>
        <v>0</v>
      </c>
      <c r="H115" s="180" t="s">
        <v>224</v>
      </c>
      <c r="I115" s="38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>
      <c r="A116" s="177">
        <v>113.0</v>
      </c>
      <c r="B116" s="185" t="s">
        <v>95</v>
      </c>
      <c r="C116" s="174" t="s">
        <v>95</v>
      </c>
      <c r="D116" s="178">
        <v>129.0</v>
      </c>
      <c r="E116" s="179" t="str">
        <f t="shared" si="1"/>
        <v>1BDFDD</v>
      </c>
      <c r="F116" s="178" t="str">
        <f t="shared" si="2"/>
        <v>C1597D</v>
      </c>
      <c r="G116" s="178">
        <f t="shared" si="3"/>
        <v>1</v>
      </c>
      <c r="H116" s="180"/>
      <c r="I116" s="38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>
      <c r="A117" s="177">
        <v>114.0</v>
      </c>
      <c r="B117" s="185" t="s">
        <v>95</v>
      </c>
      <c r="C117" s="177" t="s">
        <v>95</v>
      </c>
      <c r="D117" s="177">
        <v>130.0</v>
      </c>
      <c r="E117" s="179" t="str">
        <f t="shared" si="1"/>
        <v>1BDFDD</v>
      </c>
      <c r="F117" s="178" t="str">
        <f t="shared" si="2"/>
        <v>C1597D</v>
      </c>
      <c r="G117" s="178">
        <f t="shared" si="3"/>
        <v>2</v>
      </c>
      <c r="H117" s="180"/>
      <c r="I117" s="38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>
      <c r="A118" s="177">
        <v>115.0</v>
      </c>
      <c r="B118" s="185" t="s">
        <v>95</v>
      </c>
      <c r="C118" s="174" t="s">
        <v>95</v>
      </c>
      <c r="D118" s="178">
        <v>131.0</v>
      </c>
      <c r="E118" s="179" t="str">
        <f t="shared" si="1"/>
        <v>1BDFDD</v>
      </c>
      <c r="F118" s="178" t="str">
        <f t="shared" si="2"/>
        <v>C1597D</v>
      </c>
      <c r="G118" s="178">
        <f t="shared" si="3"/>
        <v>3</v>
      </c>
      <c r="H118" s="180" t="s">
        <v>227</v>
      </c>
      <c r="I118" s="38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>
      <c r="A119" s="177">
        <v>116.0</v>
      </c>
      <c r="B119" s="185" t="s">
        <v>95</v>
      </c>
      <c r="C119" s="177" t="s">
        <v>95</v>
      </c>
      <c r="D119" s="177">
        <v>132.0</v>
      </c>
      <c r="E119" s="179" t="str">
        <f t="shared" si="1"/>
        <v>1BDFDD</v>
      </c>
      <c r="F119" s="178" t="str">
        <f t="shared" si="2"/>
        <v>C1597D</v>
      </c>
      <c r="G119" s="178">
        <f t="shared" si="3"/>
        <v>4</v>
      </c>
      <c r="H119" s="180"/>
      <c r="I119" s="38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>
      <c r="A120" s="177">
        <v>117.0</v>
      </c>
      <c r="B120" s="185" t="s">
        <v>95</v>
      </c>
      <c r="C120" s="174" t="s">
        <v>95</v>
      </c>
      <c r="D120" s="178">
        <v>133.0</v>
      </c>
      <c r="E120" s="179" t="str">
        <f t="shared" si="1"/>
        <v>1BDFDD</v>
      </c>
      <c r="F120" s="178" t="str">
        <f t="shared" si="2"/>
        <v>C1597D</v>
      </c>
      <c r="G120" s="178">
        <f t="shared" si="3"/>
        <v>5</v>
      </c>
      <c r="H120" s="180" t="s">
        <v>229</v>
      </c>
      <c r="I120" s="38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>
      <c r="A121" s="177">
        <v>118.0</v>
      </c>
      <c r="B121" s="185" t="s">
        <v>95</v>
      </c>
      <c r="C121" s="177" t="s">
        <v>95</v>
      </c>
      <c r="D121" s="177">
        <v>134.0</v>
      </c>
      <c r="E121" s="179" t="str">
        <f t="shared" si="1"/>
        <v>1BDFDD</v>
      </c>
      <c r="F121" s="178" t="str">
        <f t="shared" si="2"/>
        <v>C1597D</v>
      </c>
      <c r="G121" s="178">
        <f t="shared" si="3"/>
        <v>6</v>
      </c>
      <c r="H121" s="180"/>
      <c r="I121" s="38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>
      <c r="A122" s="177">
        <v>119.0</v>
      </c>
      <c r="B122" s="185" t="s">
        <v>95</v>
      </c>
      <c r="C122" s="174" t="s">
        <v>95</v>
      </c>
      <c r="D122" s="178">
        <v>135.0</v>
      </c>
      <c r="E122" s="179" t="str">
        <f t="shared" si="1"/>
        <v>1BDFDD</v>
      </c>
      <c r="F122" s="178" t="str">
        <f t="shared" si="2"/>
        <v>C1597D</v>
      </c>
      <c r="G122" s="178">
        <f t="shared" si="3"/>
        <v>7</v>
      </c>
      <c r="H122" s="180"/>
      <c r="I122" s="38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>
      <c r="A123" s="177">
        <v>120.0</v>
      </c>
      <c r="B123" s="185" t="s">
        <v>95</v>
      </c>
      <c r="C123" s="177" t="s">
        <v>95</v>
      </c>
      <c r="D123" s="177">
        <v>136.0</v>
      </c>
      <c r="E123" s="179" t="str">
        <f t="shared" si="1"/>
        <v>1BDFDE</v>
      </c>
      <c r="F123" s="178" t="str">
        <f t="shared" si="2"/>
        <v>C1597E</v>
      </c>
      <c r="G123" s="178">
        <f t="shared" si="3"/>
        <v>0</v>
      </c>
      <c r="H123" s="180"/>
      <c r="I123" s="38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>
      <c r="A124" s="177">
        <v>121.0</v>
      </c>
      <c r="B124" s="185" t="s">
        <v>95</v>
      </c>
      <c r="C124" s="174" t="s">
        <v>95</v>
      </c>
      <c r="D124" s="178">
        <v>137.0</v>
      </c>
      <c r="E124" s="179" t="str">
        <f t="shared" si="1"/>
        <v>1BDFDE</v>
      </c>
      <c r="F124" s="178" t="str">
        <f t="shared" si="2"/>
        <v>C1597E</v>
      </c>
      <c r="G124" s="178">
        <f t="shared" si="3"/>
        <v>1</v>
      </c>
      <c r="H124" s="180"/>
      <c r="I124" s="38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>
      <c r="A125" s="177">
        <v>122.0</v>
      </c>
      <c r="B125" s="185" t="s">
        <v>95</v>
      </c>
      <c r="C125" s="177" t="s">
        <v>95</v>
      </c>
      <c r="D125" s="177">
        <v>138.0</v>
      </c>
      <c r="E125" s="179" t="str">
        <f t="shared" si="1"/>
        <v>1BDFDE</v>
      </c>
      <c r="F125" s="178" t="str">
        <f t="shared" si="2"/>
        <v>C1597E</v>
      </c>
      <c r="G125" s="178">
        <f t="shared" si="3"/>
        <v>2</v>
      </c>
      <c r="H125" s="180"/>
      <c r="I125" s="38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>
      <c r="A126" s="177">
        <v>123.0</v>
      </c>
      <c r="B126" s="185" t="s">
        <v>95</v>
      </c>
      <c r="C126" s="174" t="s">
        <v>95</v>
      </c>
      <c r="D126" s="178">
        <v>139.0</v>
      </c>
      <c r="E126" s="179" t="str">
        <f t="shared" si="1"/>
        <v>1BDFDE</v>
      </c>
      <c r="F126" s="178" t="str">
        <f t="shared" si="2"/>
        <v>C1597E</v>
      </c>
      <c r="G126" s="178">
        <f t="shared" si="3"/>
        <v>3</v>
      </c>
      <c r="H126" s="180"/>
      <c r="I126" s="38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>
      <c r="A127" s="177">
        <v>124.0</v>
      </c>
      <c r="B127" s="185" t="s">
        <v>95</v>
      </c>
      <c r="C127" s="177" t="s">
        <v>95</v>
      </c>
      <c r="D127" s="177">
        <v>140.0</v>
      </c>
      <c r="E127" s="179" t="str">
        <f t="shared" si="1"/>
        <v>1BDFDE</v>
      </c>
      <c r="F127" s="178" t="str">
        <f t="shared" si="2"/>
        <v>C1597E</v>
      </c>
      <c r="G127" s="178">
        <f t="shared" si="3"/>
        <v>4</v>
      </c>
      <c r="H127" s="180"/>
      <c r="I127" s="38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>
      <c r="A128" s="177">
        <v>125.0</v>
      </c>
      <c r="B128" s="185" t="s">
        <v>95</v>
      </c>
      <c r="C128" s="174" t="s">
        <v>95</v>
      </c>
      <c r="D128" s="178">
        <v>141.0</v>
      </c>
      <c r="E128" s="179" t="str">
        <f t="shared" si="1"/>
        <v>1BDFDE</v>
      </c>
      <c r="F128" s="178" t="str">
        <f t="shared" si="2"/>
        <v>C1597E</v>
      </c>
      <c r="G128" s="178">
        <f t="shared" si="3"/>
        <v>5</v>
      </c>
      <c r="H128" s="180"/>
      <c r="I128" s="38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>
      <c r="A129" s="177">
        <v>126.0</v>
      </c>
      <c r="B129" s="185" t="s">
        <v>95</v>
      </c>
      <c r="C129" s="177" t="s">
        <v>95</v>
      </c>
      <c r="D129" s="177">
        <v>142.0</v>
      </c>
      <c r="E129" s="179" t="str">
        <f t="shared" si="1"/>
        <v>1BDFDE</v>
      </c>
      <c r="F129" s="178" t="str">
        <f t="shared" si="2"/>
        <v>C1597E</v>
      </c>
      <c r="G129" s="178">
        <f t="shared" si="3"/>
        <v>6</v>
      </c>
      <c r="H129" s="180"/>
      <c r="I129" s="38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>
      <c r="A130" s="177">
        <v>127.0</v>
      </c>
      <c r="B130" s="185" t="s">
        <v>95</v>
      </c>
      <c r="C130" s="174" t="s">
        <v>95</v>
      </c>
      <c r="D130" s="178">
        <v>143.0</v>
      </c>
      <c r="E130" s="179" t="str">
        <f t="shared" si="1"/>
        <v>1BDFDE</v>
      </c>
      <c r="F130" s="178" t="str">
        <f t="shared" si="2"/>
        <v>C1597E</v>
      </c>
      <c r="G130" s="178">
        <f t="shared" si="3"/>
        <v>7</v>
      </c>
      <c r="H130" s="180"/>
      <c r="I130" s="38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>
      <c r="A131" s="177">
        <v>128.0</v>
      </c>
      <c r="B131" s="185" t="s">
        <v>95</v>
      </c>
      <c r="C131" s="177" t="s">
        <v>95</v>
      </c>
      <c r="D131" s="177">
        <v>144.0</v>
      </c>
      <c r="E131" s="179" t="str">
        <f t="shared" si="1"/>
        <v>1BDFDF</v>
      </c>
      <c r="F131" s="178" t="str">
        <f t="shared" si="2"/>
        <v>C1597F</v>
      </c>
      <c r="G131" s="178">
        <f t="shared" si="3"/>
        <v>0</v>
      </c>
      <c r="H131" s="180"/>
      <c r="I131" s="38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>
      <c r="A132" s="177">
        <v>129.0</v>
      </c>
      <c r="B132" s="185" t="s">
        <v>95</v>
      </c>
      <c r="C132" s="174" t="s">
        <v>95</v>
      </c>
      <c r="D132" s="178">
        <v>145.0</v>
      </c>
      <c r="E132" s="179" t="str">
        <f t="shared" si="1"/>
        <v>1BDFDF</v>
      </c>
      <c r="F132" s="178" t="str">
        <f t="shared" si="2"/>
        <v>C1597F</v>
      </c>
      <c r="G132" s="178">
        <f t="shared" si="3"/>
        <v>1</v>
      </c>
      <c r="H132" s="180"/>
      <c r="I132" s="38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>
      <c r="A133" s="177">
        <v>130.0</v>
      </c>
      <c r="B133" s="185" t="s">
        <v>95</v>
      </c>
      <c r="C133" s="177" t="s">
        <v>95</v>
      </c>
      <c r="D133" s="177">
        <v>146.0</v>
      </c>
      <c r="E133" s="179" t="str">
        <f t="shared" si="1"/>
        <v>1BDFDF</v>
      </c>
      <c r="F133" s="178" t="str">
        <f t="shared" si="2"/>
        <v>C1597F</v>
      </c>
      <c r="G133" s="178">
        <f t="shared" si="3"/>
        <v>2</v>
      </c>
      <c r="H133" s="180"/>
      <c r="I133" s="38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>
      <c r="A134" s="177">
        <v>131.0</v>
      </c>
      <c r="B134" s="185" t="s">
        <v>95</v>
      </c>
      <c r="C134" s="174" t="s">
        <v>95</v>
      </c>
      <c r="D134" s="178">
        <v>147.0</v>
      </c>
      <c r="E134" s="179" t="str">
        <f t="shared" si="1"/>
        <v>1BDFDF</v>
      </c>
      <c r="F134" s="178" t="str">
        <f t="shared" si="2"/>
        <v>C1597F</v>
      </c>
      <c r="G134" s="178">
        <f t="shared" si="3"/>
        <v>3</v>
      </c>
      <c r="H134" s="180"/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>
      <c r="A135" s="177">
        <v>132.0</v>
      </c>
      <c r="B135" s="185" t="s">
        <v>95</v>
      </c>
      <c r="C135" s="177" t="s">
        <v>95</v>
      </c>
      <c r="D135" s="177">
        <v>148.0</v>
      </c>
      <c r="E135" s="179" t="str">
        <f t="shared" si="1"/>
        <v>1BDFDF</v>
      </c>
      <c r="F135" s="178" t="str">
        <f t="shared" si="2"/>
        <v>C1597F</v>
      </c>
      <c r="G135" s="178">
        <f t="shared" si="3"/>
        <v>4</v>
      </c>
      <c r="H135" s="180"/>
      <c r="I135" s="38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>
      <c r="A136" s="177">
        <v>133.0</v>
      </c>
      <c r="B136" s="185" t="s">
        <v>95</v>
      </c>
      <c r="C136" s="174" t="s">
        <v>95</v>
      </c>
      <c r="D136" s="178">
        <v>149.0</v>
      </c>
      <c r="E136" s="179" t="str">
        <f t="shared" si="1"/>
        <v>1BDFDF</v>
      </c>
      <c r="F136" s="178" t="str">
        <f t="shared" si="2"/>
        <v>C1597F</v>
      </c>
      <c r="G136" s="178">
        <f t="shared" si="3"/>
        <v>5</v>
      </c>
      <c r="H136" s="180"/>
      <c r="I136" s="38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>
      <c r="A137" s="177">
        <v>134.0</v>
      </c>
      <c r="B137" s="185" t="s">
        <v>95</v>
      </c>
      <c r="C137" s="177" t="s">
        <v>95</v>
      </c>
      <c r="D137" s="177">
        <v>150.0</v>
      </c>
      <c r="E137" s="179" t="str">
        <f t="shared" si="1"/>
        <v>1BDFDF</v>
      </c>
      <c r="F137" s="178" t="str">
        <f t="shared" si="2"/>
        <v>C1597F</v>
      </c>
      <c r="G137" s="178">
        <f t="shared" si="3"/>
        <v>6</v>
      </c>
      <c r="H137" s="180"/>
      <c r="I137" s="38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>
      <c r="A138" s="177">
        <v>135.0</v>
      </c>
      <c r="B138" s="185" t="s">
        <v>95</v>
      </c>
      <c r="C138" s="174" t="s">
        <v>95</v>
      </c>
      <c r="D138" s="178">
        <v>151.0</v>
      </c>
      <c r="E138" s="179" t="str">
        <f t="shared" si="1"/>
        <v>1BDFDF</v>
      </c>
      <c r="F138" s="178" t="str">
        <f t="shared" si="2"/>
        <v>C1597F</v>
      </c>
      <c r="G138" s="178">
        <f t="shared" si="3"/>
        <v>7</v>
      </c>
      <c r="H138" s="180"/>
      <c r="I138" s="38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>
      <c r="A139" s="177">
        <v>136.0</v>
      </c>
      <c r="B139" s="185" t="s">
        <v>95</v>
      </c>
      <c r="C139" s="177" t="s">
        <v>95</v>
      </c>
      <c r="D139" s="177">
        <v>152.0</v>
      </c>
      <c r="E139" s="179" t="str">
        <f t="shared" si="1"/>
        <v>1BDFE0</v>
      </c>
      <c r="F139" s="178" t="str">
        <f t="shared" si="2"/>
        <v>C15980</v>
      </c>
      <c r="G139" s="178">
        <f t="shared" si="3"/>
        <v>0</v>
      </c>
      <c r="H139" s="180" t="s">
        <v>250</v>
      </c>
      <c r="I139" s="38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>
      <c r="A140" s="177">
        <v>137.0</v>
      </c>
      <c r="B140" s="185" t="s">
        <v>95</v>
      </c>
      <c r="C140" s="174" t="s">
        <v>95</v>
      </c>
      <c r="D140" s="178">
        <v>153.0</v>
      </c>
      <c r="E140" s="179" t="str">
        <f t="shared" si="1"/>
        <v>1BDFE0</v>
      </c>
      <c r="F140" s="178" t="str">
        <f t="shared" si="2"/>
        <v>C15980</v>
      </c>
      <c r="G140" s="178">
        <f t="shared" si="3"/>
        <v>1</v>
      </c>
      <c r="H140" s="180" t="s">
        <v>251</v>
      </c>
      <c r="I140" s="38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>
      <c r="A141" s="177">
        <v>138.0</v>
      </c>
      <c r="B141" s="185" t="s">
        <v>95</v>
      </c>
      <c r="C141" s="177" t="s">
        <v>95</v>
      </c>
      <c r="D141" s="177">
        <v>154.0</v>
      </c>
      <c r="E141" s="179" t="str">
        <f t="shared" si="1"/>
        <v>1BDFE0</v>
      </c>
      <c r="F141" s="178" t="str">
        <f t="shared" si="2"/>
        <v>C15980</v>
      </c>
      <c r="G141" s="178">
        <f t="shared" si="3"/>
        <v>2</v>
      </c>
      <c r="H141" s="180" t="s">
        <v>252</v>
      </c>
      <c r="I141" s="38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>
      <c r="A142" s="177">
        <v>139.0</v>
      </c>
      <c r="B142" s="185" t="s">
        <v>95</v>
      </c>
      <c r="C142" s="174" t="s">
        <v>95</v>
      </c>
      <c r="D142" s="178">
        <v>155.0</v>
      </c>
      <c r="E142" s="179" t="str">
        <f t="shared" si="1"/>
        <v>1BDFE0</v>
      </c>
      <c r="F142" s="178" t="str">
        <f t="shared" si="2"/>
        <v>C15980</v>
      </c>
      <c r="G142" s="178">
        <f t="shared" si="3"/>
        <v>3</v>
      </c>
      <c r="H142" s="180" t="s">
        <v>253</v>
      </c>
      <c r="I142" s="38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>
      <c r="A143" s="177">
        <v>140.0</v>
      </c>
      <c r="B143" s="185" t="s">
        <v>95</v>
      </c>
      <c r="C143" s="177" t="s">
        <v>95</v>
      </c>
      <c r="D143" s="177">
        <v>156.0</v>
      </c>
      <c r="E143" s="179" t="str">
        <f t="shared" si="1"/>
        <v>1BDFE0</v>
      </c>
      <c r="F143" s="178" t="str">
        <f t="shared" si="2"/>
        <v>C15980</v>
      </c>
      <c r="G143" s="178">
        <f t="shared" si="3"/>
        <v>4</v>
      </c>
      <c r="H143" s="180"/>
      <c r="I143" s="38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>
      <c r="A144" s="177">
        <v>141.0</v>
      </c>
      <c r="B144" s="185" t="s">
        <v>95</v>
      </c>
      <c r="C144" s="174" t="s">
        <v>95</v>
      </c>
      <c r="D144" s="178">
        <v>157.0</v>
      </c>
      <c r="E144" s="179" t="str">
        <f t="shared" si="1"/>
        <v>1BDFE0</v>
      </c>
      <c r="F144" s="178" t="str">
        <f t="shared" si="2"/>
        <v>C15980</v>
      </c>
      <c r="G144" s="178">
        <f t="shared" si="3"/>
        <v>5</v>
      </c>
      <c r="H144" s="180"/>
      <c r="I144" s="38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>
      <c r="A145" s="177">
        <v>142.0</v>
      </c>
      <c r="B145" s="185" t="s">
        <v>95</v>
      </c>
      <c r="C145" s="177" t="s">
        <v>95</v>
      </c>
      <c r="D145" s="177">
        <v>158.0</v>
      </c>
      <c r="E145" s="179" t="str">
        <f t="shared" si="1"/>
        <v>1BDFE0</v>
      </c>
      <c r="F145" s="178" t="str">
        <f t="shared" si="2"/>
        <v>C15980</v>
      </c>
      <c r="G145" s="178">
        <f t="shared" si="3"/>
        <v>6</v>
      </c>
      <c r="H145" s="180" t="s">
        <v>255</v>
      </c>
      <c r="I145" s="38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>
      <c r="A146" s="177">
        <v>143.0</v>
      </c>
      <c r="B146" s="185" t="s">
        <v>95</v>
      </c>
      <c r="C146" s="174" t="s">
        <v>95</v>
      </c>
      <c r="D146" s="178">
        <v>159.0</v>
      </c>
      <c r="E146" s="179" t="str">
        <f t="shared" si="1"/>
        <v>1BDFE0</v>
      </c>
      <c r="F146" s="178" t="str">
        <f t="shared" si="2"/>
        <v>C15980</v>
      </c>
      <c r="G146" s="178">
        <f t="shared" si="3"/>
        <v>7</v>
      </c>
      <c r="H146" s="180" t="s">
        <v>255</v>
      </c>
      <c r="I146" s="38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>
      <c r="A147" s="177">
        <v>144.0</v>
      </c>
      <c r="B147" s="185" t="s">
        <v>95</v>
      </c>
      <c r="C147" s="177" t="s">
        <v>95</v>
      </c>
      <c r="D147" s="177">
        <v>160.0</v>
      </c>
      <c r="E147" s="179" t="str">
        <f t="shared" si="1"/>
        <v>1BDFE1</v>
      </c>
      <c r="F147" s="178" t="str">
        <f t="shared" si="2"/>
        <v>C15981</v>
      </c>
      <c r="G147" s="178">
        <f t="shared" si="3"/>
        <v>0</v>
      </c>
      <c r="H147" s="180" t="s">
        <v>255</v>
      </c>
      <c r="I147" s="38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>
      <c r="A148" s="177">
        <v>145.0</v>
      </c>
      <c r="B148" s="185" t="s">
        <v>95</v>
      </c>
      <c r="C148" s="174" t="s">
        <v>95</v>
      </c>
      <c r="D148" s="178">
        <v>161.0</v>
      </c>
      <c r="E148" s="179" t="str">
        <f t="shared" si="1"/>
        <v>1BDFE1</v>
      </c>
      <c r="F148" s="178" t="str">
        <f t="shared" si="2"/>
        <v>C15981</v>
      </c>
      <c r="G148" s="178">
        <f t="shared" si="3"/>
        <v>1</v>
      </c>
      <c r="H148" s="180" t="s">
        <v>255</v>
      </c>
      <c r="I148" s="38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>
      <c r="A149" s="177">
        <v>146.0</v>
      </c>
      <c r="B149" s="185" t="s">
        <v>95</v>
      </c>
      <c r="C149" s="177" t="s">
        <v>95</v>
      </c>
      <c r="D149" s="177">
        <v>162.0</v>
      </c>
      <c r="E149" s="179" t="str">
        <f t="shared" si="1"/>
        <v>1BDFE1</v>
      </c>
      <c r="F149" s="178" t="str">
        <f t="shared" si="2"/>
        <v>C15981</v>
      </c>
      <c r="G149" s="178">
        <f t="shared" si="3"/>
        <v>2</v>
      </c>
      <c r="H149" s="180" t="s">
        <v>255</v>
      </c>
      <c r="I149" s="38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>
      <c r="A150" s="177">
        <v>147.0</v>
      </c>
      <c r="B150" s="185" t="s">
        <v>95</v>
      </c>
      <c r="C150" s="174" t="s">
        <v>95</v>
      </c>
      <c r="D150" s="178">
        <v>163.0</v>
      </c>
      <c r="E150" s="179" t="str">
        <f t="shared" si="1"/>
        <v>1BDFE1</v>
      </c>
      <c r="F150" s="178" t="str">
        <f t="shared" si="2"/>
        <v>C15981</v>
      </c>
      <c r="G150" s="178">
        <f t="shared" si="3"/>
        <v>3</v>
      </c>
      <c r="H150" s="180" t="s">
        <v>255</v>
      </c>
      <c r="I150" s="38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>
      <c r="A151" s="177">
        <v>148.0</v>
      </c>
      <c r="B151" s="185" t="s">
        <v>95</v>
      </c>
      <c r="C151" s="177" t="s">
        <v>95</v>
      </c>
      <c r="D151" s="177">
        <v>164.0</v>
      </c>
      <c r="E151" s="179" t="str">
        <f t="shared" si="1"/>
        <v>1BDFE1</v>
      </c>
      <c r="F151" s="178" t="str">
        <f t="shared" si="2"/>
        <v>C15981</v>
      </c>
      <c r="G151" s="178">
        <f t="shared" si="3"/>
        <v>4</v>
      </c>
      <c r="H151" s="180" t="s">
        <v>255</v>
      </c>
      <c r="I151" s="38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>
      <c r="A152" s="177">
        <v>149.0</v>
      </c>
      <c r="B152" s="185" t="s">
        <v>95</v>
      </c>
      <c r="C152" s="174" t="s">
        <v>95</v>
      </c>
      <c r="D152" s="178">
        <v>165.0</v>
      </c>
      <c r="E152" s="179" t="str">
        <f t="shared" si="1"/>
        <v>1BDFE1</v>
      </c>
      <c r="F152" s="178" t="str">
        <f t="shared" si="2"/>
        <v>C15981</v>
      </c>
      <c r="G152" s="178">
        <f t="shared" si="3"/>
        <v>5</v>
      </c>
      <c r="H152" s="180" t="s">
        <v>255</v>
      </c>
      <c r="I152" s="38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>
      <c r="A153" s="177">
        <v>150.0</v>
      </c>
      <c r="B153" s="185" t="s">
        <v>95</v>
      </c>
      <c r="C153" s="177" t="s">
        <v>95</v>
      </c>
      <c r="D153" s="177">
        <v>166.0</v>
      </c>
      <c r="E153" s="179" t="str">
        <f t="shared" si="1"/>
        <v>1BDFE1</v>
      </c>
      <c r="F153" s="178" t="str">
        <f t="shared" si="2"/>
        <v>C15981</v>
      </c>
      <c r="G153" s="178">
        <f t="shared" si="3"/>
        <v>6</v>
      </c>
      <c r="H153" s="180" t="s">
        <v>255</v>
      </c>
      <c r="I153" s="38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>
      <c r="A154" s="177">
        <v>151.0</v>
      </c>
      <c r="B154" s="185" t="s">
        <v>95</v>
      </c>
      <c r="C154" s="174" t="s">
        <v>95</v>
      </c>
      <c r="D154" s="178">
        <v>167.0</v>
      </c>
      <c r="E154" s="179" t="str">
        <f t="shared" si="1"/>
        <v>1BDFE1</v>
      </c>
      <c r="F154" s="178" t="str">
        <f t="shared" si="2"/>
        <v>C15981</v>
      </c>
      <c r="G154" s="178">
        <f t="shared" si="3"/>
        <v>7</v>
      </c>
      <c r="H154" s="180" t="s">
        <v>255</v>
      </c>
      <c r="I154" s="38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>
      <c r="A155" s="177">
        <v>152.0</v>
      </c>
      <c r="B155" s="185" t="s">
        <v>95</v>
      </c>
      <c r="C155" s="177" t="s">
        <v>95</v>
      </c>
      <c r="D155" s="177">
        <v>168.0</v>
      </c>
      <c r="E155" s="179" t="str">
        <f t="shared" si="1"/>
        <v>1BDFE2</v>
      </c>
      <c r="F155" s="178" t="str">
        <f t="shared" si="2"/>
        <v>C15982</v>
      </c>
      <c r="G155" s="178">
        <f t="shared" si="3"/>
        <v>0</v>
      </c>
      <c r="H155" s="180" t="s">
        <v>255</v>
      </c>
      <c r="I155" s="38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>
      <c r="A156" s="177">
        <v>153.0</v>
      </c>
      <c r="B156" s="185" t="s">
        <v>95</v>
      </c>
      <c r="C156" s="174" t="s">
        <v>95</v>
      </c>
      <c r="D156" s="178">
        <v>169.0</v>
      </c>
      <c r="E156" s="179" t="str">
        <f t="shared" si="1"/>
        <v>1BDFE2</v>
      </c>
      <c r="F156" s="178" t="str">
        <f t="shared" si="2"/>
        <v>C15982</v>
      </c>
      <c r="G156" s="178">
        <f t="shared" si="3"/>
        <v>1</v>
      </c>
      <c r="H156" s="180" t="s">
        <v>255</v>
      </c>
      <c r="I156" s="38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>
      <c r="A157" s="177">
        <v>154.0</v>
      </c>
      <c r="B157" s="185" t="s">
        <v>95</v>
      </c>
      <c r="C157" s="177" t="s">
        <v>95</v>
      </c>
      <c r="D157" s="177">
        <v>170.0</v>
      </c>
      <c r="E157" s="179" t="str">
        <f t="shared" si="1"/>
        <v>1BDFE2</v>
      </c>
      <c r="F157" s="178" t="str">
        <f t="shared" si="2"/>
        <v>C15982</v>
      </c>
      <c r="G157" s="178">
        <f t="shared" si="3"/>
        <v>2</v>
      </c>
      <c r="H157" s="180" t="s">
        <v>255</v>
      </c>
      <c r="I157" s="38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>
      <c r="A158" s="177">
        <v>155.0</v>
      </c>
      <c r="B158" s="185" t="s">
        <v>95</v>
      </c>
      <c r="C158" s="174" t="s">
        <v>95</v>
      </c>
      <c r="D158" s="178">
        <v>171.0</v>
      </c>
      <c r="E158" s="179" t="str">
        <f t="shared" si="1"/>
        <v>1BDFE2</v>
      </c>
      <c r="F158" s="178" t="str">
        <f t="shared" si="2"/>
        <v>C15982</v>
      </c>
      <c r="G158" s="178">
        <f t="shared" si="3"/>
        <v>3</v>
      </c>
      <c r="H158" s="180" t="s">
        <v>255</v>
      </c>
      <c r="I158" s="38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>
      <c r="A159" s="177">
        <v>156.0</v>
      </c>
      <c r="B159" s="185" t="s">
        <v>95</v>
      </c>
      <c r="C159" s="177" t="s">
        <v>95</v>
      </c>
      <c r="D159" s="177">
        <v>172.0</v>
      </c>
      <c r="E159" s="179" t="str">
        <f t="shared" si="1"/>
        <v>1BDFE2</v>
      </c>
      <c r="F159" s="178" t="str">
        <f t="shared" si="2"/>
        <v>C15982</v>
      </c>
      <c r="G159" s="178">
        <f t="shared" si="3"/>
        <v>4</v>
      </c>
      <c r="H159" s="180" t="s">
        <v>255</v>
      </c>
      <c r="I159" s="38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>
      <c r="A160" s="177">
        <v>157.0</v>
      </c>
      <c r="B160" s="185" t="s">
        <v>95</v>
      </c>
      <c r="C160" s="174" t="s">
        <v>95</v>
      </c>
      <c r="D160" s="178">
        <v>173.0</v>
      </c>
      <c r="E160" s="179" t="str">
        <f t="shared" si="1"/>
        <v>1BDFE2</v>
      </c>
      <c r="F160" s="178" t="str">
        <f t="shared" si="2"/>
        <v>C15982</v>
      </c>
      <c r="G160" s="178">
        <f t="shared" si="3"/>
        <v>5</v>
      </c>
      <c r="H160" s="180" t="s">
        <v>255</v>
      </c>
      <c r="I160" s="38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>
      <c r="A161" s="177">
        <v>158.0</v>
      </c>
      <c r="B161" s="185" t="s">
        <v>95</v>
      </c>
      <c r="C161" s="177" t="s">
        <v>95</v>
      </c>
      <c r="D161" s="177">
        <v>174.0</v>
      </c>
      <c r="E161" s="179" t="str">
        <f t="shared" si="1"/>
        <v>1BDFE2</v>
      </c>
      <c r="F161" s="178" t="str">
        <f t="shared" si="2"/>
        <v>C15982</v>
      </c>
      <c r="G161" s="178">
        <f t="shared" si="3"/>
        <v>6</v>
      </c>
      <c r="H161" s="180"/>
      <c r="I161" s="38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>
      <c r="A162" s="177">
        <v>159.0</v>
      </c>
      <c r="B162" s="185" t="s">
        <v>95</v>
      </c>
      <c r="C162" s="174" t="s">
        <v>95</v>
      </c>
      <c r="D162" s="178">
        <v>175.0</v>
      </c>
      <c r="E162" s="179" t="str">
        <f t="shared" si="1"/>
        <v>1BDFE2</v>
      </c>
      <c r="F162" s="178" t="str">
        <f t="shared" si="2"/>
        <v>C15982</v>
      </c>
      <c r="G162" s="178">
        <f t="shared" si="3"/>
        <v>7</v>
      </c>
      <c r="H162" s="180" t="s">
        <v>1847</v>
      </c>
      <c r="I162" s="38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>
      <c r="A163" s="177">
        <v>160.0</v>
      </c>
      <c r="B163" s="185" t="s">
        <v>95</v>
      </c>
      <c r="C163" s="177" t="s">
        <v>95</v>
      </c>
      <c r="D163" s="177">
        <v>176.0</v>
      </c>
      <c r="E163" s="179" t="str">
        <f t="shared" si="1"/>
        <v>1BDFE3</v>
      </c>
      <c r="F163" s="178" t="str">
        <f t="shared" si="2"/>
        <v>C15983</v>
      </c>
      <c r="G163" s="178">
        <f t="shared" si="3"/>
        <v>0</v>
      </c>
      <c r="H163" s="180" t="s">
        <v>259</v>
      </c>
      <c r="I163" s="38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>
      <c r="A164" s="177">
        <v>161.0</v>
      </c>
      <c r="B164" s="185" t="s">
        <v>95</v>
      </c>
      <c r="C164" s="174" t="s">
        <v>95</v>
      </c>
      <c r="D164" s="178">
        <v>177.0</v>
      </c>
      <c r="E164" s="179" t="str">
        <f t="shared" si="1"/>
        <v>1BDFE3</v>
      </c>
      <c r="F164" s="178" t="str">
        <f t="shared" si="2"/>
        <v>C15983</v>
      </c>
      <c r="G164" s="178">
        <f t="shared" si="3"/>
        <v>1</v>
      </c>
      <c r="H164" s="180"/>
      <c r="I164" s="38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>
      <c r="A165" s="177">
        <v>162.0</v>
      </c>
      <c r="B165" s="185" t="s">
        <v>95</v>
      </c>
      <c r="C165" s="177" t="s">
        <v>95</v>
      </c>
      <c r="D165" s="177">
        <v>178.0</v>
      </c>
      <c r="E165" s="179" t="str">
        <f t="shared" si="1"/>
        <v>1BDFE3</v>
      </c>
      <c r="F165" s="178" t="str">
        <f t="shared" si="2"/>
        <v>C15983</v>
      </c>
      <c r="G165" s="178">
        <f t="shared" si="3"/>
        <v>2</v>
      </c>
      <c r="H165" s="180" t="s">
        <v>262</v>
      </c>
      <c r="I165" s="38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>
      <c r="A166" s="177">
        <v>163.0</v>
      </c>
      <c r="B166" s="185" t="s">
        <v>95</v>
      </c>
      <c r="C166" s="174" t="s">
        <v>95</v>
      </c>
      <c r="D166" s="178">
        <v>179.0</v>
      </c>
      <c r="E166" s="179" t="str">
        <f t="shared" si="1"/>
        <v>1BDFE3</v>
      </c>
      <c r="F166" s="178" t="str">
        <f t="shared" si="2"/>
        <v>C15983</v>
      </c>
      <c r="G166" s="178">
        <f t="shared" si="3"/>
        <v>3</v>
      </c>
      <c r="H166" s="180" t="s">
        <v>263</v>
      </c>
      <c r="I166" s="38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>
      <c r="A167" s="177">
        <v>164.0</v>
      </c>
      <c r="B167" s="185" t="s">
        <v>95</v>
      </c>
      <c r="C167" s="177" t="s">
        <v>95</v>
      </c>
      <c r="D167" s="177">
        <v>180.0</v>
      </c>
      <c r="E167" s="179" t="str">
        <f t="shared" si="1"/>
        <v>1BDFE3</v>
      </c>
      <c r="F167" s="178" t="str">
        <f t="shared" si="2"/>
        <v>C15983</v>
      </c>
      <c r="G167" s="178">
        <f t="shared" si="3"/>
        <v>4</v>
      </c>
      <c r="H167" s="180"/>
      <c r="I167" s="38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>
      <c r="A168" s="177">
        <v>165.0</v>
      </c>
      <c r="B168" s="185" t="s">
        <v>95</v>
      </c>
      <c r="C168" s="174" t="s">
        <v>95</v>
      </c>
      <c r="D168" s="178">
        <v>181.0</v>
      </c>
      <c r="E168" s="179" t="str">
        <f t="shared" si="1"/>
        <v>1BDFE3</v>
      </c>
      <c r="F168" s="178" t="str">
        <f t="shared" si="2"/>
        <v>C15983</v>
      </c>
      <c r="G168" s="178">
        <f t="shared" si="3"/>
        <v>5</v>
      </c>
      <c r="H168" s="180"/>
      <c r="I168" s="38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>
      <c r="A169" s="177">
        <v>166.0</v>
      </c>
      <c r="B169" s="185" t="s">
        <v>95</v>
      </c>
      <c r="C169" s="177" t="s">
        <v>95</v>
      </c>
      <c r="D169" s="177">
        <v>182.0</v>
      </c>
      <c r="E169" s="179" t="str">
        <f t="shared" si="1"/>
        <v>1BDFE3</v>
      </c>
      <c r="F169" s="178" t="str">
        <f t="shared" si="2"/>
        <v>C15983</v>
      </c>
      <c r="G169" s="178">
        <f t="shared" si="3"/>
        <v>6</v>
      </c>
      <c r="H169" s="180" t="s">
        <v>267</v>
      </c>
      <c r="I169" s="38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>
      <c r="A170" s="177">
        <v>167.0</v>
      </c>
      <c r="B170" s="185" t="s">
        <v>95</v>
      </c>
      <c r="C170" s="174" t="s">
        <v>95</v>
      </c>
      <c r="D170" s="178">
        <v>183.0</v>
      </c>
      <c r="E170" s="179" t="str">
        <f t="shared" si="1"/>
        <v>1BDFE3</v>
      </c>
      <c r="F170" s="178" t="str">
        <f t="shared" si="2"/>
        <v>C15983</v>
      </c>
      <c r="G170" s="178">
        <f t="shared" si="3"/>
        <v>7</v>
      </c>
      <c r="H170" s="180"/>
      <c r="I170" s="38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>
      <c r="A171" s="177">
        <v>168.0</v>
      </c>
      <c r="B171" s="185" t="s">
        <v>95</v>
      </c>
      <c r="C171" s="177" t="s">
        <v>95</v>
      </c>
      <c r="D171" s="177">
        <v>184.0</v>
      </c>
      <c r="E171" s="179" t="str">
        <f t="shared" si="1"/>
        <v>1BDFE4</v>
      </c>
      <c r="F171" s="178" t="str">
        <f t="shared" si="2"/>
        <v>C15984</v>
      </c>
      <c r="G171" s="178">
        <f t="shared" si="3"/>
        <v>0</v>
      </c>
      <c r="H171" s="180"/>
      <c r="I171" s="38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>
      <c r="A172" s="31">
        <v>169.0</v>
      </c>
      <c r="B172" s="99" t="s">
        <v>834</v>
      </c>
      <c r="C172" s="174">
        <v>136.0</v>
      </c>
      <c r="D172" s="3">
        <v>185.0</v>
      </c>
      <c r="E172" s="182" t="str">
        <f t="shared" si="1"/>
        <v>1BDFE4</v>
      </c>
      <c r="F172" s="3" t="str">
        <f t="shared" si="2"/>
        <v>C15984</v>
      </c>
      <c r="G172" s="3">
        <f t="shared" si="3"/>
        <v>1</v>
      </c>
      <c r="H172" s="183" t="s">
        <v>268</v>
      </c>
      <c r="I172" s="44"/>
    </row>
    <row r="173">
      <c r="A173" s="177">
        <v>170.0</v>
      </c>
      <c r="B173" s="184" t="s">
        <v>793</v>
      </c>
      <c r="C173" s="177" t="s">
        <v>95</v>
      </c>
      <c r="D173" s="177">
        <v>186.0</v>
      </c>
      <c r="E173" s="179" t="str">
        <f t="shared" si="1"/>
        <v>1BDFE4</v>
      </c>
      <c r="F173" s="178" t="str">
        <f t="shared" si="2"/>
        <v>C15984</v>
      </c>
      <c r="G173" s="178">
        <f t="shared" si="3"/>
        <v>2</v>
      </c>
      <c r="H173" s="180" t="s">
        <v>270</v>
      </c>
      <c r="I173" s="38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>
      <c r="A174" s="31">
        <v>171.0</v>
      </c>
      <c r="B174" s="99" t="s">
        <v>788</v>
      </c>
      <c r="C174" s="174">
        <v>140.0</v>
      </c>
      <c r="D174" s="3">
        <v>187.0</v>
      </c>
      <c r="E174" s="182" t="str">
        <f t="shared" si="1"/>
        <v>1BDFE4</v>
      </c>
      <c r="F174" s="3" t="str">
        <f t="shared" si="2"/>
        <v>C15984</v>
      </c>
      <c r="G174" s="3">
        <f t="shared" si="3"/>
        <v>3</v>
      </c>
      <c r="H174" s="183" t="s">
        <v>272</v>
      </c>
      <c r="I174" s="44"/>
    </row>
    <row r="175">
      <c r="A175" s="177">
        <v>172.0</v>
      </c>
      <c r="B175" s="184" t="s">
        <v>1390</v>
      </c>
      <c r="C175" s="177" t="s">
        <v>95</v>
      </c>
      <c r="D175" s="177">
        <v>188.0</v>
      </c>
      <c r="E175" s="179" t="str">
        <f t="shared" si="1"/>
        <v>1BDFE4</v>
      </c>
      <c r="F175" s="178" t="str">
        <f t="shared" si="2"/>
        <v>C15984</v>
      </c>
      <c r="G175" s="178">
        <f t="shared" si="3"/>
        <v>4</v>
      </c>
      <c r="H175" s="180" t="s">
        <v>273</v>
      </c>
      <c r="I175" s="38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>
      <c r="A176" s="31">
        <v>173.0</v>
      </c>
      <c r="B176" s="99" t="s">
        <v>796</v>
      </c>
      <c r="C176" s="174">
        <v>144.0</v>
      </c>
      <c r="D176" s="3">
        <v>189.0</v>
      </c>
      <c r="E176" s="182" t="str">
        <f t="shared" si="1"/>
        <v>1BDFE4</v>
      </c>
      <c r="F176" s="3" t="str">
        <f t="shared" si="2"/>
        <v>C15984</v>
      </c>
      <c r="G176" s="3">
        <f t="shared" si="3"/>
        <v>5</v>
      </c>
      <c r="H176" s="183" t="s">
        <v>275</v>
      </c>
      <c r="I176" s="44"/>
    </row>
    <row r="177">
      <c r="A177" s="177">
        <v>174.0</v>
      </c>
      <c r="B177" s="184" t="s">
        <v>815</v>
      </c>
      <c r="C177" s="177" t="s">
        <v>95</v>
      </c>
      <c r="D177" s="177">
        <v>190.0</v>
      </c>
      <c r="E177" s="179" t="str">
        <f t="shared" si="1"/>
        <v>1BDFE4</v>
      </c>
      <c r="F177" s="178" t="str">
        <f t="shared" si="2"/>
        <v>C15984</v>
      </c>
      <c r="G177" s="178">
        <f t="shared" si="3"/>
        <v>6</v>
      </c>
      <c r="H177" s="180" t="s">
        <v>276</v>
      </c>
      <c r="I177" s="38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>
      <c r="A178" s="31">
        <v>175.0</v>
      </c>
      <c r="B178" s="99" t="s">
        <v>792</v>
      </c>
      <c r="C178" s="174">
        <v>148.0</v>
      </c>
      <c r="D178" s="3">
        <v>191.0</v>
      </c>
      <c r="E178" s="182" t="str">
        <f t="shared" si="1"/>
        <v>1BDFE4</v>
      </c>
      <c r="F178" s="3" t="str">
        <f t="shared" si="2"/>
        <v>C15984</v>
      </c>
      <c r="G178" s="3">
        <f t="shared" si="3"/>
        <v>7</v>
      </c>
      <c r="H178" s="183"/>
      <c r="I178" s="44"/>
    </row>
    <row r="179">
      <c r="A179" s="177">
        <v>176.0</v>
      </c>
      <c r="B179" s="184" t="s">
        <v>860</v>
      </c>
      <c r="C179" s="177" t="s">
        <v>95</v>
      </c>
      <c r="D179" s="177">
        <v>192.0</v>
      </c>
      <c r="E179" s="179" t="str">
        <f t="shared" si="1"/>
        <v>1BDFE5</v>
      </c>
      <c r="F179" s="178" t="str">
        <f t="shared" si="2"/>
        <v>C15985</v>
      </c>
      <c r="G179" s="178">
        <f t="shared" si="3"/>
        <v>0</v>
      </c>
      <c r="H179" s="180"/>
      <c r="I179" s="38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>
      <c r="A180" s="31">
        <v>177.0</v>
      </c>
      <c r="B180" s="99" t="s">
        <v>846</v>
      </c>
      <c r="C180" s="174">
        <v>152.0</v>
      </c>
      <c r="D180" s="3">
        <v>193.0</v>
      </c>
      <c r="E180" s="182" t="str">
        <f t="shared" si="1"/>
        <v>1BDFE5</v>
      </c>
      <c r="F180" s="3" t="str">
        <f t="shared" si="2"/>
        <v>C15985</v>
      </c>
      <c r="G180" s="3">
        <f t="shared" si="3"/>
        <v>1</v>
      </c>
      <c r="H180" s="183"/>
      <c r="I180" s="44"/>
    </row>
    <row r="181">
      <c r="A181" s="177">
        <v>178.0</v>
      </c>
      <c r="B181" s="184" t="s">
        <v>835</v>
      </c>
      <c r="C181" s="177" t="s">
        <v>95</v>
      </c>
      <c r="D181" s="177">
        <v>194.0</v>
      </c>
      <c r="E181" s="179" t="str">
        <f t="shared" si="1"/>
        <v>1BDFE5</v>
      </c>
      <c r="F181" s="178" t="str">
        <f t="shared" si="2"/>
        <v>C15985</v>
      </c>
      <c r="G181" s="178">
        <f t="shared" si="3"/>
        <v>2</v>
      </c>
      <c r="H181" s="180"/>
      <c r="I181" s="38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>
      <c r="A182" s="31">
        <v>179.0</v>
      </c>
      <c r="B182" s="99" t="s">
        <v>1421</v>
      </c>
      <c r="C182" s="174">
        <v>156.0</v>
      </c>
      <c r="D182" s="3">
        <v>195.0</v>
      </c>
      <c r="E182" s="182" t="str">
        <f t="shared" si="1"/>
        <v>1BDFE5</v>
      </c>
      <c r="F182" s="3" t="str">
        <f t="shared" si="2"/>
        <v>C15985</v>
      </c>
      <c r="G182" s="3">
        <f t="shared" si="3"/>
        <v>3</v>
      </c>
      <c r="H182" s="183" t="s">
        <v>279</v>
      </c>
      <c r="I182" s="44"/>
    </row>
    <row r="183">
      <c r="A183" s="177">
        <v>180.0</v>
      </c>
      <c r="B183" s="184" t="s">
        <v>778</v>
      </c>
      <c r="C183" s="177" t="s">
        <v>95</v>
      </c>
      <c r="D183" s="177">
        <v>196.0</v>
      </c>
      <c r="E183" s="179" t="str">
        <f t="shared" si="1"/>
        <v>1BDFE5</v>
      </c>
      <c r="F183" s="178" t="str">
        <f t="shared" si="2"/>
        <v>C15985</v>
      </c>
      <c r="G183" s="178">
        <f t="shared" si="3"/>
        <v>4</v>
      </c>
      <c r="H183" s="180" t="s">
        <v>280</v>
      </c>
      <c r="I183" s="38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>
      <c r="A184" s="31">
        <v>181.0</v>
      </c>
      <c r="B184" s="99" t="s">
        <v>1428</v>
      </c>
      <c r="C184" s="174">
        <v>160.0</v>
      </c>
      <c r="D184" s="3">
        <v>197.0</v>
      </c>
      <c r="E184" s="182" t="str">
        <f t="shared" si="1"/>
        <v>1BDFE5</v>
      </c>
      <c r="F184" s="3" t="str">
        <f t="shared" si="2"/>
        <v>C15985</v>
      </c>
      <c r="G184" s="3">
        <f t="shared" si="3"/>
        <v>5</v>
      </c>
      <c r="H184" s="183" t="s">
        <v>281</v>
      </c>
      <c r="I184" s="44"/>
    </row>
    <row r="185">
      <c r="A185" s="177">
        <v>182.0</v>
      </c>
      <c r="B185" s="184" t="s">
        <v>842</v>
      </c>
      <c r="C185" s="177" t="s">
        <v>95</v>
      </c>
      <c r="D185" s="177">
        <v>198.0</v>
      </c>
      <c r="E185" s="179" t="str">
        <f t="shared" si="1"/>
        <v>1BDFE5</v>
      </c>
      <c r="F185" s="178" t="str">
        <f t="shared" si="2"/>
        <v>C15985</v>
      </c>
      <c r="G185" s="178">
        <f t="shared" si="3"/>
        <v>6</v>
      </c>
      <c r="H185" s="180" t="s">
        <v>282</v>
      </c>
      <c r="I185" s="38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>
      <c r="A186" s="31">
        <v>183.0</v>
      </c>
      <c r="B186" s="99" t="s">
        <v>820</v>
      </c>
      <c r="C186" s="174">
        <v>164.0</v>
      </c>
      <c r="D186" s="3">
        <v>199.0</v>
      </c>
      <c r="E186" s="182" t="str">
        <f t="shared" si="1"/>
        <v>1BDFE5</v>
      </c>
      <c r="F186" s="3" t="str">
        <f t="shared" si="2"/>
        <v>C15985</v>
      </c>
      <c r="G186" s="3">
        <f t="shared" si="3"/>
        <v>7</v>
      </c>
      <c r="H186" s="183" t="s">
        <v>283</v>
      </c>
      <c r="I186" s="44"/>
    </row>
    <row r="187">
      <c r="A187" s="177">
        <v>184.0</v>
      </c>
      <c r="B187" s="184" t="s">
        <v>1437</v>
      </c>
      <c r="C187" s="177" t="s">
        <v>95</v>
      </c>
      <c r="D187" s="177">
        <v>200.0</v>
      </c>
      <c r="E187" s="179" t="str">
        <f t="shared" si="1"/>
        <v>1BDFE6</v>
      </c>
      <c r="F187" s="178" t="str">
        <f t="shared" si="2"/>
        <v>C15986</v>
      </c>
      <c r="G187" s="178">
        <f t="shared" si="3"/>
        <v>0</v>
      </c>
      <c r="H187" s="180" t="s">
        <v>284</v>
      </c>
      <c r="I187" s="38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>
      <c r="A188" s="31">
        <v>185.0</v>
      </c>
      <c r="B188" s="99" t="s">
        <v>1441</v>
      </c>
      <c r="C188" s="174">
        <v>168.0</v>
      </c>
      <c r="D188" s="3">
        <v>201.0</v>
      </c>
      <c r="E188" s="182" t="str">
        <f t="shared" si="1"/>
        <v>1BDFE6</v>
      </c>
      <c r="F188" s="3" t="str">
        <f t="shared" si="2"/>
        <v>C15986</v>
      </c>
      <c r="G188" s="3">
        <f t="shared" si="3"/>
        <v>1</v>
      </c>
      <c r="H188" s="183" t="s">
        <v>285</v>
      </c>
      <c r="I188" s="44"/>
    </row>
    <row r="189">
      <c r="A189" s="177">
        <v>186.0</v>
      </c>
      <c r="B189" s="184" t="s">
        <v>783</v>
      </c>
      <c r="C189" s="177" t="s">
        <v>95</v>
      </c>
      <c r="D189" s="177">
        <v>202.0</v>
      </c>
      <c r="E189" s="179" t="str">
        <f t="shared" si="1"/>
        <v>1BDFE6</v>
      </c>
      <c r="F189" s="178" t="str">
        <f t="shared" si="2"/>
        <v>C15986</v>
      </c>
      <c r="G189" s="178">
        <f t="shared" si="3"/>
        <v>2</v>
      </c>
      <c r="H189" s="180" t="s">
        <v>286</v>
      </c>
      <c r="I189" s="38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>
      <c r="A190" s="31">
        <v>187.0</v>
      </c>
      <c r="B190" s="99" t="s">
        <v>816</v>
      </c>
      <c r="C190" s="174">
        <v>172.0</v>
      </c>
      <c r="D190" s="3">
        <v>203.0</v>
      </c>
      <c r="E190" s="182" t="str">
        <f t="shared" si="1"/>
        <v>1BDFE6</v>
      </c>
      <c r="F190" s="3" t="str">
        <f t="shared" si="2"/>
        <v>C15986</v>
      </c>
      <c r="G190" s="3">
        <f t="shared" si="3"/>
        <v>3</v>
      </c>
      <c r="H190" s="183" t="s">
        <v>287</v>
      </c>
      <c r="I190" s="44"/>
    </row>
    <row r="191">
      <c r="A191" s="177">
        <v>188.0</v>
      </c>
      <c r="B191" s="184" t="s">
        <v>782</v>
      </c>
      <c r="C191" s="177" t="s">
        <v>95</v>
      </c>
      <c r="D191" s="177">
        <v>204.0</v>
      </c>
      <c r="E191" s="179" t="str">
        <f t="shared" si="1"/>
        <v>1BDFE6</v>
      </c>
      <c r="F191" s="178" t="str">
        <f t="shared" si="2"/>
        <v>C15986</v>
      </c>
      <c r="G191" s="178">
        <f t="shared" si="3"/>
        <v>4</v>
      </c>
      <c r="H191" s="180" t="s">
        <v>288</v>
      </c>
      <c r="I191" s="38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>
      <c r="A192" s="31">
        <v>189.0</v>
      </c>
      <c r="B192" s="99" t="s">
        <v>780</v>
      </c>
      <c r="C192" s="174">
        <v>176.0</v>
      </c>
      <c r="D192" s="3">
        <v>205.0</v>
      </c>
      <c r="E192" s="182" t="str">
        <f t="shared" si="1"/>
        <v>1BDFE6</v>
      </c>
      <c r="F192" s="3" t="str">
        <f t="shared" si="2"/>
        <v>C15986</v>
      </c>
      <c r="G192" s="3">
        <f t="shared" si="3"/>
        <v>5</v>
      </c>
      <c r="H192" s="183" t="s">
        <v>289</v>
      </c>
      <c r="I192" s="44"/>
    </row>
    <row r="193">
      <c r="A193" s="177">
        <v>190.0</v>
      </c>
      <c r="B193" s="184" t="s">
        <v>1453</v>
      </c>
      <c r="C193" s="177" t="s">
        <v>95</v>
      </c>
      <c r="D193" s="177">
        <v>206.0</v>
      </c>
      <c r="E193" s="179" t="str">
        <f t="shared" si="1"/>
        <v>1BDFE6</v>
      </c>
      <c r="F193" s="178" t="str">
        <f t="shared" si="2"/>
        <v>C15986</v>
      </c>
      <c r="G193" s="178">
        <f t="shared" si="3"/>
        <v>6</v>
      </c>
      <c r="H193" s="180" t="s">
        <v>290</v>
      </c>
      <c r="I193" s="38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>
      <c r="A194" s="31">
        <v>191.0</v>
      </c>
      <c r="B194" s="99" t="s">
        <v>841</v>
      </c>
      <c r="C194" s="174">
        <v>180.0</v>
      </c>
      <c r="D194" s="3">
        <v>207.0</v>
      </c>
      <c r="E194" s="182" t="str">
        <f t="shared" si="1"/>
        <v>1BDFE6</v>
      </c>
      <c r="F194" s="3" t="str">
        <f t="shared" si="2"/>
        <v>C15986</v>
      </c>
      <c r="G194" s="3">
        <f t="shared" si="3"/>
        <v>7</v>
      </c>
      <c r="H194" s="183" t="s">
        <v>291</v>
      </c>
      <c r="I194" s="44"/>
    </row>
    <row r="195">
      <c r="A195" s="177">
        <v>192.0</v>
      </c>
      <c r="B195" s="184" t="s">
        <v>1459</v>
      </c>
      <c r="C195" s="177" t="s">
        <v>95</v>
      </c>
      <c r="D195" s="177">
        <v>208.0</v>
      </c>
      <c r="E195" s="179" t="str">
        <f t="shared" si="1"/>
        <v>1BDFE7</v>
      </c>
      <c r="F195" s="178" t="str">
        <f t="shared" si="2"/>
        <v>C15987</v>
      </c>
      <c r="G195" s="178">
        <f t="shared" si="3"/>
        <v>0</v>
      </c>
      <c r="H195" s="180" t="s">
        <v>292</v>
      </c>
      <c r="I195" s="38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>
      <c r="A196" s="31">
        <v>193.0</v>
      </c>
      <c r="B196" s="99" t="s">
        <v>1463</v>
      </c>
      <c r="C196" s="174">
        <v>184.0</v>
      </c>
      <c r="D196" s="3">
        <v>209.0</v>
      </c>
      <c r="E196" s="182" t="str">
        <f t="shared" si="1"/>
        <v>1BDFE7</v>
      </c>
      <c r="F196" s="3" t="str">
        <f t="shared" si="2"/>
        <v>C15987</v>
      </c>
      <c r="G196" s="3">
        <f t="shared" si="3"/>
        <v>1</v>
      </c>
      <c r="H196" s="183" t="s">
        <v>293</v>
      </c>
      <c r="I196" s="44"/>
    </row>
    <row r="197">
      <c r="A197" s="177">
        <v>194.0</v>
      </c>
      <c r="B197" s="184" t="s">
        <v>1466</v>
      </c>
      <c r="C197" s="177" t="s">
        <v>95</v>
      </c>
      <c r="D197" s="177">
        <v>210.0</v>
      </c>
      <c r="E197" s="179" t="str">
        <f t="shared" si="1"/>
        <v>1BDFE7</v>
      </c>
      <c r="F197" s="178" t="str">
        <f t="shared" si="2"/>
        <v>C15987</v>
      </c>
      <c r="G197" s="178">
        <f t="shared" si="3"/>
        <v>2</v>
      </c>
      <c r="H197" s="180" t="s">
        <v>294</v>
      </c>
      <c r="I197" s="38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>
      <c r="A198" s="31">
        <v>195.0</v>
      </c>
      <c r="B198" s="99" t="s">
        <v>779</v>
      </c>
      <c r="C198" s="174">
        <v>188.0</v>
      </c>
      <c r="D198" s="3">
        <v>211.0</v>
      </c>
      <c r="E198" s="182" t="str">
        <f t="shared" si="1"/>
        <v>1BDFE7</v>
      </c>
      <c r="F198" s="3" t="str">
        <f t="shared" si="2"/>
        <v>C15987</v>
      </c>
      <c r="G198" s="3">
        <f t="shared" si="3"/>
        <v>3</v>
      </c>
      <c r="H198" s="183" t="s">
        <v>296</v>
      </c>
      <c r="I198" s="44"/>
    </row>
    <row r="199">
      <c r="A199" s="177">
        <v>196.0</v>
      </c>
      <c r="B199" s="184" t="s">
        <v>789</v>
      </c>
      <c r="C199" s="177" t="s">
        <v>95</v>
      </c>
      <c r="D199" s="177">
        <v>212.0</v>
      </c>
      <c r="E199" s="179" t="str">
        <f t="shared" si="1"/>
        <v>1BDFE7</v>
      </c>
      <c r="F199" s="178" t="str">
        <f t="shared" si="2"/>
        <v>C15987</v>
      </c>
      <c r="G199" s="178">
        <f t="shared" si="3"/>
        <v>4</v>
      </c>
      <c r="H199" s="180" t="s">
        <v>297</v>
      </c>
      <c r="I199" s="38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>
      <c r="A200" s="31">
        <v>197.0</v>
      </c>
      <c r="B200" s="99" t="s">
        <v>1475</v>
      </c>
      <c r="C200" s="174">
        <v>192.0</v>
      </c>
      <c r="D200" s="3">
        <v>213.0</v>
      </c>
      <c r="E200" s="182" t="str">
        <f t="shared" si="1"/>
        <v>1BDFE7</v>
      </c>
      <c r="F200" s="3" t="str">
        <f t="shared" si="2"/>
        <v>C15987</v>
      </c>
      <c r="G200" s="3">
        <f t="shared" si="3"/>
        <v>5</v>
      </c>
      <c r="H200" s="183" t="s">
        <v>298</v>
      </c>
      <c r="I200" s="44"/>
    </row>
    <row r="201">
      <c r="A201" s="177">
        <v>198.0</v>
      </c>
      <c r="B201" s="184" t="s">
        <v>840</v>
      </c>
      <c r="C201" s="177" t="s">
        <v>95</v>
      </c>
      <c r="D201" s="177">
        <v>214.0</v>
      </c>
      <c r="E201" s="179" t="str">
        <f t="shared" si="1"/>
        <v>1BDFE7</v>
      </c>
      <c r="F201" s="178" t="str">
        <f t="shared" si="2"/>
        <v>C15987</v>
      </c>
      <c r="G201" s="178">
        <f t="shared" si="3"/>
        <v>6</v>
      </c>
      <c r="H201" s="180" t="s">
        <v>299</v>
      </c>
      <c r="I201" s="38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>
      <c r="A202" s="31">
        <v>199.0</v>
      </c>
      <c r="B202" s="99" t="s">
        <v>822</v>
      </c>
      <c r="C202" s="174">
        <v>196.0</v>
      </c>
      <c r="D202" s="3">
        <v>215.0</v>
      </c>
      <c r="E202" s="182" t="str">
        <f t="shared" si="1"/>
        <v>1BDFE7</v>
      </c>
      <c r="F202" s="3" t="str">
        <f t="shared" si="2"/>
        <v>C15987</v>
      </c>
      <c r="G202" s="3">
        <f t="shared" si="3"/>
        <v>7</v>
      </c>
      <c r="H202" s="183" t="s">
        <v>300</v>
      </c>
      <c r="I202" s="44"/>
    </row>
    <row r="203">
      <c r="A203" s="177">
        <v>200.0</v>
      </c>
      <c r="B203" s="184" t="s">
        <v>832</v>
      </c>
      <c r="C203" s="177" t="s">
        <v>95</v>
      </c>
      <c r="D203" s="177">
        <v>216.0</v>
      </c>
      <c r="E203" s="179" t="str">
        <f t="shared" si="1"/>
        <v>1BDFE8</v>
      </c>
      <c r="F203" s="178" t="str">
        <f t="shared" si="2"/>
        <v>C15988</v>
      </c>
      <c r="G203" s="178">
        <f t="shared" si="3"/>
        <v>0</v>
      </c>
      <c r="H203" s="180" t="s">
        <v>301</v>
      </c>
      <c r="I203" s="38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>
      <c r="A204" s="31">
        <v>201.0</v>
      </c>
      <c r="B204" s="99" t="s">
        <v>813</v>
      </c>
      <c r="C204" s="174">
        <v>200.0</v>
      </c>
      <c r="D204" s="3">
        <v>217.0</v>
      </c>
      <c r="E204" s="182" t="str">
        <f t="shared" si="1"/>
        <v>1BDFE8</v>
      </c>
      <c r="F204" s="3" t="str">
        <f t="shared" si="2"/>
        <v>C15988</v>
      </c>
      <c r="G204" s="3">
        <f t="shared" si="3"/>
        <v>1</v>
      </c>
      <c r="H204" s="183" t="s">
        <v>302</v>
      </c>
      <c r="I204" s="44"/>
    </row>
    <row r="205">
      <c r="A205" s="177">
        <v>202.0</v>
      </c>
      <c r="B205" s="184" t="s">
        <v>1489</v>
      </c>
      <c r="C205" s="177" t="s">
        <v>95</v>
      </c>
      <c r="D205" s="177">
        <v>218.0</v>
      </c>
      <c r="E205" s="179" t="str">
        <f t="shared" si="1"/>
        <v>1BDFE8</v>
      </c>
      <c r="F205" s="178" t="str">
        <f t="shared" si="2"/>
        <v>C15988</v>
      </c>
      <c r="G205" s="178">
        <f t="shared" si="3"/>
        <v>2</v>
      </c>
      <c r="H205" s="180" t="s">
        <v>303</v>
      </c>
      <c r="I205" s="38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>
      <c r="A206" s="31">
        <v>203.0</v>
      </c>
      <c r="B206" s="99" t="s">
        <v>852</v>
      </c>
      <c r="C206" s="174">
        <v>204.0</v>
      </c>
      <c r="D206" s="3">
        <v>219.0</v>
      </c>
      <c r="E206" s="182" t="str">
        <f t="shared" si="1"/>
        <v>1BDFE8</v>
      </c>
      <c r="F206" s="3" t="str">
        <f t="shared" si="2"/>
        <v>C15988</v>
      </c>
      <c r="G206" s="3">
        <f t="shared" si="3"/>
        <v>3</v>
      </c>
      <c r="H206" s="183" t="s">
        <v>304</v>
      </c>
      <c r="I206" s="44"/>
    </row>
    <row r="207">
      <c r="A207" s="177">
        <v>204.0</v>
      </c>
      <c r="B207" s="184" t="s">
        <v>823</v>
      </c>
      <c r="C207" s="177" t="s">
        <v>95</v>
      </c>
      <c r="D207" s="177">
        <v>220.0</v>
      </c>
      <c r="E207" s="179" t="str">
        <f t="shared" si="1"/>
        <v>1BDFE8</v>
      </c>
      <c r="F207" s="178" t="str">
        <f t="shared" si="2"/>
        <v>C15988</v>
      </c>
      <c r="G207" s="178">
        <f t="shared" si="3"/>
        <v>4</v>
      </c>
      <c r="H207" s="180" t="s">
        <v>305</v>
      </c>
      <c r="I207" s="38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>
      <c r="A208" s="31">
        <v>205.0</v>
      </c>
      <c r="B208" s="99" t="s">
        <v>786</v>
      </c>
      <c r="C208" s="174">
        <v>208.0</v>
      </c>
      <c r="D208" s="3">
        <v>221.0</v>
      </c>
      <c r="E208" s="182" t="str">
        <f t="shared" si="1"/>
        <v>1BDFE8</v>
      </c>
      <c r="F208" s="3" t="str">
        <f t="shared" si="2"/>
        <v>C15988</v>
      </c>
      <c r="G208" s="3">
        <f t="shared" si="3"/>
        <v>5</v>
      </c>
      <c r="H208" s="183" t="s">
        <v>306</v>
      </c>
      <c r="I208" s="44"/>
    </row>
    <row r="209">
      <c r="A209" s="177">
        <v>206.0</v>
      </c>
      <c r="B209" s="184" t="s">
        <v>1500</v>
      </c>
      <c r="C209" s="177" t="s">
        <v>95</v>
      </c>
      <c r="D209" s="177">
        <v>222.0</v>
      </c>
      <c r="E209" s="179" t="str">
        <f t="shared" si="1"/>
        <v>1BDFE8</v>
      </c>
      <c r="F209" s="178" t="str">
        <f t="shared" si="2"/>
        <v>C15988</v>
      </c>
      <c r="G209" s="178">
        <f t="shared" si="3"/>
        <v>6</v>
      </c>
      <c r="H209" s="180" t="s">
        <v>308</v>
      </c>
      <c r="I209" s="38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>
      <c r="A210" s="31">
        <v>207.0</v>
      </c>
      <c r="B210" s="99" t="s">
        <v>833</v>
      </c>
      <c r="C210" s="174">
        <v>212.0</v>
      </c>
      <c r="D210" s="3">
        <v>223.0</v>
      </c>
      <c r="E210" s="182" t="str">
        <f t="shared" si="1"/>
        <v>1BDFE8</v>
      </c>
      <c r="F210" s="3" t="str">
        <f t="shared" si="2"/>
        <v>C15988</v>
      </c>
      <c r="G210" s="3">
        <f t="shared" si="3"/>
        <v>7</v>
      </c>
      <c r="H210" s="183" t="s">
        <v>309</v>
      </c>
      <c r="I210" s="44"/>
      <c r="L210" s="99"/>
    </row>
    <row r="211">
      <c r="A211" s="177">
        <v>208.0</v>
      </c>
      <c r="B211" s="184" t="s">
        <v>784</v>
      </c>
      <c r="C211" s="177" t="s">
        <v>95</v>
      </c>
      <c r="D211" s="177">
        <v>224.0</v>
      </c>
      <c r="E211" s="179" t="str">
        <f t="shared" si="1"/>
        <v>1BDFE9</v>
      </c>
      <c r="F211" s="178" t="str">
        <f t="shared" si="2"/>
        <v>C15989</v>
      </c>
      <c r="G211" s="178">
        <f t="shared" si="3"/>
        <v>0</v>
      </c>
      <c r="H211" s="180" t="s">
        <v>310</v>
      </c>
      <c r="I211" s="38"/>
      <c r="J211" s="39"/>
      <c r="K211" s="39"/>
      <c r="L211" s="184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>
      <c r="A212" s="31">
        <v>209.0</v>
      </c>
      <c r="B212" s="99" t="s">
        <v>856</v>
      </c>
      <c r="C212" s="174">
        <v>216.0</v>
      </c>
      <c r="D212" s="3">
        <v>225.0</v>
      </c>
      <c r="E212" s="182" t="str">
        <f t="shared" si="1"/>
        <v>1BDFE9</v>
      </c>
      <c r="F212" s="3" t="str">
        <f t="shared" si="2"/>
        <v>C15989</v>
      </c>
      <c r="G212" s="3">
        <f t="shared" si="3"/>
        <v>1</v>
      </c>
      <c r="H212" s="183" t="s">
        <v>311</v>
      </c>
      <c r="I212" s="44"/>
      <c r="L212" s="99"/>
    </row>
    <row r="213">
      <c r="A213" s="177">
        <v>210.0</v>
      </c>
      <c r="B213" s="184" t="s">
        <v>1511</v>
      </c>
      <c r="C213" s="177" t="s">
        <v>95</v>
      </c>
      <c r="D213" s="177">
        <v>226.0</v>
      </c>
      <c r="E213" s="179" t="str">
        <f t="shared" si="1"/>
        <v>1BDFE9</v>
      </c>
      <c r="F213" s="178" t="str">
        <f t="shared" si="2"/>
        <v>C15989</v>
      </c>
      <c r="G213" s="178">
        <f t="shared" si="3"/>
        <v>2</v>
      </c>
      <c r="H213" s="180" t="s">
        <v>312</v>
      </c>
      <c r="I213" s="38"/>
      <c r="J213" s="39"/>
      <c r="K213" s="39"/>
      <c r="L213" s="184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>
      <c r="A214" s="31">
        <v>211.0</v>
      </c>
      <c r="B214" s="99" t="s">
        <v>858</v>
      </c>
      <c r="C214" s="174">
        <v>220.0</v>
      </c>
      <c r="D214" s="3">
        <v>227.0</v>
      </c>
      <c r="E214" s="182" t="str">
        <f t="shared" si="1"/>
        <v>1BDFE9</v>
      </c>
      <c r="F214" s="3" t="str">
        <f t="shared" si="2"/>
        <v>C15989</v>
      </c>
      <c r="G214" s="3">
        <f t="shared" si="3"/>
        <v>3</v>
      </c>
      <c r="H214" s="183" t="s">
        <v>313</v>
      </c>
      <c r="I214" s="44"/>
      <c r="L214" s="99"/>
    </row>
    <row r="215">
      <c r="A215" s="177">
        <v>212.0</v>
      </c>
      <c r="B215" s="184" t="s">
        <v>801</v>
      </c>
      <c r="C215" s="177" t="s">
        <v>95</v>
      </c>
      <c r="D215" s="177">
        <v>228.0</v>
      </c>
      <c r="E215" s="179" t="str">
        <f t="shared" si="1"/>
        <v>1BDFE9</v>
      </c>
      <c r="F215" s="178" t="str">
        <f t="shared" si="2"/>
        <v>C15989</v>
      </c>
      <c r="G215" s="178">
        <f t="shared" si="3"/>
        <v>4</v>
      </c>
      <c r="H215" s="180" t="s">
        <v>314</v>
      </c>
      <c r="I215" s="38"/>
      <c r="J215" s="39"/>
      <c r="K215" s="39"/>
      <c r="L215" s="184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>
      <c r="A216" s="31">
        <v>213.0</v>
      </c>
      <c r="B216" s="99" t="s">
        <v>824</v>
      </c>
      <c r="C216" s="174">
        <v>224.0</v>
      </c>
      <c r="D216" s="3">
        <v>229.0</v>
      </c>
      <c r="E216" s="182" t="str">
        <f t="shared" si="1"/>
        <v>1BDFE9</v>
      </c>
      <c r="F216" s="3" t="str">
        <f t="shared" si="2"/>
        <v>C15989</v>
      </c>
      <c r="G216" s="3">
        <f t="shared" si="3"/>
        <v>5</v>
      </c>
      <c r="H216" s="183" t="s">
        <v>315</v>
      </c>
      <c r="I216" s="44"/>
      <c r="L216" s="99"/>
    </row>
    <row r="217">
      <c r="A217" s="177">
        <v>214.0</v>
      </c>
      <c r="B217" s="184" t="s">
        <v>1521</v>
      </c>
      <c r="C217" s="177" t="s">
        <v>95</v>
      </c>
      <c r="D217" s="177">
        <v>230.0</v>
      </c>
      <c r="E217" s="179" t="str">
        <f t="shared" si="1"/>
        <v>1BDFE9</v>
      </c>
      <c r="F217" s="178" t="str">
        <f t="shared" si="2"/>
        <v>C15989</v>
      </c>
      <c r="G217" s="178">
        <f t="shared" si="3"/>
        <v>6</v>
      </c>
      <c r="H217" s="180" t="s">
        <v>316</v>
      </c>
      <c r="I217" s="38"/>
      <c r="J217" s="39"/>
      <c r="K217" s="39"/>
      <c r="L217" s="184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>
      <c r="A218" s="31">
        <v>215.0</v>
      </c>
      <c r="B218" s="99" t="s">
        <v>863</v>
      </c>
      <c r="C218" s="174">
        <v>228.0</v>
      </c>
      <c r="D218" s="3">
        <v>231.0</v>
      </c>
      <c r="E218" s="182" t="str">
        <f t="shared" si="1"/>
        <v>1BDFE9</v>
      </c>
      <c r="F218" s="3" t="str">
        <f t="shared" si="2"/>
        <v>C15989</v>
      </c>
      <c r="G218" s="3">
        <f t="shared" si="3"/>
        <v>7</v>
      </c>
      <c r="H218" s="183" t="s">
        <v>317</v>
      </c>
      <c r="I218" s="44"/>
      <c r="L218" s="99"/>
    </row>
    <row r="219">
      <c r="A219" s="177">
        <v>216.0</v>
      </c>
      <c r="B219" s="184" t="s">
        <v>848</v>
      </c>
      <c r="C219" s="177" t="s">
        <v>95</v>
      </c>
      <c r="D219" s="177">
        <v>232.0</v>
      </c>
      <c r="E219" s="179" t="str">
        <f t="shared" si="1"/>
        <v>1BDFEA</v>
      </c>
      <c r="F219" s="178" t="str">
        <f t="shared" si="2"/>
        <v>C1598A</v>
      </c>
      <c r="G219" s="178">
        <f t="shared" si="3"/>
        <v>0</v>
      </c>
      <c r="H219" s="180" t="s">
        <v>318</v>
      </c>
      <c r="I219" s="38"/>
      <c r="J219" s="39"/>
      <c r="K219" s="39"/>
      <c r="L219" s="184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>
      <c r="A220" s="31">
        <v>217.0</v>
      </c>
      <c r="B220" s="99" t="s">
        <v>1528</v>
      </c>
      <c r="C220" s="174">
        <v>232.0</v>
      </c>
      <c r="D220" s="3">
        <v>233.0</v>
      </c>
      <c r="E220" s="182" t="str">
        <f t="shared" si="1"/>
        <v>1BDFEA</v>
      </c>
      <c r="F220" s="3" t="str">
        <f t="shared" si="2"/>
        <v>C1598A</v>
      </c>
      <c r="G220" s="3">
        <f t="shared" si="3"/>
        <v>1</v>
      </c>
      <c r="H220" s="183" t="s">
        <v>319</v>
      </c>
      <c r="I220" s="44"/>
      <c r="L220" s="99"/>
    </row>
    <row r="221">
      <c r="A221" s="177">
        <v>218.0</v>
      </c>
      <c r="B221" s="184" t="s">
        <v>865</v>
      </c>
      <c r="C221" s="177" t="s">
        <v>95</v>
      </c>
      <c r="D221" s="177">
        <v>234.0</v>
      </c>
      <c r="E221" s="179" t="str">
        <f t="shared" si="1"/>
        <v>1BDFEA</v>
      </c>
      <c r="F221" s="178" t="str">
        <f t="shared" si="2"/>
        <v>C1598A</v>
      </c>
      <c r="G221" s="178">
        <f t="shared" si="3"/>
        <v>2</v>
      </c>
      <c r="H221" s="180" t="s">
        <v>320</v>
      </c>
      <c r="I221" s="38"/>
      <c r="J221" s="39"/>
      <c r="K221" s="39"/>
      <c r="L221" s="184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>
      <c r="A222" s="31">
        <v>219.0</v>
      </c>
      <c r="B222" s="99" t="s">
        <v>866</v>
      </c>
      <c r="C222" s="174">
        <v>236.0</v>
      </c>
      <c r="D222" s="3">
        <v>235.0</v>
      </c>
      <c r="E222" s="182" t="str">
        <f t="shared" si="1"/>
        <v>1BDFEA</v>
      </c>
      <c r="F222" s="3" t="str">
        <f t="shared" si="2"/>
        <v>C1598A</v>
      </c>
      <c r="G222" s="3">
        <f t="shared" si="3"/>
        <v>3</v>
      </c>
      <c r="H222" s="183" t="s">
        <v>321</v>
      </c>
      <c r="I222" s="44"/>
      <c r="L222" s="99"/>
    </row>
    <row r="223">
      <c r="A223" s="177">
        <v>220.0</v>
      </c>
      <c r="B223" s="184" t="s">
        <v>859</v>
      </c>
      <c r="C223" s="177" t="s">
        <v>95</v>
      </c>
      <c r="D223" s="177">
        <v>236.0</v>
      </c>
      <c r="E223" s="179" t="str">
        <f t="shared" si="1"/>
        <v>1BDFEA</v>
      </c>
      <c r="F223" s="178" t="str">
        <f t="shared" si="2"/>
        <v>C1598A</v>
      </c>
      <c r="G223" s="178">
        <f t="shared" si="3"/>
        <v>4</v>
      </c>
      <c r="H223" s="180" t="s">
        <v>322</v>
      </c>
      <c r="I223" s="38"/>
      <c r="J223" s="39"/>
      <c r="K223" s="39"/>
      <c r="L223" s="184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>
      <c r="A224" s="31">
        <v>221.0</v>
      </c>
      <c r="B224" s="99" t="s">
        <v>808</v>
      </c>
      <c r="C224" s="174">
        <v>240.0</v>
      </c>
      <c r="D224" s="3">
        <v>237.0</v>
      </c>
      <c r="E224" s="182" t="str">
        <f t="shared" si="1"/>
        <v>1BDFEA</v>
      </c>
      <c r="F224" s="3" t="str">
        <f t="shared" si="2"/>
        <v>C1598A</v>
      </c>
      <c r="G224" s="3">
        <f t="shared" si="3"/>
        <v>5</v>
      </c>
      <c r="H224" s="183" t="s">
        <v>323</v>
      </c>
      <c r="I224" s="44"/>
      <c r="L224" s="99"/>
    </row>
    <row r="225">
      <c r="A225" s="177">
        <v>222.0</v>
      </c>
      <c r="B225" s="184" t="s">
        <v>1542</v>
      </c>
      <c r="C225" s="177" t="s">
        <v>95</v>
      </c>
      <c r="D225" s="177">
        <v>238.0</v>
      </c>
      <c r="E225" s="179" t="str">
        <f t="shared" si="1"/>
        <v>1BDFEA</v>
      </c>
      <c r="F225" s="178" t="str">
        <f t="shared" si="2"/>
        <v>C1598A</v>
      </c>
      <c r="G225" s="178">
        <f t="shared" si="3"/>
        <v>6</v>
      </c>
      <c r="H225" s="180" t="s">
        <v>324</v>
      </c>
      <c r="I225" s="38"/>
      <c r="J225" s="39"/>
      <c r="K225" s="39"/>
      <c r="L225" s="184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>
      <c r="A226" s="31">
        <v>223.0</v>
      </c>
      <c r="B226" s="97" t="s">
        <v>869</v>
      </c>
      <c r="C226" s="174">
        <v>244.0</v>
      </c>
      <c r="D226" s="3">
        <v>239.0</v>
      </c>
      <c r="E226" s="182" t="str">
        <f t="shared" si="1"/>
        <v>1BDFEA</v>
      </c>
      <c r="F226" s="3" t="str">
        <f t="shared" si="2"/>
        <v>C1598A</v>
      </c>
      <c r="G226" s="3">
        <f t="shared" si="3"/>
        <v>7</v>
      </c>
      <c r="H226" s="186" t="s">
        <v>325</v>
      </c>
      <c r="I226" s="44"/>
      <c r="L226" s="99"/>
    </row>
    <row r="227">
      <c r="A227" s="177">
        <v>224.0</v>
      </c>
      <c r="B227" s="185" t="s">
        <v>806</v>
      </c>
      <c r="C227" s="177" t="s">
        <v>95</v>
      </c>
      <c r="D227" s="177">
        <v>240.0</v>
      </c>
      <c r="E227" s="179" t="str">
        <f t="shared" si="1"/>
        <v>1BDFEB</v>
      </c>
      <c r="F227" s="178" t="str">
        <f t="shared" si="2"/>
        <v>C1598B</v>
      </c>
      <c r="G227" s="178">
        <f t="shared" si="3"/>
        <v>0</v>
      </c>
      <c r="H227" s="180" t="s">
        <v>326</v>
      </c>
      <c r="I227" s="38"/>
      <c r="J227" s="39"/>
      <c r="K227" s="39"/>
      <c r="L227" s="184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>
      <c r="A228" s="31">
        <v>225.0</v>
      </c>
      <c r="B228" s="97" t="s">
        <v>870</v>
      </c>
      <c r="C228" s="174">
        <v>248.0</v>
      </c>
      <c r="D228" s="3">
        <v>241.0</v>
      </c>
      <c r="E228" s="182" t="str">
        <f t="shared" si="1"/>
        <v>1BDFEB</v>
      </c>
      <c r="F228" s="3" t="str">
        <f t="shared" si="2"/>
        <v>C1598B</v>
      </c>
      <c r="G228" s="3">
        <f t="shared" si="3"/>
        <v>1</v>
      </c>
      <c r="H228" s="183" t="s">
        <v>327</v>
      </c>
      <c r="I228" s="44"/>
      <c r="L228" s="99"/>
    </row>
    <row r="229">
      <c r="A229" s="177">
        <v>226.0</v>
      </c>
      <c r="B229" s="185" t="s">
        <v>839</v>
      </c>
      <c r="C229" s="177" t="s">
        <v>95</v>
      </c>
      <c r="D229" s="177">
        <v>242.0</v>
      </c>
      <c r="E229" s="179" t="str">
        <f t="shared" si="1"/>
        <v>1BDFEB</v>
      </c>
      <c r="F229" s="178" t="str">
        <f t="shared" si="2"/>
        <v>C1598B</v>
      </c>
      <c r="G229" s="178">
        <f t="shared" si="3"/>
        <v>2</v>
      </c>
      <c r="H229" s="180" t="s">
        <v>328</v>
      </c>
      <c r="I229" s="38"/>
      <c r="J229" s="39"/>
      <c r="K229" s="39"/>
      <c r="L229" s="184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>
      <c r="A230" s="31">
        <v>227.0</v>
      </c>
      <c r="B230" s="97" t="s">
        <v>849</v>
      </c>
      <c r="C230" s="174">
        <v>252.0</v>
      </c>
      <c r="D230" s="3">
        <v>243.0</v>
      </c>
      <c r="E230" s="182" t="str">
        <f t="shared" si="1"/>
        <v>1BDFEB</v>
      </c>
      <c r="F230" s="3" t="str">
        <f t="shared" si="2"/>
        <v>C1598B</v>
      </c>
      <c r="G230" s="3">
        <f t="shared" si="3"/>
        <v>3</v>
      </c>
      <c r="H230" s="183" t="s">
        <v>286</v>
      </c>
      <c r="I230" s="44"/>
      <c r="L230" s="99"/>
    </row>
    <row r="231">
      <c r="A231" s="177">
        <v>228.0</v>
      </c>
      <c r="B231" s="185" t="s">
        <v>874</v>
      </c>
      <c r="C231" s="177" t="s">
        <v>95</v>
      </c>
      <c r="D231" s="177">
        <v>244.0</v>
      </c>
      <c r="E231" s="179" t="str">
        <f t="shared" si="1"/>
        <v>1BDFEB</v>
      </c>
      <c r="F231" s="178" t="str">
        <f t="shared" si="2"/>
        <v>C1598B</v>
      </c>
      <c r="G231" s="178">
        <f t="shared" si="3"/>
        <v>4</v>
      </c>
      <c r="H231" s="180"/>
      <c r="I231" s="38"/>
      <c r="J231" s="39"/>
      <c r="K231" s="39"/>
      <c r="L231" s="184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>
      <c r="A232" s="31">
        <v>229.0</v>
      </c>
      <c r="B232" s="97" t="s">
        <v>872</v>
      </c>
      <c r="C232" s="31" t="s">
        <v>834</v>
      </c>
      <c r="D232" s="3">
        <v>245.0</v>
      </c>
      <c r="E232" s="182" t="str">
        <f t="shared" si="1"/>
        <v>1BDFEB</v>
      </c>
      <c r="F232" s="3" t="str">
        <f t="shared" si="2"/>
        <v>C1598B</v>
      </c>
      <c r="G232" s="3">
        <f t="shared" si="3"/>
        <v>5</v>
      </c>
      <c r="H232" s="183" t="s">
        <v>330</v>
      </c>
      <c r="I232" s="44"/>
      <c r="L232" s="99"/>
    </row>
    <row r="233">
      <c r="A233" s="177">
        <v>230.0</v>
      </c>
      <c r="B233" s="185" t="s">
        <v>837</v>
      </c>
      <c r="C233" s="177" t="s">
        <v>95</v>
      </c>
      <c r="D233" s="177">
        <v>246.0</v>
      </c>
      <c r="E233" s="179" t="str">
        <f t="shared" si="1"/>
        <v>1BDFEB</v>
      </c>
      <c r="F233" s="178" t="str">
        <f t="shared" si="2"/>
        <v>C1598B</v>
      </c>
      <c r="G233" s="178">
        <f t="shared" si="3"/>
        <v>6</v>
      </c>
      <c r="H233" s="180" t="s">
        <v>331</v>
      </c>
      <c r="I233" s="38"/>
      <c r="J233" s="39"/>
      <c r="K233" s="39"/>
      <c r="L233" s="184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>
      <c r="A234" s="31">
        <v>231.0</v>
      </c>
      <c r="B234" s="97" t="s">
        <v>798</v>
      </c>
      <c r="C234" s="174" t="s">
        <v>788</v>
      </c>
      <c r="D234" s="3">
        <v>247.0</v>
      </c>
      <c r="E234" s="182" t="str">
        <f t="shared" si="1"/>
        <v>1BDFEB</v>
      </c>
      <c r="F234" s="3" t="str">
        <f t="shared" si="2"/>
        <v>C1598B</v>
      </c>
      <c r="G234" s="3">
        <f t="shared" si="3"/>
        <v>7</v>
      </c>
      <c r="H234" s="183" t="s">
        <v>332</v>
      </c>
      <c r="I234" s="34" t="s">
        <v>95</v>
      </c>
      <c r="L234" s="99"/>
    </row>
    <row r="235">
      <c r="A235" s="31">
        <v>232.0</v>
      </c>
      <c r="B235" s="97" t="s">
        <v>95</v>
      </c>
      <c r="C235" s="31" t="s">
        <v>95</v>
      </c>
      <c r="D235" s="31" t="s">
        <v>95</v>
      </c>
      <c r="E235" s="31" t="s">
        <v>95</v>
      </c>
      <c r="F235" s="31" t="s">
        <v>95</v>
      </c>
      <c r="G235" s="31" t="s">
        <v>95</v>
      </c>
      <c r="H235" s="64" t="s">
        <v>95</v>
      </c>
      <c r="I235" s="34" t="s">
        <v>95</v>
      </c>
      <c r="L235" s="99"/>
    </row>
    <row r="236">
      <c r="A236" s="31">
        <v>233.0</v>
      </c>
      <c r="B236" s="97" t="s">
        <v>95</v>
      </c>
      <c r="C236" s="31" t="s">
        <v>95</v>
      </c>
      <c r="D236" s="31" t="s">
        <v>95</v>
      </c>
      <c r="E236" s="31" t="s">
        <v>95</v>
      </c>
      <c r="F236" s="31" t="s">
        <v>95</v>
      </c>
      <c r="G236" s="31" t="s">
        <v>95</v>
      </c>
      <c r="H236" s="64" t="s">
        <v>95</v>
      </c>
      <c r="I236" s="34" t="s">
        <v>95</v>
      </c>
      <c r="L236" s="99"/>
    </row>
    <row r="237">
      <c r="A237" s="31">
        <v>234.0</v>
      </c>
      <c r="B237" s="97" t="s">
        <v>95</v>
      </c>
      <c r="C237" s="31" t="s">
        <v>95</v>
      </c>
      <c r="D237" s="31" t="s">
        <v>95</v>
      </c>
      <c r="E237" s="31" t="s">
        <v>95</v>
      </c>
      <c r="F237" s="31" t="s">
        <v>95</v>
      </c>
      <c r="G237" s="31" t="s">
        <v>95</v>
      </c>
      <c r="H237" s="64" t="s">
        <v>95</v>
      </c>
      <c r="I237" s="34" t="s">
        <v>95</v>
      </c>
      <c r="L237" s="99"/>
    </row>
    <row r="238">
      <c r="A238" s="31">
        <v>235.0</v>
      </c>
      <c r="B238" s="97" t="s">
        <v>95</v>
      </c>
      <c r="C238" s="31" t="s">
        <v>95</v>
      </c>
      <c r="D238" s="31" t="s">
        <v>95</v>
      </c>
      <c r="E238" s="31" t="s">
        <v>95</v>
      </c>
      <c r="F238" s="31" t="s">
        <v>95</v>
      </c>
      <c r="G238" s="31" t="s">
        <v>95</v>
      </c>
      <c r="H238" s="64" t="s">
        <v>95</v>
      </c>
      <c r="I238" s="34" t="s">
        <v>95</v>
      </c>
      <c r="L238" s="99"/>
    </row>
    <row r="239">
      <c r="A239" s="31">
        <v>236.0</v>
      </c>
      <c r="B239" s="97" t="s">
        <v>95</v>
      </c>
      <c r="C239" s="31" t="s">
        <v>95</v>
      </c>
      <c r="D239" s="31" t="s">
        <v>95</v>
      </c>
      <c r="E239" s="31" t="s">
        <v>95</v>
      </c>
      <c r="F239" s="31" t="s">
        <v>95</v>
      </c>
      <c r="G239" s="31" t="s">
        <v>95</v>
      </c>
      <c r="H239" s="64" t="s">
        <v>95</v>
      </c>
      <c r="I239" s="34" t="s">
        <v>95</v>
      </c>
      <c r="L239" s="99"/>
    </row>
    <row r="240">
      <c r="A240" s="31">
        <v>237.0</v>
      </c>
      <c r="B240" s="97" t="s">
        <v>95</v>
      </c>
      <c r="C240" s="31" t="s">
        <v>95</v>
      </c>
      <c r="D240" s="31" t="s">
        <v>95</v>
      </c>
      <c r="E240" s="31" t="s">
        <v>95</v>
      </c>
      <c r="F240" s="31" t="s">
        <v>95</v>
      </c>
      <c r="G240" s="31" t="s">
        <v>95</v>
      </c>
      <c r="H240" s="64" t="s">
        <v>95</v>
      </c>
      <c r="I240" s="34" t="s">
        <v>95</v>
      </c>
      <c r="L240" s="99"/>
    </row>
    <row r="241">
      <c r="A241" s="31">
        <v>238.0</v>
      </c>
      <c r="B241" s="97" t="s">
        <v>95</v>
      </c>
      <c r="C241" s="31" t="s">
        <v>95</v>
      </c>
      <c r="D241" s="31" t="s">
        <v>95</v>
      </c>
      <c r="E241" s="31" t="s">
        <v>95</v>
      </c>
      <c r="F241" s="31" t="s">
        <v>95</v>
      </c>
      <c r="G241" s="31" t="s">
        <v>95</v>
      </c>
      <c r="H241" s="64" t="s">
        <v>95</v>
      </c>
      <c r="I241" s="34" t="s">
        <v>95</v>
      </c>
      <c r="L241" s="99"/>
    </row>
    <row r="242">
      <c r="A242" s="31">
        <v>239.0</v>
      </c>
      <c r="B242" s="97" t="s">
        <v>95</v>
      </c>
      <c r="C242" s="31" t="s">
        <v>95</v>
      </c>
      <c r="D242" s="31" t="s">
        <v>95</v>
      </c>
      <c r="E242" s="31" t="s">
        <v>95</v>
      </c>
      <c r="F242" s="31" t="s">
        <v>95</v>
      </c>
      <c r="G242" s="31" t="s">
        <v>95</v>
      </c>
      <c r="H242" s="64" t="s">
        <v>95</v>
      </c>
      <c r="I242" s="34" t="s">
        <v>95</v>
      </c>
      <c r="L242" s="99"/>
    </row>
    <row r="243">
      <c r="A243" s="31">
        <v>240.0</v>
      </c>
      <c r="B243" s="97" t="s">
        <v>95</v>
      </c>
      <c r="C243" s="31" t="s">
        <v>95</v>
      </c>
      <c r="D243" s="31" t="s">
        <v>95</v>
      </c>
      <c r="E243" s="31" t="s">
        <v>95</v>
      </c>
      <c r="F243" s="31" t="s">
        <v>95</v>
      </c>
      <c r="G243" s="31" t="s">
        <v>95</v>
      </c>
      <c r="H243" s="64" t="s">
        <v>95</v>
      </c>
      <c r="I243" s="34" t="s">
        <v>95</v>
      </c>
      <c r="L243" s="99"/>
    </row>
    <row r="244">
      <c r="A244" s="31">
        <v>241.0</v>
      </c>
      <c r="B244" s="97" t="s">
        <v>95</v>
      </c>
      <c r="C244" s="31" t="s">
        <v>95</v>
      </c>
      <c r="D244" s="31" t="s">
        <v>95</v>
      </c>
      <c r="E244" s="31" t="s">
        <v>95</v>
      </c>
      <c r="F244" s="31" t="s">
        <v>95</v>
      </c>
      <c r="G244" s="31" t="s">
        <v>95</v>
      </c>
      <c r="H244" s="64" t="s">
        <v>95</v>
      </c>
      <c r="I244" s="34" t="s">
        <v>95</v>
      </c>
      <c r="L244" s="99"/>
    </row>
    <row r="245">
      <c r="A245" s="31">
        <v>242.0</v>
      </c>
      <c r="B245" s="97" t="s">
        <v>95</v>
      </c>
      <c r="C245" s="31" t="s">
        <v>95</v>
      </c>
      <c r="D245" s="31" t="s">
        <v>95</v>
      </c>
      <c r="E245" s="31" t="s">
        <v>95</v>
      </c>
      <c r="F245" s="31" t="s">
        <v>95</v>
      </c>
      <c r="G245" s="31" t="s">
        <v>95</v>
      </c>
      <c r="H245" s="64" t="s">
        <v>95</v>
      </c>
      <c r="I245" s="34" t="s">
        <v>95</v>
      </c>
      <c r="L245" s="99"/>
    </row>
    <row r="246">
      <c r="A246" s="31">
        <v>243.0</v>
      </c>
      <c r="B246" s="97" t="s">
        <v>95</v>
      </c>
      <c r="C246" s="31" t="s">
        <v>95</v>
      </c>
      <c r="D246" s="31" t="s">
        <v>95</v>
      </c>
      <c r="E246" s="31" t="s">
        <v>95</v>
      </c>
      <c r="F246" s="31" t="s">
        <v>95</v>
      </c>
      <c r="G246" s="31" t="s">
        <v>95</v>
      </c>
      <c r="H246" s="64" t="s">
        <v>95</v>
      </c>
      <c r="I246" s="34" t="s">
        <v>95</v>
      </c>
      <c r="L246" s="99"/>
    </row>
    <row r="247">
      <c r="A247" s="31">
        <v>244.0</v>
      </c>
      <c r="B247" s="97" t="s">
        <v>95</v>
      </c>
      <c r="C247" s="31" t="s">
        <v>95</v>
      </c>
      <c r="D247" s="31" t="s">
        <v>95</v>
      </c>
      <c r="E247" s="31" t="s">
        <v>95</v>
      </c>
      <c r="F247" s="31" t="s">
        <v>95</v>
      </c>
      <c r="G247" s="31" t="s">
        <v>95</v>
      </c>
      <c r="H247" s="64" t="s">
        <v>95</v>
      </c>
      <c r="I247" s="34" t="s">
        <v>95</v>
      </c>
      <c r="L247" s="99"/>
    </row>
    <row r="248">
      <c r="A248" s="31">
        <v>245.0</v>
      </c>
      <c r="B248" s="97" t="s">
        <v>95</v>
      </c>
      <c r="C248" s="31" t="s">
        <v>95</v>
      </c>
      <c r="D248" s="31" t="s">
        <v>95</v>
      </c>
      <c r="E248" s="31" t="s">
        <v>95</v>
      </c>
      <c r="F248" s="31" t="s">
        <v>95</v>
      </c>
      <c r="G248" s="31" t="s">
        <v>95</v>
      </c>
      <c r="H248" s="64" t="s">
        <v>95</v>
      </c>
      <c r="I248" s="34" t="s">
        <v>95</v>
      </c>
      <c r="L248" s="99"/>
    </row>
    <row r="249">
      <c r="A249" s="31">
        <v>246.0</v>
      </c>
      <c r="B249" s="97" t="s">
        <v>95</v>
      </c>
      <c r="C249" s="31" t="s">
        <v>95</v>
      </c>
      <c r="D249" s="31" t="s">
        <v>95</v>
      </c>
      <c r="E249" s="31" t="s">
        <v>95</v>
      </c>
      <c r="F249" s="31" t="s">
        <v>95</v>
      </c>
      <c r="G249" s="31" t="s">
        <v>95</v>
      </c>
      <c r="H249" s="64" t="s">
        <v>95</v>
      </c>
      <c r="I249" s="34" t="s">
        <v>95</v>
      </c>
      <c r="L249" s="99"/>
    </row>
    <row r="250">
      <c r="A250" s="31">
        <v>247.0</v>
      </c>
      <c r="B250" s="97" t="s">
        <v>95</v>
      </c>
      <c r="C250" s="31" t="s">
        <v>95</v>
      </c>
      <c r="D250" s="31" t="s">
        <v>95</v>
      </c>
      <c r="E250" s="31" t="s">
        <v>95</v>
      </c>
      <c r="F250" s="31" t="s">
        <v>95</v>
      </c>
      <c r="G250" s="31" t="s">
        <v>95</v>
      </c>
      <c r="H250" s="64" t="s">
        <v>95</v>
      </c>
      <c r="I250" s="34" t="s">
        <v>95</v>
      </c>
      <c r="L250" s="99"/>
    </row>
    <row r="251">
      <c r="A251" s="31">
        <v>248.0</v>
      </c>
      <c r="B251" s="97" t="s">
        <v>95</v>
      </c>
      <c r="C251" s="31" t="s">
        <v>95</v>
      </c>
      <c r="D251" s="31" t="s">
        <v>95</v>
      </c>
      <c r="E251" s="31" t="s">
        <v>95</v>
      </c>
      <c r="F251" s="31" t="s">
        <v>95</v>
      </c>
      <c r="G251" s="31" t="s">
        <v>95</v>
      </c>
      <c r="H251" s="64" t="s">
        <v>95</v>
      </c>
      <c r="I251" s="34" t="s">
        <v>95</v>
      </c>
      <c r="L251" s="99"/>
    </row>
    <row r="252">
      <c r="A252" s="31">
        <v>249.0</v>
      </c>
      <c r="B252" s="97" t="s">
        <v>95</v>
      </c>
      <c r="C252" s="31" t="s">
        <v>95</v>
      </c>
      <c r="D252" s="31" t="s">
        <v>95</v>
      </c>
      <c r="E252" s="31" t="s">
        <v>95</v>
      </c>
      <c r="F252" s="31" t="s">
        <v>95</v>
      </c>
      <c r="G252" s="31" t="s">
        <v>95</v>
      </c>
      <c r="H252" s="64" t="s">
        <v>95</v>
      </c>
      <c r="I252" s="34" t="s">
        <v>95</v>
      </c>
      <c r="L252" s="99"/>
    </row>
    <row r="253">
      <c r="A253" s="31">
        <v>250.0</v>
      </c>
      <c r="B253" s="97" t="s">
        <v>95</v>
      </c>
      <c r="C253" s="31" t="s">
        <v>95</v>
      </c>
      <c r="D253" s="31" t="s">
        <v>95</v>
      </c>
      <c r="E253" s="31" t="s">
        <v>95</v>
      </c>
      <c r="F253" s="31" t="s">
        <v>95</v>
      </c>
      <c r="G253" s="31" t="s">
        <v>95</v>
      </c>
      <c r="H253" s="64" t="s">
        <v>95</v>
      </c>
      <c r="I253" s="34" t="s">
        <v>95</v>
      </c>
      <c r="L253" s="99"/>
    </row>
    <row r="254">
      <c r="A254" s="31">
        <v>251.0</v>
      </c>
      <c r="B254" s="97" t="s">
        <v>95</v>
      </c>
      <c r="C254" s="31" t="s">
        <v>95</v>
      </c>
      <c r="D254" s="31" t="s">
        <v>95</v>
      </c>
      <c r="E254" s="31" t="s">
        <v>95</v>
      </c>
      <c r="F254" s="31" t="s">
        <v>95</v>
      </c>
      <c r="G254" s="31" t="s">
        <v>95</v>
      </c>
      <c r="H254" s="64" t="s">
        <v>95</v>
      </c>
      <c r="I254" s="34" t="s">
        <v>95</v>
      </c>
      <c r="L254" s="99"/>
    </row>
    <row r="255">
      <c r="A255" s="31">
        <v>252.0</v>
      </c>
      <c r="B255" s="97" t="s">
        <v>95</v>
      </c>
      <c r="C255" s="31" t="s">
        <v>95</v>
      </c>
      <c r="D255" s="31" t="s">
        <v>95</v>
      </c>
      <c r="E255" s="31" t="s">
        <v>95</v>
      </c>
      <c r="F255" s="31" t="s">
        <v>95</v>
      </c>
      <c r="G255" s="31" t="s">
        <v>95</v>
      </c>
      <c r="H255" s="64" t="s">
        <v>95</v>
      </c>
      <c r="I255" s="34" t="s">
        <v>95</v>
      </c>
      <c r="L255" s="99"/>
    </row>
    <row r="256">
      <c r="A256" s="31">
        <v>253.0</v>
      </c>
      <c r="B256" s="97" t="s">
        <v>95</v>
      </c>
      <c r="C256" s="31" t="s">
        <v>95</v>
      </c>
      <c r="D256" s="31" t="s">
        <v>95</v>
      </c>
      <c r="E256" s="31" t="s">
        <v>95</v>
      </c>
      <c r="F256" s="31" t="s">
        <v>95</v>
      </c>
      <c r="G256" s="31" t="s">
        <v>95</v>
      </c>
      <c r="H256" s="64" t="s">
        <v>95</v>
      </c>
      <c r="I256" s="34" t="s">
        <v>95</v>
      </c>
      <c r="L256" s="99"/>
    </row>
    <row r="257">
      <c r="A257" s="31">
        <v>254.0</v>
      </c>
      <c r="B257" s="97" t="s">
        <v>95</v>
      </c>
      <c r="C257" s="31" t="s">
        <v>95</v>
      </c>
      <c r="D257" s="31" t="s">
        <v>95</v>
      </c>
      <c r="E257" s="31" t="s">
        <v>95</v>
      </c>
      <c r="F257" s="31" t="s">
        <v>95</v>
      </c>
      <c r="G257" s="31" t="s">
        <v>95</v>
      </c>
      <c r="H257" s="64" t="s">
        <v>95</v>
      </c>
      <c r="I257" s="34" t="s">
        <v>95</v>
      </c>
      <c r="L257" s="99"/>
    </row>
    <row r="258">
      <c r="A258" s="27">
        <v>255.0</v>
      </c>
      <c r="B258" s="187" t="s">
        <v>95</v>
      </c>
      <c r="C258" s="27" t="s">
        <v>95</v>
      </c>
      <c r="D258" s="27" t="s">
        <v>95</v>
      </c>
      <c r="E258" s="27" t="s">
        <v>95</v>
      </c>
      <c r="F258" s="27" t="s">
        <v>95</v>
      </c>
      <c r="G258" s="27" t="s">
        <v>95</v>
      </c>
      <c r="H258" s="90" t="s">
        <v>95</v>
      </c>
      <c r="I258" s="28" t="s">
        <v>95</v>
      </c>
      <c r="L258" s="99"/>
    </row>
    <row r="259">
      <c r="A259" s="32"/>
      <c r="B259" s="111"/>
      <c r="C259" s="32"/>
      <c r="D259" s="32"/>
      <c r="E259" s="32"/>
      <c r="F259" s="32"/>
      <c r="G259" s="32"/>
      <c r="H259" s="47"/>
      <c r="I259" s="32"/>
      <c r="L259" s="99"/>
    </row>
    <row r="260">
      <c r="A260" s="32"/>
      <c r="B260" s="111"/>
      <c r="C260" s="32"/>
      <c r="D260" s="32"/>
      <c r="E260" s="32"/>
      <c r="F260" s="32"/>
      <c r="G260" s="32"/>
      <c r="H260" s="47"/>
      <c r="I260" s="32"/>
      <c r="L260" s="99"/>
    </row>
    <row r="261">
      <c r="A261" s="32"/>
      <c r="B261" s="111"/>
      <c r="C261" s="32"/>
      <c r="D261" s="32"/>
      <c r="E261" s="32"/>
      <c r="F261" s="32"/>
      <c r="G261" s="32"/>
      <c r="H261" s="47"/>
      <c r="I261" s="32"/>
      <c r="L261" s="99"/>
    </row>
    <row r="262">
      <c r="A262" s="32"/>
      <c r="B262" s="111"/>
      <c r="C262" s="32"/>
      <c r="D262" s="32"/>
      <c r="E262" s="32"/>
      <c r="F262" s="32"/>
      <c r="G262" s="32"/>
      <c r="H262" s="47"/>
      <c r="I262" s="32"/>
      <c r="L262" s="99"/>
    </row>
    <row r="263">
      <c r="A263" s="32"/>
      <c r="B263" s="111"/>
      <c r="C263" s="32"/>
      <c r="D263" s="32"/>
      <c r="E263" s="32"/>
      <c r="F263" s="32"/>
      <c r="G263" s="32"/>
      <c r="H263" s="47"/>
      <c r="I263" s="32"/>
      <c r="L263" s="99"/>
    </row>
    <row r="264">
      <c r="A264" s="32"/>
      <c r="B264" s="111"/>
      <c r="C264" s="32"/>
      <c r="D264" s="32"/>
      <c r="E264" s="32"/>
      <c r="F264" s="32"/>
      <c r="G264" s="32"/>
      <c r="H264" s="47"/>
      <c r="I264" s="32"/>
      <c r="L264" s="97"/>
    </row>
    <row r="265">
      <c r="A265" s="32"/>
      <c r="B265" s="111"/>
      <c r="C265" s="32"/>
      <c r="D265" s="32"/>
      <c r="E265" s="32"/>
      <c r="F265" s="32"/>
      <c r="G265" s="32"/>
      <c r="H265" s="47"/>
      <c r="I265" s="32"/>
      <c r="L265" s="97"/>
    </row>
    <row r="266">
      <c r="A266" s="32"/>
      <c r="B266" s="111"/>
      <c r="C266" s="32"/>
      <c r="D266" s="32"/>
      <c r="E266" s="32"/>
      <c r="F266" s="32"/>
      <c r="G266" s="32"/>
      <c r="H266" s="47"/>
      <c r="I266" s="32"/>
      <c r="L266" s="97"/>
    </row>
    <row r="267">
      <c r="A267" s="32"/>
      <c r="B267" s="111"/>
      <c r="C267" s="32"/>
      <c r="D267" s="32"/>
      <c r="E267" s="32"/>
      <c r="F267" s="32"/>
      <c r="G267" s="32"/>
      <c r="H267" s="47"/>
      <c r="I267" s="32"/>
      <c r="L267" s="97"/>
    </row>
    <row r="268">
      <c r="A268" s="32"/>
      <c r="B268" s="111"/>
      <c r="C268" s="32"/>
      <c r="D268" s="32"/>
      <c r="E268" s="32"/>
      <c r="F268" s="32"/>
      <c r="G268" s="32"/>
      <c r="H268" s="47"/>
      <c r="I268" s="32"/>
      <c r="L268" s="97"/>
    </row>
    <row r="269">
      <c r="A269" s="32"/>
      <c r="B269" s="111"/>
      <c r="C269" s="32"/>
      <c r="D269" s="32"/>
      <c r="E269" s="32"/>
      <c r="F269" s="32"/>
      <c r="G269" s="32"/>
      <c r="H269" s="47"/>
      <c r="I269" s="32"/>
      <c r="L269" s="97"/>
    </row>
    <row r="270">
      <c r="A270" s="32"/>
      <c r="B270" s="111"/>
      <c r="C270" s="32"/>
      <c r="D270" s="32"/>
      <c r="E270" s="32"/>
      <c r="F270" s="32"/>
      <c r="G270" s="32"/>
      <c r="H270" s="47"/>
      <c r="I270" s="32"/>
      <c r="L270" s="97"/>
    </row>
    <row r="271">
      <c r="A271" s="32"/>
      <c r="B271" s="111"/>
      <c r="C271" s="32"/>
      <c r="D271" s="32"/>
      <c r="E271" s="32"/>
      <c r="F271" s="32"/>
      <c r="G271" s="32"/>
      <c r="H271" s="47"/>
      <c r="I271" s="32"/>
      <c r="L271" s="97"/>
    </row>
    <row r="272">
      <c r="A272" s="32"/>
      <c r="B272" s="111"/>
      <c r="C272" s="32"/>
      <c r="D272" s="32"/>
      <c r="E272" s="32"/>
      <c r="F272" s="32"/>
      <c r="G272" s="32"/>
      <c r="H272" s="47"/>
      <c r="I272" s="32"/>
      <c r="L272" s="97"/>
    </row>
    <row r="273">
      <c r="A273" s="32"/>
      <c r="B273" s="111"/>
      <c r="C273" s="32"/>
      <c r="D273" s="32"/>
      <c r="E273" s="32"/>
      <c r="F273" s="32"/>
      <c r="G273" s="32"/>
      <c r="H273" s="47"/>
      <c r="I273" s="32"/>
    </row>
    <row r="274">
      <c r="A274" s="32"/>
      <c r="B274" s="111"/>
      <c r="C274" s="32"/>
      <c r="D274" s="32"/>
      <c r="E274" s="32"/>
      <c r="F274" s="32"/>
      <c r="G274" s="32"/>
      <c r="H274" s="47"/>
      <c r="I274" s="32"/>
    </row>
    <row r="275">
      <c r="A275" s="32"/>
      <c r="B275" s="111"/>
      <c r="C275" s="32"/>
      <c r="D275" s="32"/>
      <c r="E275" s="32"/>
      <c r="F275" s="32"/>
      <c r="G275" s="32"/>
      <c r="H275" s="47"/>
      <c r="I275" s="32"/>
    </row>
    <row r="276">
      <c r="A276" s="32"/>
      <c r="B276" s="111"/>
      <c r="C276" s="32"/>
      <c r="D276" s="32"/>
      <c r="E276" s="32"/>
      <c r="F276" s="32"/>
      <c r="G276" s="32"/>
      <c r="H276" s="47"/>
      <c r="I276" s="32"/>
    </row>
    <row r="277">
      <c r="A277" s="32"/>
      <c r="B277" s="111"/>
      <c r="C277" s="32"/>
      <c r="D277" s="32"/>
      <c r="E277" s="32"/>
      <c r="F277" s="32"/>
      <c r="G277" s="32"/>
      <c r="H277" s="47"/>
      <c r="I277" s="32"/>
    </row>
    <row r="278">
      <c r="A278" s="32"/>
      <c r="B278" s="111"/>
      <c r="C278" s="32"/>
      <c r="D278" s="32"/>
      <c r="E278" s="32"/>
      <c r="F278" s="32"/>
      <c r="G278" s="32"/>
      <c r="H278" s="47"/>
      <c r="I278" s="32"/>
    </row>
    <row r="279">
      <c r="A279" s="32"/>
      <c r="B279" s="111"/>
      <c r="C279" s="32"/>
      <c r="D279" s="32"/>
      <c r="E279" s="32"/>
      <c r="F279" s="32"/>
      <c r="G279" s="32"/>
      <c r="H279" s="47"/>
      <c r="I279" s="32"/>
    </row>
    <row r="280">
      <c r="A280" s="32"/>
      <c r="B280" s="111"/>
      <c r="C280" s="32"/>
      <c r="D280" s="32"/>
      <c r="E280" s="32"/>
      <c r="F280" s="32"/>
      <c r="G280" s="32"/>
      <c r="H280" s="47"/>
      <c r="I280" s="32"/>
    </row>
    <row r="281">
      <c r="A281" s="32"/>
      <c r="B281" s="111"/>
      <c r="C281" s="32"/>
      <c r="D281" s="32"/>
      <c r="E281" s="32"/>
      <c r="F281" s="32"/>
      <c r="G281" s="32"/>
      <c r="H281" s="47"/>
      <c r="I281" s="32"/>
    </row>
    <row r="282">
      <c r="A282" s="32"/>
      <c r="B282" s="111"/>
      <c r="C282" s="32"/>
      <c r="D282" s="32"/>
      <c r="E282" s="32"/>
      <c r="F282" s="32"/>
      <c r="G282" s="32"/>
      <c r="H282" s="47"/>
      <c r="I282" s="32"/>
    </row>
    <row r="283">
      <c r="A283" s="32"/>
      <c r="B283" s="111"/>
      <c r="C283" s="32"/>
      <c r="D283" s="32"/>
      <c r="E283" s="32"/>
      <c r="F283" s="32"/>
      <c r="G283" s="32"/>
      <c r="H283" s="47"/>
      <c r="I283" s="32"/>
    </row>
    <row r="284">
      <c r="A284" s="32"/>
      <c r="B284" s="111"/>
      <c r="C284" s="32"/>
      <c r="D284" s="32"/>
      <c r="E284" s="32"/>
      <c r="F284" s="32"/>
      <c r="G284" s="32"/>
      <c r="H284" s="47"/>
      <c r="I284" s="32"/>
    </row>
    <row r="285">
      <c r="A285" s="32"/>
      <c r="B285" s="111"/>
      <c r="C285" s="32"/>
      <c r="D285" s="32"/>
      <c r="E285" s="32"/>
      <c r="F285" s="32"/>
      <c r="G285" s="32"/>
      <c r="H285" s="47"/>
      <c r="I285" s="32"/>
    </row>
    <row r="286">
      <c r="A286" s="32"/>
      <c r="B286" s="111"/>
      <c r="C286" s="32"/>
      <c r="D286" s="32"/>
      <c r="E286" s="32"/>
      <c r="F286" s="32"/>
      <c r="G286" s="32"/>
      <c r="H286" s="47"/>
      <c r="I286" s="32"/>
    </row>
    <row r="287">
      <c r="A287" s="32"/>
      <c r="B287" s="111"/>
      <c r="C287" s="32"/>
      <c r="D287" s="32"/>
      <c r="E287" s="32"/>
      <c r="F287" s="32"/>
      <c r="G287" s="32"/>
      <c r="H287" s="47"/>
      <c r="I287" s="32"/>
    </row>
    <row r="288">
      <c r="A288" s="32"/>
      <c r="B288" s="111"/>
      <c r="C288" s="32"/>
      <c r="D288" s="32"/>
      <c r="E288" s="32"/>
      <c r="F288" s="32"/>
      <c r="G288" s="32"/>
      <c r="H288" s="47"/>
      <c r="I288" s="32"/>
    </row>
    <row r="289">
      <c r="A289" s="32"/>
      <c r="B289" s="111"/>
      <c r="C289" s="32"/>
      <c r="D289" s="32"/>
      <c r="E289" s="32"/>
      <c r="F289" s="32"/>
      <c r="G289" s="32"/>
      <c r="H289" s="47"/>
      <c r="I289" s="32"/>
    </row>
    <row r="290">
      <c r="A290" s="32"/>
      <c r="B290" s="111"/>
      <c r="C290" s="32"/>
      <c r="D290" s="32"/>
      <c r="E290" s="32"/>
      <c r="F290" s="32"/>
      <c r="G290" s="32"/>
      <c r="H290" s="47"/>
      <c r="I290" s="32"/>
    </row>
    <row r="291">
      <c r="A291" s="32"/>
      <c r="B291" s="111"/>
      <c r="C291" s="32"/>
      <c r="D291" s="32"/>
      <c r="E291" s="32"/>
      <c r="F291" s="32"/>
      <c r="G291" s="32"/>
      <c r="H291" s="47"/>
      <c r="I291" s="32"/>
    </row>
    <row r="292">
      <c r="A292" s="32"/>
      <c r="B292" s="111"/>
      <c r="C292" s="32"/>
      <c r="D292" s="32"/>
      <c r="E292" s="32"/>
      <c r="F292" s="32"/>
      <c r="G292" s="32"/>
      <c r="H292" s="47"/>
      <c r="I292" s="32"/>
    </row>
    <row r="293">
      <c r="A293" s="32"/>
      <c r="B293" s="111"/>
      <c r="C293" s="32"/>
      <c r="D293" s="32"/>
      <c r="E293" s="32"/>
      <c r="F293" s="32"/>
      <c r="G293" s="32"/>
      <c r="H293" s="47"/>
      <c r="I293" s="32"/>
    </row>
    <row r="294">
      <c r="A294" s="32"/>
      <c r="B294" s="111"/>
      <c r="C294" s="32"/>
      <c r="D294" s="32"/>
      <c r="E294" s="32"/>
      <c r="F294" s="32"/>
      <c r="G294" s="32"/>
      <c r="H294" s="47"/>
      <c r="I294" s="32"/>
    </row>
    <row r="295">
      <c r="A295" s="32"/>
      <c r="B295" s="111"/>
      <c r="C295" s="32"/>
      <c r="D295" s="32"/>
      <c r="E295" s="32"/>
      <c r="F295" s="32"/>
      <c r="G295" s="32"/>
      <c r="H295" s="47"/>
      <c r="I295" s="32"/>
    </row>
    <row r="296">
      <c r="A296" s="32"/>
      <c r="B296" s="111"/>
      <c r="C296" s="32"/>
      <c r="D296" s="32"/>
      <c r="E296" s="32"/>
      <c r="F296" s="32"/>
      <c r="G296" s="32"/>
      <c r="H296" s="47"/>
      <c r="I296" s="32"/>
    </row>
    <row r="297">
      <c r="A297" s="32"/>
      <c r="B297" s="111"/>
      <c r="C297" s="32"/>
      <c r="D297" s="32"/>
      <c r="E297" s="32"/>
      <c r="F297" s="32"/>
      <c r="G297" s="32"/>
      <c r="H297" s="47"/>
      <c r="I297" s="32"/>
    </row>
    <row r="298">
      <c r="A298" s="32"/>
      <c r="B298" s="111"/>
      <c r="C298" s="32"/>
      <c r="D298" s="32"/>
      <c r="E298" s="32"/>
      <c r="F298" s="32"/>
      <c r="G298" s="32"/>
      <c r="H298" s="47"/>
      <c r="I298" s="32"/>
    </row>
    <row r="299">
      <c r="A299" s="32"/>
      <c r="B299" s="111"/>
      <c r="C299" s="32"/>
      <c r="D299" s="32"/>
      <c r="E299" s="32"/>
      <c r="F299" s="32"/>
      <c r="G299" s="32"/>
      <c r="H299" s="47"/>
      <c r="I299" s="32"/>
    </row>
    <row r="300">
      <c r="A300" s="32"/>
      <c r="B300" s="111"/>
      <c r="C300" s="32"/>
      <c r="D300" s="32"/>
      <c r="E300" s="32"/>
      <c r="F300" s="32"/>
      <c r="G300" s="32"/>
      <c r="H300" s="47"/>
      <c r="I300" s="32"/>
    </row>
    <row r="301">
      <c r="A301" s="32"/>
      <c r="B301" s="111"/>
      <c r="C301" s="32"/>
      <c r="D301" s="32"/>
      <c r="E301" s="32"/>
      <c r="F301" s="32"/>
      <c r="G301" s="32"/>
      <c r="H301" s="47"/>
      <c r="I301" s="32"/>
    </row>
    <row r="302">
      <c r="A302" s="32"/>
      <c r="B302" s="111"/>
      <c r="C302" s="32"/>
      <c r="D302" s="32"/>
      <c r="E302" s="32"/>
      <c r="F302" s="32"/>
      <c r="G302" s="32"/>
      <c r="H302" s="47"/>
      <c r="I302" s="32"/>
    </row>
    <row r="303">
      <c r="A303" s="32"/>
      <c r="B303" s="111"/>
      <c r="C303" s="32"/>
      <c r="D303" s="32"/>
      <c r="E303" s="32"/>
      <c r="F303" s="32"/>
      <c r="G303" s="32"/>
      <c r="H303" s="47"/>
      <c r="I303" s="32"/>
    </row>
    <row r="304">
      <c r="A304" s="32"/>
      <c r="B304" s="111"/>
      <c r="C304" s="32"/>
      <c r="D304" s="32"/>
      <c r="E304" s="32"/>
      <c r="F304" s="32"/>
      <c r="G304" s="32"/>
      <c r="H304" s="47"/>
      <c r="I304" s="32"/>
    </row>
    <row r="305">
      <c r="A305" s="32"/>
      <c r="B305" s="111"/>
      <c r="C305" s="32"/>
      <c r="D305" s="32"/>
      <c r="E305" s="32"/>
      <c r="F305" s="32"/>
      <c r="G305" s="32"/>
      <c r="H305" s="47"/>
      <c r="I305" s="32"/>
    </row>
    <row r="306">
      <c r="A306" s="32"/>
      <c r="B306" s="111"/>
      <c r="C306" s="32"/>
      <c r="D306" s="32"/>
      <c r="E306" s="32"/>
      <c r="F306" s="32"/>
      <c r="G306" s="32"/>
      <c r="H306" s="47"/>
      <c r="I306" s="32"/>
    </row>
    <row r="307">
      <c r="A307" s="32"/>
      <c r="B307" s="111"/>
      <c r="C307" s="32"/>
      <c r="D307" s="32"/>
      <c r="E307" s="32"/>
      <c r="F307" s="32"/>
      <c r="G307" s="32"/>
      <c r="H307" s="47"/>
      <c r="I307" s="32"/>
    </row>
    <row r="308">
      <c r="A308" s="32"/>
      <c r="B308" s="111"/>
      <c r="C308" s="32"/>
      <c r="D308" s="32"/>
      <c r="E308" s="32"/>
      <c r="F308" s="32"/>
      <c r="G308" s="32"/>
      <c r="H308" s="47"/>
      <c r="I308" s="32"/>
    </row>
    <row r="309">
      <c r="A309" s="32"/>
      <c r="B309" s="111"/>
      <c r="C309" s="32"/>
      <c r="D309" s="32"/>
      <c r="E309" s="32"/>
      <c r="F309" s="32"/>
      <c r="G309" s="32"/>
      <c r="H309" s="47"/>
      <c r="I309" s="32"/>
    </row>
    <row r="310">
      <c r="A310" s="32"/>
      <c r="B310" s="111"/>
      <c r="C310" s="32"/>
      <c r="D310" s="32"/>
      <c r="E310" s="32"/>
      <c r="F310" s="32"/>
      <c r="G310" s="32"/>
      <c r="H310" s="47"/>
      <c r="I310" s="32"/>
    </row>
    <row r="311">
      <c r="A311" s="32"/>
      <c r="B311" s="111"/>
      <c r="C311" s="32"/>
      <c r="D311" s="32"/>
      <c r="E311" s="32"/>
      <c r="F311" s="32"/>
      <c r="G311" s="32"/>
      <c r="H311" s="47"/>
      <c r="I311" s="32"/>
    </row>
    <row r="312">
      <c r="A312" s="32"/>
      <c r="B312" s="111"/>
      <c r="C312" s="32"/>
      <c r="D312" s="32"/>
      <c r="E312" s="32"/>
      <c r="F312" s="32"/>
      <c r="G312" s="32"/>
      <c r="H312" s="47"/>
      <c r="I312" s="32"/>
    </row>
    <row r="313">
      <c r="A313" s="32"/>
      <c r="B313" s="111"/>
      <c r="C313" s="32"/>
      <c r="D313" s="32"/>
      <c r="E313" s="32"/>
      <c r="F313" s="32"/>
      <c r="G313" s="32"/>
      <c r="H313" s="47"/>
      <c r="I313" s="32"/>
    </row>
    <row r="314">
      <c r="A314" s="32"/>
      <c r="B314" s="111"/>
      <c r="C314" s="32"/>
      <c r="D314" s="32"/>
      <c r="E314" s="32"/>
      <c r="F314" s="32"/>
      <c r="G314" s="32"/>
      <c r="H314" s="47"/>
      <c r="I314" s="32"/>
    </row>
    <row r="315">
      <c r="A315" s="32"/>
      <c r="B315" s="111"/>
      <c r="C315" s="32"/>
      <c r="D315" s="32"/>
      <c r="E315" s="32"/>
      <c r="F315" s="32"/>
      <c r="G315" s="32"/>
      <c r="H315" s="47"/>
      <c r="I315" s="32"/>
    </row>
    <row r="316">
      <c r="A316" s="32"/>
      <c r="B316" s="111"/>
      <c r="C316" s="32"/>
      <c r="D316" s="32"/>
      <c r="E316" s="32"/>
      <c r="F316" s="32"/>
      <c r="G316" s="32"/>
      <c r="H316" s="47"/>
      <c r="I316" s="32"/>
    </row>
    <row r="317">
      <c r="A317" s="32"/>
      <c r="B317" s="111"/>
      <c r="C317" s="32"/>
      <c r="D317" s="32"/>
      <c r="E317" s="32"/>
      <c r="F317" s="32"/>
      <c r="G317" s="32"/>
      <c r="H317" s="47"/>
      <c r="I317" s="32"/>
    </row>
    <row r="318">
      <c r="A318" s="32"/>
      <c r="B318" s="111"/>
      <c r="C318" s="32"/>
      <c r="D318" s="32"/>
      <c r="E318" s="32"/>
      <c r="F318" s="32"/>
      <c r="G318" s="32"/>
      <c r="H318" s="47"/>
      <c r="I318" s="32"/>
    </row>
    <row r="319">
      <c r="A319" s="32"/>
      <c r="B319" s="111"/>
      <c r="C319" s="32"/>
      <c r="D319" s="32"/>
      <c r="E319" s="32"/>
      <c r="F319" s="32"/>
      <c r="G319" s="32"/>
      <c r="H319" s="47"/>
      <c r="I319" s="32"/>
    </row>
    <row r="320">
      <c r="A320" s="32"/>
      <c r="B320" s="111"/>
      <c r="C320" s="32"/>
      <c r="D320" s="32"/>
      <c r="E320" s="32"/>
      <c r="F320" s="32"/>
      <c r="G320" s="32"/>
      <c r="H320" s="47"/>
      <c r="I320" s="32"/>
    </row>
    <row r="321">
      <c r="A321" s="32"/>
      <c r="B321" s="111"/>
      <c r="C321" s="32"/>
      <c r="D321" s="32"/>
      <c r="E321" s="32"/>
      <c r="F321" s="32"/>
      <c r="G321" s="32"/>
      <c r="H321" s="47"/>
      <c r="I321" s="32"/>
    </row>
    <row r="322">
      <c r="A322" s="32"/>
      <c r="B322" s="111"/>
      <c r="C322" s="32"/>
      <c r="D322" s="32"/>
      <c r="E322" s="32"/>
      <c r="F322" s="32"/>
      <c r="G322" s="32"/>
      <c r="H322" s="47"/>
      <c r="I322" s="32"/>
    </row>
    <row r="323">
      <c r="A323" s="32"/>
      <c r="B323" s="111"/>
      <c r="C323" s="32"/>
      <c r="D323" s="32"/>
      <c r="E323" s="32"/>
      <c r="F323" s="32"/>
      <c r="G323" s="32"/>
      <c r="H323" s="47"/>
      <c r="I323" s="32"/>
    </row>
    <row r="324">
      <c r="A324" s="32"/>
      <c r="B324" s="111"/>
      <c r="C324" s="32"/>
      <c r="D324" s="32"/>
      <c r="E324" s="32"/>
      <c r="F324" s="32"/>
      <c r="G324" s="32"/>
      <c r="H324" s="47"/>
      <c r="I324" s="32"/>
    </row>
    <row r="325">
      <c r="A325" s="32"/>
      <c r="B325" s="111"/>
      <c r="C325" s="32"/>
      <c r="D325" s="32"/>
      <c r="E325" s="32"/>
      <c r="F325" s="32"/>
      <c r="G325" s="32"/>
      <c r="H325" s="47"/>
      <c r="I325" s="32"/>
    </row>
    <row r="326">
      <c r="A326" s="32"/>
      <c r="B326" s="111"/>
      <c r="C326" s="32"/>
      <c r="D326" s="32"/>
      <c r="E326" s="32"/>
      <c r="F326" s="32"/>
      <c r="G326" s="32"/>
      <c r="H326" s="47"/>
      <c r="I326" s="32"/>
    </row>
    <row r="327">
      <c r="A327" s="32"/>
      <c r="B327" s="111"/>
      <c r="C327" s="32"/>
      <c r="D327" s="32"/>
      <c r="E327" s="32"/>
      <c r="F327" s="32"/>
      <c r="G327" s="32"/>
      <c r="H327" s="47"/>
      <c r="I327" s="32"/>
    </row>
    <row r="328">
      <c r="A328" s="32"/>
      <c r="B328" s="111"/>
      <c r="C328" s="32"/>
      <c r="D328" s="32"/>
      <c r="E328" s="32"/>
      <c r="F328" s="32"/>
      <c r="G328" s="32"/>
      <c r="H328" s="47"/>
      <c r="I328" s="32"/>
    </row>
    <row r="329">
      <c r="A329" s="32"/>
      <c r="B329" s="111"/>
      <c r="C329" s="32"/>
      <c r="D329" s="32"/>
      <c r="E329" s="32"/>
      <c r="F329" s="32"/>
      <c r="G329" s="32"/>
      <c r="H329" s="47"/>
      <c r="I329" s="32"/>
    </row>
    <row r="330">
      <c r="A330" s="32"/>
      <c r="B330" s="111"/>
      <c r="C330" s="32"/>
      <c r="D330" s="32"/>
      <c r="E330" s="32"/>
      <c r="F330" s="32"/>
      <c r="G330" s="32"/>
      <c r="H330" s="47"/>
      <c r="I330" s="32"/>
    </row>
    <row r="331">
      <c r="A331" s="32"/>
      <c r="B331" s="111"/>
      <c r="C331" s="32"/>
      <c r="D331" s="32"/>
      <c r="E331" s="32"/>
      <c r="F331" s="32"/>
      <c r="G331" s="32"/>
      <c r="H331" s="47"/>
      <c r="I331" s="32"/>
    </row>
    <row r="332">
      <c r="A332" s="32"/>
      <c r="B332" s="111"/>
      <c r="C332" s="32"/>
      <c r="D332" s="32"/>
      <c r="E332" s="32"/>
      <c r="F332" s="32"/>
      <c r="G332" s="32"/>
      <c r="H332" s="47"/>
      <c r="I332" s="32"/>
    </row>
    <row r="333">
      <c r="A333" s="32"/>
      <c r="B333" s="111"/>
      <c r="C333" s="32"/>
      <c r="D333" s="32"/>
      <c r="E333" s="32"/>
      <c r="F333" s="32"/>
      <c r="G333" s="32"/>
      <c r="H333" s="47"/>
      <c r="I333" s="32"/>
    </row>
    <row r="334">
      <c r="A334" s="32"/>
      <c r="B334" s="111"/>
      <c r="C334" s="32"/>
      <c r="D334" s="32"/>
      <c r="E334" s="32"/>
      <c r="F334" s="32"/>
      <c r="G334" s="32"/>
      <c r="H334" s="47"/>
      <c r="I334" s="32"/>
    </row>
    <row r="335">
      <c r="A335" s="32"/>
      <c r="B335" s="111"/>
      <c r="C335" s="32"/>
      <c r="D335" s="32"/>
      <c r="E335" s="32"/>
      <c r="F335" s="32"/>
      <c r="G335" s="32"/>
      <c r="H335" s="47"/>
      <c r="I335" s="32"/>
    </row>
    <row r="336">
      <c r="A336" s="32"/>
      <c r="B336" s="111"/>
      <c r="C336" s="32"/>
      <c r="D336" s="32"/>
      <c r="E336" s="32"/>
      <c r="F336" s="32"/>
      <c r="G336" s="32"/>
      <c r="H336" s="47"/>
      <c r="I336" s="32"/>
    </row>
    <row r="337">
      <c r="A337" s="32"/>
      <c r="B337" s="111"/>
      <c r="C337" s="32"/>
      <c r="D337" s="32"/>
      <c r="E337" s="32"/>
      <c r="F337" s="32"/>
      <c r="G337" s="32"/>
      <c r="H337" s="47"/>
      <c r="I337" s="32"/>
    </row>
    <row r="338">
      <c r="A338" s="32"/>
      <c r="B338" s="111"/>
      <c r="C338" s="32"/>
      <c r="D338" s="32"/>
      <c r="E338" s="32"/>
      <c r="F338" s="32"/>
      <c r="G338" s="32"/>
      <c r="H338" s="47"/>
      <c r="I338" s="32"/>
    </row>
    <row r="339">
      <c r="A339" s="32"/>
      <c r="B339" s="111"/>
      <c r="C339" s="32"/>
      <c r="D339" s="32"/>
      <c r="E339" s="32"/>
      <c r="F339" s="32"/>
      <c r="G339" s="32"/>
      <c r="H339" s="47"/>
      <c r="I339" s="32"/>
    </row>
    <row r="340">
      <c r="A340" s="32"/>
      <c r="B340" s="111"/>
      <c r="C340" s="32"/>
      <c r="D340" s="32"/>
      <c r="E340" s="32"/>
      <c r="F340" s="32"/>
      <c r="G340" s="32"/>
      <c r="H340" s="47"/>
      <c r="I340" s="32"/>
    </row>
    <row r="341">
      <c r="A341" s="32"/>
      <c r="B341" s="111"/>
      <c r="C341" s="32"/>
      <c r="D341" s="32"/>
      <c r="E341" s="32"/>
      <c r="F341" s="32"/>
      <c r="G341" s="32"/>
      <c r="H341" s="47"/>
      <c r="I341" s="32"/>
    </row>
    <row r="342">
      <c r="A342" s="32"/>
      <c r="B342" s="111"/>
      <c r="C342" s="32"/>
      <c r="D342" s="32"/>
      <c r="E342" s="32"/>
      <c r="F342" s="32"/>
      <c r="G342" s="32"/>
      <c r="H342" s="47"/>
      <c r="I342" s="32"/>
    </row>
    <row r="343">
      <c r="A343" s="32"/>
      <c r="B343" s="111"/>
      <c r="C343" s="32"/>
      <c r="D343" s="32"/>
      <c r="E343" s="32"/>
      <c r="F343" s="32"/>
      <c r="G343" s="32"/>
      <c r="H343" s="47"/>
      <c r="I343" s="32"/>
    </row>
    <row r="344">
      <c r="A344" s="32"/>
      <c r="B344" s="111"/>
      <c r="C344" s="32"/>
      <c r="D344" s="32"/>
      <c r="E344" s="32"/>
      <c r="F344" s="32"/>
      <c r="G344" s="32"/>
      <c r="H344" s="47"/>
      <c r="I344" s="32"/>
    </row>
    <row r="345">
      <c r="A345" s="32"/>
      <c r="B345" s="111"/>
      <c r="C345" s="32"/>
      <c r="D345" s="32"/>
      <c r="E345" s="32"/>
      <c r="F345" s="32"/>
      <c r="G345" s="32"/>
      <c r="H345" s="47"/>
      <c r="I345" s="32"/>
    </row>
    <row r="346">
      <c r="A346" s="32"/>
      <c r="B346" s="111"/>
      <c r="C346" s="32"/>
      <c r="D346" s="32"/>
      <c r="E346" s="32"/>
      <c r="F346" s="32"/>
      <c r="G346" s="32"/>
      <c r="H346" s="47"/>
      <c r="I346" s="32"/>
    </row>
    <row r="347">
      <c r="A347" s="32"/>
      <c r="B347" s="111"/>
      <c r="C347" s="32"/>
      <c r="D347" s="32"/>
      <c r="E347" s="32"/>
      <c r="F347" s="32"/>
      <c r="G347" s="32"/>
      <c r="H347" s="47"/>
      <c r="I347" s="32"/>
    </row>
    <row r="348">
      <c r="A348" s="32"/>
      <c r="B348" s="111"/>
      <c r="C348" s="32"/>
      <c r="D348" s="32"/>
      <c r="E348" s="32"/>
      <c r="F348" s="32"/>
      <c r="G348" s="32"/>
      <c r="H348" s="47"/>
      <c r="I348" s="32"/>
    </row>
    <row r="349">
      <c r="A349" s="32"/>
      <c r="B349" s="111"/>
      <c r="C349" s="32"/>
      <c r="D349" s="32"/>
      <c r="E349" s="32"/>
      <c r="F349" s="32"/>
      <c r="G349" s="32"/>
      <c r="H349" s="47"/>
      <c r="I349" s="32"/>
    </row>
    <row r="350">
      <c r="A350" s="32"/>
      <c r="B350" s="111"/>
      <c r="C350" s="32"/>
      <c r="D350" s="32"/>
      <c r="E350" s="32"/>
      <c r="F350" s="32"/>
      <c r="G350" s="32"/>
      <c r="H350" s="47"/>
      <c r="I350" s="32"/>
    </row>
    <row r="351">
      <c r="A351" s="32"/>
      <c r="B351" s="111"/>
      <c r="C351" s="32"/>
      <c r="D351" s="32"/>
      <c r="E351" s="32"/>
      <c r="F351" s="32"/>
      <c r="G351" s="32"/>
      <c r="H351" s="47"/>
      <c r="I351" s="32"/>
    </row>
    <row r="352">
      <c r="A352" s="32"/>
      <c r="B352" s="111"/>
      <c r="C352" s="32"/>
      <c r="D352" s="32"/>
      <c r="E352" s="32"/>
      <c r="F352" s="32"/>
      <c r="G352" s="32"/>
      <c r="H352" s="47"/>
      <c r="I352" s="32"/>
    </row>
    <row r="353">
      <c r="A353" s="32"/>
      <c r="B353" s="111"/>
      <c r="C353" s="32"/>
      <c r="D353" s="32"/>
      <c r="E353" s="32"/>
      <c r="F353" s="32"/>
      <c r="G353" s="32"/>
      <c r="H353" s="47"/>
      <c r="I353" s="32"/>
    </row>
    <row r="354">
      <c r="A354" s="32"/>
      <c r="B354" s="111"/>
      <c r="C354" s="32"/>
      <c r="D354" s="32"/>
      <c r="E354" s="32"/>
      <c r="F354" s="32"/>
      <c r="G354" s="32"/>
      <c r="H354" s="47"/>
      <c r="I354" s="32"/>
    </row>
    <row r="355">
      <c r="A355" s="32"/>
      <c r="B355" s="111"/>
      <c r="C355" s="32"/>
      <c r="D355" s="32"/>
      <c r="E355" s="32"/>
      <c r="F355" s="32"/>
      <c r="G355" s="32"/>
      <c r="H355" s="47"/>
      <c r="I355" s="32"/>
    </row>
    <row r="356">
      <c r="A356" s="32"/>
      <c r="B356" s="111"/>
      <c r="C356" s="32"/>
      <c r="D356" s="32"/>
      <c r="E356" s="32"/>
      <c r="F356" s="32"/>
      <c r="G356" s="32"/>
      <c r="H356" s="47"/>
      <c r="I356" s="32"/>
    </row>
    <row r="357">
      <c r="A357" s="32"/>
      <c r="B357" s="111"/>
      <c r="C357" s="32"/>
      <c r="D357" s="32"/>
      <c r="E357" s="32"/>
      <c r="F357" s="32"/>
      <c r="G357" s="32"/>
      <c r="H357" s="47"/>
      <c r="I357" s="32"/>
    </row>
    <row r="358">
      <c r="A358" s="32"/>
      <c r="B358" s="111"/>
      <c r="C358" s="32"/>
      <c r="D358" s="32"/>
      <c r="E358" s="32"/>
      <c r="F358" s="32"/>
      <c r="G358" s="32"/>
      <c r="H358" s="47"/>
      <c r="I358" s="32"/>
    </row>
    <row r="359">
      <c r="A359" s="32"/>
      <c r="B359" s="111"/>
      <c r="C359" s="32"/>
      <c r="D359" s="32"/>
      <c r="E359" s="32"/>
      <c r="F359" s="32"/>
      <c r="G359" s="32"/>
      <c r="H359" s="47"/>
      <c r="I359" s="32"/>
    </row>
    <row r="360">
      <c r="A360" s="32"/>
      <c r="B360" s="111"/>
      <c r="C360" s="32"/>
      <c r="D360" s="32"/>
      <c r="E360" s="32"/>
      <c r="F360" s="32"/>
      <c r="G360" s="32"/>
      <c r="H360" s="47"/>
      <c r="I360" s="32"/>
    </row>
    <row r="361">
      <c r="A361" s="32"/>
      <c r="B361" s="111"/>
      <c r="C361" s="32"/>
      <c r="D361" s="32"/>
      <c r="E361" s="32"/>
      <c r="F361" s="32"/>
      <c r="G361" s="32"/>
      <c r="H361" s="47"/>
      <c r="I361" s="32"/>
    </row>
    <row r="362">
      <c r="A362" s="32"/>
      <c r="B362" s="111"/>
      <c r="C362" s="32"/>
      <c r="D362" s="32"/>
      <c r="E362" s="32"/>
      <c r="F362" s="32"/>
      <c r="G362" s="32"/>
      <c r="H362" s="47"/>
      <c r="I362" s="32"/>
    </row>
    <row r="363">
      <c r="A363" s="32"/>
      <c r="B363" s="111"/>
      <c r="C363" s="32"/>
      <c r="D363" s="32"/>
      <c r="E363" s="32"/>
      <c r="F363" s="32"/>
      <c r="G363" s="32"/>
      <c r="H363" s="47"/>
      <c r="I363" s="32"/>
    </row>
    <row r="364">
      <c r="A364" s="32"/>
      <c r="B364" s="111"/>
      <c r="C364" s="32"/>
      <c r="D364" s="32"/>
      <c r="E364" s="32"/>
      <c r="F364" s="32"/>
      <c r="G364" s="32"/>
      <c r="H364" s="47"/>
      <c r="I364" s="32"/>
    </row>
    <row r="365">
      <c r="A365" s="32"/>
      <c r="B365" s="111"/>
      <c r="C365" s="32"/>
      <c r="D365" s="32"/>
      <c r="E365" s="32"/>
      <c r="F365" s="32"/>
      <c r="G365" s="32"/>
      <c r="H365" s="47"/>
      <c r="I365" s="32"/>
    </row>
    <row r="366">
      <c r="A366" s="32"/>
      <c r="B366" s="111"/>
      <c r="C366" s="32"/>
      <c r="D366" s="32"/>
      <c r="E366" s="32"/>
      <c r="F366" s="32"/>
      <c r="G366" s="32"/>
      <c r="H366" s="47"/>
      <c r="I366" s="32"/>
    </row>
    <row r="367">
      <c r="A367" s="32"/>
      <c r="B367" s="111"/>
      <c r="C367" s="32"/>
      <c r="D367" s="32"/>
      <c r="E367" s="32"/>
      <c r="F367" s="32"/>
      <c r="G367" s="32"/>
      <c r="H367" s="47"/>
      <c r="I367" s="32"/>
    </row>
    <row r="368">
      <c r="A368" s="32"/>
      <c r="B368" s="111"/>
      <c r="C368" s="32"/>
      <c r="D368" s="32"/>
      <c r="E368" s="32"/>
      <c r="F368" s="32"/>
      <c r="G368" s="32"/>
      <c r="H368" s="47"/>
      <c r="I368" s="32"/>
    </row>
    <row r="369">
      <c r="A369" s="32"/>
      <c r="B369" s="111"/>
      <c r="C369" s="32"/>
      <c r="D369" s="32"/>
      <c r="E369" s="32"/>
      <c r="F369" s="32"/>
      <c r="G369" s="32"/>
      <c r="H369" s="47"/>
      <c r="I369" s="32"/>
    </row>
    <row r="370">
      <c r="A370" s="32"/>
      <c r="B370" s="111"/>
      <c r="C370" s="32"/>
      <c r="D370" s="32"/>
      <c r="E370" s="32"/>
      <c r="F370" s="32"/>
      <c r="G370" s="32"/>
      <c r="H370" s="47"/>
      <c r="I370" s="32"/>
    </row>
    <row r="371">
      <c r="A371" s="32"/>
      <c r="B371" s="111"/>
      <c r="C371" s="32"/>
      <c r="D371" s="32"/>
      <c r="E371" s="32"/>
      <c r="F371" s="32"/>
      <c r="G371" s="32"/>
      <c r="H371" s="47"/>
      <c r="I371" s="32"/>
    </row>
    <row r="372">
      <c r="A372" s="32"/>
      <c r="B372" s="111"/>
      <c r="C372" s="32"/>
      <c r="D372" s="32"/>
      <c r="E372" s="32"/>
      <c r="F372" s="32"/>
      <c r="G372" s="32"/>
      <c r="H372" s="47"/>
      <c r="I372" s="32"/>
    </row>
    <row r="373">
      <c r="A373" s="32"/>
      <c r="B373" s="111"/>
      <c r="C373" s="32"/>
      <c r="D373" s="32"/>
      <c r="E373" s="32"/>
      <c r="F373" s="32"/>
      <c r="G373" s="32"/>
      <c r="H373" s="47"/>
      <c r="I373" s="32"/>
    </row>
    <row r="374">
      <c r="A374" s="32"/>
      <c r="B374" s="111"/>
      <c r="C374" s="32"/>
      <c r="D374" s="32"/>
      <c r="E374" s="32"/>
      <c r="F374" s="32"/>
      <c r="G374" s="32"/>
      <c r="H374" s="47"/>
      <c r="I374" s="32"/>
    </row>
    <row r="375">
      <c r="A375" s="32"/>
      <c r="B375" s="111"/>
      <c r="C375" s="32"/>
      <c r="D375" s="32"/>
      <c r="E375" s="32"/>
      <c r="F375" s="32"/>
      <c r="G375" s="32"/>
      <c r="H375" s="47"/>
      <c r="I375" s="32"/>
    </row>
    <row r="376">
      <c r="A376" s="32"/>
      <c r="B376" s="111"/>
      <c r="C376" s="32"/>
      <c r="D376" s="32"/>
      <c r="E376" s="32"/>
      <c r="F376" s="32"/>
      <c r="G376" s="32"/>
      <c r="H376" s="47"/>
      <c r="I376" s="32"/>
    </row>
    <row r="377">
      <c r="A377" s="32"/>
      <c r="B377" s="111"/>
      <c r="C377" s="32"/>
      <c r="D377" s="32"/>
      <c r="E377" s="32"/>
      <c r="F377" s="32"/>
      <c r="G377" s="32"/>
      <c r="H377" s="47"/>
      <c r="I377" s="32"/>
    </row>
    <row r="378">
      <c r="A378" s="32"/>
      <c r="B378" s="111"/>
      <c r="C378" s="32"/>
      <c r="D378" s="32"/>
      <c r="E378" s="32"/>
      <c r="F378" s="32"/>
      <c r="G378" s="32"/>
      <c r="H378" s="47"/>
      <c r="I378" s="32"/>
    </row>
    <row r="379">
      <c r="A379" s="32"/>
      <c r="B379" s="111"/>
      <c r="C379" s="32"/>
      <c r="D379" s="32"/>
      <c r="E379" s="32"/>
      <c r="F379" s="32"/>
      <c r="G379" s="32"/>
      <c r="H379" s="47"/>
      <c r="I379" s="32"/>
    </row>
    <row r="380">
      <c r="A380" s="32"/>
      <c r="B380" s="111"/>
      <c r="C380" s="32"/>
      <c r="D380" s="32"/>
      <c r="E380" s="32"/>
      <c r="F380" s="32"/>
      <c r="G380" s="32"/>
      <c r="H380" s="47"/>
      <c r="I380" s="32"/>
    </row>
    <row r="381">
      <c r="A381" s="32"/>
      <c r="B381" s="111"/>
      <c r="C381" s="32"/>
      <c r="D381" s="32"/>
      <c r="E381" s="32"/>
      <c r="F381" s="32"/>
      <c r="G381" s="32"/>
      <c r="H381" s="47"/>
      <c r="I381" s="32"/>
    </row>
    <row r="382">
      <c r="A382" s="32"/>
      <c r="B382" s="111"/>
      <c r="C382" s="32"/>
      <c r="D382" s="32"/>
      <c r="E382" s="32"/>
      <c r="F382" s="32"/>
      <c r="G382" s="32"/>
      <c r="H382" s="47"/>
      <c r="I382" s="32"/>
    </row>
    <row r="383">
      <c r="A383" s="32"/>
      <c r="B383" s="111"/>
      <c r="C383" s="32"/>
      <c r="D383" s="32"/>
      <c r="E383" s="32"/>
      <c r="F383" s="32"/>
      <c r="G383" s="32"/>
      <c r="H383" s="47"/>
      <c r="I383" s="32"/>
    </row>
    <row r="384">
      <c r="A384" s="32"/>
      <c r="B384" s="111"/>
      <c r="C384" s="32"/>
      <c r="D384" s="32"/>
      <c r="E384" s="32"/>
      <c r="F384" s="32"/>
      <c r="G384" s="32"/>
      <c r="H384" s="47"/>
      <c r="I384" s="32"/>
    </row>
    <row r="385">
      <c r="A385" s="32"/>
      <c r="B385" s="111"/>
      <c r="C385" s="32"/>
      <c r="D385" s="32"/>
      <c r="E385" s="32"/>
      <c r="F385" s="32"/>
      <c r="G385" s="32"/>
      <c r="H385" s="47"/>
      <c r="I385" s="32"/>
    </row>
    <row r="386">
      <c r="A386" s="32"/>
      <c r="B386" s="111"/>
      <c r="C386" s="32"/>
      <c r="D386" s="32"/>
      <c r="E386" s="32"/>
      <c r="F386" s="32"/>
      <c r="G386" s="32"/>
      <c r="H386" s="47"/>
      <c r="I386" s="32"/>
    </row>
    <row r="387">
      <c r="A387" s="32"/>
      <c r="B387" s="111"/>
      <c r="C387" s="32"/>
      <c r="D387" s="32"/>
      <c r="E387" s="32"/>
      <c r="F387" s="32"/>
      <c r="G387" s="32"/>
      <c r="H387" s="47"/>
      <c r="I387" s="32"/>
    </row>
    <row r="388">
      <c r="A388" s="32"/>
      <c r="B388" s="111"/>
      <c r="C388" s="32"/>
      <c r="D388" s="32"/>
      <c r="E388" s="32"/>
      <c r="F388" s="32"/>
      <c r="G388" s="32"/>
      <c r="H388" s="47"/>
      <c r="I388" s="32"/>
    </row>
    <row r="389">
      <c r="A389" s="32"/>
      <c r="B389" s="111"/>
      <c r="C389" s="32"/>
      <c r="D389" s="32"/>
      <c r="E389" s="32"/>
      <c r="F389" s="32"/>
      <c r="G389" s="32"/>
      <c r="H389" s="47"/>
      <c r="I389" s="32"/>
    </row>
    <row r="390">
      <c r="A390" s="32"/>
      <c r="B390" s="111"/>
      <c r="C390" s="32"/>
      <c r="D390" s="32"/>
      <c r="E390" s="32"/>
      <c r="F390" s="32"/>
      <c r="G390" s="32"/>
      <c r="H390" s="47"/>
      <c r="I390" s="32"/>
    </row>
    <row r="391">
      <c r="A391" s="32"/>
      <c r="B391" s="111"/>
      <c r="C391" s="32"/>
      <c r="D391" s="32"/>
      <c r="E391" s="32"/>
      <c r="F391" s="32"/>
      <c r="G391" s="32"/>
      <c r="H391" s="47"/>
      <c r="I391" s="32"/>
    </row>
    <row r="392">
      <c r="A392" s="32"/>
      <c r="B392" s="111"/>
      <c r="C392" s="32"/>
      <c r="D392" s="32"/>
      <c r="E392" s="32"/>
      <c r="F392" s="32"/>
      <c r="G392" s="32"/>
      <c r="H392" s="47"/>
      <c r="I392" s="32"/>
    </row>
    <row r="393">
      <c r="A393" s="32"/>
      <c r="B393" s="111"/>
      <c r="C393" s="32"/>
      <c r="D393" s="32"/>
      <c r="E393" s="32"/>
      <c r="F393" s="32"/>
      <c r="G393" s="32"/>
      <c r="H393" s="47"/>
      <c r="I393" s="32"/>
    </row>
    <row r="394">
      <c r="A394" s="32"/>
      <c r="B394" s="111"/>
      <c r="C394" s="32"/>
      <c r="D394" s="32"/>
      <c r="E394" s="32"/>
      <c r="F394" s="32"/>
      <c r="G394" s="32"/>
      <c r="H394" s="47"/>
      <c r="I394" s="32"/>
    </row>
    <row r="395">
      <c r="A395" s="32"/>
      <c r="B395" s="111"/>
      <c r="C395" s="32"/>
      <c r="D395" s="32"/>
      <c r="E395" s="32"/>
      <c r="F395" s="32"/>
      <c r="G395" s="32"/>
      <c r="H395" s="47"/>
      <c r="I395" s="32"/>
    </row>
    <row r="396">
      <c r="A396" s="32"/>
      <c r="B396" s="111"/>
      <c r="C396" s="32"/>
      <c r="D396" s="32"/>
      <c r="E396" s="32"/>
      <c r="F396" s="32"/>
      <c r="G396" s="32"/>
      <c r="H396" s="47"/>
      <c r="I396" s="32"/>
    </row>
    <row r="397">
      <c r="A397" s="32"/>
      <c r="B397" s="111"/>
      <c r="C397" s="32"/>
      <c r="D397" s="32"/>
      <c r="E397" s="32"/>
      <c r="F397" s="32"/>
      <c r="G397" s="32"/>
      <c r="H397" s="47"/>
      <c r="I397" s="32"/>
    </row>
    <row r="398">
      <c r="A398" s="32"/>
      <c r="B398" s="111"/>
      <c r="C398" s="32"/>
      <c r="D398" s="32"/>
      <c r="E398" s="32"/>
      <c r="F398" s="32"/>
      <c r="G398" s="32"/>
      <c r="H398" s="47"/>
      <c r="I398" s="32"/>
    </row>
    <row r="399">
      <c r="A399" s="32"/>
      <c r="B399" s="111"/>
      <c r="C399" s="32"/>
      <c r="D399" s="32"/>
      <c r="E399" s="32"/>
      <c r="F399" s="32"/>
      <c r="G399" s="32"/>
      <c r="H399" s="47"/>
      <c r="I399" s="32"/>
    </row>
    <row r="400">
      <c r="A400" s="32"/>
      <c r="B400" s="111"/>
      <c r="C400" s="32"/>
      <c r="D400" s="32"/>
      <c r="E400" s="32"/>
      <c r="F400" s="32"/>
      <c r="G400" s="32"/>
      <c r="H400" s="47"/>
      <c r="I400" s="32"/>
    </row>
    <row r="401">
      <c r="A401" s="32"/>
      <c r="B401" s="111"/>
      <c r="C401" s="32"/>
      <c r="D401" s="32"/>
      <c r="E401" s="32"/>
      <c r="F401" s="32"/>
      <c r="G401" s="32"/>
      <c r="H401" s="47"/>
      <c r="I401" s="32"/>
    </row>
    <row r="402">
      <c r="A402" s="32"/>
      <c r="B402" s="111"/>
      <c r="C402" s="32"/>
      <c r="D402" s="32"/>
      <c r="E402" s="32"/>
      <c r="F402" s="32"/>
      <c r="G402" s="32"/>
      <c r="H402" s="47"/>
      <c r="I402" s="32"/>
    </row>
    <row r="403">
      <c r="A403" s="32"/>
      <c r="B403" s="111"/>
      <c r="C403" s="32"/>
      <c r="D403" s="32"/>
      <c r="E403" s="32"/>
      <c r="F403" s="32"/>
      <c r="G403" s="32"/>
      <c r="H403" s="47"/>
      <c r="I403" s="32"/>
    </row>
    <row r="404">
      <c r="A404" s="32"/>
      <c r="B404" s="111"/>
      <c r="C404" s="32"/>
      <c r="D404" s="32"/>
      <c r="E404" s="32"/>
      <c r="F404" s="32"/>
      <c r="G404" s="32"/>
      <c r="H404" s="47"/>
      <c r="I404" s="32"/>
    </row>
    <row r="405">
      <c r="A405" s="32"/>
      <c r="B405" s="111"/>
      <c r="C405" s="32"/>
      <c r="D405" s="32"/>
      <c r="E405" s="32"/>
      <c r="F405" s="32"/>
      <c r="G405" s="32"/>
      <c r="H405" s="47"/>
      <c r="I405" s="32"/>
    </row>
    <row r="406">
      <c r="A406" s="32"/>
      <c r="B406" s="111"/>
      <c r="C406" s="32"/>
      <c r="D406" s="32"/>
      <c r="E406" s="32"/>
      <c r="F406" s="32"/>
      <c r="G406" s="32"/>
      <c r="H406" s="47"/>
      <c r="I406" s="32"/>
    </row>
    <row r="407">
      <c r="A407" s="32"/>
      <c r="B407" s="111"/>
      <c r="C407" s="32"/>
      <c r="D407" s="32"/>
      <c r="E407" s="32"/>
      <c r="F407" s="32"/>
      <c r="G407" s="32"/>
      <c r="H407" s="47"/>
      <c r="I407" s="32"/>
    </row>
    <row r="408">
      <c r="A408" s="32"/>
      <c r="B408" s="111"/>
      <c r="C408" s="32"/>
      <c r="D408" s="32"/>
      <c r="E408" s="32"/>
      <c r="F408" s="32"/>
      <c r="G408" s="32"/>
      <c r="H408" s="47"/>
      <c r="I408" s="32"/>
    </row>
    <row r="409">
      <c r="A409" s="32"/>
      <c r="B409" s="111"/>
      <c r="C409" s="32"/>
      <c r="D409" s="32"/>
      <c r="E409" s="32"/>
      <c r="F409" s="32"/>
      <c r="G409" s="32"/>
      <c r="H409" s="47"/>
      <c r="I409" s="32"/>
    </row>
    <row r="410">
      <c r="A410" s="32"/>
      <c r="B410" s="111"/>
      <c r="C410" s="32"/>
      <c r="D410" s="32"/>
      <c r="E410" s="32"/>
      <c r="F410" s="32"/>
      <c r="G410" s="32"/>
      <c r="H410" s="47"/>
      <c r="I410" s="32"/>
    </row>
    <row r="411">
      <c r="A411" s="32"/>
      <c r="B411" s="111"/>
      <c r="C411" s="32"/>
      <c r="D411" s="32"/>
      <c r="E411" s="32"/>
      <c r="F411" s="32"/>
      <c r="G411" s="32"/>
      <c r="H411" s="47"/>
      <c r="I411" s="32"/>
    </row>
    <row r="412">
      <c r="A412" s="32"/>
      <c r="B412" s="111"/>
      <c r="C412" s="32"/>
      <c r="D412" s="32"/>
      <c r="E412" s="32"/>
      <c r="F412" s="32"/>
      <c r="G412" s="32"/>
      <c r="H412" s="47"/>
      <c r="I412" s="32"/>
    </row>
    <row r="413">
      <c r="A413" s="32"/>
      <c r="B413" s="111"/>
      <c r="C413" s="32"/>
      <c r="D413" s="32"/>
      <c r="E413" s="32"/>
      <c r="F413" s="32"/>
      <c r="G413" s="32"/>
      <c r="H413" s="47"/>
      <c r="I413" s="32"/>
    </row>
    <row r="414">
      <c r="A414" s="32"/>
      <c r="B414" s="111"/>
      <c r="C414" s="32"/>
      <c r="D414" s="32"/>
      <c r="E414" s="32"/>
      <c r="F414" s="32"/>
      <c r="G414" s="32"/>
      <c r="H414" s="47"/>
      <c r="I414" s="32"/>
    </row>
    <row r="415">
      <c r="A415" s="32"/>
      <c r="B415" s="111"/>
      <c r="C415" s="32"/>
      <c r="D415" s="32"/>
      <c r="E415" s="32"/>
      <c r="F415" s="32"/>
      <c r="G415" s="32"/>
      <c r="H415" s="47"/>
      <c r="I415" s="32"/>
    </row>
    <row r="416">
      <c r="A416" s="32"/>
      <c r="B416" s="111"/>
      <c r="C416" s="32"/>
      <c r="D416" s="32"/>
      <c r="E416" s="32"/>
      <c r="F416" s="32"/>
      <c r="G416" s="32"/>
      <c r="H416" s="47"/>
      <c r="I416" s="32"/>
    </row>
    <row r="417">
      <c r="A417" s="32"/>
      <c r="B417" s="111"/>
      <c r="C417" s="32"/>
      <c r="D417" s="32"/>
      <c r="E417" s="32"/>
      <c r="F417" s="32"/>
      <c r="G417" s="32"/>
      <c r="H417" s="47"/>
      <c r="I417" s="32"/>
    </row>
    <row r="418">
      <c r="A418" s="32"/>
      <c r="B418" s="111"/>
      <c r="C418" s="32"/>
      <c r="D418" s="32"/>
      <c r="E418" s="32"/>
      <c r="F418" s="32"/>
      <c r="G418" s="32"/>
      <c r="H418" s="47"/>
      <c r="I418" s="32"/>
    </row>
    <row r="419">
      <c r="A419" s="32"/>
      <c r="B419" s="111"/>
      <c r="C419" s="32"/>
      <c r="D419" s="32"/>
      <c r="E419" s="32"/>
      <c r="F419" s="32"/>
      <c r="G419" s="32"/>
      <c r="H419" s="47"/>
      <c r="I419" s="32"/>
    </row>
    <row r="420">
      <c r="A420" s="32"/>
      <c r="B420" s="111"/>
      <c r="C420" s="32"/>
      <c r="D420" s="32"/>
      <c r="E420" s="32"/>
      <c r="F420" s="32"/>
      <c r="G420" s="32"/>
      <c r="H420" s="47"/>
      <c r="I420" s="32"/>
    </row>
    <row r="421">
      <c r="A421" s="32"/>
      <c r="B421" s="111"/>
      <c r="C421" s="32"/>
      <c r="D421" s="32"/>
      <c r="E421" s="32"/>
      <c r="F421" s="32"/>
      <c r="G421" s="32"/>
      <c r="H421" s="47"/>
      <c r="I421" s="32"/>
    </row>
    <row r="422">
      <c r="A422" s="32"/>
      <c r="B422" s="111"/>
      <c r="C422" s="32"/>
      <c r="D422" s="32"/>
      <c r="E422" s="32"/>
      <c r="F422" s="32"/>
      <c r="G422" s="32"/>
      <c r="H422" s="47"/>
      <c r="I422" s="32"/>
    </row>
    <row r="423">
      <c r="A423" s="32"/>
      <c r="B423" s="111"/>
      <c r="C423" s="32"/>
      <c r="D423" s="32"/>
      <c r="E423" s="32"/>
      <c r="F423" s="32"/>
      <c r="G423" s="32"/>
      <c r="H423" s="47"/>
      <c r="I423" s="32"/>
    </row>
    <row r="424">
      <c r="A424" s="32"/>
      <c r="B424" s="111"/>
      <c r="C424" s="32"/>
      <c r="D424" s="32"/>
      <c r="E424" s="32"/>
      <c r="F424" s="32"/>
      <c r="G424" s="32"/>
      <c r="H424" s="47"/>
      <c r="I424" s="32"/>
    </row>
    <row r="425">
      <c r="A425" s="32"/>
      <c r="B425" s="111"/>
      <c r="C425" s="32"/>
      <c r="D425" s="32"/>
      <c r="E425" s="32"/>
      <c r="F425" s="32"/>
      <c r="G425" s="32"/>
      <c r="H425" s="47"/>
      <c r="I425" s="32"/>
    </row>
    <row r="426">
      <c r="A426" s="32"/>
      <c r="B426" s="111"/>
      <c r="C426" s="32"/>
      <c r="D426" s="32"/>
      <c r="E426" s="32"/>
      <c r="F426" s="32"/>
      <c r="G426" s="32"/>
      <c r="H426" s="47"/>
      <c r="I426" s="32"/>
    </row>
    <row r="427">
      <c r="A427" s="32"/>
      <c r="B427" s="111"/>
      <c r="C427" s="32"/>
      <c r="D427" s="32"/>
      <c r="E427" s="32"/>
      <c r="F427" s="32"/>
      <c r="G427" s="32"/>
      <c r="H427" s="47"/>
      <c r="I427" s="32"/>
    </row>
    <row r="428">
      <c r="A428" s="32"/>
      <c r="B428" s="111"/>
      <c r="C428" s="32"/>
      <c r="D428" s="32"/>
      <c r="E428" s="32"/>
      <c r="F428" s="32"/>
      <c r="G428" s="32"/>
      <c r="H428" s="47"/>
      <c r="I428" s="32"/>
    </row>
    <row r="429">
      <c r="A429" s="32"/>
      <c r="B429" s="111"/>
      <c r="C429" s="32"/>
      <c r="D429" s="32"/>
      <c r="E429" s="32"/>
      <c r="F429" s="32"/>
      <c r="G429" s="32"/>
      <c r="H429" s="47"/>
      <c r="I429" s="32"/>
    </row>
    <row r="430">
      <c r="A430" s="32"/>
      <c r="B430" s="111"/>
      <c r="C430" s="32"/>
      <c r="D430" s="32"/>
      <c r="E430" s="32"/>
      <c r="F430" s="32"/>
      <c r="G430" s="32"/>
      <c r="H430" s="47"/>
      <c r="I430" s="32"/>
    </row>
    <row r="431">
      <c r="A431" s="32"/>
      <c r="B431" s="111"/>
      <c r="C431" s="32"/>
      <c r="D431" s="32"/>
      <c r="E431" s="32"/>
      <c r="F431" s="32"/>
      <c r="G431" s="32"/>
      <c r="H431" s="47"/>
      <c r="I431" s="32"/>
    </row>
    <row r="432">
      <c r="A432" s="32"/>
      <c r="B432" s="111"/>
      <c r="C432" s="32"/>
      <c r="D432" s="32"/>
      <c r="E432" s="32"/>
      <c r="F432" s="32"/>
      <c r="G432" s="32"/>
      <c r="H432" s="47"/>
      <c r="I432" s="32"/>
    </row>
    <row r="433">
      <c r="A433" s="32"/>
      <c r="B433" s="111"/>
      <c r="C433" s="32"/>
      <c r="D433" s="32"/>
      <c r="E433" s="32"/>
      <c r="F433" s="32"/>
      <c r="G433" s="32"/>
      <c r="H433" s="47"/>
      <c r="I433" s="32"/>
    </row>
    <row r="434">
      <c r="A434" s="32"/>
      <c r="B434" s="111"/>
      <c r="C434" s="32"/>
      <c r="D434" s="32"/>
      <c r="E434" s="32"/>
      <c r="F434" s="32"/>
      <c r="G434" s="32"/>
      <c r="H434" s="47"/>
      <c r="I434" s="32"/>
    </row>
    <row r="435">
      <c r="A435" s="32"/>
      <c r="B435" s="111"/>
      <c r="C435" s="32"/>
      <c r="D435" s="32"/>
      <c r="E435" s="32"/>
      <c r="F435" s="32"/>
      <c r="G435" s="32"/>
      <c r="H435" s="47"/>
      <c r="I435" s="32"/>
    </row>
    <row r="436">
      <c r="A436" s="32"/>
      <c r="B436" s="111"/>
      <c r="C436" s="32"/>
      <c r="D436" s="32"/>
      <c r="E436" s="32"/>
      <c r="F436" s="32"/>
      <c r="G436" s="32"/>
      <c r="H436" s="47"/>
      <c r="I436" s="32"/>
    </row>
    <row r="437">
      <c r="A437" s="32"/>
      <c r="B437" s="111"/>
      <c r="C437" s="32"/>
      <c r="D437" s="32"/>
      <c r="E437" s="32"/>
      <c r="F437" s="32"/>
      <c r="G437" s="32"/>
      <c r="H437" s="47"/>
      <c r="I437" s="32"/>
    </row>
    <row r="438">
      <c r="A438" s="32"/>
      <c r="B438" s="111"/>
      <c r="C438" s="32"/>
      <c r="D438" s="32"/>
      <c r="E438" s="32"/>
      <c r="F438" s="32"/>
      <c r="G438" s="32"/>
      <c r="H438" s="47"/>
      <c r="I438" s="32"/>
    </row>
    <row r="439">
      <c r="A439" s="32"/>
      <c r="B439" s="111"/>
      <c r="C439" s="32"/>
      <c r="D439" s="32"/>
      <c r="E439" s="32"/>
      <c r="F439" s="32"/>
      <c r="G439" s="32"/>
      <c r="H439" s="47"/>
      <c r="I439" s="32"/>
    </row>
    <row r="440">
      <c r="A440" s="32"/>
      <c r="B440" s="111"/>
      <c r="C440" s="32"/>
      <c r="D440" s="32"/>
      <c r="E440" s="32"/>
      <c r="F440" s="32"/>
      <c r="G440" s="32"/>
      <c r="H440" s="47"/>
      <c r="I440" s="32"/>
    </row>
    <row r="441">
      <c r="A441" s="32"/>
      <c r="B441" s="111"/>
      <c r="C441" s="32"/>
      <c r="D441" s="32"/>
      <c r="E441" s="32"/>
      <c r="F441" s="32"/>
      <c r="G441" s="32"/>
      <c r="H441" s="47"/>
      <c r="I441" s="32"/>
    </row>
    <row r="442">
      <c r="A442" s="32"/>
      <c r="B442" s="111"/>
      <c r="C442" s="32"/>
      <c r="D442" s="32"/>
      <c r="E442" s="32"/>
      <c r="F442" s="32"/>
      <c r="G442" s="32"/>
      <c r="H442" s="47"/>
      <c r="I442" s="32"/>
    </row>
    <row r="443">
      <c r="A443" s="32"/>
      <c r="B443" s="111"/>
      <c r="C443" s="32"/>
      <c r="D443" s="32"/>
      <c r="E443" s="32"/>
      <c r="F443" s="32"/>
      <c r="G443" s="32"/>
      <c r="H443" s="47"/>
      <c r="I443" s="32"/>
    </row>
    <row r="444">
      <c r="A444" s="32"/>
      <c r="B444" s="111"/>
      <c r="C444" s="32"/>
      <c r="D444" s="32"/>
      <c r="E444" s="32"/>
      <c r="F444" s="32"/>
      <c r="G444" s="32"/>
      <c r="H444" s="47"/>
      <c r="I444" s="32"/>
    </row>
    <row r="445">
      <c r="A445" s="32"/>
      <c r="B445" s="111"/>
      <c r="C445" s="32"/>
      <c r="D445" s="32"/>
      <c r="E445" s="32"/>
      <c r="F445" s="32"/>
      <c r="G445" s="32"/>
      <c r="H445" s="47"/>
      <c r="I445" s="32"/>
    </row>
    <row r="446">
      <c r="A446" s="32"/>
      <c r="B446" s="111"/>
      <c r="C446" s="32"/>
      <c r="D446" s="32"/>
      <c r="E446" s="32"/>
      <c r="F446" s="32"/>
      <c r="G446" s="32"/>
      <c r="H446" s="47"/>
      <c r="I446" s="32"/>
    </row>
    <row r="447">
      <c r="A447" s="32"/>
      <c r="B447" s="111"/>
      <c r="C447" s="32"/>
      <c r="D447" s="32"/>
      <c r="E447" s="32"/>
      <c r="F447" s="32"/>
      <c r="G447" s="32"/>
      <c r="H447" s="47"/>
      <c r="I447" s="32"/>
    </row>
    <row r="448">
      <c r="A448" s="32"/>
      <c r="B448" s="111"/>
      <c r="C448" s="32"/>
      <c r="D448" s="32"/>
      <c r="E448" s="32"/>
      <c r="F448" s="32"/>
      <c r="G448" s="32"/>
      <c r="H448" s="47"/>
      <c r="I448" s="32"/>
    </row>
    <row r="449">
      <c r="A449" s="32"/>
      <c r="B449" s="111"/>
      <c r="C449" s="32"/>
      <c r="D449" s="32"/>
      <c r="E449" s="32"/>
      <c r="F449" s="32"/>
      <c r="G449" s="32"/>
      <c r="H449" s="47"/>
      <c r="I449" s="32"/>
    </row>
    <row r="450">
      <c r="A450" s="32"/>
      <c r="B450" s="111"/>
      <c r="C450" s="32"/>
      <c r="D450" s="32"/>
      <c r="E450" s="32"/>
      <c r="F450" s="32"/>
      <c r="G450" s="32"/>
      <c r="H450" s="47"/>
      <c r="I450" s="32"/>
    </row>
    <row r="451">
      <c r="A451" s="32"/>
      <c r="B451" s="111"/>
      <c r="C451" s="32"/>
      <c r="D451" s="32"/>
      <c r="E451" s="32"/>
      <c r="F451" s="32"/>
      <c r="G451" s="32"/>
      <c r="H451" s="47"/>
      <c r="I451" s="32"/>
    </row>
    <row r="452">
      <c r="A452" s="32"/>
      <c r="B452" s="111"/>
      <c r="C452" s="32"/>
      <c r="D452" s="32"/>
      <c r="E452" s="32"/>
      <c r="F452" s="32"/>
      <c r="G452" s="32"/>
      <c r="H452" s="47"/>
      <c r="I452" s="32"/>
    </row>
    <row r="453">
      <c r="A453" s="32"/>
      <c r="B453" s="111"/>
      <c r="C453" s="32"/>
      <c r="D453" s="32"/>
      <c r="E453" s="32"/>
      <c r="F453" s="32"/>
      <c r="G453" s="32"/>
      <c r="H453" s="47"/>
      <c r="I453" s="32"/>
    </row>
    <row r="454">
      <c r="A454" s="32"/>
      <c r="B454" s="111"/>
      <c r="C454" s="32"/>
      <c r="D454" s="32"/>
      <c r="E454" s="32"/>
      <c r="F454" s="32"/>
      <c r="G454" s="32"/>
      <c r="H454" s="47"/>
      <c r="I454" s="32"/>
    </row>
    <row r="455">
      <c r="A455" s="32"/>
      <c r="B455" s="111"/>
      <c r="C455" s="32"/>
      <c r="D455" s="32"/>
      <c r="E455" s="32"/>
      <c r="F455" s="32"/>
      <c r="G455" s="32"/>
      <c r="H455" s="47"/>
      <c r="I455" s="32"/>
    </row>
    <row r="456">
      <c r="A456" s="32"/>
      <c r="B456" s="111"/>
      <c r="C456" s="32"/>
      <c r="D456" s="32"/>
      <c r="E456" s="32"/>
      <c r="F456" s="32"/>
      <c r="G456" s="32"/>
      <c r="H456" s="47"/>
      <c r="I456" s="32"/>
    </row>
    <row r="457">
      <c r="A457" s="32"/>
      <c r="B457" s="111"/>
      <c r="C457" s="32"/>
      <c r="D457" s="32"/>
      <c r="E457" s="32"/>
      <c r="F457" s="32"/>
      <c r="G457" s="32"/>
      <c r="H457" s="47"/>
      <c r="I457" s="32"/>
    </row>
    <row r="458">
      <c r="A458" s="32"/>
      <c r="B458" s="111"/>
      <c r="C458" s="32"/>
      <c r="D458" s="32"/>
      <c r="E458" s="32"/>
      <c r="F458" s="32"/>
      <c r="G458" s="32"/>
      <c r="H458" s="47"/>
      <c r="I458" s="32"/>
    </row>
    <row r="459">
      <c r="A459" s="32"/>
      <c r="B459" s="111"/>
      <c r="C459" s="32"/>
      <c r="D459" s="32"/>
      <c r="E459" s="32"/>
      <c r="F459" s="32"/>
      <c r="G459" s="32"/>
      <c r="H459" s="47"/>
      <c r="I459" s="32"/>
    </row>
    <row r="460">
      <c r="A460" s="32"/>
      <c r="B460" s="111"/>
      <c r="C460" s="32"/>
      <c r="D460" s="32"/>
      <c r="E460" s="32"/>
      <c r="F460" s="32"/>
      <c r="G460" s="32"/>
      <c r="H460" s="47"/>
      <c r="I460" s="32"/>
    </row>
    <row r="461">
      <c r="A461" s="32"/>
      <c r="B461" s="111"/>
      <c r="C461" s="32"/>
      <c r="D461" s="32"/>
      <c r="E461" s="32"/>
      <c r="F461" s="32"/>
      <c r="G461" s="32"/>
      <c r="H461" s="47"/>
      <c r="I461" s="32"/>
    </row>
    <row r="462">
      <c r="A462" s="32"/>
      <c r="B462" s="111"/>
      <c r="C462" s="32"/>
      <c r="D462" s="32"/>
      <c r="E462" s="32"/>
      <c r="F462" s="32"/>
      <c r="G462" s="32"/>
      <c r="H462" s="47"/>
      <c r="I462" s="32"/>
    </row>
    <row r="463">
      <c r="A463" s="32"/>
      <c r="B463" s="111"/>
      <c r="C463" s="32"/>
      <c r="D463" s="32"/>
      <c r="E463" s="32"/>
      <c r="F463" s="32"/>
      <c r="G463" s="32"/>
      <c r="H463" s="47"/>
      <c r="I463" s="32"/>
    </row>
    <row r="464">
      <c r="A464" s="32"/>
      <c r="B464" s="111"/>
      <c r="C464" s="32"/>
      <c r="D464" s="32"/>
      <c r="E464" s="32"/>
      <c r="F464" s="32"/>
      <c r="G464" s="32"/>
      <c r="H464" s="47"/>
      <c r="I464" s="32"/>
    </row>
    <row r="465">
      <c r="A465" s="32"/>
      <c r="B465" s="111"/>
      <c r="C465" s="32"/>
      <c r="D465" s="32"/>
      <c r="E465" s="32"/>
      <c r="F465" s="32"/>
      <c r="G465" s="32"/>
      <c r="H465" s="47"/>
      <c r="I465" s="32"/>
    </row>
    <row r="466">
      <c r="A466" s="32"/>
      <c r="B466" s="111"/>
      <c r="C466" s="32"/>
      <c r="D466" s="32"/>
      <c r="E466" s="32"/>
      <c r="F466" s="32"/>
      <c r="G466" s="32"/>
      <c r="H466" s="47"/>
      <c r="I466" s="32"/>
    </row>
    <row r="467">
      <c r="A467" s="32"/>
      <c r="B467" s="111"/>
      <c r="C467" s="32"/>
      <c r="D467" s="32"/>
      <c r="E467" s="32"/>
      <c r="F467" s="32"/>
      <c r="G467" s="32"/>
      <c r="H467" s="47"/>
      <c r="I467" s="32"/>
    </row>
    <row r="468">
      <c r="A468" s="32"/>
      <c r="B468" s="111"/>
      <c r="C468" s="32"/>
      <c r="D468" s="32"/>
      <c r="E468" s="32"/>
      <c r="F468" s="32"/>
      <c r="G468" s="32"/>
      <c r="H468" s="47"/>
      <c r="I468" s="32"/>
    </row>
    <row r="469">
      <c r="A469" s="32"/>
      <c r="B469" s="111"/>
      <c r="C469" s="32"/>
      <c r="D469" s="32"/>
      <c r="E469" s="32"/>
      <c r="F469" s="32"/>
      <c r="G469" s="32"/>
      <c r="H469" s="47"/>
      <c r="I469" s="32"/>
    </row>
    <row r="470">
      <c r="A470" s="32"/>
      <c r="B470" s="111"/>
      <c r="C470" s="32"/>
      <c r="D470" s="32"/>
      <c r="E470" s="32"/>
      <c r="F470" s="32"/>
      <c r="G470" s="32"/>
      <c r="H470" s="47"/>
      <c r="I470" s="32"/>
    </row>
    <row r="471">
      <c r="A471" s="32"/>
      <c r="B471" s="111"/>
      <c r="C471" s="32"/>
      <c r="D471" s="32"/>
      <c r="E471" s="32"/>
      <c r="F471" s="32"/>
      <c r="G471" s="32"/>
      <c r="H471" s="47"/>
      <c r="I471" s="32"/>
    </row>
    <row r="472">
      <c r="A472" s="32"/>
      <c r="B472" s="111"/>
      <c r="C472" s="32"/>
      <c r="D472" s="32"/>
      <c r="E472" s="32"/>
      <c r="F472" s="32"/>
      <c r="G472" s="32"/>
      <c r="H472" s="47"/>
      <c r="I472" s="32"/>
    </row>
    <row r="473">
      <c r="A473" s="32"/>
      <c r="B473" s="111"/>
      <c r="C473" s="32"/>
      <c r="D473" s="32"/>
      <c r="E473" s="32"/>
      <c r="F473" s="32"/>
      <c r="G473" s="32"/>
      <c r="H473" s="47"/>
      <c r="I473" s="32"/>
    </row>
    <row r="474">
      <c r="A474" s="32"/>
      <c r="B474" s="111"/>
      <c r="C474" s="32"/>
      <c r="D474" s="32"/>
      <c r="E474" s="32"/>
      <c r="F474" s="32"/>
      <c r="G474" s="32"/>
      <c r="H474" s="47"/>
      <c r="I474" s="32"/>
    </row>
    <row r="475">
      <c r="A475" s="32"/>
      <c r="B475" s="111"/>
      <c r="C475" s="32"/>
      <c r="D475" s="32"/>
      <c r="E475" s="32"/>
      <c r="F475" s="32"/>
      <c r="G475" s="32"/>
      <c r="H475" s="47"/>
      <c r="I475" s="32"/>
    </row>
    <row r="476">
      <c r="A476" s="32"/>
      <c r="B476" s="111"/>
      <c r="C476" s="32"/>
      <c r="D476" s="32"/>
      <c r="E476" s="32"/>
      <c r="F476" s="32"/>
      <c r="G476" s="32"/>
      <c r="H476" s="47"/>
      <c r="I476" s="32"/>
    </row>
    <row r="477">
      <c r="A477" s="32"/>
      <c r="B477" s="111"/>
      <c r="C477" s="32"/>
      <c r="D477" s="32"/>
      <c r="E477" s="32"/>
      <c r="F477" s="32"/>
      <c r="G477" s="32"/>
      <c r="H477" s="47"/>
      <c r="I477" s="32"/>
    </row>
    <row r="478">
      <c r="A478" s="32"/>
      <c r="B478" s="111"/>
      <c r="C478" s="32"/>
      <c r="D478" s="32"/>
      <c r="E478" s="32"/>
      <c r="F478" s="32"/>
      <c r="G478" s="32"/>
      <c r="H478" s="47"/>
      <c r="I478" s="32"/>
    </row>
    <row r="479">
      <c r="A479" s="32"/>
      <c r="B479" s="111"/>
      <c r="C479" s="32"/>
      <c r="D479" s="32"/>
      <c r="E479" s="32"/>
      <c r="F479" s="32"/>
      <c r="G479" s="32"/>
      <c r="H479" s="47"/>
      <c r="I479" s="32"/>
    </row>
    <row r="480">
      <c r="A480" s="32"/>
      <c r="B480" s="111"/>
      <c r="C480" s="32"/>
      <c r="D480" s="32"/>
      <c r="E480" s="32"/>
      <c r="F480" s="32"/>
      <c r="G480" s="32"/>
      <c r="H480" s="47"/>
      <c r="I480" s="32"/>
    </row>
    <row r="481">
      <c r="A481" s="32"/>
      <c r="B481" s="111"/>
      <c r="C481" s="32"/>
      <c r="D481" s="32"/>
      <c r="E481" s="32"/>
      <c r="F481" s="32"/>
      <c r="G481" s="32"/>
      <c r="H481" s="47"/>
      <c r="I481" s="32"/>
    </row>
    <row r="482">
      <c r="A482" s="32"/>
      <c r="B482" s="111"/>
      <c r="C482" s="32"/>
      <c r="D482" s="32"/>
      <c r="E482" s="32"/>
      <c r="F482" s="32"/>
      <c r="G482" s="32"/>
      <c r="H482" s="47"/>
      <c r="I482" s="32"/>
    </row>
    <row r="483">
      <c r="A483" s="32"/>
      <c r="B483" s="111"/>
      <c r="C483" s="32"/>
      <c r="D483" s="32"/>
      <c r="E483" s="32"/>
      <c r="F483" s="32"/>
      <c r="G483" s="32"/>
      <c r="H483" s="47"/>
      <c r="I483" s="32"/>
    </row>
    <row r="484">
      <c r="A484" s="32"/>
      <c r="B484" s="111"/>
      <c r="C484" s="32"/>
      <c r="D484" s="32"/>
      <c r="E484" s="32"/>
      <c r="F484" s="32"/>
      <c r="G484" s="32"/>
      <c r="H484" s="47"/>
      <c r="I484" s="32"/>
    </row>
    <row r="485">
      <c r="A485" s="32"/>
      <c r="B485" s="111"/>
      <c r="C485" s="32"/>
      <c r="D485" s="32"/>
      <c r="E485" s="32"/>
      <c r="F485" s="32"/>
      <c r="G485" s="32"/>
      <c r="H485" s="47"/>
      <c r="I485" s="32"/>
    </row>
    <row r="486">
      <c r="A486" s="32"/>
      <c r="B486" s="111"/>
      <c r="C486" s="32"/>
      <c r="D486" s="32"/>
      <c r="E486" s="32"/>
      <c r="F486" s="32"/>
      <c r="G486" s="32"/>
      <c r="H486" s="47"/>
      <c r="I486" s="32"/>
    </row>
    <row r="487">
      <c r="A487" s="32"/>
      <c r="B487" s="111"/>
      <c r="C487" s="32"/>
      <c r="D487" s="32"/>
      <c r="E487" s="32"/>
      <c r="F487" s="32"/>
      <c r="G487" s="32"/>
      <c r="H487" s="47"/>
      <c r="I487" s="32"/>
    </row>
    <row r="488">
      <c r="A488" s="32"/>
      <c r="B488" s="111"/>
      <c r="C488" s="32"/>
      <c r="D488" s="32"/>
      <c r="E488" s="32"/>
      <c r="F488" s="32"/>
      <c r="G488" s="32"/>
      <c r="H488" s="47"/>
      <c r="I488" s="32"/>
    </row>
    <row r="489">
      <c r="A489" s="32"/>
      <c r="B489" s="111"/>
      <c r="C489" s="32"/>
      <c r="D489" s="32"/>
      <c r="E489" s="32"/>
      <c r="F489" s="32"/>
      <c r="G489" s="32"/>
      <c r="H489" s="47"/>
      <c r="I489" s="32"/>
    </row>
    <row r="490">
      <c r="A490" s="32"/>
      <c r="B490" s="111"/>
      <c r="C490" s="32"/>
      <c r="D490" s="32"/>
      <c r="E490" s="32"/>
      <c r="F490" s="32"/>
      <c r="G490" s="32"/>
      <c r="H490" s="47"/>
      <c r="I490" s="32"/>
    </row>
    <row r="491">
      <c r="A491" s="32"/>
      <c r="B491" s="111"/>
      <c r="C491" s="32"/>
      <c r="D491" s="32"/>
      <c r="E491" s="32"/>
      <c r="F491" s="32"/>
      <c r="G491" s="32"/>
      <c r="H491" s="47"/>
      <c r="I491" s="32"/>
    </row>
    <row r="492">
      <c r="A492" s="32"/>
      <c r="B492" s="111"/>
      <c r="C492" s="32"/>
      <c r="D492" s="32"/>
      <c r="E492" s="32"/>
      <c r="F492" s="32"/>
      <c r="G492" s="32"/>
      <c r="H492" s="47"/>
      <c r="I492" s="32"/>
    </row>
    <row r="493">
      <c r="A493" s="32"/>
      <c r="B493" s="111"/>
      <c r="C493" s="32"/>
      <c r="D493" s="32"/>
      <c r="E493" s="32"/>
      <c r="F493" s="32"/>
      <c r="G493" s="32"/>
      <c r="H493" s="47"/>
      <c r="I493" s="32"/>
    </row>
    <row r="494">
      <c r="A494" s="32"/>
      <c r="B494" s="111"/>
      <c r="C494" s="32"/>
      <c r="D494" s="32"/>
      <c r="E494" s="32"/>
      <c r="F494" s="32"/>
      <c r="G494" s="32"/>
      <c r="H494" s="47"/>
      <c r="I494" s="32"/>
    </row>
    <row r="495">
      <c r="A495" s="32"/>
      <c r="B495" s="111"/>
      <c r="C495" s="32"/>
      <c r="D495" s="32"/>
      <c r="E495" s="32"/>
      <c r="F495" s="32"/>
      <c r="G495" s="32"/>
      <c r="H495" s="47"/>
      <c r="I495" s="32"/>
    </row>
    <row r="496">
      <c r="A496" s="32"/>
      <c r="B496" s="111"/>
      <c r="C496" s="32"/>
      <c r="D496" s="32"/>
      <c r="E496" s="32"/>
      <c r="F496" s="32"/>
      <c r="G496" s="32"/>
      <c r="H496" s="47"/>
      <c r="I496" s="32"/>
    </row>
    <row r="497">
      <c r="A497" s="32"/>
      <c r="B497" s="111"/>
      <c r="C497" s="32"/>
      <c r="D497" s="32"/>
      <c r="E497" s="32"/>
      <c r="F497" s="32"/>
      <c r="G497" s="32"/>
      <c r="H497" s="47"/>
      <c r="I497" s="32"/>
    </row>
    <row r="498">
      <c r="A498" s="32"/>
      <c r="B498" s="111"/>
      <c r="C498" s="32"/>
      <c r="D498" s="32"/>
      <c r="E498" s="32"/>
      <c r="F498" s="32"/>
      <c r="G498" s="32"/>
      <c r="H498" s="47"/>
      <c r="I498" s="32"/>
    </row>
    <row r="499">
      <c r="A499" s="32"/>
      <c r="B499" s="111"/>
      <c r="C499" s="32"/>
      <c r="D499" s="32"/>
      <c r="E499" s="32"/>
      <c r="F499" s="32"/>
      <c r="G499" s="32"/>
      <c r="H499" s="47"/>
      <c r="I499" s="32"/>
    </row>
    <row r="500">
      <c r="A500" s="32"/>
      <c r="B500" s="111"/>
      <c r="C500" s="32"/>
      <c r="D500" s="32"/>
      <c r="E500" s="32"/>
      <c r="F500" s="32"/>
      <c r="G500" s="32"/>
      <c r="H500" s="47"/>
      <c r="I500" s="32"/>
    </row>
    <row r="501">
      <c r="A501" s="32"/>
      <c r="B501" s="111"/>
      <c r="C501" s="32"/>
      <c r="D501" s="32"/>
      <c r="E501" s="32"/>
      <c r="F501" s="32"/>
      <c r="G501" s="32"/>
      <c r="H501" s="47"/>
      <c r="I501" s="32"/>
    </row>
    <row r="502">
      <c r="A502" s="32"/>
      <c r="B502" s="111"/>
      <c r="C502" s="32"/>
      <c r="D502" s="32"/>
      <c r="E502" s="32"/>
      <c r="F502" s="32"/>
      <c r="G502" s="32"/>
      <c r="H502" s="47"/>
      <c r="I502" s="32"/>
    </row>
    <row r="503">
      <c r="A503" s="32"/>
      <c r="B503" s="111"/>
      <c r="C503" s="32"/>
      <c r="D503" s="32"/>
      <c r="E503" s="32"/>
      <c r="F503" s="32"/>
      <c r="G503" s="32"/>
      <c r="H503" s="47"/>
      <c r="I503" s="32"/>
    </row>
    <row r="504">
      <c r="A504" s="32"/>
      <c r="B504" s="111"/>
      <c r="C504" s="32"/>
      <c r="D504" s="32"/>
      <c r="E504" s="32"/>
      <c r="F504" s="32"/>
      <c r="G504" s="32"/>
      <c r="H504" s="47"/>
      <c r="I504" s="32"/>
    </row>
    <row r="505">
      <c r="A505" s="32"/>
      <c r="B505" s="111"/>
      <c r="C505" s="32"/>
      <c r="D505" s="32"/>
      <c r="E505" s="32"/>
      <c r="F505" s="32"/>
      <c r="G505" s="32"/>
      <c r="H505" s="47"/>
      <c r="I505" s="32"/>
    </row>
    <row r="506">
      <c r="A506" s="32"/>
      <c r="B506" s="111"/>
      <c r="C506" s="32"/>
      <c r="D506" s="32"/>
      <c r="E506" s="32"/>
      <c r="F506" s="32"/>
      <c r="G506" s="32"/>
      <c r="H506" s="47"/>
      <c r="I506" s="32"/>
    </row>
    <row r="507">
      <c r="A507" s="32"/>
      <c r="B507" s="111"/>
      <c r="C507" s="32"/>
      <c r="D507" s="32"/>
      <c r="E507" s="32"/>
      <c r="F507" s="32"/>
      <c r="G507" s="32"/>
      <c r="H507" s="47"/>
      <c r="I507" s="32"/>
    </row>
    <row r="508">
      <c r="A508" s="32"/>
      <c r="B508" s="111"/>
      <c r="C508" s="32"/>
      <c r="D508" s="32"/>
      <c r="E508" s="32"/>
      <c r="F508" s="32"/>
      <c r="G508" s="32"/>
      <c r="H508" s="47"/>
      <c r="I508" s="32"/>
    </row>
    <row r="509">
      <c r="A509" s="32"/>
      <c r="B509" s="111"/>
      <c r="C509" s="32"/>
      <c r="D509" s="32"/>
      <c r="E509" s="32"/>
      <c r="F509" s="32"/>
      <c r="G509" s="32"/>
      <c r="H509" s="47"/>
      <c r="I509" s="32"/>
    </row>
    <row r="510">
      <c r="A510" s="32"/>
      <c r="B510" s="111"/>
      <c r="C510" s="32"/>
      <c r="D510" s="32"/>
      <c r="E510" s="32"/>
      <c r="F510" s="32"/>
      <c r="G510" s="32"/>
      <c r="H510" s="47"/>
      <c r="I510" s="32"/>
    </row>
    <row r="511">
      <c r="A511" s="32"/>
      <c r="B511" s="111"/>
      <c r="C511" s="32"/>
      <c r="D511" s="32"/>
      <c r="E511" s="32"/>
      <c r="F511" s="32"/>
      <c r="G511" s="32"/>
      <c r="H511" s="47"/>
      <c r="I511" s="32"/>
    </row>
    <row r="512">
      <c r="A512" s="32"/>
      <c r="B512" s="111"/>
      <c r="C512" s="32"/>
      <c r="D512" s="32"/>
      <c r="E512" s="32"/>
      <c r="F512" s="32"/>
      <c r="G512" s="32"/>
      <c r="H512" s="47"/>
      <c r="I512" s="32"/>
    </row>
    <row r="513">
      <c r="A513" s="32"/>
      <c r="B513" s="111"/>
      <c r="C513" s="32"/>
      <c r="D513" s="32"/>
      <c r="E513" s="32"/>
      <c r="F513" s="32"/>
      <c r="G513" s="32"/>
      <c r="H513" s="47"/>
      <c r="I513" s="32"/>
    </row>
    <row r="514">
      <c r="A514" s="32"/>
      <c r="B514" s="111"/>
      <c r="C514" s="32"/>
      <c r="D514" s="32"/>
      <c r="E514" s="32"/>
      <c r="F514" s="32"/>
      <c r="G514" s="32"/>
      <c r="H514" s="47"/>
      <c r="I514" s="32"/>
    </row>
    <row r="515">
      <c r="A515" s="32"/>
      <c r="B515" s="111"/>
      <c r="C515" s="32"/>
      <c r="D515" s="32"/>
      <c r="E515" s="32"/>
      <c r="F515" s="32"/>
      <c r="G515" s="32"/>
      <c r="H515" s="47"/>
      <c r="I515" s="32"/>
    </row>
    <row r="516">
      <c r="A516" s="32"/>
      <c r="B516" s="111"/>
      <c r="C516" s="32"/>
      <c r="D516" s="32"/>
      <c r="E516" s="32"/>
      <c r="F516" s="32"/>
      <c r="G516" s="32"/>
      <c r="H516" s="47"/>
      <c r="I516" s="32"/>
    </row>
    <row r="517">
      <c r="A517" s="32"/>
      <c r="B517" s="111"/>
      <c r="C517" s="32"/>
      <c r="D517" s="32"/>
      <c r="E517" s="32"/>
      <c r="F517" s="32"/>
      <c r="G517" s="32"/>
      <c r="H517" s="47"/>
      <c r="I517" s="32"/>
    </row>
    <row r="518">
      <c r="A518" s="32"/>
      <c r="B518" s="111"/>
      <c r="C518" s="32"/>
      <c r="D518" s="32"/>
      <c r="E518" s="32"/>
      <c r="F518" s="32"/>
      <c r="G518" s="32"/>
      <c r="H518" s="47"/>
      <c r="I518" s="32"/>
    </row>
    <row r="519">
      <c r="A519" s="32"/>
      <c r="B519" s="111"/>
      <c r="C519" s="32"/>
      <c r="D519" s="32"/>
      <c r="E519" s="32"/>
      <c r="F519" s="32"/>
      <c r="G519" s="32"/>
      <c r="H519" s="47"/>
      <c r="I519" s="32"/>
    </row>
    <row r="520">
      <c r="A520" s="32"/>
      <c r="B520" s="111"/>
      <c r="C520" s="32"/>
      <c r="D520" s="32"/>
      <c r="E520" s="32"/>
      <c r="F520" s="32"/>
      <c r="G520" s="32"/>
      <c r="H520" s="47"/>
      <c r="I520" s="32"/>
    </row>
    <row r="521">
      <c r="A521" s="32"/>
      <c r="B521" s="111"/>
      <c r="C521" s="32"/>
      <c r="D521" s="32"/>
      <c r="E521" s="32"/>
      <c r="F521" s="32"/>
      <c r="G521" s="32"/>
      <c r="H521" s="47"/>
      <c r="I521" s="32"/>
    </row>
    <row r="522">
      <c r="A522" s="32"/>
      <c r="B522" s="111"/>
      <c r="C522" s="32"/>
      <c r="D522" s="32"/>
      <c r="E522" s="32"/>
      <c r="F522" s="32"/>
      <c r="G522" s="32"/>
      <c r="H522" s="47"/>
      <c r="I522" s="32"/>
    </row>
    <row r="523">
      <c r="A523" s="32"/>
      <c r="B523" s="111"/>
      <c r="C523" s="32"/>
      <c r="D523" s="32"/>
      <c r="E523" s="32"/>
      <c r="F523" s="32"/>
      <c r="G523" s="32"/>
      <c r="H523" s="47"/>
      <c r="I523" s="32"/>
    </row>
    <row r="524">
      <c r="A524" s="32"/>
      <c r="B524" s="111"/>
      <c r="C524" s="32"/>
      <c r="D524" s="32"/>
      <c r="E524" s="32"/>
      <c r="F524" s="32"/>
      <c r="G524" s="32"/>
      <c r="H524" s="47"/>
      <c r="I524" s="32"/>
    </row>
    <row r="525">
      <c r="A525" s="32"/>
      <c r="B525" s="111"/>
      <c r="C525" s="32"/>
      <c r="D525" s="32"/>
      <c r="E525" s="32"/>
      <c r="F525" s="32"/>
      <c r="G525" s="32"/>
      <c r="H525" s="47"/>
      <c r="I525" s="32"/>
    </row>
    <row r="526">
      <c r="A526" s="32"/>
      <c r="B526" s="111"/>
      <c r="C526" s="32"/>
      <c r="D526" s="32"/>
      <c r="E526" s="32"/>
      <c r="F526" s="32"/>
      <c r="G526" s="32"/>
      <c r="H526" s="47"/>
      <c r="I526" s="32"/>
    </row>
    <row r="527">
      <c r="A527" s="32"/>
      <c r="B527" s="111"/>
      <c r="C527" s="32"/>
      <c r="D527" s="32"/>
      <c r="E527" s="32"/>
      <c r="F527" s="32"/>
      <c r="G527" s="32"/>
      <c r="H527" s="47"/>
      <c r="I527" s="32"/>
    </row>
    <row r="528">
      <c r="A528" s="32"/>
      <c r="B528" s="111"/>
      <c r="C528" s="32"/>
      <c r="D528" s="32"/>
      <c r="E528" s="32"/>
      <c r="F528" s="32"/>
      <c r="G528" s="32"/>
      <c r="H528" s="47"/>
      <c r="I528" s="32"/>
    </row>
    <row r="529">
      <c r="A529" s="32"/>
      <c r="B529" s="111"/>
      <c r="C529" s="32"/>
      <c r="D529" s="32"/>
      <c r="E529" s="32"/>
      <c r="F529" s="32"/>
      <c r="G529" s="32"/>
      <c r="H529" s="47"/>
      <c r="I529" s="32"/>
    </row>
    <row r="530">
      <c r="A530" s="32"/>
      <c r="B530" s="111"/>
      <c r="C530" s="32"/>
      <c r="D530" s="32"/>
      <c r="E530" s="32"/>
      <c r="F530" s="32"/>
      <c r="G530" s="32"/>
      <c r="H530" s="47"/>
      <c r="I530" s="32"/>
    </row>
    <row r="531">
      <c r="A531" s="32"/>
      <c r="B531" s="111"/>
      <c r="C531" s="32"/>
      <c r="D531" s="32"/>
      <c r="E531" s="32"/>
      <c r="F531" s="32"/>
      <c r="G531" s="32"/>
      <c r="H531" s="47"/>
      <c r="I531" s="32"/>
    </row>
    <row r="532">
      <c r="A532" s="32"/>
      <c r="B532" s="111"/>
      <c r="C532" s="32"/>
      <c r="D532" s="32"/>
      <c r="E532" s="32"/>
      <c r="F532" s="32"/>
      <c r="G532" s="32"/>
      <c r="H532" s="47"/>
      <c r="I532" s="32"/>
    </row>
    <row r="533">
      <c r="A533" s="32"/>
      <c r="B533" s="111"/>
      <c r="C533" s="32"/>
      <c r="D533" s="32"/>
      <c r="E533" s="32"/>
      <c r="F533" s="32"/>
      <c r="G533" s="32"/>
      <c r="H533" s="47"/>
      <c r="I533" s="32"/>
    </row>
    <row r="534">
      <c r="A534" s="32"/>
      <c r="B534" s="111"/>
      <c r="C534" s="32"/>
      <c r="D534" s="32"/>
      <c r="E534" s="32"/>
      <c r="F534" s="32"/>
      <c r="G534" s="32"/>
      <c r="H534" s="47"/>
      <c r="I534" s="32"/>
    </row>
    <row r="535">
      <c r="A535" s="32"/>
      <c r="B535" s="111"/>
      <c r="C535" s="32"/>
      <c r="D535" s="32"/>
      <c r="E535" s="32"/>
      <c r="F535" s="32"/>
      <c r="G535" s="32"/>
      <c r="H535" s="47"/>
      <c r="I535" s="32"/>
    </row>
    <row r="536">
      <c r="A536" s="32"/>
      <c r="B536" s="111"/>
      <c r="C536" s="32"/>
      <c r="D536" s="32"/>
      <c r="E536" s="32"/>
      <c r="F536" s="32"/>
      <c r="G536" s="32"/>
      <c r="H536" s="47"/>
      <c r="I536" s="32"/>
    </row>
    <row r="537">
      <c r="A537" s="32"/>
      <c r="B537" s="111"/>
      <c r="C537" s="32"/>
      <c r="D537" s="32"/>
      <c r="E537" s="32"/>
      <c r="F537" s="32"/>
      <c r="G537" s="32"/>
      <c r="H537" s="47"/>
      <c r="I537" s="32"/>
    </row>
    <row r="538">
      <c r="A538" s="32"/>
      <c r="B538" s="111"/>
      <c r="C538" s="32"/>
      <c r="D538" s="32"/>
      <c r="E538" s="32"/>
      <c r="F538" s="32"/>
      <c r="G538" s="32"/>
      <c r="H538" s="47"/>
      <c r="I538" s="32"/>
    </row>
    <row r="539">
      <c r="A539" s="32"/>
      <c r="B539" s="111"/>
      <c r="C539" s="32"/>
      <c r="D539" s="32"/>
      <c r="E539" s="32"/>
      <c r="F539" s="32"/>
      <c r="G539" s="32"/>
      <c r="H539" s="47"/>
      <c r="I539" s="32"/>
    </row>
    <row r="540">
      <c r="A540" s="32"/>
      <c r="B540" s="111"/>
      <c r="C540" s="32"/>
      <c r="D540" s="32"/>
      <c r="E540" s="32"/>
      <c r="F540" s="32"/>
      <c r="G540" s="32"/>
      <c r="H540" s="47"/>
      <c r="I540" s="32"/>
    </row>
    <row r="541">
      <c r="A541" s="32"/>
      <c r="B541" s="111"/>
      <c r="C541" s="32"/>
      <c r="D541" s="32"/>
      <c r="E541" s="32"/>
      <c r="F541" s="32"/>
      <c r="G541" s="32"/>
      <c r="H541" s="47"/>
      <c r="I541" s="32"/>
    </row>
    <row r="542">
      <c r="A542" s="32"/>
      <c r="B542" s="111"/>
      <c r="C542" s="32"/>
      <c r="D542" s="32"/>
      <c r="E542" s="32"/>
      <c r="F542" s="32"/>
      <c r="G542" s="32"/>
      <c r="H542" s="47"/>
      <c r="I542" s="32"/>
    </row>
    <row r="543">
      <c r="A543" s="32"/>
      <c r="B543" s="111"/>
      <c r="C543" s="32"/>
      <c r="D543" s="32"/>
      <c r="E543" s="32"/>
      <c r="F543" s="32"/>
      <c r="G543" s="32"/>
      <c r="H543" s="47"/>
      <c r="I543" s="32"/>
    </row>
    <row r="544">
      <c r="A544" s="32"/>
      <c r="B544" s="111"/>
      <c r="C544" s="32"/>
      <c r="D544" s="32"/>
      <c r="E544" s="32"/>
      <c r="F544" s="32"/>
      <c r="G544" s="32"/>
      <c r="H544" s="47"/>
      <c r="I544" s="32"/>
    </row>
    <row r="545">
      <c r="A545" s="32"/>
      <c r="B545" s="111"/>
      <c r="C545" s="32"/>
      <c r="D545" s="32"/>
      <c r="E545" s="32"/>
      <c r="F545" s="32"/>
      <c r="G545" s="32"/>
      <c r="H545" s="47"/>
      <c r="I545" s="32"/>
    </row>
    <row r="546">
      <c r="A546" s="32"/>
      <c r="B546" s="111"/>
      <c r="C546" s="32"/>
      <c r="D546" s="32"/>
      <c r="E546" s="32"/>
      <c r="F546" s="32"/>
      <c r="G546" s="32"/>
      <c r="H546" s="47"/>
      <c r="I546" s="32"/>
    </row>
    <row r="547">
      <c r="A547" s="32"/>
      <c r="B547" s="111"/>
      <c r="C547" s="32"/>
      <c r="D547" s="32"/>
      <c r="E547" s="32"/>
      <c r="F547" s="32"/>
      <c r="G547" s="32"/>
      <c r="H547" s="47"/>
      <c r="I547" s="32"/>
    </row>
    <row r="548">
      <c r="A548" s="32"/>
      <c r="B548" s="111"/>
      <c r="C548" s="32"/>
      <c r="D548" s="32"/>
      <c r="E548" s="32"/>
      <c r="F548" s="32"/>
      <c r="G548" s="32"/>
      <c r="H548" s="47"/>
      <c r="I548" s="32"/>
    </row>
    <row r="549">
      <c r="A549" s="32"/>
      <c r="B549" s="111"/>
      <c r="C549" s="32"/>
      <c r="D549" s="32"/>
      <c r="E549" s="32"/>
      <c r="F549" s="32"/>
      <c r="G549" s="32"/>
      <c r="H549" s="47"/>
      <c r="I549" s="32"/>
    </row>
    <row r="550">
      <c r="A550" s="32"/>
      <c r="B550" s="111"/>
      <c r="C550" s="32"/>
      <c r="D550" s="32"/>
      <c r="E550" s="32"/>
      <c r="F550" s="32"/>
      <c r="G550" s="32"/>
      <c r="H550" s="47"/>
      <c r="I550" s="32"/>
    </row>
    <row r="551">
      <c r="A551" s="32"/>
      <c r="B551" s="111"/>
      <c r="C551" s="32"/>
      <c r="D551" s="32"/>
      <c r="E551" s="32"/>
      <c r="F551" s="32"/>
      <c r="G551" s="32"/>
      <c r="H551" s="47"/>
      <c r="I551" s="32"/>
    </row>
    <row r="552">
      <c r="A552" s="32"/>
      <c r="B552" s="111"/>
      <c r="C552" s="32"/>
      <c r="D552" s="32"/>
      <c r="E552" s="32"/>
      <c r="F552" s="32"/>
      <c r="G552" s="32"/>
      <c r="H552" s="47"/>
      <c r="I552" s="32"/>
    </row>
    <row r="553">
      <c r="A553" s="32"/>
      <c r="B553" s="111"/>
      <c r="C553" s="32"/>
      <c r="D553" s="32"/>
      <c r="E553" s="32"/>
      <c r="F553" s="32"/>
      <c r="G553" s="32"/>
      <c r="H553" s="47"/>
      <c r="I553" s="32"/>
    </row>
    <row r="554">
      <c r="A554" s="32"/>
      <c r="B554" s="111"/>
      <c r="C554" s="32"/>
      <c r="D554" s="32"/>
      <c r="E554" s="32"/>
      <c r="F554" s="32"/>
      <c r="G554" s="32"/>
      <c r="H554" s="47"/>
      <c r="I554" s="32"/>
    </row>
    <row r="555">
      <c r="A555" s="32"/>
      <c r="B555" s="111"/>
      <c r="C555" s="32"/>
      <c r="D555" s="32"/>
      <c r="E555" s="32"/>
      <c r="F555" s="32"/>
      <c r="G555" s="32"/>
      <c r="H555" s="47"/>
      <c r="I555" s="32"/>
    </row>
    <row r="556">
      <c r="A556" s="32"/>
      <c r="B556" s="111"/>
      <c r="C556" s="32"/>
      <c r="D556" s="32"/>
      <c r="E556" s="32"/>
      <c r="F556" s="32"/>
      <c r="G556" s="32"/>
      <c r="H556" s="47"/>
      <c r="I556" s="32"/>
    </row>
    <row r="557">
      <c r="A557" s="32"/>
      <c r="B557" s="111"/>
      <c r="C557" s="32"/>
      <c r="D557" s="32"/>
      <c r="E557" s="32"/>
      <c r="F557" s="32"/>
      <c r="G557" s="32"/>
      <c r="H557" s="47"/>
      <c r="I557" s="32"/>
    </row>
    <row r="558">
      <c r="A558" s="32"/>
      <c r="B558" s="111"/>
      <c r="C558" s="32"/>
      <c r="D558" s="32"/>
      <c r="E558" s="32"/>
      <c r="F558" s="32"/>
      <c r="G558" s="32"/>
      <c r="H558" s="47"/>
      <c r="I558" s="32"/>
    </row>
    <row r="559">
      <c r="A559" s="32"/>
      <c r="B559" s="111"/>
      <c r="C559" s="32"/>
      <c r="D559" s="32"/>
      <c r="E559" s="32"/>
      <c r="F559" s="32"/>
      <c r="G559" s="32"/>
      <c r="H559" s="47"/>
      <c r="I559" s="32"/>
    </row>
    <row r="560">
      <c r="A560" s="32"/>
      <c r="B560" s="111"/>
      <c r="C560" s="32"/>
      <c r="D560" s="32"/>
      <c r="E560" s="32"/>
      <c r="F560" s="32"/>
      <c r="G560" s="32"/>
      <c r="H560" s="47"/>
      <c r="I560" s="32"/>
    </row>
    <row r="561">
      <c r="A561" s="32"/>
      <c r="B561" s="111"/>
      <c r="C561" s="32"/>
      <c r="D561" s="32"/>
      <c r="E561" s="32"/>
      <c r="F561" s="32"/>
      <c r="G561" s="32"/>
      <c r="H561" s="47"/>
      <c r="I561" s="32"/>
    </row>
    <row r="562">
      <c r="A562" s="32"/>
      <c r="B562" s="111"/>
      <c r="C562" s="32"/>
      <c r="D562" s="32"/>
      <c r="E562" s="32"/>
      <c r="F562" s="32"/>
      <c r="G562" s="32"/>
      <c r="H562" s="47"/>
      <c r="I562" s="32"/>
    </row>
    <row r="563">
      <c r="A563" s="32"/>
      <c r="B563" s="111"/>
      <c r="C563" s="32"/>
      <c r="D563" s="32"/>
      <c r="E563" s="32"/>
      <c r="F563" s="32"/>
      <c r="G563" s="32"/>
      <c r="H563" s="47"/>
      <c r="I563" s="32"/>
    </row>
    <row r="564">
      <c r="A564" s="32"/>
      <c r="B564" s="111"/>
      <c r="C564" s="32"/>
      <c r="D564" s="32"/>
      <c r="E564" s="32"/>
      <c r="F564" s="32"/>
      <c r="G564" s="32"/>
      <c r="H564" s="47"/>
      <c r="I564" s="32"/>
    </row>
    <row r="565">
      <c r="A565" s="32"/>
      <c r="B565" s="111"/>
      <c r="C565" s="32"/>
      <c r="D565" s="32"/>
      <c r="E565" s="32"/>
      <c r="F565" s="32"/>
      <c r="G565" s="32"/>
      <c r="H565" s="47"/>
      <c r="I565" s="32"/>
    </row>
    <row r="566">
      <c r="A566" s="32"/>
      <c r="B566" s="111"/>
      <c r="C566" s="32"/>
      <c r="D566" s="32"/>
      <c r="E566" s="32"/>
      <c r="F566" s="32"/>
      <c r="G566" s="32"/>
      <c r="H566" s="47"/>
      <c r="I566" s="32"/>
    </row>
    <row r="567">
      <c r="A567" s="32"/>
      <c r="B567" s="111"/>
      <c r="C567" s="32"/>
      <c r="D567" s="32"/>
      <c r="E567" s="32"/>
      <c r="F567" s="32"/>
      <c r="G567" s="32"/>
      <c r="H567" s="47"/>
      <c r="I567" s="32"/>
    </row>
    <row r="568">
      <c r="A568" s="32"/>
      <c r="B568" s="111"/>
      <c r="C568" s="32"/>
      <c r="D568" s="32"/>
      <c r="E568" s="32"/>
      <c r="F568" s="32"/>
      <c r="G568" s="32"/>
      <c r="H568" s="47"/>
      <c r="I568" s="32"/>
    </row>
    <row r="569">
      <c r="A569" s="32"/>
      <c r="B569" s="111"/>
      <c r="C569" s="32"/>
      <c r="D569" s="32"/>
      <c r="E569" s="32"/>
      <c r="F569" s="32"/>
      <c r="G569" s="32"/>
      <c r="H569" s="47"/>
      <c r="I569" s="32"/>
    </row>
    <row r="570">
      <c r="A570" s="32"/>
      <c r="B570" s="111"/>
      <c r="C570" s="32"/>
      <c r="D570" s="32"/>
      <c r="E570" s="32"/>
      <c r="F570" s="32"/>
      <c r="G570" s="32"/>
      <c r="H570" s="47"/>
      <c r="I570" s="32"/>
    </row>
    <row r="571">
      <c r="A571" s="32"/>
      <c r="B571" s="111"/>
      <c r="C571" s="32"/>
      <c r="D571" s="32"/>
      <c r="E571" s="32"/>
      <c r="F571" s="32"/>
      <c r="G571" s="32"/>
      <c r="H571" s="47"/>
      <c r="I571" s="32"/>
    </row>
    <row r="572">
      <c r="A572" s="32"/>
      <c r="B572" s="111"/>
      <c r="C572" s="32"/>
      <c r="D572" s="32"/>
      <c r="E572" s="32"/>
      <c r="F572" s="32"/>
      <c r="G572" s="32"/>
      <c r="H572" s="47"/>
      <c r="I572" s="32"/>
    </row>
    <row r="573">
      <c r="A573" s="32"/>
      <c r="B573" s="111"/>
      <c r="C573" s="32"/>
      <c r="D573" s="32"/>
      <c r="E573" s="32"/>
      <c r="F573" s="32"/>
      <c r="G573" s="32"/>
      <c r="H573" s="47"/>
      <c r="I573" s="32"/>
    </row>
    <row r="574">
      <c r="A574" s="32"/>
      <c r="B574" s="111"/>
      <c r="C574" s="32"/>
      <c r="D574" s="32"/>
      <c r="E574" s="32"/>
      <c r="F574" s="32"/>
      <c r="G574" s="32"/>
      <c r="H574" s="47"/>
      <c r="I574" s="32"/>
    </row>
    <row r="575">
      <c r="A575" s="32"/>
      <c r="B575" s="111"/>
      <c r="C575" s="32"/>
      <c r="D575" s="32"/>
      <c r="E575" s="32"/>
      <c r="F575" s="32"/>
      <c r="G575" s="32"/>
      <c r="H575" s="47"/>
      <c r="I575" s="32"/>
    </row>
    <row r="576">
      <c r="A576" s="32"/>
      <c r="B576" s="111"/>
      <c r="C576" s="32"/>
      <c r="D576" s="32"/>
      <c r="E576" s="32"/>
      <c r="F576" s="32"/>
      <c r="G576" s="32"/>
      <c r="H576" s="47"/>
      <c r="I576" s="32"/>
    </row>
    <row r="577">
      <c r="A577" s="32"/>
      <c r="B577" s="111"/>
      <c r="C577" s="32"/>
      <c r="D577" s="32"/>
      <c r="E577" s="32"/>
      <c r="F577" s="32"/>
      <c r="G577" s="32"/>
      <c r="H577" s="47"/>
      <c r="I577" s="32"/>
    </row>
    <row r="578">
      <c r="A578" s="32"/>
      <c r="B578" s="111"/>
      <c r="C578" s="32"/>
      <c r="D578" s="32"/>
      <c r="E578" s="32"/>
      <c r="F578" s="32"/>
      <c r="G578" s="32"/>
      <c r="H578" s="47"/>
      <c r="I578" s="32"/>
    </row>
    <row r="579">
      <c r="A579" s="32"/>
      <c r="B579" s="111"/>
      <c r="C579" s="32"/>
      <c r="D579" s="32"/>
      <c r="E579" s="32"/>
      <c r="F579" s="32"/>
      <c r="G579" s="32"/>
      <c r="H579" s="47"/>
      <c r="I579" s="32"/>
    </row>
    <row r="580">
      <c r="A580" s="32"/>
      <c r="B580" s="111"/>
      <c r="C580" s="32"/>
      <c r="D580" s="32"/>
      <c r="E580" s="32"/>
      <c r="F580" s="32"/>
      <c r="G580" s="32"/>
      <c r="H580" s="47"/>
      <c r="I580" s="32"/>
    </row>
    <row r="581">
      <c r="A581" s="32"/>
      <c r="B581" s="111"/>
      <c r="C581" s="32"/>
      <c r="D581" s="32"/>
      <c r="E581" s="32"/>
      <c r="F581" s="32"/>
      <c r="G581" s="32"/>
      <c r="H581" s="47"/>
      <c r="I581" s="32"/>
    </row>
    <row r="582">
      <c r="A582" s="32"/>
      <c r="B582" s="111"/>
      <c r="C582" s="32"/>
      <c r="D582" s="32"/>
      <c r="E582" s="32"/>
      <c r="F582" s="32"/>
      <c r="G582" s="32"/>
      <c r="H582" s="47"/>
      <c r="I582" s="32"/>
    </row>
    <row r="583">
      <c r="A583" s="32"/>
      <c r="B583" s="111"/>
      <c r="C583" s="32"/>
      <c r="D583" s="32"/>
      <c r="E583" s="32"/>
      <c r="F583" s="32"/>
      <c r="G583" s="32"/>
      <c r="H583" s="47"/>
      <c r="I583" s="32"/>
    </row>
    <row r="584">
      <c r="A584" s="32"/>
      <c r="B584" s="111"/>
      <c r="C584" s="32"/>
      <c r="D584" s="32"/>
      <c r="E584" s="32"/>
      <c r="F584" s="32"/>
      <c r="G584" s="32"/>
      <c r="H584" s="47"/>
      <c r="I584" s="32"/>
    </row>
    <row r="585">
      <c r="A585" s="32"/>
      <c r="B585" s="111"/>
      <c r="C585" s="32"/>
      <c r="D585" s="32"/>
      <c r="E585" s="32"/>
      <c r="F585" s="32"/>
      <c r="G585" s="32"/>
      <c r="H585" s="47"/>
      <c r="I585" s="32"/>
    </row>
    <row r="586">
      <c r="A586" s="32"/>
      <c r="B586" s="111"/>
      <c r="C586" s="32"/>
      <c r="D586" s="32"/>
      <c r="E586" s="32"/>
      <c r="F586" s="32"/>
      <c r="G586" s="32"/>
      <c r="H586" s="47"/>
      <c r="I586" s="32"/>
    </row>
    <row r="587">
      <c r="A587" s="32"/>
      <c r="B587" s="111"/>
      <c r="C587" s="32"/>
      <c r="D587" s="32"/>
      <c r="E587" s="32"/>
      <c r="F587" s="32"/>
      <c r="G587" s="32"/>
      <c r="H587" s="47"/>
      <c r="I587" s="32"/>
    </row>
    <row r="588">
      <c r="A588" s="32"/>
      <c r="B588" s="111"/>
      <c r="C588" s="32"/>
      <c r="D588" s="32"/>
      <c r="E588" s="32"/>
      <c r="F588" s="32"/>
      <c r="G588" s="32"/>
      <c r="H588" s="47"/>
      <c r="I588" s="32"/>
    </row>
    <row r="589">
      <c r="A589" s="32"/>
      <c r="B589" s="111"/>
      <c r="C589" s="32"/>
      <c r="D589" s="32"/>
      <c r="E589" s="32"/>
      <c r="F589" s="32"/>
      <c r="G589" s="32"/>
      <c r="H589" s="47"/>
      <c r="I589" s="32"/>
    </row>
    <row r="590">
      <c r="A590" s="32"/>
      <c r="B590" s="111"/>
      <c r="C590" s="32"/>
      <c r="D590" s="32"/>
      <c r="E590" s="32"/>
      <c r="F590" s="32"/>
      <c r="G590" s="32"/>
      <c r="H590" s="47"/>
      <c r="I590" s="32"/>
    </row>
    <row r="591">
      <c r="A591" s="32"/>
      <c r="B591" s="111"/>
      <c r="C591" s="32"/>
      <c r="D591" s="32"/>
      <c r="E591" s="32"/>
      <c r="F591" s="32"/>
      <c r="G591" s="32"/>
      <c r="H591" s="47"/>
      <c r="I591" s="32"/>
    </row>
    <row r="592">
      <c r="A592" s="32"/>
      <c r="B592" s="111"/>
      <c r="C592" s="32"/>
      <c r="D592" s="32"/>
      <c r="E592" s="32"/>
      <c r="F592" s="32"/>
      <c r="G592" s="32"/>
      <c r="H592" s="47"/>
      <c r="I592" s="32"/>
    </row>
    <row r="593">
      <c r="A593" s="32"/>
      <c r="B593" s="111"/>
      <c r="C593" s="32"/>
      <c r="D593" s="32"/>
      <c r="E593" s="32"/>
      <c r="F593" s="32"/>
      <c r="G593" s="32"/>
      <c r="H593" s="47"/>
      <c r="I593" s="32"/>
    </row>
    <row r="594">
      <c r="A594" s="32"/>
      <c r="B594" s="111"/>
      <c r="C594" s="32"/>
      <c r="D594" s="32"/>
      <c r="E594" s="32"/>
      <c r="F594" s="32"/>
      <c r="G594" s="32"/>
      <c r="H594" s="47"/>
      <c r="I594" s="32"/>
    </row>
    <row r="595">
      <c r="A595" s="32"/>
      <c r="B595" s="111"/>
      <c r="C595" s="32"/>
      <c r="D595" s="32"/>
      <c r="E595" s="32"/>
      <c r="F595" s="32"/>
      <c r="G595" s="32"/>
      <c r="H595" s="47"/>
      <c r="I595" s="32"/>
    </row>
    <row r="596">
      <c r="A596" s="32"/>
      <c r="B596" s="111"/>
      <c r="C596" s="32"/>
      <c r="D596" s="32"/>
      <c r="E596" s="32"/>
      <c r="F596" s="32"/>
      <c r="G596" s="32"/>
      <c r="H596" s="47"/>
      <c r="I596" s="32"/>
    </row>
    <row r="597">
      <c r="A597" s="32"/>
      <c r="B597" s="111"/>
      <c r="C597" s="32"/>
      <c r="D597" s="32"/>
      <c r="E597" s="32"/>
      <c r="F597" s="32"/>
      <c r="G597" s="32"/>
      <c r="H597" s="47"/>
      <c r="I597" s="32"/>
    </row>
    <row r="598">
      <c r="A598" s="32"/>
      <c r="B598" s="111"/>
      <c r="C598" s="32"/>
      <c r="D598" s="32"/>
      <c r="E598" s="32"/>
      <c r="F598" s="32"/>
      <c r="G598" s="32"/>
      <c r="H598" s="47"/>
      <c r="I598" s="32"/>
    </row>
    <row r="599">
      <c r="A599" s="32"/>
      <c r="B599" s="111"/>
      <c r="C599" s="32"/>
      <c r="D599" s="32"/>
      <c r="E599" s="32"/>
      <c r="F599" s="32"/>
      <c r="G599" s="32"/>
      <c r="H599" s="47"/>
      <c r="I599" s="32"/>
    </row>
    <row r="600">
      <c r="A600" s="32"/>
      <c r="B600" s="111"/>
      <c r="C600" s="32"/>
      <c r="D600" s="32"/>
      <c r="E600" s="32"/>
      <c r="F600" s="32"/>
      <c r="G600" s="32"/>
      <c r="H600" s="47"/>
      <c r="I600" s="32"/>
    </row>
    <row r="601">
      <c r="A601" s="32"/>
      <c r="B601" s="111"/>
      <c r="C601" s="32"/>
      <c r="D601" s="32"/>
      <c r="E601" s="32"/>
      <c r="F601" s="32"/>
      <c r="G601" s="32"/>
      <c r="H601" s="47"/>
      <c r="I601" s="32"/>
    </row>
    <row r="602">
      <c r="A602" s="32"/>
      <c r="B602" s="111"/>
      <c r="C602" s="32"/>
      <c r="D602" s="32"/>
      <c r="E602" s="32"/>
      <c r="F602" s="32"/>
      <c r="G602" s="32"/>
      <c r="H602" s="47"/>
      <c r="I602" s="32"/>
    </row>
    <row r="603">
      <c r="A603" s="32"/>
      <c r="B603" s="111"/>
      <c r="C603" s="32"/>
      <c r="D603" s="32"/>
      <c r="E603" s="32"/>
      <c r="F603" s="32"/>
      <c r="G603" s="32"/>
      <c r="H603" s="47"/>
      <c r="I603" s="32"/>
    </row>
    <row r="604">
      <c r="A604" s="32"/>
      <c r="B604" s="111"/>
      <c r="C604" s="32"/>
      <c r="D604" s="32"/>
      <c r="E604" s="32"/>
      <c r="F604" s="32"/>
      <c r="G604" s="32"/>
      <c r="H604" s="47"/>
      <c r="I604" s="32"/>
    </row>
    <row r="605">
      <c r="A605" s="32"/>
      <c r="B605" s="111"/>
      <c r="C605" s="32"/>
      <c r="D605" s="32"/>
      <c r="E605" s="32"/>
      <c r="F605" s="32"/>
      <c r="G605" s="32"/>
      <c r="H605" s="47"/>
      <c r="I605" s="32"/>
    </row>
    <row r="606">
      <c r="A606" s="32"/>
      <c r="B606" s="111"/>
      <c r="C606" s="32"/>
      <c r="D606" s="32"/>
      <c r="E606" s="32"/>
      <c r="F606" s="32"/>
      <c r="G606" s="32"/>
      <c r="H606" s="47"/>
      <c r="I606" s="32"/>
    </row>
    <row r="607">
      <c r="A607" s="32"/>
      <c r="B607" s="111"/>
      <c r="C607" s="32"/>
      <c r="D607" s="32"/>
      <c r="E607" s="32"/>
      <c r="F607" s="32"/>
      <c r="G607" s="32"/>
      <c r="H607" s="47"/>
      <c r="I607" s="32"/>
    </row>
    <row r="608">
      <c r="A608" s="32"/>
      <c r="B608" s="111"/>
      <c r="C608" s="32"/>
      <c r="D608" s="32"/>
      <c r="E608" s="32"/>
      <c r="F608" s="32"/>
      <c r="G608" s="32"/>
      <c r="H608" s="47"/>
      <c r="I608" s="32"/>
    </row>
    <row r="609">
      <c r="A609" s="32"/>
      <c r="B609" s="111"/>
      <c r="C609" s="32"/>
      <c r="D609" s="32"/>
      <c r="E609" s="32"/>
      <c r="F609" s="32"/>
      <c r="G609" s="32"/>
      <c r="H609" s="47"/>
      <c r="I609" s="32"/>
    </row>
    <row r="610">
      <c r="A610" s="32"/>
      <c r="B610" s="111"/>
      <c r="C610" s="32"/>
      <c r="D610" s="32"/>
      <c r="E610" s="32"/>
      <c r="F610" s="32"/>
      <c r="G610" s="32"/>
      <c r="H610" s="47"/>
      <c r="I610" s="32"/>
    </row>
    <row r="611">
      <c r="A611" s="32"/>
      <c r="B611" s="111"/>
      <c r="C611" s="32"/>
      <c r="D611" s="32"/>
      <c r="E611" s="32"/>
      <c r="F611" s="32"/>
      <c r="G611" s="32"/>
      <c r="H611" s="47"/>
      <c r="I611" s="32"/>
    </row>
    <row r="612">
      <c r="A612" s="32"/>
      <c r="B612" s="111"/>
      <c r="C612" s="32"/>
      <c r="D612" s="32"/>
      <c r="E612" s="32"/>
      <c r="F612" s="32"/>
      <c r="G612" s="32"/>
      <c r="H612" s="47"/>
      <c r="I612" s="32"/>
    </row>
    <row r="613">
      <c r="A613" s="32"/>
      <c r="B613" s="111"/>
      <c r="C613" s="32"/>
      <c r="D613" s="32"/>
      <c r="E613" s="32"/>
      <c r="F613" s="32"/>
      <c r="G613" s="32"/>
      <c r="H613" s="47"/>
      <c r="I613" s="32"/>
    </row>
    <row r="614">
      <c r="A614" s="32"/>
      <c r="B614" s="111"/>
      <c r="C614" s="32"/>
      <c r="D614" s="32"/>
      <c r="E614" s="32"/>
      <c r="F614" s="32"/>
      <c r="G614" s="32"/>
      <c r="H614" s="47"/>
      <c r="I614" s="32"/>
    </row>
    <row r="615">
      <c r="A615" s="32"/>
      <c r="B615" s="111"/>
      <c r="C615" s="32"/>
      <c r="D615" s="32"/>
      <c r="E615" s="32"/>
      <c r="F615" s="32"/>
      <c r="G615" s="32"/>
      <c r="H615" s="47"/>
      <c r="I615" s="32"/>
    </row>
    <row r="616">
      <c r="A616" s="32"/>
      <c r="B616" s="111"/>
      <c r="C616" s="32"/>
      <c r="D616" s="32"/>
      <c r="E616" s="32"/>
      <c r="F616" s="32"/>
      <c r="G616" s="32"/>
      <c r="H616" s="47"/>
      <c r="I616" s="32"/>
    </row>
    <row r="617">
      <c r="A617" s="32"/>
      <c r="B617" s="111"/>
      <c r="C617" s="32"/>
      <c r="D617" s="32"/>
      <c r="E617" s="32"/>
      <c r="F617" s="32"/>
      <c r="G617" s="32"/>
      <c r="H617" s="47"/>
      <c r="I617" s="32"/>
    </row>
    <row r="618">
      <c r="A618" s="32"/>
      <c r="B618" s="111"/>
      <c r="C618" s="32"/>
      <c r="D618" s="32"/>
      <c r="E618" s="32"/>
      <c r="F618" s="32"/>
      <c r="G618" s="32"/>
      <c r="H618" s="47"/>
      <c r="I618" s="32"/>
    </row>
    <row r="619">
      <c r="A619" s="32"/>
      <c r="B619" s="111"/>
      <c r="C619" s="32"/>
      <c r="D619" s="32"/>
      <c r="E619" s="32"/>
      <c r="F619" s="32"/>
      <c r="G619" s="32"/>
      <c r="H619" s="47"/>
      <c r="I619" s="32"/>
    </row>
    <row r="620">
      <c r="A620" s="32"/>
      <c r="B620" s="111"/>
      <c r="C620" s="32"/>
      <c r="D620" s="32"/>
      <c r="E620" s="32"/>
      <c r="F620" s="32"/>
      <c r="G620" s="32"/>
      <c r="H620" s="47"/>
      <c r="I620" s="32"/>
    </row>
    <row r="621">
      <c r="A621" s="32"/>
      <c r="B621" s="111"/>
      <c r="C621" s="32"/>
      <c r="D621" s="32"/>
      <c r="E621" s="32"/>
      <c r="F621" s="32"/>
      <c r="G621" s="32"/>
      <c r="H621" s="47"/>
      <c r="I621" s="32"/>
    </row>
    <row r="622">
      <c r="A622" s="32"/>
      <c r="B622" s="111"/>
      <c r="C622" s="32"/>
      <c r="D622" s="32"/>
      <c r="E622" s="32"/>
      <c r="F622" s="32"/>
      <c r="G622" s="32"/>
      <c r="H622" s="47"/>
      <c r="I622" s="32"/>
    </row>
    <row r="623">
      <c r="A623" s="32"/>
      <c r="B623" s="111"/>
      <c r="C623" s="32"/>
      <c r="D623" s="32"/>
      <c r="E623" s="32"/>
      <c r="F623" s="32"/>
      <c r="G623" s="32"/>
      <c r="H623" s="47"/>
      <c r="I623" s="32"/>
    </row>
    <row r="624">
      <c r="A624" s="32"/>
      <c r="B624" s="111"/>
      <c r="C624" s="32"/>
      <c r="D624" s="32"/>
      <c r="E624" s="32"/>
      <c r="F624" s="32"/>
      <c r="G624" s="32"/>
      <c r="H624" s="47"/>
      <c r="I624" s="32"/>
    </row>
    <row r="625">
      <c r="A625" s="32"/>
      <c r="B625" s="111"/>
      <c r="C625" s="32"/>
      <c r="D625" s="32"/>
      <c r="E625" s="32"/>
      <c r="F625" s="32"/>
      <c r="G625" s="32"/>
      <c r="H625" s="47"/>
      <c r="I625" s="32"/>
    </row>
    <row r="626">
      <c r="A626" s="32"/>
      <c r="B626" s="111"/>
      <c r="C626" s="32"/>
      <c r="D626" s="32"/>
      <c r="E626" s="32"/>
      <c r="F626" s="32"/>
      <c r="G626" s="32"/>
      <c r="H626" s="47"/>
      <c r="I626" s="32"/>
    </row>
    <row r="627">
      <c r="A627" s="32"/>
      <c r="B627" s="111"/>
      <c r="C627" s="32"/>
      <c r="D627" s="32"/>
      <c r="E627" s="32"/>
      <c r="F627" s="32"/>
      <c r="G627" s="32"/>
      <c r="H627" s="47"/>
      <c r="I627" s="32"/>
    </row>
    <row r="628">
      <c r="A628" s="32"/>
      <c r="B628" s="111"/>
      <c r="C628" s="32"/>
      <c r="D628" s="32"/>
      <c r="E628" s="32"/>
      <c r="F628" s="32"/>
      <c r="G628" s="32"/>
      <c r="H628" s="47"/>
      <c r="I628" s="32"/>
    </row>
    <row r="629">
      <c r="A629" s="32"/>
      <c r="B629" s="111"/>
      <c r="C629" s="32"/>
      <c r="D629" s="32"/>
      <c r="E629" s="32"/>
      <c r="F629" s="32"/>
      <c r="G629" s="32"/>
      <c r="H629" s="47"/>
      <c r="I629" s="32"/>
    </row>
    <row r="630">
      <c r="A630" s="32"/>
      <c r="B630" s="111"/>
      <c r="C630" s="32"/>
      <c r="D630" s="32"/>
      <c r="E630" s="32"/>
      <c r="F630" s="32"/>
      <c r="G630" s="32"/>
      <c r="H630" s="47"/>
      <c r="I630" s="32"/>
    </row>
    <row r="631">
      <c r="A631" s="32"/>
      <c r="B631" s="111"/>
      <c r="C631" s="32"/>
      <c r="D631" s="32"/>
      <c r="E631" s="32"/>
      <c r="F631" s="32"/>
      <c r="G631" s="32"/>
      <c r="H631" s="47"/>
      <c r="I631" s="32"/>
    </row>
    <row r="632">
      <c r="A632" s="32"/>
      <c r="B632" s="111"/>
      <c r="C632" s="32"/>
      <c r="D632" s="32"/>
      <c r="E632" s="32"/>
      <c r="F632" s="32"/>
      <c r="G632" s="32"/>
      <c r="H632" s="47"/>
      <c r="I632" s="32"/>
    </row>
    <row r="633">
      <c r="A633" s="32"/>
      <c r="B633" s="111"/>
      <c r="C633" s="32"/>
      <c r="D633" s="32"/>
      <c r="E633" s="32"/>
      <c r="F633" s="32"/>
      <c r="G633" s="32"/>
      <c r="H633" s="47"/>
      <c r="I633" s="32"/>
    </row>
    <row r="634">
      <c r="A634" s="32"/>
      <c r="B634" s="111"/>
      <c r="C634" s="32"/>
      <c r="D634" s="32"/>
      <c r="E634" s="32"/>
      <c r="F634" s="32"/>
      <c r="G634" s="32"/>
      <c r="H634" s="47"/>
      <c r="I634" s="32"/>
    </row>
    <row r="635">
      <c r="A635" s="32"/>
      <c r="B635" s="111"/>
      <c r="C635" s="32"/>
      <c r="D635" s="32"/>
      <c r="E635" s="32"/>
      <c r="F635" s="32"/>
      <c r="G635" s="32"/>
      <c r="H635" s="47"/>
      <c r="I635" s="32"/>
    </row>
    <row r="636">
      <c r="A636" s="32"/>
      <c r="B636" s="111"/>
      <c r="C636" s="32"/>
      <c r="D636" s="32"/>
      <c r="E636" s="32"/>
      <c r="F636" s="32"/>
      <c r="G636" s="32"/>
      <c r="H636" s="47"/>
      <c r="I636" s="32"/>
    </row>
    <row r="637">
      <c r="A637" s="32"/>
      <c r="B637" s="111"/>
      <c r="C637" s="32"/>
      <c r="D637" s="32"/>
      <c r="E637" s="32"/>
      <c r="F637" s="32"/>
      <c r="G637" s="32"/>
      <c r="H637" s="47"/>
      <c r="I637" s="32"/>
    </row>
    <row r="638">
      <c r="A638" s="32"/>
      <c r="B638" s="111"/>
      <c r="C638" s="32"/>
      <c r="D638" s="32"/>
      <c r="E638" s="32"/>
      <c r="F638" s="32"/>
      <c r="G638" s="32"/>
      <c r="H638" s="47"/>
      <c r="I638" s="32"/>
    </row>
    <row r="639">
      <c r="A639" s="32"/>
      <c r="B639" s="111"/>
      <c r="C639" s="32"/>
      <c r="D639" s="32"/>
      <c r="E639" s="32"/>
      <c r="F639" s="32"/>
      <c r="G639" s="32"/>
      <c r="H639" s="47"/>
      <c r="I639" s="32"/>
    </row>
    <row r="640">
      <c r="A640" s="32"/>
      <c r="B640" s="111"/>
      <c r="C640" s="32"/>
      <c r="D640" s="32"/>
      <c r="E640" s="32"/>
      <c r="F640" s="32"/>
      <c r="G640" s="32"/>
      <c r="H640" s="47"/>
      <c r="I640" s="32"/>
    </row>
    <row r="641">
      <c r="A641" s="32"/>
      <c r="B641" s="111"/>
      <c r="C641" s="32"/>
      <c r="D641" s="32"/>
      <c r="E641" s="32"/>
      <c r="F641" s="32"/>
      <c r="G641" s="32"/>
      <c r="H641" s="47"/>
      <c r="I641" s="32"/>
    </row>
    <row r="642">
      <c r="A642" s="32"/>
      <c r="B642" s="111"/>
      <c r="C642" s="32"/>
      <c r="D642" s="32"/>
      <c r="E642" s="32"/>
      <c r="F642" s="32"/>
      <c r="G642" s="32"/>
      <c r="H642" s="47"/>
      <c r="I642" s="32"/>
    </row>
    <row r="643">
      <c r="A643" s="32"/>
      <c r="B643" s="111"/>
      <c r="C643" s="32"/>
      <c r="D643" s="32"/>
      <c r="E643" s="32"/>
      <c r="F643" s="32"/>
      <c r="G643" s="32"/>
      <c r="H643" s="47"/>
      <c r="I643" s="32"/>
    </row>
    <row r="644">
      <c r="A644" s="32"/>
      <c r="B644" s="111"/>
      <c r="C644" s="32"/>
      <c r="D644" s="32"/>
      <c r="E644" s="32"/>
      <c r="F644" s="32"/>
      <c r="G644" s="32"/>
      <c r="H644" s="47"/>
      <c r="I644" s="32"/>
    </row>
    <row r="645">
      <c r="A645" s="32"/>
      <c r="B645" s="111"/>
      <c r="C645" s="32"/>
      <c r="D645" s="32"/>
      <c r="E645" s="32"/>
      <c r="F645" s="32"/>
      <c r="G645" s="32"/>
      <c r="H645" s="47"/>
      <c r="I645" s="32"/>
    </row>
    <row r="646">
      <c r="A646" s="32"/>
      <c r="B646" s="111"/>
      <c r="C646" s="32"/>
      <c r="D646" s="32"/>
      <c r="E646" s="32"/>
      <c r="F646" s="32"/>
      <c r="G646" s="32"/>
      <c r="H646" s="47"/>
      <c r="I646" s="32"/>
    </row>
    <row r="647">
      <c r="A647" s="32"/>
      <c r="B647" s="111"/>
      <c r="C647" s="32"/>
      <c r="D647" s="32"/>
      <c r="E647" s="32"/>
      <c r="F647" s="32"/>
      <c r="G647" s="32"/>
      <c r="H647" s="47"/>
      <c r="I647" s="32"/>
    </row>
    <row r="648">
      <c r="A648" s="32"/>
      <c r="B648" s="111"/>
      <c r="C648" s="32"/>
      <c r="D648" s="32"/>
      <c r="E648" s="32"/>
      <c r="F648" s="32"/>
      <c r="G648" s="32"/>
      <c r="H648" s="47"/>
      <c r="I648" s="32"/>
    </row>
    <row r="649">
      <c r="A649" s="32"/>
      <c r="B649" s="111"/>
      <c r="C649" s="32"/>
      <c r="D649" s="32"/>
      <c r="E649" s="32"/>
      <c r="F649" s="32"/>
      <c r="G649" s="32"/>
      <c r="H649" s="47"/>
      <c r="I649" s="32"/>
    </row>
    <row r="650">
      <c r="A650" s="32"/>
      <c r="B650" s="111"/>
      <c r="C650" s="32"/>
      <c r="D650" s="32"/>
      <c r="E650" s="32"/>
      <c r="F650" s="32"/>
      <c r="G650" s="32"/>
      <c r="H650" s="47"/>
      <c r="I650" s="32"/>
    </row>
    <row r="651">
      <c r="A651" s="32"/>
      <c r="B651" s="111"/>
      <c r="C651" s="32"/>
      <c r="D651" s="32"/>
      <c r="E651" s="32"/>
      <c r="F651" s="32"/>
      <c r="G651" s="32"/>
      <c r="H651" s="47"/>
      <c r="I651" s="32"/>
    </row>
    <row r="652">
      <c r="A652" s="32"/>
      <c r="B652" s="111"/>
      <c r="C652" s="32"/>
      <c r="D652" s="32"/>
      <c r="E652" s="32"/>
      <c r="F652" s="32"/>
      <c r="G652" s="32"/>
      <c r="H652" s="47"/>
      <c r="I652" s="32"/>
    </row>
    <row r="653">
      <c r="A653" s="32"/>
      <c r="B653" s="111"/>
      <c r="C653" s="32"/>
      <c r="D653" s="32"/>
      <c r="E653" s="32"/>
      <c r="F653" s="32"/>
      <c r="G653" s="32"/>
      <c r="H653" s="47"/>
      <c r="I653" s="32"/>
    </row>
    <row r="654">
      <c r="A654" s="32"/>
      <c r="B654" s="111"/>
      <c r="C654" s="32"/>
      <c r="D654" s="32"/>
      <c r="E654" s="32"/>
      <c r="F654" s="32"/>
      <c r="G654" s="32"/>
      <c r="H654" s="47"/>
      <c r="I654" s="32"/>
    </row>
    <row r="655">
      <c r="A655" s="32"/>
      <c r="B655" s="111"/>
      <c r="C655" s="32"/>
      <c r="D655" s="32"/>
      <c r="E655" s="32"/>
      <c r="F655" s="32"/>
      <c r="G655" s="32"/>
      <c r="H655" s="47"/>
      <c r="I655" s="32"/>
    </row>
    <row r="656">
      <c r="A656" s="32"/>
      <c r="B656" s="111"/>
      <c r="C656" s="32"/>
      <c r="D656" s="32"/>
      <c r="E656" s="32"/>
      <c r="F656" s="32"/>
      <c r="G656" s="32"/>
      <c r="H656" s="47"/>
      <c r="I656" s="32"/>
    </row>
    <row r="657">
      <c r="A657" s="32"/>
      <c r="B657" s="111"/>
      <c r="C657" s="32"/>
      <c r="D657" s="32"/>
      <c r="E657" s="32"/>
      <c r="F657" s="32"/>
      <c r="G657" s="32"/>
      <c r="H657" s="47"/>
      <c r="I657" s="32"/>
    </row>
    <row r="658">
      <c r="A658" s="32"/>
      <c r="B658" s="111"/>
      <c r="C658" s="32"/>
      <c r="D658" s="32"/>
      <c r="E658" s="32"/>
      <c r="F658" s="32"/>
      <c r="G658" s="32"/>
      <c r="H658" s="47"/>
      <c r="I658" s="32"/>
    </row>
    <row r="659">
      <c r="A659" s="32"/>
      <c r="B659" s="111"/>
      <c r="C659" s="32"/>
      <c r="D659" s="32"/>
      <c r="E659" s="32"/>
      <c r="F659" s="32"/>
      <c r="G659" s="32"/>
      <c r="H659" s="47"/>
      <c r="I659" s="32"/>
    </row>
    <row r="660">
      <c r="A660" s="32"/>
      <c r="B660" s="111"/>
      <c r="C660" s="32"/>
      <c r="D660" s="32"/>
      <c r="E660" s="32"/>
      <c r="F660" s="32"/>
      <c r="G660" s="32"/>
      <c r="H660" s="47"/>
      <c r="I660" s="32"/>
    </row>
    <row r="661">
      <c r="A661" s="32"/>
      <c r="B661" s="111"/>
      <c r="C661" s="32"/>
      <c r="D661" s="32"/>
      <c r="E661" s="32"/>
      <c r="F661" s="32"/>
      <c r="G661" s="32"/>
      <c r="H661" s="47"/>
      <c r="I661" s="32"/>
    </row>
    <row r="662">
      <c r="A662" s="32"/>
      <c r="B662" s="111"/>
      <c r="C662" s="32"/>
      <c r="D662" s="32"/>
      <c r="E662" s="32"/>
      <c r="F662" s="32"/>
      <c r="G662" s="32"/>
      <c r="H662" s="47"/>
      <c r="I662" s="32"/>
    </row>
    <row r="663">
      <c r="A663" s="32"/>
      <c r="B663" s="111"/>
      <c r="C663" s="32"/>
      <c r="D663" s="32"/>
      <c r="E663" s="32"/>
      <c r="F663" s="32"/>
      <c r="G663" s="32"/>
      <c r="H663" s="47"/>
      <c r="I663" s="32"/>
    </row>
    <row r="664">
      <c r="A664" s="32"/>
      <c r="B664" s="111"/>
      <c r="C664" s="32"/>
      <c r="D664" s="32"/>
      <c r="E664" s="32"/>
      <c r="F664" s="32"/>
      <c r="G664" s="32"/>
      <c r="H664" s="47"/>
      <c r="I664" s="32"/>
    </row>
    <row r="665">
      <c r="A665" s="32"/>
      <c r="B665" s="111"/>
      <c r="C665" s="32"/>
      <c r="D665" s="32"/>
      <c r="E665" s="32"/>
      <c r="F665" s="32"/>
      <c r="G665" s="32"/>
      <c r="H665" s="47"/>
      <c r="I665" s="32"/>
    </row>
    <row r="666">
      <c r="A666" s="32"/>
      <c r="B666" s="111"/>
      <c r="C666" s="32"/>
      <c r="D666" s="32"/>
      <c r="E666" s="32"/>
      <c r="F666" s="32"/>
      <c r="G666" s="32"/>
      <c r="H666" s="47"/>
      <c r="I666" s="32"/>
    </row>
    <row r="667">
      <c r="A667" s="32"/>
      <c r="B667" s="111"/>
      <c r="C667" s="32"/>
      <c r="D667" s="32"/>
      <c r="E667" s="32"/>
      <c r="F667" s="32"/>
      <c r="G667" s="32"/>
      <c r="H667" s="47"/>
      <c r="I667" s="32"/>
    </row>
    <row r="668">
      <c r="A668" s="32"/>
      <c r="B668" s="111"/>
      <c r="C668" s="32"/>
      <c r="D668" s="32"/>
      <c r="E668" s="32"/>
      <c r="F668" s="32"/>
      <c r="G668" s="32"/>
      <c r="H668" s="47"/>
      <c r="I668" s="32"/>
    </row>
    <row r="669">
      <c r="A669" s="32"/>
      <c r="B669" s="111"/>
      <c r="C669" s="32"/>
      <c r="D669" s="32"/>
      <c r="E669" s="32"/>
      <c r="F669" s="32"/>
      <c r="G669" s="32"/>
      <c r="H669" s="47"/>
      <c r="I669" s="32"/>
    </row>
    <row r="670">
      <c r="A670" s="32"/>
      <c r="B670" s="111"/>
      <c r="C670" s="32"/>
      <c r="D670" s="32"/>
      <c r="E670" s="32"/>
      <c r="F670" s="32"/>
      <c r="G670" s="32"/>
      <c r="H670" s="47"/>
      <c r="I670" s="32"/>
    </row>
    <row r="671">
      <c r="A671" s="32"/>
      <c r="B671" s="111"/>
      <c r="C671" s="32"/>
      <c r="D671" s="32"/>
      <c r="E671" s="32"/>
      <c r="F671" s="32"/>
      <c r="G671" s="32"/>
      <c r="H671" s="47"/>
      <c r="I671" s="32"/>
    </row>
    <row r="672">
      <c r="A672" s="32"/>
      <c r="B672" s="111"/>
      <c r="C672" s="32"/>
      <c r="D672" s="32"/>
      <c r="E672" s="32"/>
      <c r="F672" s="32"/>
      <c r="G672" s="32"/>
      <c r="H672" s="47"/>
      <c r="I672" s="32"/>
    </row>
    <row r="673">
      <c r="A673" s="32"/>
      <c r="B673" s="111"/>
      <c r="C673" s="32"/>
      <c r="D673" s="32"/>
      <c r="E673" s="32"/>
      <c r="F673" s="32"/>
      <c r="G673" s="32"/>
      <c r="H673" s="47"/>
      <c r="I673" s="32"/>
    </row>
    <row r="674">
      <c r="A674" s="32"/>
      <c r="B674" s="111"/>
      <c r="C674" s="32"/>
      <c r="D674" s="32"/>
      <c r="E674" s="32"/>
      <c r="F674" s="32"/>
      <c r="G674" s="32"/>
      <c r="H674" s="47"/>
      <c r="I674" s="32"/>
    </row>
    <row r="675">
      <c r="A675" s="32"/>
      <c r="B675" s="111"/>
      <c r="C675" s="32"/>
      <c r="D675" s="32"/>
      <c r="E675" s="32"/>
      <c r="F675" s="32"/>
      <c r="G675" s="32"/>
      <c r="H675" s="47"/>
      <c r="I675" s="32"/>
    </row>
    <row r="676">
      <c r="A676" s="32"/>
      <c r="B676" s="111"/>
      <c r="C676" s="32"/>
      <c r="D676" s="32"/>
      <c r="E676" s="32"/>
      <c r="F676" s="32"/>
      <c r="G676" s="32"/>
      <c r="H676" s="47"/>
      <c r="I676" s="32"/>
    </row>
    <row r="677">
      <c r="A677" s="32"/>
      <c r="B677" s="111"/>
      <c r="C677" s="32"/>
      <c r="D677" s="32"/>
      <c r="E677" s="32"/>
      <c r="F677" s="32"/>
      <c r="G677" s="32"/>
      <c r="H677" s="47"/>
      <c r="I677" s="32"/>
    </row>
    <row r="678">
      <c r="A678" s="32"/>
      <c r="B678" s="111"/>
      <c r="C678" s="32"/>
      <c r="D678" s="32"/>
      <c r="E678" s="32"/>
      <c r="F678" s="32"/>
      <c r="G678" s="32"/>
      <c r="H678" s="47"/>
      <c r="I678" s="32"/>
    </row>
    <row r="679">
      <c r="A679" s="32"/>
      <c r="B679" s="111"/>
      <c r="C679" s="32"/>
      <c r="D679" s="32"/>
      <c r="E679" s="32"/>
      <c r="F679" s="32"/>
      <c r="G679" s="32"/>
      <c r="H679" s="47"/>
      <c r="I679" s="32"/>
    </row>
    <row r="680">
      <c r="A680" s="32"/>
      <c r="B680" s="111"/>
      <c r="C680" s="32"/>
      <c r="D680" s="32"/>
      <c r="E680" s="32"/>
      <c r="F680" s="32"/>
      <c r="G680" s="32"/>
      <c r="H680" s="47"/>
      <c r="I680" s="32"/>
    </row>
    <row r="681">
      <c r="A681" s="32"/>
      <c r="B681" s="111"/>
      <c r="C681" s="32"/>
      <c r="D681" s="32"/>
      <c r="E681" s="32"/>
      <c r="F681" s="32"/>
      <c r="G681" s="32"/>
      <c r="H681" s="47"/>
      <c r="I681" s="32"/>
    </row>
    <row r="682">
      <c r="A682" s="32"/>
      <c r="B682" s="111"/>
      <c r="C682" s="32"/>
      <c r="D682" s="32"/>
      <c r="E682" s="32"/>
      <c r="F682" s="32"/>
      <c r="G682" s="32"/>
      <c r="H682" s="47"/>
      <c r="I682" s="32"/>
    </row>
    <row r="683">
      <c r="A683" s="32"/>
      <c r="B683" s="111"/>
      <c r="C683" s="32"/>
      <c r="D683" s="32"/>
      <c r="E683" s="32"/>
      <c r="F683" s="32"/>
      <c r="G683" s="32"/>
      <c r="H683" s="47"/>
      <c r="I683" s="32"/>
    </row>
    <row r="684">
      <c r="A684" s="32"/>
      <c r="B684" s="111"/>
      <c r="C684" s="32"/>
      <c r="D684" s="32"/>
      <c r="E684" s="32"/>
      <c r="F684" s="32"/>
      <c r="G684" s="32"/>
      <c r="H684" s="47"/>
      <c r="I684" s="32"/>
    </row>
    <row r="685">
      <c r="A685" s="32"/>
      <c r="B685" s="111"/>
      <c r="C685" s="32"/>
      <c r="D685" s="32"/>
      <c r="E685" s="32"/>
      <c r="F685" s="32"/>
      <c r="G685" s="32"/>
      <c r="H685" s="47"/>
      <c r="I685" s="32"/>
    </row>
    <row r="686">
      <c r="A686" s="32"/>
      <c r="B686" s="111"/>
      <c r="C686" s="32"/>
      <c r="D686" s="32"/>
      <c r="E686" s="32"/>
      <c r="F686" s="32"/>
      <c r="G686" s="32"/>
      <c r="H686" s="47"/>
      <c r="I686" s="32"/>
    </row>
    <row r="687">
      <c r="A687" s="32"/>
      <c r="B687" s="111"/>
      <c r="C687" s="32"/>
      <c r="D687" s="32"/>
      <c r="E687" s="32"/>
      <c r="F687" s="32"/>
      <c r="G687" s="32"/>
      <c r="H687" s="47"/>
      <c r="I687" s="32"/>
    </row>
    <row r="688">
      <c r="A688" s="32"/>
      <c r="B688" s="111"/>
      <c r="C688" s="32"/>
      <c r="D688" s="32"/>
      <c r="E688" s="32"/>
      <c r="F688" s="32"/>
      <c r="G688" s="32"/>
      <c r="H688" s="47"/>
      <c r="I688" s="32"/>
    </row>
    <row r="689">
      <c r="A689" s="32"/>
      <c r="B689" s="111"/>
      <c r="C689" s="32"/>
      <c r="D689" s="32"/>
      <c r="E689" s="32"/>
      <c r="F689" s="32"/>
      <c r="G689" s="32"/>
      <c r="H689" s="47"/>
      <c r="I689" s="32"/>
    </row>
    <row r="690">
      <c r="A690" s="32"/>
      <c r="B690" s="111"/>
      <c r="C690" s="32"/>
      <c r="D690" s="32"/>
      <c r="E690" s="32"/>
      <c r="F690" s="32"/>
      <c r="G690" s="32"/>
      <c r="H690" s="47"/>
      <c r="I690" s="32"/>
    </row>
    <row r="691">
      <c r="A691" s="32"/>
      <c r="B691" s="111"/>
      <c r="C691" s="32"/>
      <c r="D691" s="32"/>
      <c r="E691" s="32"/>
      <c r="F691" s="32"/>
      <c r="G691" s="32"/>
      <c r="H691" s="47"/>
      <c r="I691" s="32"/>
    </row>
    <row r="692">
      <c r="A692" s="32"/>
      <c r="B692" s="111"/>
      <c r="C692" s="32"/>
      <c r="D692" s="32"/>
      <c r="E692" s="32"/>
      <c r="F692" s="32"/>
      <c r="G692" s="32"/>
      <c r="H692" s="47"/>
      <c r="I692" s="32"/>
    </row>
    <row r="693">
      <c r="A693" s="32"/>
      <c r="B693" s="111"/>
      <c r="C693" s="32"/>
      <c r="D693" s="32"/>
      <c r="E693" s="32"/>
      <c r="F693" s="32"/>
      <c r="G693" s="32"/>
      <c r="H693" s="47"/>
      <c r="I693" s="32"/>
    </row>
    <row r="694">
      <c r="A694" s="32"/>
      <c r="B694" s="111"/>
      <c r="C694" s="32"/>
      <c r="D694" s="32"/>
      <c r="E694" s="32"/>
      <c r="F694" s="32"/>
      <c r="G694" s="32"/>
      <c r="H694" s="47"/>
      <c r="I694" s="32"/>
    </row>
    <row r="695">
      <c r="A695" s="32"/>
      <c r="B695" s="111"/>
      <c r="C695" s="32"/>
      <c r="D695" s="32"/>
      <c r="E695" s="32"/>
      <c r="F695" s="32"/>
      <c r="G695" s="32"/>
      <c r="H695" s="47"/>
      <c r="I695" s="32"/>
    </row>
    <row r="696">
      <c r="A696" s="32"/>
      <c r="B696" s="111"/>
      <c r="C696" s="32"/>
      <c r="D696" s="32"/>
      <c r="E696" s="32"/>
      <c r="F696" s="32"/>
      <c r="G696" s="32"/>
      <c r="H696" s="47"/>
      <c r="I696" s="32"/>
    </row>
    <row r="697">
      <c r="A697" s="32"/>
      <c r="B697" s="111"/>
      <c r="C697" s="32"/>
      <c r="D697" s="32"/>
      <c r="E697" s="32"/>
      <c r="F697" s="32"/>
      <c r="G697" s="32"/>
      <c r="H697" s="47"/>
      <c r="I697" s="32"/>
    </row>
    <row r="698">
      <c r="A698" s="32"/>
      <c r="B698" s="111"/>
      <c r="C698" s="32"/>
      <c r="D698" s="32"/>
      <c r="E698" s="32"/>
      <c r="F698" s="32"/>
      <c r="G698" s="32"/>
      <c r="H698" s="47"/>
      <c r="I698" s="32"/>
    </row>
    <row r="699">
      <c r="A699" s="32"/>
      <c r="B699" s="111"/>
      <c r="C699" s="32"/>
      <c r="D699" s="32"/>
      <c r="E699" s="32"/>
      <c r="F699" s="32"/>
      <c r="G699" s="32"/>
      <c r="H699" s="47"/>
      <c r="I699" s="32"/>
    </row>
    <row r="700">
      <c r="A700" s="32"/>
      <c r="B700" s="111"/>
      <c r="C700" s="32"/>
      <c r="D700" s="32"/>
      <c r="E700" s="32"/>
      <c r="F700" s="32"/>
      <c r="G700" s="32"/>
      <c r="H700" s="47"/>
      <c r="I700" s="32"/>
    </row>
    <row r="701">
      <c r="A701" s="32"/>
      <c r="B701" s="111"/>
      <c r="C701" s="32"/>
      <c r="D701" s="32"/>
      <c r="E701" s="32"/>
      <c r="F701" s="32"/>
      <c r="G701" s="32"/>
      <c r="H701" s="47"/>
      <c r="I701" s="32"/>
    </row>
    <row r="702">
      <c r="A702" s="32"/>
      <c r="B702" s="111"/>
      <c r="C702" s="32"/>
      <c r="D702" s="32"/>
      <c r="E702" s="32"/>
      <c r="F702" s="32"/>
      <c r="G702" s="32"/>
      <c r="H702" s="47"/>
      <c r="I702" s="32"/>
    </row>
    <row r="703">
      <c r="A703" s="32"/>
      <c r="B703" s="111"/>
      <c r="C703" s="32"/>
      <c r="D703" s="32"/>
      <c r="E703" s="32"/>
      <c r="F703" s="32"/>
      <c r="G703" s="32"/>
      <c r="H703" s="47"/>
      <c r="I703" s="32"/>
    </row>
    <row r="704">
      <c r="A704" s="32"/>
      <c r="B704" s="111"/>
      <c r="C704" s="32"/>
      <c r="D704" s="32"/>
      <c r="E704" s="32"/>
      <c r="F704" s="32"/>
      <c r="G704" s="32"/>
      <c r="H704" s="47"/>
      <c r="I704" s="32"/>
    </row>
    <row r="705">
      <c r="A705" s="32"/>
      <c r="B705" s="111"/>
      <c r="C705" s="32"/>
      <c r="D705" s="32"/>
      <c r="E705" s="32"/>
      <c r="F705" s="32"/>
      <c r="G705" s="32"/>
      <c r="H705" s="47"/>
      <c r="I705" s="32"/>
    </row>
    <row r="706">
      <c r="A706" s="32"/>
      <c r="B706" s="111"/>
      <c r="C706" s="32"/>
      <c r="D706" s="32"/>
      <c r="E706" s="32"/>
      <c r="F706" s="32"/>
      <c r="G706" s="32"/>
      <c r="H706" s="47"/>
      <c r="I706" s="32"/>
    </row>
    <row r="707">
      <c r="A707" s="32"/>
      <c r="B707" s="111"/>
      <c r="C707" s="32"/>
      <c r="D707" s="32"/>
      <c r="E707" s="32"/>
      <c r="F707" s="32"/>
      <c r="G707" s="32"/>
      <c r="H707" s="47"/>
      <c r="I707" s="32"/>
    </row>
    <row r="708">
      <c r="A708" s="32"/>
      <c r="B708" s="111"/>
      <c r="C708" s="32"/>
      <c r="D708" s="32"/>
      <c r="E708" s="32"/>
      <c r="F708" s="32"/>
      <c r="G708" s="32"/>
      <c r="H708" s="47"/>
      <c r="I708" s="32"/>
    </row>
    <row r="709">
      <c r="A709" s="32"/>
      <c r="B709" s="111"/>
      <c r="C709" s="32"/>
      <c r="D709" s="32"/>
      <c r="E709" s="32"/>
      <c r="F709" s="32"/>
      <c r="G709" s="32"/>
      <c r="H709" s="47"/>
      <c r="I709" s="32"/>
    </row>
    <row r="710">
      <c r="A710" s="32"/>
      <c r="B710" s="111"/>
      <c r="C710" s="32"/>
      <c r="D710" s="32"/>
      <c r="E710" s="32"/>
      <c r="F710" s="32"/>
      <c r="G710" s="32"/>
      <c r="H710" s="47"/>
      <c r="I710" s="32"/>
    </row>
    <row r="711">
      <c r="A711" s="32"/>
      <c r="B711" s="111"/>
      <c r="C711" s="32"/>
      <c r="D711" s="32"/>
      <c r="E711" s="32"/>
      <c r="F711" s="32"/>
      <c r="G711" s="32"/>
      <c r="H711" s="47"/>
      <c r="I711" s="32"/>
    </row>
    <row r="712">
      <c r="A712" s="32"/>
      <c r="B712" s="111"/>
      <c r="C712" s="32"/>
      <c r="D712" s="32"/>
      <c r="E712" s="32"/>
      <c r="F712" s="32"/>
      <c r="G712" s="32"/>
      <c r="H712" s="47"/>
      <c r="I712" s="32"/>
    </row>
    <row r="713">
      <c r="A713" s="32"/>
      <c r="B713" s="111"/>
      <c r="C713" s="32"/>
      <c r="D713" s="32"/>
      <c r="E713" s="32"/>
      <c r="F713" s="32"/>
      <c r="G713" s="32"/>
      <c r="H713" s="47"/>
      <c r="I713" s="32"/>
    </row>
    <row r="714">
      <c r="A714" s="32"/>
      <c r="B714" s="111"/>
      <c r="C714" s="32"/>
      <c r="D714" s="32"/>
      <c r="E714" s="32"/>
      <c r="F714" s="32"/>
      <c r="G714" s="32"/>
      <c r="H714" s="47"/>
      <c r="I714" s="32"/>
    </row>
    <row r="715">
      <c r="A715" s="32"/>
      <c r="B715" s="111"/>
      <c r="C715" s="32"/>
      <c r="D715" s="32"/>
      <c r="E715" s="32"/>
      <c r="F715" s="32"/>
      <c r="G715" s="32"/>
      <c r="H715" s="47"/>
      <c r="I715" s="32"/>
    </row>
    <row r="716">
      <c r="A716" s="32"/>
      <c r="B716" s="111"/>
      <c r="C716" s="32"/>
      <c r="D716" s="32"/>
      <c r="E716" s="32"/>
      <c r="F716" s="32"/>
      <c r="G716" s="32"/>
      <c r="H716" s="47"/>
      <c r="I716" s="32"/>
    </row>
    <row r="717">
      <c r="A717" s="32"/>
      <c r="B717" s="111"/>
      <c r="C717" s="32"/>
      <c r="D717" s="32"/>
      <c r="E717" s="32"/>
      <c r="F717" s="32"/>
      <c r="G717" s="32"/>
      <c r="H717" s="47"/>
      <c r="I717" s="32"/>
    </row>
    <row r="718">
      <c r="A718" s="32"/>
      <c r="B718" s="111"/>
      <c r="C718" s="32"/>
      <c r="D718" s="32"/>
      <c r="E718" s="32"/>
      <c r="F718" s="32"/>
      <c r="G718" s="32"/>
      <c r="H718" s="47"/>
      <c r="I718" s="32"/>
    </row>
    <row r="719">
      <c r="A719" s="32"/>
      <c r="B719" s="111"/>
      <c r="C719" s="32"/>
      <c r="D719" s="32"/>
      <c r="E719" s="32"/>
      <c r="F719" s="32"/>
      <c r="G719" s="32"/>
      <c r="H719" s="47"/>
      <c r="I719" s="32"/>
    </row>
    <row r="720">
      <c r="A720" s="32"/>
      <c r="B720" s="111"/>
      <c r="C720" s="32"/>
      <c r="D720" s="32"/>
      <c r="E720" s="32"/>
      <c r="F720" s="32"/>
      <c r="G720" s="32"/>
      <c r="H720" s="47"/>
      <c r="I720" s="32"/>
    </row>
    <row r="721">
      <c r="A721" s="32"/>
      <c r="B721" s="111"/>
      <c r="C721" s="32"/>
      <c r="D721" s="32"/>
      <c r="E721" s="32"/>
      <c r="F721" s="32"/>
      <c r="G721" s="32"/>
      <c r="H721" s="47"/>
      <c r="I721" s="32"/>
    </row>
    <row r="722">
      <c r="A722" s="32"/>
      <c r="B722" s="111"/>
      <c r="C722" s="32"/>
      <c r="D722" s="32"/>
      <c r="E722" s="32"/>
      <c r="F722" s="32"/>
      <c r="G722" s="32"/>
      <c r="H722" s="47"/>
      <c r="I722" s="32"/>
    </row>
    <row r="723">
      <c r="A723" s="32"/>
      <c r="B723" s="111"/>
      <c r="C723" s="32"/>
      <c r="D723" s="32"/>
      <c r="E723" s="32"/>
      <c r="F723" s="32"/>
      <c r="G723" s="32"/>
      <c r="H723" s="47"/>
      <c r="I723" s="32"/>
    </row>
    <row r="724">
      <c r="A724" s="32"/>
      <c r="B724" s="111"/>
      <c r="C724" s="32"/>
      <c r="D724" s="32"/>
      <c r="E724" s="32"/>
      <c r="F724" s="32"/>
      <c r="G724" s="32"/>
      <c r="H724" s="47"/>
      <c r="I724" s="32"/>
    </row>
    <row r="725">
      <c r="A725" s="32"/>
      <c r="B725" s="111"/>
      <c r="C725" s="32"/>
      <c r="D725" s="32"/>
      <c r="E725" s="32"/>
      <c r="F725" s="32"/>
      <c r="G725" s="32"/>
      <c r="H725" s="47"/>
      <c r="I725" s="32"/>
    </row>
    <row r="726">
      <c r="A726" s="32"/>
      <c r="B726" s="111"/>
      <c r="C726" s="32"/>
      <c r="D726" s="32"/>
      <c r="E726" s="32"/>
      <c r="F726" s="32"/>
      <c r="G726" s="32"/>
      <c r="H726" s="47"/>
      <c r="I726" s="32"/>
    </row>
    <row r="727">
      <c r="A727" s="32"/>
      <c r="B727" s="111"/>
      <c r="C727" s="32"/>
      <c r="D727" s="32"/>
      <c r="E727" s="32"/>
      <c r="F727" s="32"/>
      <c r="G727" s="32"/>
      <c r="H727" s="47"/>
      <c r="I727" s="32"/>
    </row>
    <row r="728">
      <c r="A728" s="32"/>
      <c r="B728" s="111"/>
      <c r="C728" s="32"/>
      <c r="D728" s="32"/>
      <c r="E728" s="32"/>
      <c r="F728" s="32"/>
      <c r="G728" s="32"/>
      <c r="H728" s="47"/>
      <c r="I728" s="32"/>
    </row>
    <row r="729">
      <c r="A729" s="32"/>
      <c r="B729" s="111"/>
      <c r="C729" s="32"/>
      <c r="D729" s="32"/>
      <c r="E729" s="32"/>
      <c r="F729" s="32"/>
      <c r="G729" s="32"/>
      <c r="H729" s="47"/>
      <c r="I729" s="32"/>
    </row>
    <row r="730">
      <c r="A730" s="32"/>
      <c r="B730" s="111"/>
      <c r="C730" s="32"/>
      <c r="D730" s="32"/>
      <c r="E730" s="32"/>
      <c r="F730" s="32"/>
      <c r="G730" s="32"/>
      <c r="H730" s="47"/>
      <c r="I730" s="32"/>
    </row>
    <row r="731">
      <c r="A731" s="32"/>
      <c r="B731" s="111"/>
      <c r="C731" s="32"/>
      <c r="D731" s="32"/>
      <c r="E731" s="32"/>
      <c r="F731" s="32"/>
      <c r="G731" s="32"/>
      <c r="H731" s="47"/>
      <c r="I731" s="32"/>
    </row>
    <row r="732">
      <c r="A732" s="32"/>
      <c r="B732" s="111"/>
      <c r="C732" s="32"/>
      <c r="D732" s="32"/>
      <c r="E732" s="32"/>
      <c r="F732" s="32"/>
      <c r="G732" s="32"/>
      <c r="H732" s="47"/>
      <c r="I732" s="32"/>
    </row>
    <row r="733">
      <c r="A733" s="32"/>
      <c r="B733" s="111"/>
      <c r="C733" s="32"/>
      <c r="D733" s="32"/>
      <c r="E733" s="32"/>
      <c r="F733" s="32"/>
      <c r="G733" s="32"/>
      <c r="H733" s="47"/>
      <c r="I733" s="32"/>
    </row>
    <row r="734">
      <c r="A734" s="32"/>
      <c r="B734" s="111"/>
      <c r="C734" s="32"/>
      <c r="D734" s="32"/>
      <c r="E734" s="32"/>
      <c r="F734" s="32"/>
      <c r="G734" s="32"/>
      <c r="H734" s="47"/>
      <c r="I734" s="32"/>
    </row>
    <row r="735">
      <c r="A735" s="32"/>
      <c r="B735" s="111"/>
      <c r="C735" s="32"/>
      <c r="D735" s="32"/>
      <c r="E735" s="32"/>
      <c r="F735" s="32"/>
      <c r="G735" s="32"/>
      <c r="H735" s="47"/>
      <c r="I735" s="32"/>
    </row>
    <row r="736">
      <c r="A736" s="32"/>
      <c r="B736" s="111"/>
      <c r="C736" s="32"/>
      <c r="D736" s="32"/>
      <c r="E736" s="32"/>
      <c r="F736" s="32"/>
      <c r="G736" s="32"/>
      <c r="H736" s="47"/>
      <c r="I736" s="32"/>
    </row>
    <row r="737">
      <c r="A737" s="32"/>
      <c r="B737" s="111"/>
      <c r="C737" s="32"/>
      <c r="D737" s="32"/>
      <c r="E737" s="32"/>
      <c r="F737" s="32"/>
      <c r="G737" s="32"/>
      <c r="H737" s="47"/>
      <c r="I737" s="32"/>
    </row>
    <row r="738">
      <c r="A738" s="32"/>
      <c r="B738" s="111"/>
      <c r="C738" s="32"/>
      <c r="D738" s="32"/>
      <c r="E738" s="32"/>
      <c r="F738" s="32"/>
      <c r="G738" s="32"/>
      <c r="H738" s="47"/>
      <c r="I738" s="32"/>
    </row>
    <row r="739">
      <c r="A739" s="32"/>
      <c r="B739" s="111"/>
      <c r="C739" s="32"/>
      <c r="D739" s="32"/>
      <c r="E739" s="32"/>
      <c r="F739" s="32"/>
      <c r="G739" s="32"/>
      <c r="H739" s="47"/>
      <c r="I739" s="32"/>
    </row>
    <row r="740">
      <c r="A740" s="32"/>
      <c r="B740" s="111"/>
      <c r="C740" s="32"/>
      <c r="D740" s="32"/>
      <c r="E740" s="32"/>
      <c r="F740" s="32"/>
      <c r="G740" s="32"/>
      <c r="H740" s="47"/>
      <c r="I740" s="32"/>
    </row>
    <row r="741">
      <c r="A741" s="32"/>
      <c r="B741" s="111"/>
      <c r="C741" s="32"/>
      <c r="D741" s="32"/>
      <c r="E741" s="32"/>
      <c r="F741" s="32"/>
      <c r="G741" s="32"/>
      <c r="H741" s="47"/>
      <c r="I741" s="32"/>
    </row>
    <row r="742">
      <c r="A742" s="32"/>
      <c r="B742" s="111"/>
      <c r="C742" s="32"/>
      <c r="D742" s="32"/>
      <c r="E742" s="32"/>
      <c r="F742" s="32"/>
      <c r="G742" s="32"/>
      <c r="H742" s="47"/>
      <c r="I742" s="32"/>
    </row>
    <row r="743">
      <c r="A743" s="32"/>
      <c r="B743" s="111"/>
      <c r="C743" s="32"/>
      <c r="D743" s="32"/>
      <c r="E743" s="32"/>
      <c r="F743" s="32"/>
      <c r="G743" s="32"/>
      <c r="H743" s="47"/>
      <c r="I743" s="32"/>
    </row>
    <row r="744">
      <c r="A744" s="32"/>
      <c r="B744" s="111"/>
      <c r="C744" s="32"/>
      <c r="D744" s="32"/>
      <c r="E744" s="32"/>
      <c r="F744" s="32"/>
      <c r="G744" s="32"/>
      <c r="H744" s="47"/>
      <c r="I744" s="32"/>
    </row>
    <row r="745">
      <c r="A745" s="32"/>
      <c r="B745" s="111"/>
      <c r="C745" s="32"/>
      <c r="D745" s="32"/>
      <c r="E745" s="32"/>
      <c r="F745" s="32"/>
      <c r="G745" s="32"/>
      <c r="H745" s="47"/>
      <c r="I745" s="32"/>
    </row>
    <row r="746">
      <c r="A746" s="32"/>
      <c r="B746" s="111"/>
      <c r="C746" s="32"/>
      <c r="D746" s="32"/>
      <c r="E746" s="32"/>
      <c r="F746" s="32"/>
      <c r="G746" s="32"/>
      <c r="H746" s="47"/>
      <c r="I746" s="32"/>
    </row>
    <row r="747">
      <c r="A747" s="32"/>
      <c r="B747" s="111"/>
      <c r="C747" s="32"/>
      <c r="D747" s="32"/>
      <c r="E747" s="32"/>
      <c r="F747" s="32"/>
      <c r="G747" s="32"/>
      <c r="H747" s="47"/>
      <c r="I747" s="32"/>
    </row>
    <row r="748">
      <c r="A748" s="32"/>
      <c r="B748" s="111"/>
      <c r="C748" s="32"/>
      <c r="D748" s="32"/>
      <c r="E748" s="32"/>
      <c r="F748" s="32"/>
      <c r="G748" s="32"/>
      <c r="H748" s="47"/>
      <c r="I748" s="32"/>
    </row>
    <row r="749">
      <c r="A749" s="32"/>
      <c r="B749" s="111"/>
      <c r="C749" s="32"/>
      <c r="D749" s="32"/>
      <c r="E749" s="32"/>
      <c r="F749" s="32"/>
      <c r="G749" s="32"/>
      <c r="H749" s="47"/>
      <c r="I749" s="32"/>
    </row>
    <row r="750">
      <c r="A750" s="32"/>
      <c r="B750" s="111"/>
      <c r="C750" s="32"/>
      <c r="D750" s="32"/>
      <c r="E750" s="32"/>
      <c r="F750" s="32"/>
      <c r="G750" s="32"/>
      <c r="H750" s="47"/>
      <c r="I750" s="32"/>
    </row>
    <row r="751">
      <c r="A751" s="32"/>
      <c r="B751" s="111"/>
      <c r="C751" s="32"/>
      <c r="D751" s="32"/>
      <c r="E751" s="32"/>
      <c r="F751" s="32"/>
      <c r="G751" s="32"/>
      <c r="H751" s="47"/>
      <c r="I751" s="32"/>
    </row>
    <row r="752">
      <c r="A752" s="32"/>
      <c r="B752" s="111"/>
      <c r="C752" s="32"/>
      <c r="D752" s="32"/>
      <c r="E752" s="32"/>
      <c r="F752" s="32"/>
      <c r="G752" s="32"/>
      <c r="H752" s="47"/>
      <c r="I752" s="32"/>
    </row>
    <row r="753">
      <c r="A753" s="32"/>
      <c r="B753" s="111"/>
      <c r="C753" s="32"/>
      <c r="D753" s="32"/>
      <c r="E753" s="32"/>
      <c r="F753" s="32"/>
      <c r="G753" s="32"/>
      <c r="H753" s="47"/>
      <c r="I753" s="32"/>
    </row>
    <row r="754">
      <c r="A754" s="32"/>
      <c r="B754" s="111"/>
      <c r="C754" s="32"/>
      <c r="D754" s="32"/>
      <c r="E754" s="32"/>
      <c r="F754" s="32"/>
      <c r="G754" s="32"/>
      <c r="H754" s="47"/>
      <c r="I754" s="32"/>
    </row>
    <row r="755">
      <c r="A755" s="32"/>
      <c r="B755" s="111"/>
      <c r="C755" s="32"/>
      <c r="D755" s="32"/>
      <c r="E755" s="32"/>
      <c r="F755" s="32"/>
      <c r="G755" s="32"/>
      <c r="H755" s="47"/>
      <c r="I755" s="32"/>
    </row>
    <row r="756">
      <c r="A756" s="32"/>
      <c r="B756" s="111"/>
      <c r="C756" s="32"/>
      <c r="D756" s="32"/>
      <c r="E756" s="32"/>
      <c r="F756" s="32"/>
      <c r="G756" s="32"/>
      <c r="H756" s="47"/>
      <c r="I756" s="32"/>
    </row>
    <row r="757">
      <c r="A757" s="32"/>
      <c r="B757" s="111"/>
      <c r="C757" s="32"/>
      <c r="D757" s="32"/>
      <c r="E757" s="32"/>
      <c r="F757" s="32"/>
      <c r="G757" s="32"/>
      <c r="H757" s="47"/>
      <c r="I757" s="32"/>
    </row>
    <row r="758">
      <c r="A758" s="32"/>
      <c r="B758" s="111"/>
      <c r="C758" s="32"/>
      <c r="D758" s="32"/>
      <c r="E758" s="32"/>
      <c r="F758" s="32"/>
      <c r="G758" s="32"/>
      <c r="H758" s="47"/>
      <c r="I758" s="32"/>
    </row>
    <row r="759">
      <c r="A759" s="32"/>
      <c r="B759" s="111"/>
      <c r="C759" s="32"/>
      <c r="D759" s="32"/>
      <c r="E759" s="32"/>
      <c r="F759" s="32"/>
      <c r="G759" s="32"/>
      <c r="H759" s="47"/>
      <c r="I759" s="32"/>
    </row>
    <row r="760">
      <c r="A760" s="32"/>
      <c r="B760" s="111"/>
      <c r="C760" s="32"/>
      <c r="D760" s="32"/>
      <c r="E760" s="32"/>
      <c r="F760" s="32"/>
      <c r="G760" s="32"/>
      <c r="H760" s="47"/>
      <c r="I760" s="32"/>
    </row>
    <row r="761">
      <c r="A761" s="32"/>
      <c r="B761" s="111"/>
      <c r="C761" s="32"/>
      <c r="D761" s="32"/>
      <c r="E761" s="32"/>
      <c r="F761" s="32"/>
      <c r="G761" s="32"/>
      <c r="H761" s="47"/>
      <c r="I761" s="32"/>
    </row>
    <row r="762">
      <c r="A762" s="32"/>
      <c r="B762" s="111"/>
      <c r="C762" s="32"/>
      <c r="D762" s="32"/>
      <c r="E762" s="32"/>
      <c r="F762" s="32"/>
      <c r="G762" s="32"/>
      <c r="H762" s="47"/>
      <c r="I762" s="32"/>
    </row>
    <row r="763">
      <c r="A763" s="32"/>
      <c r="B763" s="111"/>
      <c r="C763" s="32"/>
      <c r="D763" s="32"/>
      <c r="E763" s="32"/>
      <c r="F763" s="32"/>
      <c r="G763" s="32"/>
      <c r="H763" s="47"/>
      <c r="I763" s="32"/>
    </row>
    <row r="764">
      <c r="A764" s="32"/>
      <c r="B764" s="111"/>
      <c r="C764" s="32"/>
      <c r="D764" s="32"/>
      <c r="E764" s="32"/>
      <c r="F764" s="32"/>
      <c r="G764" s="32"/>
      <c r="H764" s="47"/>
      <c r="I764" s="32"/>
    </row>
    <row r="765">
      <c r="A765" s="32"/>
      <c r="B765" s="111"/>
      <c r="C765" s="32"/>
      <c r="D765" s="32"/>
      <c r="E765" s="32"/>
      <c r="F765" s="32"/>
      <c r="G765" s="32"/>
      <c r="H765" s="47"/>
      <c r="I765" s="32"/>
    </row>
    <row r="766">
      <c r="A766" s="32"/>
      <c r="B766" s="111"/>
      <c r="C766" s="32"/>
      <c r="D766" s="32"/>
      <c r="E766" s="32"/>
      <c r="F766" s="32"/>
      <c r="G766" s="32"/>
      <c r="H766" s="47"/>
      <c r="I766" s="32"/>
    </row>
    <row r="767">
      <c r="A767" s="32"/>
      <c r="B767" s="111"/>
      <c r="C767" s="32"/>
      <c r="D767" s="32"/>
      <c r="E767" s="32"/>
      <c r="F767" s="32"/>
      <c r="G767" s="32"/>
      <c r="H767" s="47"/>
      <c r="I767" s="32"/>
    </row>
    <row r="768">
      <c r="A768" s="32"/>
      <c r="B768" s="111"/>
      <c r="C768" s="32"/>
      <c r="D768" s="32"/>
      <c r="E768" s="32"/>
      <c r="F768" s="32"/>
      <c r="G768" s="32"/>
      <c r="H768" s="47"/>
      <c r="I768" s="32"/>
    </row>
    <row r="769">
      <c r="A769" s="32"/>
      <c r="B769" s="111"/>
      <c r="C769" s="32"/>
      <c r="D769" s="32"/>
      <c r="E769" s="32"/>
      <c r="F769" s="32"/>
      <c r="G769" s="32"/>
      <c r="H769" s="47"/>
      <c r="I769" s="32"/>
    </row>
    <row r="770">
      <c r="A770" s="32"/>
      <c r="B770" s="111"/>
      <c r="C770" s="32"/>
      <c r="D770" s="32"/>
      <c r="E770" s="32"/>
      <c r="F770" s="32"/>
      <c r="G770" s="32"/>
      <c r="H770" s="47"/>
      <c r="I770" s="32"/>
    </row>
    <row r="771">
      <c r="A771" s="32"/>
      <c r="B771" s="111"/>
      <c r="C771" s="32"/>
      <c r="D771" s="32"/>
      <c r="E771" s="32"/>
      <c r="F771" s="32"/>
      <c r="G771" s="32"/>
      <c r="H771" s="47"/>
      <c r="I771" s="32"/>
    </row>
    <row r="772">
      <c r="A772" s="32"/>
      <c r="B772" s="111"/>
      <c r="C772" s="32"/>
      <c r="D772" s="32"/>
      <c r="E772" s="32"/>
      <c r="F772" s="32"/>
      <c r="G772" s="32"/>
      <c r="H772" s="47"/>
      <c r="I772" s="32"/>
    </row>
    <row r="773">
      <c r="A773" s="32"/>
      <c r="B773" s="111"/>
      <c r="C773" s="32"/>
      <c r="D773" s="32"/>
      <c r="E773" s="32"/>
      <c r="F773" s="32"/>
      <c r="G773" s="32"/>
      <c r="H773" s="47"/>
      <c r="I773" s="32"/>
    </row>
    <row r="774">
      <c r="A774" s="32"/>
      <c r="B774" s="111"/>
      <c r="C774" s="32"/>
      <c r="D774" s="32"/>
      <c r="E774" s="32"/>
      <c r="F774" s="32"/>
      <c r="G774" s="32"/>
      <c r="H774" s="47"/>
      <c r="I774" s="32"/>
    </row>
    <row r="775">
      <c r="A775" s="32"/>
      <c r="B775" s="111"/>
      <c r="C775" s="32"/>
      <c r="D775" s="32"/>
      <c r="E775" s="32"/>
      <c r="F775" s="32"/>
      <c r="G775" s="32"/>
      <c r="H775" s="47"/>
      <c r="I775" s="32"/>
    </row>
    <row r="776">
      <c r="A776" s="32"/>
      <c r="B776" s="111"/>
      <c r="C776" s="32"/>
      <c r="D776" s="32"/>
      <c r="E776" s="32"/>
      <c r="F776" s="32"/>
      <c r="G776" s="32"/>
      <c r="H776" s="47"/>
      <c r="I776" s="32"/>
    </row>
    <row r="777">
      <c r="A777" s="32"/>
      <c r="B777" s="111"/>
      <c r="C777" s="32"/>
      <c r="D777" s="32"/>
      <c r="E777" s="32"/>
      <c r="F777" s="32"/>
      <c r="G777" s="32"/>
      <c r="H777" s="47"/>
      <c r="I777" s="32"/>
    </row>
    <row r="778">
      <c r="A778" s="32"/>
      <c r="B778" s="111"/>
      <c r="C778" s="32"/>
      <c r="D778" s="32"/>
      <c r="E778" s="32"/>
      <c r="F778" s="32"/>
      <c r="G778" s="32"/>
      <c r="H778" s="47"/>
      <c r="I778" s="32"/>
    </row>
    <row r="779">
      <c r="A779" s="32"/>
      <c r="B779" s="111"/>
      <c r="C779" s="32"/>
      <c r="D779" s="32"/>
      <c r="E779" s="32"/>
      <c r="F779" s="32"/>
      <c r="G779" s="32"/>
      <c r="H779" s="47"/>
      <c r="I779" s="32"/>
    </row>
    <row r="780">
      <c r="A780" s="32"/>
      <c r="B780" s="111"/>
      <c r="C780" s="32"/>
      <c r="D780" s="32"/>
      <c r="E780" s="32"/>
      <c r="F780" s="32"/>
      <c r="G780" s="32"/>
      <c r="H780" s="47"/>
      <c r="I780" s="32"/>
    </row>
    <row r="781">
      <c r="A781" s="32"/>
      <c r="B781" s="111"/>
      <c r="C781" s="32"/>
      <c r="D781" s="32"/>
      <c r="E781" s="32"/>
      <c r="F781" s="32"/>
      <c r="G781" s="32"/>
      <c r="H781" s="47"/>
      <c r="I781" s="32"/>
    </row>
    <row r="782">
      <c r="A782" s="32"/>
      <c r="B782" s="111"/>
      <c r="C782" s="32"/>
      <c r="D782" s="32"/>
      <c r="E782" s="32"/>
      <c r="F782" s="32"/>
      <c r="G782" s="32"/>
      <c r="H782" s="47"/>
      <c r="I782" s="32"/>
    </row>
    <row r="783">
      <c r="A783" s="32"/>
      <c r="B783" s="111"/>
      <c r="C783" s="32"/>
      <c r="D783" s="32"/>
      <c r="E783" s="32"/>
      <c r="F783" s="32"/>
      <c r="G783" s="32"/>
      <c r="H783" s="47"/>
      <c r="I783" s="32"/>
    </row>
    <row r="784">
      <c r="A784" s="32"/>
      <c r="B784" s="111"/>
      <c r="C784" s="32"/>
      <c r="D784" s="32"/>
      <c r="E784" s="32"/>
      <c r="F784" s="32"/>
      <c r="G784" s="32"/>
      <c r="H784" s="47"/>
      <c r="I784" s="32"/>
    </row>
    <row r="785">
      <c r="A785" s="32"/>
      <c r="B785" s="111"/>
      <c r="C785" s="32"/>
      <c r="D785" s="32"/>
      <c r="E785" s="32"/>
      <c r="F785" s="32"/>
      <c r="G785" s="32"/>
      <c r="H785" s="47"/>
      <c r="I785" s="32"/>
    </row>
    <row r="786">
      <c r="A786" s="32"/>
      <c r="B786" s="111"/>
      <c r="C786" s="32"/>
      <c r="D786" s="32"/>
      <c r="E786" s="32"/>
      <c r="F786" s="32"/>
      <c r="G786" s="32"/>
      <c r="H786" s="47"/>
      <c r="I786" s="32"/>
    </row>
    <row r="787">
      <c r="A787" s="32"/>
      <c r="B787" s="111"/>
      <c r="C787" s="32"/>
      <c r="D787" s="32"/>
      <c r="E787" s="32"/>
      <c r="F787" s="32"/>
      <c r="G787" s="32"/>
      <c r="H787" s="47"/>
      <c r="I787" s="32"/>
    </row>
    <row r="788">
      <c r="A788" s="32"/>
      <c r="B788" s="111"/>
      <c r="C788" s="32"/>
      <c r="D788" s="32"/>
      <c r="E788" s="32"/>
      <c r="F788" s="32"/>
      <c r="G788" s="32"/>
      <c r="H788" s="47"/>
      <c r="I788" s="32"/>
    </row>
    <row r="789">
      <c r="A789" s="32"/>
      <c r="B789" s="111"/>
      <c r="C789" s="32"/>
      <c r="D789" s="32"/>
      <c r="E789" s="32"/>
      <c r="F789" s="32"/>
      <c r="G789" s="32"/>
      <c r="H789" s="47"/>
      <c r="I789" s="32"/>
    </row>
    <row r="790">
      <c r="A790" s="32"/>
      <c r="B790" s="111"/>
      <c r="C790" s="32"/>
      <c r="D790" s="32"/>
      <c r="E790" s="32"/>
      <c r="F790" s="32"/>
      <c r="G790" s="32"/>
      <c r="H790" s="47"/>
      <c r="I790" s="32"/>
    </row>
    <row r="791">
      <c r="A791" s="32"/>
      <c r="B791" s="111"/>
      <c r="C791" s="32"/>
      <c r="D791" s="32"/>
      <c r="E791" s="32"/>
      <c r="F791" s="32"/>
      <c r="G791" s="32"/>
      <c r="H791" s="47"/>
      <c r="I791" s="32"/>
    </row>
    <row r="792">
      <c r="A792" s="32"/>
      <c r="B792" s="111"/>
      <c r="C792" s="32"/>
      <c r="D792" s="32"/>
      <c r="E792" s="32"/>
      <c r="F792" s="32"/>
      <c r="G792" s="32"/>
      <c r="H792" s="47"/>
      <c r="I792" s="32"/>
    </row>
    <row r="793">
      <c r="A793" s="32"/>
      <c r="B793" s="111"/>
      <c r="C793" s="32"/>
      <c r="D793" s="32"/>
      <c r="E793" s="32"/>
      <c r="F793" s="32"/>
      <c r="G793" s="32"/>
      <c r="H793" s="47"/>
      <c r="I793" s="32"/>
    </row>
    <row r="794">
      <c r="A794" s="32"/>
      <c r="B794" s="111"/>
      <c r="C794" s="32"/>
      <c r="D794" s="32"/>
      <c r="E794" s="32"/>
      <c r="F794" s="32"/>
      <c r="G794" s="32"/>
      <c r="H794" s="47"/>
      <c r="I794" s="32"/>
    </row>
    <row r="795">
      <c r="A795" s="32"/>
      <c r="B795" s="111"/>
      <c r="C795" s="32"/>
      <c r="D795" s="32"/>
      <c r="E795" s="32"/>
      <c r="F795" s="32"/>
      <c r="G795" s="32"/>
      <c r="H795" s="47"/>
      <c r="I795" s="32"/>
    </row>
    <row r="796">
      <c r="A796" s="32"/>
      <c r="B796" s="111"/>
      <c r="C796" s="32"/>
      <c r="D796" s="32"/>
      <c r="E796" s="32"/>
      <c r="F796" s="32"/>
      <c r="G796" s="32"/>
      <c r="H796" s="47"/>
      <c r="I796" s="32"/>
    </row>
    <row r="797">
      <c r="A797" s="32"/>
      <c r="B797" s="111"/>
      <c r="C797" s="32"/>
      <c r="D797" s="32"/>
      <c r="E797" s="32"/>
      <c r="F797" s="32"/>
      <c r="G797" s="32"/>
      <c r="H797" s="47"/>
      <c r="I797" s="32"/>
    </row>
    <row r="798">
      <c r="A798" s="32"/>
      <c r="B798" s="111"/>
      <c r="C798" s="32"/>
      <c r="D798" s="32"/>
      <c r="E798" s="32"/>
      <c r="F798" s="32"/>
      <c r="G798" s="32"/>
      <c r="H798" s="47"/>
      <c r="I798" s="32"/>
    </row>
    <row r="799">
      <c r="A799" s="32"/>
      <c r="B799" s="111"/>
      <c r="C799" s="32"/>
      <c r="D799" s="32"/>
      <c r="E799" s="32"/>
      <c r="F799" s="32"/>
      <c r="G799" s="32"/>
      <c r="H799" s="47"/>
      <c r="I799" s="32"/>
    </row>
    <row r="800">
      <c r="A800" s="32"/>
      <c r="B800" s="111"/>
      <c r="C800" s="32"/>
      <c r="D800" s="32"/>
      <c r="E800" s="32"/>
      <c r="F800" s="32"/>
      <c r="G800" s="32"/>
      <c r="H800" s="47"/>
      <c r="I800" s="32"/>
    </row>
    <row r="801">
      <c r="A801" s="32"/>
      <c r="B801" s="111"/>
      <c r="C801" s="32"/>
      <c r="D801" s="32"/>
      <c r="E801" s="32"/>
      <c r="F801" s="32"/>
      <c r="G801" s="32"/>
      <c r="H801" s="47"/>
      <c r="I801" s="32"/>
    </row>
    <row r="802">
      <c r="A802" s="32"/>
      <c r="B802" s="111"/>
      <c r="C802" s="32"/>
      <c r="D802" s="32"/>
      <c r="E802" s="32"/>
      <c r="F802" s="32"/>
      <c r="G802" s="32"/>
      <c r="H802" s="47"/>
      <c r="I802" s="32"/>
    </row>
    <row r="803">
      <c r="A803" s="32"/>
      <c r="B803" s="111"/>
      <c r="C803" s="32"/>
      <c r="D803" s="32"/>
      <c r="E803" s="32"/>
      <c r="F803" s="32"/>
      <c r="G803" s="32"/>
      <c r="H803" s="47"/>
      <c r="I803" s="32"/>
    </row>
    <row r="804">
      <c r="A804" s="32"/>
      <c r="B804" s="111"/>
      <c r="C804" s="32"/>
      <c r="D804" s="32"/>
      <c r="E804" s="32"/>
      <c r="F804" s="32"/>
      <c r="G804" s="32"/>
      <c r="H804" s="47"/>
      <c r="I804" s="32"/>
    </row>
    <row r="805">
      <c r="A805" s="32"/>
      <c r="B805" s="111"/>
      <c r="C805" s="32"/>
      <c r="D805" s="32"/>
      <c r="E805" s="32"/>
      <c r="F805" s="32"/>
      <c r="G805" s="32"/>
      <c r="H805" s="47"/>
      <c r="I805" s="32"/>
    </row>
    <row r="806">
      <c r="A806" s="32"/>
      <c r="B806" s="111"/>
      <c r="C806" s="32"/>
      <c r="D806" s="32"/>
      <c r="E806" s="32"/>
      <c r="F806" s="32"/>
      <c r="G806" s="32"/>
      <c r="H806" s="47"/>
      <c r="I806" s="32"/>
    </row>
    <row r="807">
      <c r="A807" s="32"/>
      <c r="B807" s="111"/>
      <c r="C807" s="32"/>
      <c r="D807" s="32"/>
      <c r="E807" s="32"/>
      <c r="F807" s="32"/>
      <c r="G807" s="32"/>
      <c r="H807" s="47"/>
      <c r="I807" s="32"/>
    </row>
    <row r="808">
      <c r="A808" s="32"/>
      <c r="B808" s="111"/>
      <c r="C808" s="32"/>
      <c r="D808" s="32"/>
      <c r="E808" s="32"/>
      <c r="F808" s="32"/>
      <c r="G808" s="32"/>
      <c r="H808" s="47"/>
      <c r="I808" s="32"/>
    </row>
    <row r="809">
      <c r="A809" s="32"/>
      <c r="B809" s="111"/>
      <c r="C809" s="32"/>
      <c r="D809" s="32"/>
      <c r="E809" s="32"/>
      <c r="F809" s="32"/>
      <c r="G809" s="32"/>
      <c r="H809" s="47"/>
      <c r="I809" s="32"/>
    </row>
    <row r="810">
      <c r="A810" s="32"/>
      <c r="B810" s="111"/>
      <c r="C810" s="32"/>
      <c r="D810" s="32"/>
      <c r="E810" s="32"/>
      <c r="F810" s="32"/>
      <c r="G810" s="32"/>
      <c r="H810" s="47"/>
      <c r="I810" s="32"/>
    </row>
    <row r="811">
      <c r="A811" s="32"/>
      <c r="B811" s="111"/>
      <c r="C811" s="32"/>
      <c r="D811" s="32"/>
      <c r="E811" s="32"/>
      <c r="F811" s="32"/>
      <c r="G811" s="32"/>
      <c r="H811" s="47"/>
      <c r="I811" s="32"/>
    </row>
    <row r="812">
      <c r="A812" s="32"/>
      <c r="B812" s="111"/>
      <c r="C812" s="32"/>
      <c r="D812" s="32"/>
      <c r="E812" s="32"/>
      <c r="F812" s="32"/>
      <c r="G812" s="32"/>
      <c r="H812" s="47"/>
      <c r="I812" s="32"/>
    </row>
    <row r="813">
      <c r="A813" s="32"/>
      <c r="B813" s="111"/>
      <c r="C813" s="32"/>
      <c r="D813" s="32"/>
      <c r="E813" s="32"/>
      <c r="F813" s="32"/>
      <c r="G813" s="32"/>
      <c r="H813" s="47"/>
      <c r="I813" s="32"/>
    </row>
    <row r="814">
      <c r="A814" s="32"/>
      <c r="B814" s="111"/>
      <c r="C814" s="32"/>
      <c r="D814" s="32"/>
      <c r="E814" s="32"/>
      <c r="F814" s="32"/>
      <c r="G814" s="32"/>
      <c r="H814" s="47"/>
      <c r="I814" s="32"/>
    </row>
    <row r="815">
      <c r="A815" s="32"/>
      <c r="B815" s="111"/>
      <c r="C815" s="32"/>
      <c r="D815" s="32"/>
      <c r="E815" s="32"/>
      <c r="F815" s="32"/>
      <c r="G815" s="32"/>
      <c r="H815" s="47"/>
      <c r="I815" s="32"/>
    </row>
    <row r="816">
      <c r="A816" s="32"/>
      <c r="B816" s="111"/>
      <c r="C816" s="32"/>
      <c r="D816" s="32"/>
      <c r="E816" s="32"/>
      <c r="F816" s="32"/>
      <c r="G816" s="32"/>
      <c r="H816" s="47"/>
      <c r="I816" s="32"/>
    </row>
    <row r="817">
      <c r="A817" s="32"/>
      <c r="B817" s="111"/>
      <c r="C817" s="32"/>
      <c r="D817" s="32"/>
      <c r="E817" s="32"/>
      <c r="F817" s="32"/>
      <c r="G817" s="32"/>
      <c r="H817" s="47"/>
      <c r="I817" s="32"/>
    </row>
    <row r="818">
      <c r="A818" s="32"/>
      <c r="B818" s="111"/>
      <c r="C818" s="32"/>
      <c r="D818" s="32"/>
      <c r="E818" s="32"/>
      <c r="F818" s="32"/>
      <c r="G818" s="32"/>
      <c r="H818" s="47"/>
      <c r="I818" s="32"/>
    </row>
    <row r="819">
      <c r="A819" s="32"/>
      <c r="B819" s="111"/>
      <c r="C819" s="32"/>
      <c r="D819" s="32"/>
      <c r="E819" s="32"/>
      <c r="F819" s="32"/>
      <c r="G819" s="32"/>
      <c r="H819" s="47"/>
      <c r="I819" s="32"/>
    </row>
    <row r="820">
      <c r="A820" s="32"/>
      <c r="B820" s="111"/>
      <c r="C820" s="32"/>
      <c r="D820" s="32"/>
      <c r="E820" s="32"/>
      <c r="F820" s="32"/>
      <c r="G820" s="32"/>
      <c r="H820" s="47"/>
      <c r="I820" s="32"/>
    </row>
    <row r="821">
      <c r="A821" s="32"/>
      <c r="B821" s="111"/>
      <c r="C821" s="32"/>
      <c r="D821" s="32"/>
      <c r="E821" s="32"/>
      <c r="F821" s="32"/>
      <c r="G821" s="32"/>
      <c r="H821" s="47"/>
      <c r="I821" s="32"/>
    </row>
    <row r="822">
      <c r="A822" s="32"/>
      <c r="B822" s="111"/>
      <c r="C822" s="32"/>
      <c r="D822" s="32"/>
      <c r="E822" s="32"/>
      <c r="F822" s="32"/>
      <c r="G822" s="32"/>
      <c r="H822" s="47"/>
      <c r="I822" s="32"/>
    </row>
    <row r="823">
      <c r="A823" s="32"/>
      <c r="B823" s="111"/>
      <c r="C823" s="32"/>
      <c r="D823" s="32"/>
      <c r="E823" s="32"/>
      <c r="F823" s="32"/>
      <c r="G823" s="32"/>
      <c r="H823" s="47"/>
      <c r="I823" s="32"/>
    </row>
    <row r="824">
      <c r="A824" s="32"/>
      <c r="B824" s="111"/>
      <c r="C824" s="32"/>
      <c r="D824" s="32"/>
      <c r="E824" s="32"/>
      <c r="F824" s="32"/>
      <c r="G824" s="32"/>
      <c r="H824" s="47"/>
      <c r="I824" s="32"/>
    </row>
    <row r="825">
      <c r="A825" s="32"/>
      <c r="B825" s="111"/>
      <c r="C825" s="32"/>
      <c r="D825" s="32"/>
      <c r="E825" s="32"/>
      <c r="F825" s="32"/>
      <c r="G825" s="32"/>
      <c r="H825" s="47"/>
      <c r="I825" s="32"/>
    </row>
    <row r="826">
      <c r="A826" s="32"/>
      <c r="B826" s="111"/>
      <c r="C826" s="32"/>
      <c r="D826" s="32"/>
      <c r="E826" s="32"/>
      <c r="F826" s="32"/>
      <c r="G826" s="32"/>
      <c r="H826" s="47"/>
      <c r="I826" s="32"/>
    </row>
    <row r="827">
      <c r="A827" s="32"/>
      <c r="B827" s="111"/>
      <c r="C827" s="32"/>
      <c r="D827" s="32"/>
      <c r="E827" s="32"/>
      <c r="F827" s="32"/>
      <c r="G827" s="32"/>
      <c r="H827" s="47"/>
      <c r="I827" s="32"/>
    </row>
    <row r="828">
      <c r="A828" s="32"/>
      <c r="B828" s="111"/>
      <c r="C828" s="32"/>
      <c r="D828" s="32"/>
      <c r="E828" s="32"/>
      <c r="F828" s="32"/>
      <c r="G828" s="32"/>
      <c r="H828" s="47"/>
      <c r="I828" s="32"/>
    </row>
    <row r="829">
      <c r="A829" s="32"/>
      <c r="B829" s="111"/>
      <c r="C829" s="32"/>
      <c r="D829" s="32"/>
      <c r="E829" s="32"/>
      <c r="F829" s="32"/>
      <c r="G829" s="32"/>
      <c r="H829" s="47"/>
      <c r="I829" s="32"/>
    </row>
    <row r="830">
      <c r="A830" s="32"/>
      <c r="B830" s="111"/>
      <c r="C830" s="32"/>
      <c r="D830" s="32"/>
      <c r="E830" s="32"/>
      <c r="F830" s="32"/>
      <c r="G830" s="32"/>
      <c r="H830" s="47"/>
      <c r="I830" s="32"/>
    </row>
    <row r="831">
      <c r="A831" s="32"/>
      <c r="B831" s="111"/>
      <c r="C831" s="32"/>
      <c r="D831" s="32"/>
      <c r="E831" s="32"/>
      <c r="F831" s="32"/>
      <c r="G831" s="32"/>
      <c r="H831" s="47"/>
      <c r="I831" s="32"/>
    </row>
    <row r="832">
      <c r="A832" s="32"/>
      <c r="B832" s="111"/>
      <c r="C832" s="32"/>
      <c r="D832" s="32"/>
      <c r="E832" s="32"/>
      <c r="F832" s="32"/>
      <c r="G832" s="32"/>
      <c r="H832" s="47"/>
      <c r="I832" s="32"/>
    </row>
    <row r="833">
      <c r="A833" s="32"/>
      <c r="B833" s="111"/>
      <c r="C833" s="32"/>
      <c r="D833" s="32"/>
      <c r="E833" s="32"/>
      <c r="F833" s="32"/>
      <c r="G833" s="32"/>
      <c r="H833" s="47"/>
      <c r="I833" s="32"/>
    </row>
    <row r="834">
      <c r="A834" s="32"/>
      <c r="B834" s="111"/>
      <c r="C834" s="32"/>
      <c r="D834" s="32"/>
      <c r="E834" s="32"/>
      <c r="F834" s="32"/>
      <c r="G834" s="32"/>
      <c r="H834" s="47"/>
      <c r="I834" s="32"/>
    </row>
    <row r="835">
      <c r="A835" s="32"/>
      <c r="B835" s="111"/>
      <c r="C835" s="32"/>
      <c r="D835" s="32"/>
      <c r="E835" s="32"/>
      <c r="F835" s="32"/>
      <c r="G835" s="32"/>
      <c r="H835" s="47"/>
      <c r="I835" s="32"/>
    </row>
    <row r="836">
      <c r="A836" s="32"/>
      <c r="B836" s="111"/>
      <c r="C836" s="32"/>
      <c r="D836" s="32"/>
      <c r="E836" s="32"/>
      <c r="F836" s="32"/>
      <c r="G836" s="32"/>
      <c r="H836" s="47"/>
      <c r="I836" s="32"/>
    </row>
    <row r="837">
      <c r="A837" s="32"/>
      <c r="B837" s="111"/>
      <c r="C837" s="32"/>
      <c r="D837" s="32"/>
      <c r="E837" s="32"/>
      <c r="F837" s="32"/>
      <c r="G837" s="32"/>
      <c r="H837" s="47"/>
      <c r="I837" s="32"/>
    </row>
    <row r="838">
      <c r="A838" s="32"/>
      <c r="B838" s="111"/>
      <c r="C838" s="32"/>
      <c r="D838" s="32"/>
      <c r="E838" s="32"/>
      <c r="F838" s="32"/>
      <c r="G838" s="32"/>
      <c r="H838" s="47"/>
      <c r="I838" s="32"/>
    </row>
    <row r="839">
      <c r="A839" s="32"/>
      <c r="B839" s="111"/>
      <c r="C839" s="32"/>
      <c r="D839" s="32"/>
      <c r="E839" s="32"/>
      <c r="F839" s="32"/>
      <c r="G839" s="32"/>
      <c r="H839" s="47"/>
      <c r="I839" s="32"/>
    </row>
    <row r="840">
      <c r="A840" s="32"/>
      <c r="B840" s="111"/>
      <c r="C840" s="32"/>
      <c r="D840" s="32"/>
      <c r="E840" s="32"/>
      <c r="F840" s="32"/>
      <c r="G840" s="32"/>
      <c r="H840" s="47"/>
      <c r="I840" s="32"/>
    </row>
    <row r="841">
      <c r="A841" s="32"/>
      <c r="B841" s="111"/>
      <c r="C841" s="32"/>
      <c r="D841" s="32"/>
      <c r="E841" s="32"/>
      <c r="F841" s="32"/>
      <c r="G841" s="32"/>
      <c r="H841" s="47"/>
      <c r="I841" s="32"/>
    </row>
    <row r="842">
      <c r="A842" s="32"/>
      <c r="B842" s="111"/>
      <c r="C842" s="32"/>
      <c r="D842" s="32"/>
      <c r="E842" s="32"/>
      <c r="F842" s="32"/>
      <c r="G842" s="32"/>
      <c r="H842" s="47"/>
      <c r="I842" s="32"/>
    </row>
    <row r="843">
      <c r="A843" s="32"/>
      <c r="B843" s="111"/>
      <c r="C843" s="32"/>
      <c r="D843" s="32"/>
      <c r="E843" s="32"/>
      <c r="F843" s="32"/>
      <c r="G843" s="32"/>
      <c r="H843" s="47"/>
      <c r="I843" s="32"/>
    </row>
    <row r="844">
      <c r="A844" s="32"/>
      <c r="B844" s="111"/>
      <c r="C844" s="32"/>
      <c r="D844" s="32"/>
      <c r="E844" s="32"/>
      <c r="F844" s="32"/>
      <c r="G844" s="32"/>
      <c r="H844" s="47"/>
      <c r="I844" s="32"/>
    </row>
    <row r="845">
      <c r="A845" s="32"/>
      <c r="B845" s="111"/>
      <c r="C845" s="32"/>
      <c r="D845" s="32"/>
      <c r="E845" s="32"/>
      <c r="F845" s="32"/>
      <c r="G845" s="32"/>
      <c r="H845" s="47"/>
      <c r="I845" s="32"/>
    </row>
    <row r="846">
      <c r="A846" s="32"/>
      <c r="B846" s="111"/>
      <c r="C846" s="32"/>
      <c r="D846" s="32"/>
      <c r="E846" s="32"/>
      <c r="F846" s="32"/>
      <c r="G846" s="32"/>
      <c r="H846" s="47"/>
      <c r="I846" s="32"/>
    </row>
    <row r="847">
      <c r="A847" s="32"/>
      <c r="B847" s="111"/>
      <c r="C847" s="32"/>
      <c r="D847" s="32"/>
      <c r="E847" s="32"/>
      <c r="F847" s="32"/>
      <c r="G847" s="32"/>
      <c r="H847" s="47"/>
      <c r="I847" s="32"/>
    </row>
    <row r="848">
      <c r="A848" s="32"/>
      <c r="B848" s="111"/>
      <c r="C848" s="32"/>
      <c r="D848" s="32"/>
      <c r="E848" s="32"/>
      <c r="F848" s="32"/>
      <c r="G848" s="32"/>
      <c r="H848" s="47"/>
      <c r="I848" s="32"/>
    </row>
    <row r="849">
      <c r="A849" s="32"/>
      <c r="B849" s="111"/>
      <c r="C849" s="32"/>
      <c r="D849" s="32"/>
      <c r="E849" s="32"/>
      <c r="F849" s="32"/>
      <c r="G849" s="32"/>
      <c r="H849" s="47"/>
      <c r="I849" s="32"/>
    </row>
    <row r="850">
      <c r="A850" s="32"/>
      <c r="B850" s="111"/>
      <c r="C850" s="32"/>
      <c r="D850" s="32"/>
      <c r="E850" s="32"/>
      <c r="F850" s="32"/>
      <c r="G850" s="32"/>
      <c r="H850" s="47"/>
      <c r="I850" s="32"/>
    </row>
    <row r="851">
      <c r="A851" s="32"/>
      <c r="B851" s="111"/>
      <c r="C851" s="32"/>
      <c r="D851" s="32"/>
      <c r="E851" s="32"/>
      <c r="F851" s="32"/>
      <c r="G851" s="32"/>
      <c r="H851" s="47"/>
      <c r="I851" s="32"/>
    </row>
    <row r="852">
      <c r="A852" s="32"/>
      <c r="B852" s="111"/>
      <c r="C852" s="32"/>
      <c r="D852" s="32"/>
      <c r="E852" s="32"/>
      <c r="F852" s="32"/>
      <c r="G852" s="32"/>
      <c r="H852" s="47"/>
      <c r="I852" s="32"/>
    </row>
    <row r="853">
      <c r="A853" s="32"/>
      <c r="B853" s="111"/>
      <c r="C853" s="32"/>
      <c r="D853" s="32"/>
      <c r="E853" s="32"/>
      <c r="F853" s="32"/>
      <c r="G853" s="32"/>
      <c r="H853" s="47"/>
      <c r="I853" s="32"/>
    </row>
    <row r="854">
      <c r="A854" s="32"/>
      <c r="B854" s="111"/>
      <c r="C854" s="32"/>
      <c r="D854" s="32"/>
      <c r="E854" s="32"/>
      <c r="F854" s="32"/>
      <c r="G854" s="32"/>
      <c r="H854" s="47"/>
      <c r="I854" s="32"/>
    </row>
    <row r="855">
      <c r="A855" s="32"/>
      <c r="B855" s="111"/>
      <c r="C855" s="32"/>
      <c r="D855" s="32"/>
      <c r="E855" s="32"/>
      <c r="F855" s="32"/>
      <c r="G855" s="32"/>
      <c r="H855" s="47"/>
      <c r="I855" s="32"/>
    </row>
    <row r="856">
      <c r="A856" s="32"/>
      <c r="B856" s="111"/>
      <c r="C856" s="32"/>
      <c r="D856" s="32"/>
      <c r="E856" s="32"/>
      <c r="F856" s="32"/>
      <c r="G856" s="32"/>
      <c r="H856" s="47"/>
      <c r="I856" s="32"/>
    </row>
    <row r="857">
      <c r="A857" s="32"/>
      <c r="B857" s="111"/>
      <c r="C857" s="32"/>
      <c r="D857" s="32"/>
      <c r="E857" s="32"/>
      <c r="F857" s="32"/>
      <c r="G857" s="32"/>
      <c r="H857" s="47"/>
      <c r="I857" s="32"/>
    </row>
    <row r="858">
      <c r="A858" s="32"/>
      <c r="B858" s="111"/>
      <c r="C858" s="32"/>
      <c r="D858" s="32"/>
      <c r="E858" s="32"/>
      <c r="F858" s="32"/>
      <c r="G858" s="32"/>
      <c r="H858" s="47"/>
      <c r="I858" s="32"/>
    </row>
    <row r="859">
      <c r="A859" s="32"/>
      <c r="B859" s="111"/>
      <c r="C859" s="32"/>
      <c r="D859" s="32"/>
      <c r="E859" s="32"/>
      <c r="F859" s="32"/>
      <c r="G859" s="32"/>
      <c r="H859" s="47"/>
      <c r="I859" s="32"/>
    </row>
    <row r="860">
      <c r="A860" s="32"/>
      <c r="B860" s="111"/>
      <c r="C860" s="32"/>
      <c r="D860" s="32"/>
      <c r="E860" s="32"/>
      <c r="F860" s="32"/>
      <c r="G860" s="32"/>
      <c r="H860" s="47"/>
      <c r="I860" s="32"/>
    </row>
    <row r="861">
      <c r="A861" s="32"/>
      <c r="B861" s="111"/>
      <c r="C861" s="32"/>
      <c r="D861" s="32"/>
      <c r="E861" s="32"/>
      <c r="F861" s="32"/>
      <c r="G861" s="32"/>
      <c r="H861" s="47"/>
      <c r="I861" s="32"/>
    </row>
    <row r="862">
      <c r="A862" s="32"/>
      <c r="B862" s="111"/>
      <c r="C862" s="32"/>
      <c r="D862" s="32"/>
      <c r="E862" s="32"/>
      <c r="F862" s="32"/>
      <c r="G862" s="32"/>
      <c r="H862" s="47"/>
      <c r="I862" s="32"/>
    </row>
    <row r="863">
      <c r="A863" s="32"/>
      <c r="B863" s="111"/>
      <c r="C863" s="32"/>
      <c r="D863" s="32"/>
      <c r="E863" s="32"/>
      <c r="F863" s="32"/>
      <c r="G863" s="32"/>
      <c r="H863" s="47"/>
      <c r="I863" s="32"/>
    </row>
    <row r="864">
      <c r="A864" s="32"/>
      <c r="B864" s="111"/>
      <c r="C864" s="32"/>
      <c r="D864" s="32"/>
      <c r="E864" s="32"/>
      <c r="F864" s="32"/>
      <c r="G864" s="32"/>
      <c r="H864" s="47"/>
      <c r="I864" s="32"/>
    </row>
    <row r="865">
      <c r="A865" s="32"/>
      <c r="B865" s="111"/>
      <c r="C865" s="32"/>
      <c r="D865" s="32"/>
      <c r="E865" s="32"/>
      <c r="F865" s="32"/>
      <c r="G865" s="32"/>
      <c r="H865" s="47"/>
      <c r="I865" s="32"/>
    </row>
    <row r="866">
      <c r="A866" s="32"/>
      <c r="B866" s="111"/>
      <c r="C866" s="32"/>
      <c r="D866" s="32"/>
      <c r="E866" s="32"/>
      <c r="F866" s="32"/>
      <c r="G866" s="32"/>
      <c r="H866" s="47"/>
      <c r="I866" s="32"/>
    </row>
    <row r="867">
      <c r="A867" s="32"/>
      <c r="B867" s="111"/>
      <c r="C867" s="32"/>
      <c r="D867" s="32"/>
      <c r="E867" s="32"/>
      <c r="F867" s="32"/>
      <c r="G867" s="32"/>
      <c r="H867" s="47"/>
      <c r="I867" s="32"/>
    </row>
    <row r="868">
      <c r="A868" s="32"/>
      <c r="B868" s="111"/>
      <c r="C868" s="32"/>
      <c r="D868" s="32"/>
      <c r="E868" s="32"/>
      <c r="F868" s="32"/>
      <c r="G868" s="32"/>
      <c r="H868" s="47"/>
      <c r="I868" s="32"/>
    </row>
    <row r="869">
      <c r="A869" s="32"/>
      <c r="B869" s="111"/>
      <c r="C869" s="32"/>
      <c r="D869" s="32"/>
      <c r="E869" s="32"/>
      <c r="F869" s="32"/>
      <c r="G869" s="32"/>
      <c r="H869" s="47"/>
      <c r="I869" s="32"/>
    </row>
    <row r="870">
      <c r="A870" s="32"/>
      <c r="B870" s="111"/>
      <c r="C870" s="32"/>
      <c r="D870" s="32"/>
      <c r="E870" s="32"/>
      <c r="F870" s="32"/>
      <c r="G870" s="32"/>
      <c r="H870" s="47"/>
      <c r="I870" s="32"/>
    </row>
    <row r="871">
      <c r="A871" s="32"/>
      <c r="B871" s="111"/>
      <c r="C871" s="32"/>
      <c r="D871" s="32"/>
      <c r="E871" s="32"/>
      <c r="F871" s="32"/>
      <c r="G871" s="32"/>
      <c r="H871" s="47"/>
      <c r="I871" s="32"/>
    </row>
    <row r="872">
      <c r="A872" s="32"/>
      <c r="B872" s="111"/>
      <c r="C872" s="32"/>
      <c r="D872" s="32"/>
      <c r="E872" s="32"/>
      <c r="F872" s="32"/>
      <c r="G872" s="32"/>
      <c r="H872" s="47"/>
      <c r="I872" s="32"/>
    </row>
    <row r="873">
      <c r="A873" s="32"/>
      <c r="B873" s="111"/>
      <c r="C873" s="32"/>
      <c r="D873" s="32"/>
      <c r="E873" s="32"/>
      <c r="F873" s="32"/>
      <c r="G873" s="32"/>
      <c r="H873" s="47"/>
      <c r="I873" s="32"/>
    </row>
    <row r="874">
      <c r="A874" s="32"/>
      <c r="B874" s="111"/>
      <c r="C874" s="32"/>
      <c r="D874" s="32"/>
      <c r="E874" s="32"/>
      <c r="F874" s="32"/>
      <c r="G874" s="32"/>
      <c r="H874" s="47"/>
      <c r="I874" s="32"/>
    </row>
    <row r="875">
      <c r="A875" s="32"/>
      <c r="B875" s="111"/>
      <c r="C875" s="32"/>
      <c r="D875" s="32"/>
      <c r="E875" s="32"/>
      <c r="F875" s="32"/>
      <c r="G875" s="32"/>
      <c r="H875" s="47"/>
      <c r="I875" s="32"/>
    </row>
    <row r="876">
      <c r="A876" s="32"/>
      <c r="B876" s="111"/>
      <c r="C876" s="32"/>
      <c r="D876" s="32"/>
      <c r="E876" s="32"/>
      <c r="F876" s="32"/>
      <c r="G876" s="32"/>
      <c r="H876" s="47"/>
      <c r="I876" s="32"/>
    </row>
    <row r="877">
      <c r="A877" s="32"/>
      <c r="B877" s="111"/>
      <c r="C877" s="32"/>
      <c r="D877" s="32"/>
      <c r="E877" s="32"/>
      <c r="F877" s="32"/>
      <c r="G877" s="32"/>
      <c r="H877" s="47"/>
      <c r="I877" s="32"/>
    </row>
    <row r="878">
      <c r="A878" s="32"/>
      <c r="B878" s="111"/>
      <c r="C878" s="32"/>
      <c r="D878" s="32"/>
      <c r="E878" s="32"/>
      <c r="F878" s="32"/>
      <c r="G878" s="32"/>
      <c r="H878" s="47"/>
      <c r="I878" s="32"/>
    </row>
    <row r="879">
      <c r="A879" s="32"/>
      <c r="B879" s="111"/>
      <c r="C879" s="32"/>
      <c r="D879" s="32"/>
      <c r="E879" s="32"/>
      <c r="F879" s="32"/>
      <c r="G879" s="32"/>
      <c r="H879" s="47"/>
      <c r="I879" s="32"/>
    </row>
    <row r="880">
      <c r="A880" s="32"/>
      <c r="B880" s="111"/>
      <c r="C880" s="32"/>
      <c r="D880" s="32"/>
      <c r="E880" s="32"/>
      <c r="F880" s="32"/>
      <c r="G880" s="32"/>
      <c r="H880" s="47"/>
      <c r="I880" s="32"/>
    </row>
    <row r="881">
      <c r="A881" s="32"/>
      <c r="B881" s="111"/>
      <c r="C881" s="32"/>
      <c r="D881" s="32"/>
      <c r="E881" s="32"/>
      <c r="F881" s="32"/>
      <c r="G881" s="32"/>
      <c r="H881" s="47"/>
      <c r="I881" s="32"/>
    </row>
    <row r="882">
      <c r="A882" s="32"/>
      <c r="B882" s="111"/>
      <c r="C882" s="32"/>
      <c r="D882" s="32"/>
      <c r="E882" s="32"/>
      <c r="F882" s="32"/>
      <c r="G882" s="32"/>
      <c r="H882" s="47"/>
      <c r="I882" s="32"/>
    </row>
    <row r="883">
      <c r="A883" s="32"/>
      <c r="B883" s="111"/>
      <c r="C883" s="32"/>
      <c r="D883" s="32"/>
      <c r="E883" s="32"/>
      <c r="F883" s="32"/>
      <c r="G883" s="32"/>
      <c r="H883" s="47"/>
      <c r="I883" s="32"/>
    </row>
    <row r="884">
      <c r="A884" s="32"/>
      <c r="B884" s="111"/>
      <c r="C884" s="32"/>
      <c r="D884" s="32"/>
      <c r="E884" s="32"/>
      <c r="F884" s="32"/>
      <c r="G884" s="32"/>
      <c r="H884" s="47"/>
      <c r="I884" s="32"/>
    </row>
    <row r="885">
      <c r="A885" s="32"/>
      <c r="B885" s="111"/>
      <c r="C885" s="32"/>
      <c r="D885" s="32"/>
      <c r="E885" s="32"/>
      <c r="F885" s="32"/>
      <c r="G885" s="32"/>
      <c r="H885" s="47"/>
      <c r="I885" s="32"/>
    </row>
    <row r="886">
      <c r="A886" s="32"/>
      <c r="B886" s="111"/>
      <c r="C886" s="32"/>
      <c r="D886" s="32"/>
      <c r="E886" s="32"/>
      <c r="F886" s="32"/>
      <c r="G886" s="32"/>
      <c r="H886" s="47"/>
      <c r="I886" s="32"/>
    </row>
    <row r="887">
      <c r="A887" s="32"/>
      <c r="B887" s="111"/>
      <c r="C887" s="32"/>
      <c r="D887" s="32"/>
      <c r="E887" s="32"/>
      <c r="F887" s="32"/>
      <c r="G887" s="32"/>
      <c r="H887" s="47"/>
      <c r="I887" s="32"/>
    </row>
    <row r="888">
      <c r="A888" s="32"/>
      <c r="B888" s="111"/>
      <c r="C888" s="32"/>
      <c r="D888" s="32"/>
      <c r="E888" s="32"/>
      <c r="F888" s="32"/>
      <c r="G888" s="32"/>
      <c r="H888" s="47"/>
      <c r="I888" s="32"/>
    </row>
    <row r="889">
      <c r="A889" s="32"/>
      <c r="B889" s="111"/>
      <c r="C889" s="32"/>
      <c r="D889" s="32"/>
      <c r="E889" s="32"/>
      <c r="F889" s="32"/>
      <c r="G889" s="32"/>
      <c r="H889" s="47"/>
      <c r="I889" s="32"/>
    </row>
    <row r="890">
      <c r="A890" s="32"/>
      <c r="B890" s="111"/>
      <c r="C890" s="32"/>
      <c r="D890" s="32"/>
      <c r="E890" s="32"/>
      <c r="F890" s="32"/>
      <c r="G890" s="32"/>
      <c r="H890" s="47"/>
      <c r="I890" s="32"/>
    </row>
    <row r="891">
      <c r="A891" s="32"/>
      <c r="B891" s="111"/>
      <c r="C891" s="32"/>
      <c r="D891" s="32"/>
      <c r="E891" s="32"/>
      <c r="F891" s="32"/>
      <c r="G891" s="32"/>
      <c r="H891" s="47"/>
      <c r="I891" s="32"/>
    </row>
    <row r="892">
      <c r="A892" s="32"/>
      <c r="B892" s="111"/>
      <c r="C892" s="32"/>
      <c r="D892" s="32"/>
      <c r="E892" s="32"/>
      <c r="F892" s="32"/>
      <c r="G892" s="32"/>
      <c r="H892" s="47"/>
      <c r="I892" s="32"/>
    </row>
    <row r="893">
      <c r="A893" s="32"/>
      <c r="B893" s="111"/>
      <c r="C893" s="32"/>
      <c r="D893" s="32"/>
      <c r="E893" s="32"/>
      <c r="F893" s="32"/>
      <c r="G893" s="32"/>
      <c r="H893" s="47"/>
      <c r="I893" s="32"/>
    </row>
    <row r="894">
      <c r="A894" s="32"/>
      <c r="B894" s="111"/>
      <c r="C894" s="32"/>
      <c r="D894" s="32"/>
      <c r="E894" s="32"/>
      <c r="F894" s="32"/>
      <c r="G894" s="32"/>
      <c r="H894" s="47"/>
      <c r="I894" s="32"/>
    </row>
    <row r="895">
      <c r="A895" s="32"/>
      <c r="B895" s="111"/>
      <c r="C895" s="32"/>
      <c r="D895" s="32"/>
      <c r="E895" s="32"/>
      <c r="F895" s="32"/>
      <c r="G895" s="32"/>
      <c r="H895" s="47"/>
      <c r="I895" s="32"/>
    </row>
    <row r="896">
      <c r="A896" s="32"/>
      <c r="B896" s="111"/>
      <c r="C896" s="32"/>
      <c r="D896" s="32"/>
      <c r="E896" s="32"/>
      <c r="F896" s="32"/>
      <c r="G896" s="32"/>
      <c r="H896" s="47"/>
      <c r="I896" s="32"/>
    </row>
    <row r="897">
      <c r="A897" s="32"/>
      <c r="B897" s="111"/>
      <c r="C897" s="32"/>
      <c r="D897" s="32"/>
      <c r="E897" s="32"/>
      <c r="F897" s="32"/>
      <c r="G897" s="32"/>
      <c r="H897" s="47"/>
      <c r="I897" s="32"/>
    </row>
    <row r="898">
      <c r="A898" s="32"/>
      <c r="B898" s="111"/>
      <c r="C898" s="32"/>
      <c r="D898" s="32"/>
      <c r="E898" s="32"/>
      <c r="F898" s="32"/>
      <c r="G898" s="32"/>
      <c r="H898" s="47"/>
      <c r="I898" s="32"/>
    </row>
    <row r="899">
      <c r="A899" s="32"/>
      <c r="B899" s="111"/>
      <c r="C899" s="32"/>
      <c r="D899" s="32"/>
      <c r="E899" s="32"/>
      <c r="F899" s="32"/>
      <c r="G899" s="32"/>
      <c r="H899" s="47"/>
      <c r="I899" s="32"/>
    </row>
    <row r="900">
      <c r="A900" s="32"/>
      <c r="B900" s="111"/>
      <c r="C900" s="32"/>
      <c r="D900" s="32"/>
      <c r="E900" s="32"/>
      <c r="F900" s="32"/>
      <c r="G900" s="32"/>
      <c r="H900" s="47"/>
      <c r="I900" s="32"/>
    </row>
    <row r="901">
      <c r="A901" s="32"/>
      <c r="B901" s="111"/>
      <c r="C901" s="32"/>
      <c r="D901" s="32"/>
      <c r="E901" s="32"/>
      <c r="F901" s="32"/>
      <c r="G901" s="32"/>
      <c r="H901" s="47"/>
      <c r="I901" s="32"/>
    </row>
    <row r="902">
      <c r="A902" s="32"/>
      <c r="B902" s="111"/>
      <c r="C902" s="32"/>
      <c r="D902" s="32"/>
      <c r="E902" s="32"/>
      <c r="F902" s="32"/>
      <c r="G902" s="32"/>
      <c r="H902" s="47"/>
      <c r="I902" s="32"/>
    </row>
    <row r="903">
      <c r="A903" s="32"/>
      <c r="B903" s="111"/>
      <c r="C903" s="32"/>
      <c r="D903" s="32"/>
      <c r="E903" s="32"/>
      <c r="F903" s="32"/>
      <c r="G903" s="32"/>
      <c r="H903" s="47"/>
      <c r="I903" s="32"/>
    </row>
    <row r="904">
      <c r="A904" s="32"/>
      <c r="B904" s="111"/>
      <c r="C904" s="32"/>
      <c r="D904" s="32"/>
      <c r="E904" s="32"/>
      <c r="F904" s="32"/>
      <c r="G904" s="32"/>
      <c r="H904" s="47"/>
      <c r="I904" s="32"/>
    </row>
    <row r="905">
      <c r="A905" s="32"/>
      <c r="B905" s="111"/>
      <c r="C905" s="32"/>
      <c r="D905" s="32"/>
      <c r="E905" s="32"/>
      <c r="F905" s="32"/>
      <c r="G905" s="32"/>
      <c r="H905" s="47"/>
      <c r="I905" s="32"/>
    </row>
    <row r="906">
      <c r="A906" s="32"/>
      <c r="B906" s="111"/>
      <c r="C906" s="32"/>
      <c r="D906" s="32"/>
      <c r="E906" s="32"/>
      <c r="F906" s="32"/>
      <c r="G906" s="32"/>
      <c r="H906" s="47"/>
      <c r="I906" s="32"/>
    </row>
    <row r="907">
      <c r="A907" s="32"/>
      <c r="B907" s="111"/>
      <c r="C907" s="32"/>
      <c r="D907" s="32"/>
      <c r="E907" s="32"/>
      <c r="F907" s="32"/>
      <c r="G907" s="32"/>
      <c r="H907" s="47"/>
      <c r="I907" s="32"/>
    </row>
    <row r="908">
      <c r="A908" s="32"/>
      <c r="B908" s="111"/>
      <c r="C908" s="32"/>
      <c r="D908" s="32"/>
      <c r="E908" s="32"/>
      <c r="F908" s="32"/>
      <c r="G908" s="32"/>
      <c r="H908" s="47"/>
      <c r="I908" s="32"/>
    </row>
    <row r="909">
      <c r="A909" s="32"/>
      <c r="B909" s="111"/>
      <c r="C909" s="32"/>
      <c r="D909" s="32"/>
      <c r="E909" s="32"/>
      <c r="F909" s="32"/>
      <c r="G909" s="32"/>
      <c r="H909" s="47"/>
      <c r="I909" s="32"/>
    </row>
    <row r="910">
      <c r="A910" s="32"/>
      <c r="B910" s="111"/>
      <c r="C910" s="32"/>
      <c r="D910" s="32"/>
      <c r="E910" s="32"/>
      <c r="F910" s="32"/>
      <c r="G910" s="32"/>
      <c r="H910" s="47"/>
      <c r="I910" s="32"/>
    </row>
    <row r="911">
      <c r="A911" s="32"/>
      <c r="B911" s="111"/>
      <c r="C911" s="32"/>
      <c r="D911" s="32"/>
      <c r="E911" s="32"/>
      <c r="F911" s="32"/>
      <c r="G911" s="32"/>
      <c r="H911" s="47"/>
      <c r="I911" s="32"/>
    </row>
    <row r="912">
      <c r="A912" s="32"/>
      <c r="B912" s="111"/>
      <c r="C912" s="32"/>
      <c r="D912" s="32"/>
      <c r="E912" s="32"/>
      <c r="F912" s="32"/>
      <c r="G912" s="32"/>
      <c r="H912" s="47"/>
      <c r="I912" s="32"/>
    </row>
    <row r="913">
      <c r="A913" s="32"/>
      <c r="B913" s="111"/>
      <c r="C913" s="32"/>
      <c r="D913" s="32"/>
      <c r="E913" s="32"/>
      <c r="F913" s="32"/>
      <c r="G913" s="32"/>
      <c r="H913" s="47"/>
      <c r="I913" s="32"/>
    </row>
    <row r="914">
      <c r="A914" s="32"/>
      <c r="B914" s="111"/>
      <c r="C914" s="32"/>
      <c r="D914" s="32"/>
      <c r="E914" s="32"/>
      <c r="F914" s="32"/>
      <c r="G914" s="32"/>
      <c r="H914" s="47"/>
      <c r="I914" s="32"/>
    </row>
    <row r="915">
      <c r="A915" s="32"/>
      <c r="B915" s="111"/>
      <c r="C915" s="32"/>
      <c r="D915" s="32"/>
      <c r="E915" s="32"/>
      <c r="F915" s="32"/>
      <c r="G915" s="32"/>
      <c r="H915" s="47"/>
      <c r="I915" s="32"/>
    </row>
    <row r="916">
      <c r="A916" s="32"/>
      <c r="B916" s="111"/>
      <c r="C916" s="32"/>
      <c r="D916" s="32"/>
      <c r="E916" s="32"/>
      <c r="F916" s="32"/>
      <c r="G916" s="32"/>
      <c r="H916" s="47"/>
      <c r="I916" s="32"/>
    </row>
    <row r="917">
      <c r="A917" s="32"/>
      <c r="B917" s="111"/>
      <c r="C917" s="32"/>
      <c r="D917" s="32"/>
      <c r="E917" s="32"/>
      <c r="F917" s="32"/>
      <c r="G917" s="32"/>
      <c r="H917" s="47"/>
      <c r="I917" s="32"/>
    </row>
    <row r="918">
      <c r="A918" s="32"/>
      <c r="B918" s="111"/>
      <c r="C918" s="32"/>
      <c r="D918" s="32"/>
      <c r="E918" s="32"/>
      <c r="F918" s="32"/>
      <c r="G918" s="32"/>
      <c r="H918" s="47"/>
      <c r="I918" s="32"/>
    </row>
    <row r="919">
      <c r="A919" s="32"/>
      <c r="B919" s="111"/>
      <c r="C919" s="32"/>
      <c r="D919" s="32"/>
      <c r="E919" s="32"/>
      <c r="F919" s="32"/>
      <c r="G919" s="32"/>
      <c r="H919" s="47"/>
      <c r="I919" s="32"/>
    </row>
    <row r="920">
      <c r="A920" s="32"/>
      <c r="B920" s="111"/>
      <c r="C920" s="32"/>
      <c r="D920" s="32"/>
      <c r="E920" s="32"/>
      <c r="F920" s="32"/>
      <c r="G920" s="32"/>
      <c r="H920" s="47"/>
      <c r="I920" s="32"/>
    </row>
    <row r="921">
      <c r="A921" s="32"/>
      <c r="B921" s="111"/>
      <c r="C921" s="32"/>
      <c r="D921" s="32"/>
      <c r="E921" s="32"/>
      <c r="F921" s="32"/>
      <c r="G921" s="32"/>
      <c r="H921" s="47"/>
      <c r="I921" s="32"/>
    </row>
    <row r="922">
      <c r="A922" s="32"/>
      <c r="B922" s="111"/>
      <c r="C922" s="32"/>
      <c r="D922" s="32"/>
      <c r="E922" s="32"/>
      <c r="F922" s="32"/>
      <c r="G922" s="32"/>
      <c r="H922" s="47"/>
      <c r="I922" s="32"/>
    </row>
    <row r="923">
      <c r="A923" s="32"/>
      <c r="B923" s="111"/>
      <c r="C923" s="32"/>
      <c r="D923" s="32"/>
      <c r="E923" s="32"/>
      <c r="F923" s="32"/>
      <c r="G923" s="32"/>
      <c r="H923" s="47"/>
      <c r="I923" s="32"/>
    </row>
    <row r="924">
      <c r="A924" s="32"/>
      <c r="B924" s="111"/>
      <c r="C924" s="32"/>
      <c r="D924" s="32"/>
      <c r="E924" s="32"/>
      <c r="F924" s="32"/>
      <c r="G924" s="32"/>
      <c r="H924" s="47"/>
      <c r="I924" s="32"/>
    </row>
    <row r="925">
      <c r="A925" s="32"/>
      <c r="B925" s="111"/>
      <c r="C925" s="32"/>
      <c r="D925" s="32"/>
      <c r="E925" s="32"/>
      <c r="F925" s="32"/>
      <c r="G925" s="32"/>
      <c r="H925" s="47"/>
      <c r="I925" s="32"/>
    </row>
    <row r="926">
      <c r="A926" s="32"/>
      <c r="B926" s="111"/>
      <c r="C926" s="32"/>
      <c r="D926" s="32"/>
      <c r="E926" s="32"/>
      <c r="F926" s="32"/>
      <c r="G926" s="32"/>
      <c r="H926" s="47"/>
      <c r="I926" s="32"/>
    </row>
    <row r="927">
      <c r="A927" s="32"/>
      <c r="B927" s="111"/>
      <c r="C927" s="32"/>
      <c r="D927" s="32"/>
      <c r="E927" s="32"/>
      <c r="F927" s="32"/>
      <c r="G927" s="32"/>
      <c r="H927" s="47"/>
      <c r="I927" s="32"/>
    </row>
    <row r="928">
      <c r="A928" s="32"/>
      <c r="B928" s="111"/>
      <c r="C928" s="32"/>
      <c r="D928" s="32"/>
      <c r="E928" s="32"/>
      <c r="F928" s="32"/>
      <c r="G928" s="32"/>
      <c r="H928" s="47"/>
      <c r="I928" s="32"/>
    </row>
    <row r="929">
      <c r="A929" s="32"/>
      <c r="B929" s="111"/>
      <c r="C929" s="32"/>
      <c r="D929" s="32"/>
      <c r="E929" s="32"/>
      <c r="F929" s="32"/>
      <c r="G929" s="32"/>
      <c r="H929" s="47"/>
      <c r="I929" s="32"/>
    </row>
    <row r="930">
      <c r="A930" s="32"/>
      <c r="B930" s="111"/>
      <c r="C930" s="32"/>
      <c r="D930" s="32"/>
      <c r="E930" s="32"/>
      <c r="F930" s="32"/>
      <c r="G930" s="32"/>
      <c r="H930" s="47"/>
      <c r="I930" s="32"/>
    </row>
    <row r="931">
      <c r="A931" s="32"/>
      <c r="B931" s="111"/>
      <c r="C931" s="32"/>
      <c r="D931" s="32"/>
      <c r="E931" s="32"/>
      <c r="F931" s="32"/>
      <c r="G931" s="32"/>
      <c r="H931" s="47"/>
      <c r="I931" s="32"/>
    </row>
    <row r="932">
      <c r="A932" s="32"/>
      <c r="B932" s="111"/>
      <c r="C932" s="32"/>
      <c r="D932" s="32"/>
      <c r="E932" s="32"/>
      <c r="F932" s="32"/>
      <c r="G932" s="32"/>
      <c r="H932" s="47"/>
      <c r="I932" s="32"/>
    </row>
    <row r="933">
      <c r="A933" s="32"/>
      <c r="B933" s="111"/>
      <c r="C933" s="32"/>
      <c r="D933" s="32"/>
      <c r="E933" s="32"/>
      <c r="F933" s="32"/>
      <c r="G933" s="32"/>
      <c r="H933" s="47"/>
      <c r="I933" s="32"/>
    </row>
    <row r="934">
      <c r="A934" s="32"/>
      <c r="B934" s="111"/>
      <c r="C934" s="32"/>
      <c r="D934" s="32"/>
      <c r="E934" s="32"/>
      <c r="F934" s="32"/>
      <c r="G934" s="32"/>
      <c r="H934" s="47"/>
      <c r="I934" s="32"/>
    </row>
    <row r="935">
      <c r="A935" s="32"/>
      <c r="B935" s="111"/>
      <c r="C935" s="32"/>
      <c r="D935" s="32"/>
      <c r="E935" s="32"/>
      <c r="F935" s="32"/>
      <c r="G935" s="32"/>
      <c r="H935" s="47"/>
      <c r="I935" s="32"/>
    </row>
    <row r="936">
      <c r="A936" s="32"/>
      <c r="B936" s="111"/>
      <c r="C936" s="32"/>
      <c r="D936" s="32"/>
      <c r="E936" s="32"/>
      <c r="F936" s="32"/>
      <c r="G936" s="32"/>
      <c r="H936" s="47"/>
      <c r="I936" s="32"/>
    </row>
    <row r="937">
      <c r="A937" s="32"/>
      <c r="B937" s="111"/>
      <c r="C937" s="32"/>
      <c r="D937" s="32"/>
      <c r="E937" s="32"/>
      <c r="F937" s="32"/>
      <c r="G937" s="32"/>
      <c r="H937" s="47"/>
      <c r="I937" s="32"/>
    </row>
    <row r="938">
      <c r="A938" s="32"/>
      <c r="B938" s="111"/>
      <c r="C938" s="32"/>
      <c r="D938" s="32"/>
      <c r="E938" s="32"/>
      <c r="F938" s="32"/>
      <c r="G938" s="32"/>
      <c r="H938" s="47"/>
      <c r="I938" s="32"/>
    </row>
    <row r="939">
      <c r="A939" s="32"/>
      <c r="B939" s="111"/>
      <c r="C939" s="32"/>
      <c r="D939" s="32"/>
      <c r="E939" s="32"/>
      <c r="F939" s="32"/>
      <c r="G939" s="32"/>
      <c r="H939" s="47"/>
      <c r="I939" s="32"/>
    </row>
    <row r="940">
      <c r="A940" s="32"/>
      <c r="B940" s="111"/>
      <c r="C940" s="32"/>
      <c r="D940" s="32"/>
      <c r="E940" s="32"/>
      <c r="F940" s="32"/>
      <c r="G940" s="32"/>
      <c r="H940" s="47"/>
      <c r="I940" s="32"/>
    </row>
    <row r="941">
      <c r="A941" s="32"/>
      <c r="B941" s="111"/>
      <c r="C941" s="32"/>
      <c r="D941" s="32"/>
      <c r="E941" s="32"/>
      <c r="F941" s="32"/>
      <c r="G941" s="32"/>
      <c r="H941" s="47"/>
      <c r="I941" s="32"/>
    </row>
    <row r="942">
      <c r="A942" s="32"/>
      <c r="B942" s="111"/>
      <c r="C942" s="32"/>
      <c r="D942" s="32"/>
      <c r="E942" s="32"/>
      <c r="F942" s="32"/>
      <c r="G942" s="32"/>
      <c r="H942" s="47"/>
      <c r="I942" s="32"/>
    </row>
    <row r="943">
      <c r="A943" s="32"/>
      <c r="B943" s="111"/>
      <c r="C943" s="32"/>
      <c r="D943" s="32"/>
      <c r="E943" s="32"/>
      <c r="F943" s="32"/>
      <c r="G943" s="32"/>
      <c r="H943" s="47"/>
      <c r="I943" s="32"/>
    </row>
    <row r="944">
      <c r="A944" s="32"/>
      <c r="B944" s="111"/>
      <c r="C944" s="32"/>
      <c r="D944" s="32"/>
      <c r="E944" s="32"/>
      <c r="F944" s="32"/>
      <c r="G944" s="32"/>
      <c r="H944" s="47"/>
      <c r="I944" s="32"/>
    </row>
    <row r="945">
      <c r="A945" s="32"/>
      <c r="B945" s="111"/>
      <c r="C945" s="32"/>
      <c r="D945" s="32"/>
      <c r="E945" s="32"/>
      <c r="F945" s="32"/>
      <c r="G945" s="32"/>
      <c r="H945" s="47"/>
      <c r="I945" s="32"/>
    </row>
    <row r="946">
      <c r="A946" s="32"/>
      <c r="B946" s="111"/>
      <c r="C946" s="32"/>
      <c r="D946" s="32"/>
      <c r="E946" s="32"/>
      <c r="F946" s="32"/>
      <c r="G946" s="32"/>
      <c r="H946" s="47"/>
      <c r="I946" s="32"/>
    </row>
    <row r="947">
      <c r="A947" s="32"/>
      <c r="B947" s="111"/>
      <c r="C947" s="32"/>
      <c r="D947" s="32"/>
      <c r="E947" s="32"/>
      <c r="F947" s="32"/>
      <c r="G947" s="32"/>
      <c r="H947" s="47"/>
      <c r="I947" s="32"/>
    </row>
    <row r="948">
      <c r="A948" s="32"/>
      <c r="B948" s="111"/>
      <c r="C948" s="32"/>
      <c r="D948" s="32"/>
      <c r="E948" s="32"/>
      <c r="F948" s="32"/>
      <c r="G948" s="32"/>
      <c r="H948" s="47"/>
      <c r="I948" s="32"/>
    </row>
    <row r="949">
      <c r="A949" s="32"/>
      <c r="B949" s="111"/>
      <c r="C949" s="32"/>
      <c r="D949" s="32"/>
      <c r="E949" s="32"/>
      <c r="F949" s="32"/>
      <c r="G949" s="32"/>
      <c r="H949" s="47"/>
      <c r="I949" s="32"/>
    </row>
    <row r="950">
      <c r="A950" s="32"/>
      <c r="B950" s="111"/>
      <c r="C950" s="32"/>
      <c r="D950" s="32"/>
      <c r="E950" s="32"/>
      <c r="F950" s="32"/>
      <c r="G950" s="32"/>
      <c r="H950" s="47"/>
      <c r="I950" s="32"/>
    </row>
    <row r="951">
      <c r="A951" s="32"/>
      <c r="B951" s="111"/>
      <c r="C951" s="32"/>
      <c r="D951" s="32"/>
      <c r="E951" s="32"/>
      <c r="F951" s="32"/>
      <c r="G951" s="32"/>
      <c r="H951" s="47"/>
      <c r="I951" s="32"/>
    </row>
    <row r="952">
      <c r="A952" s="32"/>
      <c r="B952" s="111"/>
      <c r="C952" s="32"/>
      <c r="D952" s="32"/>
      <c r="E952" s="32"/>
      <c r="F952" s="32"/>
      <c r="G952" s="32"/>
      <c r="H952" s="47"/>
      <c r="I952" s="32"/>
    </row>
    <row r="953">
      <c r="A953" s="32"/>
      <c r="B953" s="111"/>
      <c r="C953" s="32"/>
      <c r="D953" s="32"/>
      <c r="E953" s="32"/>
      <c r="F953" s="32"/>
      <c r="G953" s="32"/>
      <c r="H953" s="47"/>
      <c r="I953" s="32"/>
    </row>
    <row r="954">
      <c r="A954" s="32"/>
      <c r="B954" s="111"/>
      <c r="C954" s="32"/>
      <c r="D954" s="32"/>
      <c r="E954" s="32"/>
      <c r="F954" s="32"/>
      <c r="G954" s="32"/>
      <c r="H954" s="47"/>
      <c r="I954" s="32"/>
    </row>
    <row r="955">
      <c r="A955" s="32"/>
      <c r="B955" s="111"/>
      <c r="C955" s="32"/>
      <c r="D955" s="32"/>
      <c r="E955" s="32"/>
      <c r="F955" s="32"/>
      <c r="G955" s="32"/>
      <c r="H955" s="47"/>
      <c r="I955" s="32"/>
    </row>
    <row r="956">
      <c r="A956" s="32"/>
      <c r="B956" s="111"/>
      <c r="C956" s="32"/>
      <c r="D956" s="32"/>
      <c r="E956" s="32"/>
      <c r="F956" s="32"/>
      <c r="G956" s="32"/>
      <c r="H956" s="47"/>
      <c r="I956" s="32"/>
    </row>
    <row r="957">
      <c r="A957" s="32"/>
      <c r="B957" s="111"/>
      <c r="C957" s="32"/>
      <c r="D957" s="32"/>
      <c r="E957" s="32"/>
      <c r="F957" s="32"/>
      <c r="G957" s="32"/>
      <c r="H957" s="47"/>
      <c r="I957" s="32"/>
    </row>
    <row r="958">
      <c r="A958" s="32"/>
      <c r="B958" s="111"/>
      <c r="C958" s="32"/>
      <c r="D958" s="32"/>
      <c r="E958" s="32"/>
      <c r="F958" s="32"/>
      <c r="G958" s="32"/>
      <c r="H958" s="47"/>
      <c r="I958" s="32"/>
    </row>
    <row r="959">
      <c r="A959" s="32"/>
      <c r="B959" s="111"/>
      <c r="C959" s="32"/>
      <c r="D959" s="32"/>
      <c r="E959" s="32"/>
      <c r="F959" s="32"/>
      <c r="G959" s="32"/>
      <c r="H959" s="47"/>
      <c r="I959" s="32"/>
    </row>
    <row r="960">
      <c r="A960" s="32"/>
      <c r="B960" s="111"/>
      <c r="C960" s="32"/>
      <c r="D960" s="32"/>
      <c r="E960" s="32"/>
      <c r="F960" s="32"/>
      <c r="G960" s="32"/>
      <c r="H960" s="47"/>
      <c r="I960" s="32"/>
    </row>
    <row r="961">
      <c r="A961" s="32"/>
      <c r="B961" s="111"/>
      <c r="C961" s="32"/>
      <c r="D961" s="32"/>
      <c r="E961" s="32"/>
      <c r="F961" s="32"/>
      <c r="G961" s="32"/>
      <c r="H961" s="47"/>
      <c r="I961" s="32"/>
    </row>
    <row r="962">
      <c r="A962" s="32"/>
      <c r="B962" s="111"/>
      <c r="C962" s="32"/>
      <c r="D962" s="32"/>
      <c r="E962" s="32"/>
      <c r="F962" s="32"/>
      <c r="G962" s="32"/>
      <c r="H962" s="47"/>
      <c r="I962" s="32"/>
    </row>
    <row r="963">
      <c r="A963" s="32"/>
      <c r="B963" s="111"/>
      <c r="C963" s="32"/>
      <c r="D963" s="32"/>
      <c r="E963" s="32"/>
      <c r="F963" s="32"/>
      <c r="G963" s="32"/>
      <c r="H963" s="47"/>
      <c r="I963" s="32"/>
    </row>
    <row r="964">
      <c r="A964" s="32"/>
      <c r="B964" s="111"/>
      <c r="C964" s="32"/>
      <c r="D964" s="32"/>
      <c r="E964" s="32"/>
      <c r="F964" s="32"/>
      <c r="G964" s="32"/>
      <c r="H964" s="47"/>
      <c r="I964" s="32"/>
    </row>
    <row r="965">
      <c r="A965" s="32"/>
      <c r="B965" s="111"/>
      <c r="C965" s="32"/>
      <c r="D965" s="32"/>
      <c r="E965" s="32"/>
      <c r="F965" s="32"/>
      <c r="G965" s="32"/>
      <c r="H965" s="47"/>
      <c r="I965" s="32"/>
    </row>
    <row r="966">
      <c r="A966" s="32"/>
      <c r="B966" s="111"/>
      <c r="C966" s="32"/>
      <c r="D966" s="32"/>
      <c r="E966" s="32"/>
      <c r="F966" s="32"/>
      <c r="G966" s="32"/>
      <c r="H966" s="47"/>
      <c r="I966" s="32"/>
    </row>
    <row r="967">
      <c r="A967" s="32"/>
      <c r="B967" s="111"/>
      <c r="C967" s="32"/>
      <c r="D967" s="32"/>
      <c r="E967" s="32"/>
      <c r="F967" s="32"/>
      <c r="G967" s="32"/>
      <c r="H967" s="47"/>
      <c r="I967" s="32"/>
    </row>
    <row r="968">
      <c r="A968" s="32"/>
      <c r="B968" s="111"/>
      <c r="C968" s="32"/>
      <c r="D968" s="32"/>
      <c r="E968" s="32"/>
      <c r="F968" s="32"/>
      <c r="G968" s="32"/>
      <c r="H968" s="47"/>
      <c r="I968" s="32"/>
    </row>
    <row r="969">
      <c r="A969" s="32"/>
      <c r="B969" s="111"/>
      <c r="C969" s="32"/>
      <c r="D969" s="32"/>
      <c r="E969" s="32"/>
      <c r="F969" s="32"/>
      <c r="G969" s="32"/>
      <c r="H969" s="47"/>
      <c r="I969" s="32"/>
    </row>
    <row r="970">
      <c r="A970" s="32"/>
      <c r="B970" s="111"/>
      <c r="C970" s="32"/>
      <c r="D970" s="32"/>
      <c r="E970" s="32"/>
      <c r="F970" s="32"/>
      <c r="G970" s="32"/>
      <c r="H970" s="47"/>
      <c r="I970" s="32"/>
    </row>
    <row r="971">
      <c r="A971" s="32"/>
      <c r="B971" s="111"/>
      <c r="C971" s="32"/>
      <c r="D971" s="32"/>
      <c r="E971" s="32"/>
      <c r="F971" s="32"/>
      <c r="G971" s="32"/>
      <c r="H971" s="47"/>
      <c r="I971" s="32"/>
    </row>
    <row r="972">
      <c r="A972" s="32"/>
      <c r="B972" s="111"/>
      <c r="C972" s="32"/>
      <c r="D972" s="32"/>
      <c r="E972" s="32"/>
      <c r="F972" s="32"/>
      <c r="G972" s="32"/>
      <c r="H972" s="47"/>
      <c r="I972" s="32"/>
    </row>
    <row r="973">
      <c r="A973" s="32"/>
      <c r="B973" s="111"/>
      <c r="C973" s="32"/>
      <c r="D973" s="32"/>
      <c r="E973" s="32"/>
      <c r="F973" s="32"/>
      <c r="G973" s="32"/>
      <c r="H973" s="47"/>
      <c r="I973" s="32"/>
    </row>
    <row r="974">
      <c r="A974" s="32"/>
      <c r="B974" s="111"/>
      <c r="C974" s="32"/>
      <c r="D974" s="32"/>
      <c r="E974" s="32"/>
      <c r="F974" s="32"/>
      <c r="G974" s="32"/>
      <c r="H974" s="47"/>
      <c r="I974" s="32"/>
    </row>
    <row r="975">
      <c r="A975" s="32"/>
      <c r="B975" s="111"/>
      <c r="C975" s="32"/>
      <c r="D975" s="32"/>
      <c r="E975" s="32"/>
      <c r="F975" s="32"/>
      <c r="G975" s="32"/>
      <c r="H975" s="47"/>
      <c r="I975" s="32"/>
    </row>
    <row r="976">
      <c r="A976" s="32"/>
      <c r="B976" s="111"/>
      <c r="C976" s="32"/>
      <c r="D976" s="32"/>
      <c r="E976" s="32"/>
      <c r="F976" s="32"/>
      <c r="G976" s="32"/>
      <c r="H976" s="47"/>
      <c r="I976" s="32"/>
    </row>
    <row r="977">
      <c r="A977" s="32"/>
      <c r="B977" s="111"/>
      <c r="C977" s="32"/>
      <c r="D977" s="32"/>
      <c r="E977" s="32"/>
      <c r="F977" s="32"/>
      <c r="G977" s="32"/>
      <c r="H977" s="47"/>
      <c r="I977" s="32"/>
    </row>
    <row r="978">
      <c r="A978" s="32"/>
      <c r="B978" s="111"/>
      <c r="C978" s="32"/>
      <c r="D978" s="32"/>
      <c r="E978" s="32"/>
      <c r="F978" s="32"/>
      <c r="G978" s="32"/>
      <c r="H978" s="47"/>
      <c r="I978" s="32"/>
    </row>
    <row r="979">
      <c r="A979" s="32"/>
      <c r="B979" s="111"/>
      <c r="C979" s="32"/>
      <c r="D979" s="32"/>
      <c r="E979" s="32"/>
      <c r="F979" s="32"/>
      <c r="G979" s="32"/>
      <c r="H979" s="47"/>
      <c r="I979" s="32"/>
    </row>
    <row r="980">
      <c r="A980" s="32"/>
      <c r="B980" s="111"/>
      <c r="C980" s="32"/>
      <c r="D980" s="32"/>
      <c r="E980" s="32"/>
      <c r="F980" s="32"/>
      <c r="G980" s="32"/>
      <c r="H980" s="47"/>
      <c r="I980" s="32"/>
    </row>
    <row r="981">
      <c r="A981" s="32"/>
      <c r="B981" s="111"/>
      <c r="C981" s="32"/>
      <c r="D981" s="32"/>
      <c r="E981" s="32"/>
      <c r="F981" s="32"/>
      <c r="G981" s="32"/>
      <c r="H981" s="47"/>
      <c r="I981" s="32"/>
    </row>
    <row r="982">
      <c r="A982" s="32"/>
      <c r="B982" s="111"/>
      <c r="C982" s="32"/>
      <c r="D982" s="32"/>
      <c r="E982" s="32"/>
      <c r="F982" s="32"/>
      <c r="G982" s="32"/>
      <c r="H982" s="47"/>
      <c r="I982" s="32"/>
    </row>
    <row r="983">
      <c r="A983" s="32"/>
      <c r="B983" s="111"/>
      <c r="C983" s="32"/>
      <c r="D983" s="32"/>
      <c r="E983" s="32"/>
      <c r="F983" s="32"/>
      <c r="G983" s="32"/>
      <c r="H983" s="47"/>
      <c r="I983" s="32"/>
    </row>
    <row r="984">
      <c r="A984" s="32"/>
      <c r="B984" s="111"/>
      <c r="C984" s="32"/>
      <c r="D984" s="32"/>
      <c r="E984" s="32"/>
      <c r="F984" s="32"/>
      <c r="G984" s="32"/>
      <c r="H984" s="47"/>
      <c r="I984" s="32"/>
    </row>
    <row r="985">
      <c r="A985" s="32"/>
      <c r="B985" s="111"/>
      <c r="C985" s="32"/>
      <c r="D985" s="32"/>
      <c r="E985" s="32"/>
      <c r="F985" s="32"/>
      <c r="G985" s="32"/>
      <c r="H985" s="47"/>
      <c r="I985" s="32"/>
    </row>
    <row r="986">
      <c r="A986" s="32"/>
      <c r="B986" s="111"/>
      <c r="C986" s="32"/>
      <c r="D986" s="32"/>
      <c r="E986" s="32"/>
      <c r="F986" s="32"/>
      <c r="G986" s="32"/>
      <c r="H986" s="47"/>
      <c r="I986" s="32"/>
    </row>
    <row r="987">
      <c r="A987" s="32"/>
      <c r="B987" s="111"/>
      <c r="C987" s="32"/>
      <c r="D987" s="32"/>
      <c r="E987" s="32"/>
      <c r="F987" s="32"/>
      <c r="G987" s="32"/>
      <c r="H987" s="47"/>
      <c r="I987" s="32"/>
    </row>
    <row r="988">
      <c r="A988" s="32"/>
      <c r="B988" s="111"/>
      <c r="C988" s="32"/>
      <c r="D988" s="32"/>
      <c r="E988" s="32"/>
      <c r="F988" s="32"/>
      <c r="G988" s="32"/>
      <c r="H988" s="47"/>
      <c r="I988" s="32"/>
    </row>
    <row r="989">
      <c r="A989" s="32"/>
      <c r="B989" s="111"/>
      <c r="C989" s="32"/>
      <c r="D989" s="32"/>
      <c r="E989" s="32"/>
      <c r="F989" s="32"/>
      <c r="G989" s="32"/>
      <c r="H989" s="47"/>
      <c r="I989" s="32"/>
    </row>
    <row r="990">
      <c r="A990" s="32"/>
      <c r="B990" s="111"/>
      <c r="C990" s="32"/>
      <c r="D990" s="32"/>
      <c r="E990" s="32"/>
      <c r="F990" s="32"/>
      <c r="G990" s="32"/>
      <c r="H990" s="47"/>
      <c r="I990" s="32"/>
    </row>
    <row r="991">
      <c r="A991" s="32"/>
      <c r="B991" s="111"/>
      <c r="C991" s="32"/>
      <c r="D991" s="32"/>
      <c r="E991" s="32"/>
      <c r="F991" s="32"/>
      <c r="G991" s="32"/>
      <c r="H991" s="47"/>
      <c r="I991" s="32"/>
    </row>
    <row r="992">
      <c r="A992" s="32"/>
      <c r="B992" s="111"/>
      <c r="C992" s="32"/>
      <c r="D992" s="32"/>
      <c r="E992" s="32"/>
      <c r="F992" s="32"/>
      <c r="G992" s="32"/>
      <c r="H992" s="47"/>
      <c r="I992" s="32"/>
    </row>
    <row r="993">
      <c r="A993" s="32"/>
      <c r="B993" s="111"/>
      <c r="C993" s="32"/>
      <c r="D993" s="32"/>
      <c r="E993" s="32"/>
      <c r="F993" s="32"/>
      <c r="G993" s="32"/>
      <c r="H993" s="47"/>
      <c r="I993" s="32"/>
    </row>
    <row r="994">
      <c r="A994" s="32"/>
      <c r="B994" s="111"/>
      <c r="C994" s="32"/>
      <c r="D994" s="32"/>
      <c r="E994" s="32"/>
      <c r="F994" s="32"/>
      <c r="G994" s="32"/>
      <c r="H994" s="47"/>
      <c r="I994" s="32"/>
    </row>
    <row r="995">
      <c r="A995" s="32"/>
      <c r="B995" s="111"/>
      <c r="C995" s="32"/>
      <c r="D995" s="32"/>
      <c r="E995" s="32"/>
      <c r="F995" s="32"/>
      <c r="G995" s="32"/>
      <c r="H995" s="47"/>
      <c r="I995" s="32"/>
    </row>
    <row r="996">
      <c r="A996" s="32"/>
      <c r="B996" s="111"/>
      <c r="C996" s="32"/>
      <c r="D996" s="32"/>
      <c r="E996" s="32"/>
      <c r="F996" s="32"/>
      <c r="G996" s="32"/>
      <c r="H996" s="47"/>
      <c r="I996" s="32"/>
    </row>
    <row r="997">
      <c r="A997" s="32"/>
      <c r="B997" s="111"/>
      <c r="C997" s="32"/>
      <c r="D997" s="32"/>
      <c r="E997" s="32"/>
      <c r="F997" s="32"/>
      <c r="G997" s="32"/>
      <c r="H997" s="47"/>
      <c r="I997" s="32"/>
    </row>
    <row r="998">
      <c r="A998" s="32"/>
      <c r="B998" s="111"/>
      <c r="C998" s="32"/>
      <c r="D998" s="32"/>
      <c r="E998" s="32"/>
      <c r="F998" s="32"/>
      <c r="G998" s="32"/>
      <c r="H998" s="47"/>
      <c r="I998" s="32"/>
    </row>
    <row r="999">
      <c r="A999" s="32"/>
      <c r="B999" s="111"/>
      <c r="C999" s="32"/>
      <c r="D999" s="32"/>
      <c r="E999" s="32"/>
      <c r="F999" s="32"/>
      <c r="G999" s="32"/>
      <c r="H999" s="47"/>
      <c r="I999" s="32"/>
    </row>
    <row r="1000">
      <c r="A1000" s="32"/>
      <c r="B1000" s="111"/>
      <c r="C1000" s="32"/>
      <c r="D1000" s="32"/>
      <c r="E1000" s="32"/>
      <c r="F1000" s="32"/>
      <c r="G1000" s="32"/>
      <c r="H1000" s="47"/>
      <c r="I1000" s="32"/>
    </row>
    <row r="1001">
      <c r="A1001" s="32"/>
      <c r="B1001" s="111"/>
      <c r="C1001" s="32"/>
      <c r="D1001" s="32"/>
      <c r="E1001" s="32"/>
      <c r="F1001" s="32"/>
      <c r="G1001" s="32"/>
      <c r="H1001" s="47"/>
      <c r="I1001" s="32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5.88"/>
    <col customWidth="1" min="2" max="2" width="16.88"/>
    <col customWidth="1" min="5" max="5" width="9.25"/>
    <col customWidth="1" min="6" max="6" width="21.88"/>
    <col customWidth="1" min="7" max="7" width="8.5"/>
    <col customWidth="1" min="8" max="8" width="21.75"/>
    <col customWidth="1" min="9" max="9" width="8.13"/>
    <col customWidth="1" min="10" max="10" width="21.5"/>
  </cols>
  <sheetData>
    <row r="1">
      <c r="A1" s="77" t="s">
        <v>1848</v>
      </c>
      <c r="B1" s="77" t="s">
        <v>1849</v>
      </c>
      <c r="C1" s="77" t="s">
        <v>1701</v>
      </c>
      <c r="D1" s="77" t="s">
        <v>1850</v>
      </c>
      <c r="E1" s="31" t="s">
        <v>1851</v>
      </c>
      <c r="K1" s="31" t="s">
        <v>1852</v>
      </c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</row>
    <row r="2">
      <c r="E2" s="64" t="s">
        <v>876</v>
      </c>
      <c r="F2" s="64" t="s">
        <v>1853</v>
      </c>
      <c r="G2" s="64" t="s">
        <v>877</v>
      </c>
      <c r="H2" s="64" t="s">
        <v>1854</v>
      </c>
      <c r="I2" s="64" t="s">
        <v>878</v>
      </c>
      <c r="J2" s="64" t="s">
        <v>1855</v>
      </c>
      <c r="K2" s="64" t="s">
        <v>876</v>
      </c>
      <c r="L2" s="14" t="s">
        <v>1853</v>
      </c>
      <c r="M2" s="64" t="s">
        <v>877</v>
      </c>
      <c r="N2" s="64" t="s">
        <v>1854</v>
      </c>
      <c r="O2" s="64" t="s">
        <v>878</v>
      </c>
      <c r="P2" s="64" t="s">
        <v>1855</v>
      </c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</row>
    <row r="3">
      <c r="A3" s="54">
        <v>0.0</v>
      </c>
      <c r="B3" s="64" t="s">
        <v>1368</v>
      </c>
      <c r="C3" s="64" t="s">
        <v>1711</v>
      </c>
      <c r="D3" s="64" t="s">
        <v>1856</v>
      </c>
      <c r="E3" s="64" t="s">
        <v>1857</v>
      </c>
      <c r="F3" s="64" t="s">
        <v>1858</v>
      </c>
      <c r="G3" s="64" t="str">
        <f t="shared" ref="G3:G11" si="1">DEC2HEX(HEX2DEC(E3)+1)</f>
        <v>BAD491</v>
      </c>
      <c r="H3" s="64" t="s">
        <v>1858</v>
      </c>
      <c r="I3" s="64" t="str">
        <f t="shared" ref="I3:I11" si="2">DEC2HEX(HEX2DEC(G3)+1)</f>
        <v>BAD492</v>
      </c>
      <c r="J3" s="64" t="s">
        <v>1858</v>
      </c>
      <c r="K3" s="188" t="s">
        <v>1859</v>
      </c>
      <c r="L3" s="188" t="s">
        <v>1860</v>
      </c>
      <c r="M3" s="189" t="str">
        <f>DEC2HEX(HEX2DEC(K3)+1)</f>
        <v>BAD4C9</v>
      </c>
      <c r="N3" s="188" t="s">
        <v>1860</v>
      </c>
      <c r="O3" s="189" t="str">
        <f>DEC2HEX(HEX2DEC(M3)+1)</f>
        <v>BAD4CA</v>
      </c>
      <c r="P3" s="188" t="s">
        <v>1860</v>
      </c>
    </row>
    <row r="4">
      <c r="A4" s="54">
        <v>356.0</v>
      </c>
      <c r="B4" s="64" t="s">
        <v>1861</v>
      </c>
      <c r="C4" s="64" t="s">
        <v>1862</v>
      </c>
      <c r="D4" s="64" t="s">
        <v>1863</v>
      </c>
      <c r="E4" s="64" t="s">
        <v>1864</v>
      </c>
      <c r="F4" s="64" t="s">
        <v>1865</v>
      </c>
      <c r="G4" s="53" t="str">
        <f t="shared" si="1"/>
        <v>BAD361</v>
      </c>
      <c r="H4" s="64" t="s">
        <v>1865</v>
      </c>
      <c r="I4" s="53" t="str">
        <f t="shared" si="2"/>
        <v>BAD362</v>
      </c>
      <c r="J4" s="64" t="s">
        <v>1865</v>
      </c>
    </row>
    <row r="5">
      <c r="A5" s="54">
        <f t="shared" ref="A5:A7" si="3">A4+356</f>
        <v>712</v>
      </c>
      <c r="B5" s="64" t="s">
        <v>1866</v>
      </c>
      <c r="C5" s="64"/>
      <c r="D5" s="64"/>
      <c r="E5" s="64" t="s">
        <v>1867</v>
      </c>
      <c r="F5" s="64" t="s">
        <v>1868</v>
      </c>
      <c r="G5" s="53" t="str">
        <f t="shared" si="1"/>
        <v>BAD1D1</v>
      </c>
      <c r="H5" s="64" t="s">
        <v>1868</v>
      </c>
      <c r="I5" s="53" t="str">
        <f t="shared" si="2"/>
        <v>BAD1D2</v>
      </c>
      <c r="J5" s="64" t="s">
        <v>1868</v>
      </c>
    </row>
    <row r="6">
      <c r="A6" s="54">
        <f t="shared" si="3"/>
        <v>1068</v>
      </c>
      <c r="B6" s="64" t="s">
        <v>1869</v>
      </c>
      <c r="C6" s="64"/>
      <c r="D6" s="64"/>
      <c r="E6" s="64" t="s">
        <v>1870</v>
      </c>
      <c r="F6" s="64" t="s">
        <v>1858</v>
      </c>
      <c r="G6" s="53" t="str">
        <f t="shared" si="1"/>
        <v>BAD441</v>
      </c>
      <c r="H6" s="64" t="s">
        <v>1858</v>
      </c>
      <c r="I6" s="53" t="str">
        <f t="shared" si="2"/>
        <v>BAD442</v>
      </c>
      <c r="J6" s="64" t="s">
        <v>1858</v>
      </c>
    </row>
    <row r="7">
      <c r="A7" s="54">
        <f t="shared" si="3"/>
        <v>1424</v>
      </c>
      <c r="B7" s="64" t="s">
        <v>1871</v>
      </c>
      <c r="C7" s="64"/>
      <c r="D7" s="64"/>
      <c r="E7" s="64" t="s">
        <v>1872</v>
      </c>
      <c r="F7" s="64" t="s">
        <v>1873</v>
      </c>
      <c r="G7" s="53" t="str">
        <f t="shared" si="1"/>
        <v>BAD2B1</v>
      </c>
      <c r="H7" s="64" t="s">
        <v>1873</v>
      </c>
      <c r="I7" s="53" t="str">
        <f t="shared" si="2"/>
        <v>BAD2B2</v>
      </c>
      <c r="J7" s="64" t="s">
        <v>1873</v>
      </c>
    </row>
    <row r="8">
      <c r="A8" s="54">
        <v>468.0</v>
      </c>
      <c r="B8" s="64" t="s">
        <v>1874</v>
      </c>
      <c r="C8" s="64" t="s">
        <v>1875</v>
      </c>
      <c r="D8" s="64" t="s">
        <v>1876</v>
      </c>
      <c r="E8" s="64" t="s">
        <v>1877</v>
      </c>
      <c r="F8" s="64" t="s">
        <v>1878</v>
      </c>
      <c r="G8" s="64" t="str">
        <f t="shared" si="1"/>
        <v>BAD1A1</v>
      </c>
      <c r="H8" s="64" t="s">
        <v>1879</v>
      </c>
      <c r="I8" s="64" t="str">
        <f t="shared" si="2"/>
        <v>BAD1A2</v>
      </c>
      <c r="J8" s="64" t="s">
        <v>1880</v>
      </c>
    </row>
    <row r="9">
      <c r="A9" s="65">
        <f t="shared" ref="A9:A11" si="5">A8+468</f>
        <v>936</v>
      </c>
      <c r="B9" s="64" t="s">
        <v>1881</v>
      </c>
      <c r="C9" s="53" t="str">
        <f t="shared" ref="C9:D9" si="4">DEC2HEX(HEX2DEC(C8)+HEX2DEC("1D4"))</f>
        <v>AE0556</v>
      </c>
      <c r="D9" s="53" t="str">
        <f t="shared" si="4"/>
        <v>AE067E</v>
      </c>
      <c r="E9" s="47" t="str">
        <f t="shared" ref="E9:E11" si="7">DEC2HEX(HEX2DEC(E8)+HEX2DEC("B0"))</f>
        <v>BAD250</v>
      </c>
      <c r="F9" s="64" t="s">
        <v>1882</v>
      </c>
      <c r="G9" s="64" t="str">
        <f t="shared" si="1"/>
        <v>BAD251</v>
      </c>
      <c r="H9" s="190" t="s">
        <v>1882</v>
      </c>
      <c r="I9" s="64" t="str">
        <f t="shared" si="2"/>
        <v>BAD252</v>
      </c>
      <c r="J9" s="190" t="s">
        <v>1882</v>
      </c>
    </row>
    <row r="10">
      <c r="A10" s="65">
        <f t="shared" si="5"/>
        <v>1404</v>
      </c>
      <c r="B10" s="64" t="s">
        <v>1883</v>
      </c>
      <c r="C10" s="53" t="str">
        <f t="shared" ref="C10:D10" si="6">DEC2HEX(HEX2DEC(C9)+HEX2DEC("1D4"))</f>
        <v>AE072A</v>
      </c>
      <c r="D10" s="53" t="str">
        <f t="shared" si="6"/>
        <v>AE0852</v>
      </c>
      <c r="E10" s="47" t="str">
        <f t="shared" si="7"/>
        <v>BAD300</v>
      </c>
      <c r="F10" s="64" t="s">
        <v>1884</v>
      </c>
      <c r="G10" s="64" t="str">
        <f t="shared" si="1"/>
        <v>BAD301</v>
      </c>
      <c r="H10" s="64" t="s">
        <v>1885</v>
      </c>
      <c r="I10" s="64" t="str">
        <f t="shared" si="2"/>
        <v>BAD302</v>
      </c>
      <c r="J10" s="190" t="s">
        <v>1886</v>
      </c>
    </row>
    <row r="11">
      <c r="A11" s="65">
        <f t="shared" si="5"/>
        <v>1872</v>
      </c>
      <c r="B11" s="64" t="s">
        <v>1887</v>
      </c>
      <c r="C11" s="53" t="str">
        <f t="shared" ref="C11:D11" si="8">DEC2HEX(HEX2DEC(C10)+HEX2DEC("1D4"))</f>
        <v>AE08FE</v>
      </c>
      <c r="D11" s="53" t="str">
        <f t="shared" si="8"/>
        <v>AE0A26</v>
      </c>
      <c r="E11" s="47" t="str">
        <f t="shared" si="7"/>
        <v>BAD3B0</v>
      </c>
      <c r="F11" s="64" t="s">
        <v>1888</v>
      </c>
      <c r="G11" s="64" t="str">
        <f t="shared" si="1"/>
        <v>BAD3B1</v>
      </c>
      <c r="H11" s="64" t="s">
        <v>1888</v>
      </c>
      <c r="I11" s="64" t="str">
        <f t="shared" si="2"/>
        <v>BAD3B2</v>
      </c>
      <c r="J11" s="64" t="s">
        <v>1888</v>
      </c>
    </row>
    <row r="13">
      <c r="A13" s="54"/>
      <c r="B13" s="64"/>
      <c r="C13" s="47"/>
      <c r="D13" s="47"/>
      <c r="E13" s="64"/>
      <c r="F13" s="47"/>
      <c r="G13" s="64"/>
      <c r="H13" s="47"/>
      <c r="I13" s="64"/>
      <c r="J13" s="47"/>
    </row>
    <row r="14">
      <c r="A14" s="54"/>
      <c r="B14" s="64"/>
      <c r="C14" s="47"/>
      <c r="D14" s="47"/>
      <c r="E14" s="47"/>
      <c r="F14" s="47"/>
      <c r="G14" s="64"/>
      <c r="H14" s="47"/>
      <c r="I14" s="64"/>
      <c r="J14" s="47"/>
    </row>
    <row r="15">
      <c r="A15" s="54"/>
      <c r="B15" s="64"/>
      <c r="C15" s="47"/>
      <c r="D15" s="47"/>
      <c r="E15" s="47"/>
      <c r="F15" s="47"/>
      <c r="G15" s="64"/>
      <c r="H15" s="47"/>
      <c r="I15" s="64"/>
      <c r="J15" s="47"/>
    </row>
    <row r="16">
      <c r="A16" s="54"/>
      <c r="B16" s="64"/>
      <c r="C16" s="47"/>
      <c r="D16" s="47"/>
      <c r="E16" s="47"/>
      <c r="F16" s="47"/>
      <c r="G16" s="64"/>
      <c r="H16" s="47"/>
      <c r="I16" s="64"/>
      <c r="J16" s="47"/>
    </row>
    <row r="17">
      <c r="A17" s="65"/>
      <c r="B17" s="64"/>
      <c r="C17" s="47"/>
      <c r="D17" s="47"/>
      <c r="E17" s="47"/>
      <c r="F17" s="47"/>
      <c r="G17" s="64"/>
      <c r="H17" s="47"/>
      <c r="I17" s="64"/>
      <c r="J17" s="47"/>
    </row>
    <row r="18">
      <c r="A18" s="65"/>
      <c r="B18" s="64"/>
      <c r="C18" s="47"/>
      <c r="D18" s="47"/>
      <c r="E18" s="47"/>
      <c r="F18" s="47"/>
      <c r="G18" s="64"/>
      <c r="H18" s="47"/>
      <c r="I18" s="64"/>
      <c r="J18" s="47"/>
    </row>
    <row r="19">
      <c r="A19" s="65"/>
      <c r="B19" s="64"/>
      <c r="C19" s="47"/>
      <c r="D19" s="47"/>
      <c r="E19" s="64"/>
      <c r="F19" s="47"/>
      <c r="G19" s="64"/>
      <c r="H19" s="47"/>
      <c r="I19" s="64"/>
      <c r="J19" s="47"/>
    </row>
    <row r="20">
      <c r="A20" s="65"/>
      <c r="B20" s="64"/>
      <c r="C20" s="47"/>
      <c r="D20" s="47"/>
      <c r="E20" s="14"/>
      <c r="G20" s="64"/>
      <c r="I20" s="64"/>
      <c r="J20" s="47"/>
      <c r="K20" s="14"/>
    </row>
    <row r="21">
      <c r="A21" s="65"/>
      <c r="B21" s="64"/>
      <c r="C21" s="47"/>
      <c r="D21" s="47"/>
      <c r="E21" s="47"/>
      <c r="F21" s="47"/>
      <c r="G21" s="64"/>
      <c r="H21" s="47"/>
      <c r="I21" s="64"/>
      <c r="J21" s="47"/>
    </row>
    <row r="22">
      <c r="A22" s="65"/>
      <c r="B22" s="64"/>
      <c r="C22" s="47"/>
      <c r="D22" s="47"/>
      <c r="E22" s="47"/>
      <c r="F22" s="47"/>
      <c r="G22" s="64"/>
      <c r="H22" s="47"/>
      <c r="I22" s="64"/>
      <c r="J22" s="47"/>
    </row>
    <row r="23">
      <c r="A23" s="65"/>
      <c r="B23" s="64"/>
      <c r="C23" s="47"/>
      <c r="D23" s="47"/>
      <c r="E23" s="47"/>
      <c r="F23" s="47"/>
      <c r="G23" s="64"/>
      <c r="H23" s="47"/>
      <c r="I23" s="64"/>
      <c r="J23" s="47"/>
    </row>
    <row r="24">
      <c r="A24" s="65"/>
      <c r="B24" s="64"/>
      <c r="C24" s="47"/>
      <c r="D24" s="47"/>
      <c r="E24" s="47"/>
      <c r="F24" s="47"/>
      <c r="G24" s="64"/>
      <c r="H24" s="47"/>
      <c r="I24" s="64"/>
      <c r="J24" s="47"/>
    </row>
    <row r="25">
      <c r="A25" s="65"/>
      <c r="B25" s="47"/>
      <c r="C25" s="47"/>
      <c r="D25" s="47"/>
      <c r="E25" s="47"/>
      <c r="F25" s="47"/>
      <c r="G25" s="47"/>
      <c r="H25" s="47"/>
      <c r="I25" s="47"/>
      <c r="J25" s="47"/>
    </row>
    <row r="26">
      <c r="A26" s="65"/>
      <c r="B26" s="47"/>
      <c r="C26" s="47"/>
      <c r="D26" s="47"/>
      <c r="E26" s="47"/>
      <c r="F26" s="47"/>
      <c r="G26" s="47"/>
      <c r="H26" s="47"/>
      <c r="I26" s="47"/>
      <c r="J26" s="47"/>
    </row>
    <row r="27">
      <c r="A27" s="65"/>
      <c r="B27" s="47"/>
      <c r="C27" s="47"/>
      <c r="D27" s="47"/>
      <c r="E27" s="47"/>
      <c r="F27" s="47"/>
      <c r="G27" s="47"/>
      <c r="H27" s="47"/>
      <c r="I27" s="47"/>
      <c r="J27" s="47"/>
    </row>
    <row r="28">
      <c r="A28" s="65"/>
      <c r="B28" s="47"/>
      <c r="C28" s="47"/>
      <c r="D28" s="47"/>
      <c r="E28" s="47"/>
      <c r="F28" s="47"/>
      <c r="G28" s="47"/>
      <c r="H28" s="47"/>
      <c r="I28" s="47"/>
      <c r="J28" s="47"/>
    </row>
    <row r="29">
      <c r="A29" s="65"/>
      <c r="B29" s="47"/>
      <c r="C29" s="47"/>
      <c r="D29" s="47"/>
      <c r="E29" s="47"/>
      <c r="F29" s="47"/>
      <c r="G29" s="47"/>
      <c r="H29" s="47"/>
      <c r="I29" s="47"/>
      <c r="J29" s="47"/>
    </row>
    <row r="30">
      <c r="A30" s="65"/>
      <c r="B30" s="47"/>
      <c r="C30" s="47"/>
      <c r="D30" s="47"/>
      <c r="E30" s="47"/>
      <c r="F30" s="47"/>
      <c r="G30" s="47"/>
      <c r="H30" s="47"/>
      <c r="I30" s="47"/>
      <c r="J30" s="47"/>
    </row>
    <row r="31">
      <c r="A31" s="65"/>
      <c r="B31" s="47"/>
      <c r="C31" s="47"/>
      <c r="D31" s="47"/>
      <c r="E31" s="47"/>
      <c r="F31" s="47"/>
      <c r="G31" s="47"/>
      <c r="H31" s="47"/>
      <c r="I31" s="47"/>
      <c r="J31" s="47"/>
    </row>
    <row r="32">
      <c r="A32" s="65"/>
      <c r="B32" s="47"/>
      <c r="C32" s="47"/>
      <c r="D32" s="47"/>
      <c r="E32" s="47"/>
      <c r="F32" s="47"/>
      <c r="G32" s="47"/>
      <c r="H32" s="47"/>
      <c r="I32" s="47"/>
      <c r="J32" s="47"/>
    </row>
    <row r="33">
      <c r="A33" s="65"/>
      <c r="B33" s="47"/>
      <c r="C33" s="47"/>
      <c r="D33" s="47"/>
      <c r="E33" s="47"/>
      <c r="F33" s="47"/>
      <c r="G33" s="47"/>
      <c r="H33" s="47"/>
      <c r="I33" s="47"/>
      <c r="J33" s="47"/>
    </row>
    <row r="34">
      <c r="A34" s="65"/>
      <c r="B34" s="47"/>
      <c r="C34" s="47"/>
      <c r="D34" s="47"/>
      <c r="E34" s="47"/>
      <c r="F34" s="47"/>
      <c r="G34" s="47"/>
      <c r="H34" s="47"/>
      <c r="I34" s="47"/>
      <c r="J34" s="47"/>
    </row>
    <row r="35">
      <c r="A35" s="65"/>
      <c r="B35" s="47"/>
      <c r="C35" s="47"/>
      <c r="D35" s="47"/>
      <c r="E35" s="47"/>
      <c r="F35" s="47"/>
      <c r="G35" s="47"/>
      <c r="H35" s="47"/>
      <c r="I35" s="47"/>
      <c r="J35" s="47"/>
    </row>
    <row r="36">
      <c r="A36" s="65"/>
      <c r="B36" s="47"/>
      <c r="C36" s="47"/>
      <c r="D36" s="47"/>
      <c r="E36" s="47"/>
      <c r="F36" s="47"/>
      <c r="G36" s="47"/>
      <c r="H36" s="47"/>
      <c r="I36" s="47"/>
      <c r="J36" s="47"/>
    </row>
    <row r="37">
      <c r="A37" s="65"/>
      <c r="B37" s="47"/>
      <c r="C37" s="47"/>
      <c r="D37" s="47"/>
      <c r="E37" s="47"/>
      <c r="F37" s="47"/>
      <c r="G37" s="47"/>
      <c r="H37" s="47"/>
      <c r="I37" s="47"/>
      <c r="J37" s="47"/>
    </row>
    <row r="38">
      <c r="A38" s="65"/>
      <c r="B38" s="47"/>
      <c r="C38" s="47"/>
      <c r="D38" s="47"/>
      <c r="E38" s="47"/>
      <c r="F38" s="47"/>
      <c r="G38" s="47"/>
      <c r="H38" s="47"/>
      <c r="I38" s="47"/>
      <c r="J38" s="47"/>
    </row>
    <row r="39">
      <c r="A39" s="65"/>
      <c r="B39" s="47"/>
      <c r="C39" s="47"/>
      <c r="D39" s="47"/>
      <c r="E39" s="47"/>
      <c r="F39" s="47"/>
      <c r="G39" s="47"/>
      <c r="H39" s="47"/>
      <c r="I39" s="47"/>
      <c r="J39" s="47"/>
    </row>
    <row r="40">
      <c r="A40" s="65"/>
      <c r="B40" s="47"/>
      <c r="C40" s="47"/>
      <c r="D40" s="47"/>
      <c r="E40" s="47"/>
      <c r="F40" s="47"/>
      <c r="G40" s="47"/>
      <c r="H40" s="47"/>
      <c r="I40" s="47"/>
      <c r="J40" s="47"/>
    </row>
    <row r="41">
      <c r="A41" s="65"/>
      <c r="B41" s="47"/>
      <c r="C41" s="47"/>
      <c r="D41" s="47"/>
      <c r="E41" s="47"/>
      <c r="F41" s="47"/>
      <c r="G41" s="47"/>
      <c r="H41" s="47"/>
      <c r="I41" s="47"/>
      <c r="J41" s="47"/>
    </row>
    <row r="42">
      <c r="A42" s="65"/>
      <c r="B42" s="47"/>
      <c r="C42" s="47"/>
      <c r="D42" s="47"/>
      <c r="E42" s="47"/>
      <c r="F42" s="47"/>
      <c r="G42" s="47"/>
      <c r="H42" s="47"/>
      <c r="I42" s="47"/>
      <c r="J42" s="47"/>
    </row>
    <row r="43">
      <c r="A43" s="65"/>
      <c r="B43" s="47"/>
      <c r="C43" s="47"/>
      <c r="D43" s="47"/>
      <c r="E43" s="47"/>
      <c r="F43" s="47"/>
      <c r="G43" s="47"/>
      <c r="H43" s="47"/>
      <c r="I43" s="47"/>
      <c r="J43" s="47"/>
    </row>
    <row r="44">
      <c r="A44" s="65"/>
      <c r="B44" s="47"/>
      <c r="C44" s="47"/>
      <c r="D44" s="47"/>
      <c r="E44" s="47"/>
      <c r="F44" s="47"/>
      <c r="G44" s="47"/>
      <c r="H44" s="47"/>
      <c r="I44" s="47"/>
      <c r="J44" s="47"/>
    </row>
    <row r="45">
      <c r="A45" s="65"/>
      <c r="B45" s="47"/>
      <c r="C45" s="47"/>
      <c r="D45" s="47"/>
      <c r="E45" s="47"/>
      <c r="F45" s="47"/>
      <c r="G45" s="47"/>
      <c r="H45" s="47"/>
      <c r="I45" s="47"/>
      <c r="J45" s="47"/>
    </row>
    <row r="46">
      <c r="A46" s="65"/>
      <c r="B46" s="47"/>
      <c r="C46" s="47"/>
      <c r="D46" s="47"/>
      <c r="E46" s="47"/>
      <c r="F46" s="47"/>
      <c r="G46" s="47"/>
      <c r="H46" s="47"/>
      <c r="I46" s="47"/>
      <c r="J46" s="47"/>
    </row>
    <row r="47">
      <c r="A47" s="65"/>
      <c r="B47" s="47"/>
      <c r="C47" s="47"/>
      <c r="D47" s="47"/>
      <c r="E47" s="47"/>
      <c r="F47" s="47"/>
      <c r="G47" s="47"/>
      <c r="H47" s="47"/>
      <c r="I47" s="47"/>
      <c r="J47" s="47"/>
    </row>
    <row r="48">
      <c r="A48" s="65"/>
      <c r="B48" s="47"/>
      <c r="C48" s="47"/>
      <c r="D48" s="47"/>
      <c r="E48" s="47"/>
      <c r="F48" s="47"/>
      <c r="G48" s="47"/>
      <c r="H48" s="47"/>
      <c r="I48" s="47"/>
      <c r="J48" s="47"/>
    </row>
    <row r="49">
      <c r="A49" s="65"/>
      <c r="B49" s="47"/>
      <c r="C49" s="47"/>
      <c r="D49" s="47"/>
      <c r="E49" s="47"/>
      <c r="F49" s="47"/>
      <c r="G49" s="47"/>
      <c r="H49" s="47"/>
      <c r="I49" s="47"/>
      <c r="J49" s="47"/>
    </row>
    <row r="50">
      <c r="A50" s="65"/>
      <c r="B50" s="47"/>
      <c r="C50" s="47"/>
      <c r="D50" s="47"/>
      <c r="E50" s="47"/>
      <c r="F50" s="47"/>
      <c r="G50" s="47"/>
      <c r="H50" s="47"/>
      <c r="I50" s="47"/>
      <c r="J50" s="47"/>
    </row>
    <row r="51">
      <c r="A51" s="65"/>
      <c r="B51" s="47"/>
      <c r="C51" s="47"/>
      <c r="D51" s="47"/>
      <c r="E51" s="47"/>
      <c r="F51" s="47"/>
      <c r="G51" s="47"/>
      <c r="H51" s="47"/>
      <c r="I51" s="47"/>
      <c r="J51" s="47"/>
    </row>
    <row r="52">
      <c r="A52" s="65"/>
      <c r="B52" s="47"/>
      <c r="C52" s="47"/>
      <c r="D52" s="47"/>
      <c r="E52" s="47"/>
      <c r="F52" s="47"/>
      <c r="G52" s="47"/>
      <c r="H52" s="47"/>
      <c r="I52" s="47"/>
      <c r="J52" s="47"/>
    </row>
    <row r="53">
      <c r="A53" s="65"/>
      <c r="B53" s="47"/>
      <c r="C53" s="47"/>
      <c r="D53" s="47"/>
      <c r="E53" s="47"/>
      <c r="F53" s="47"/>
      <c r="G53" s="47"/>
      <c r="H53" s="47"/>
      <c r="I53" s="47"/>
      <c r="J53" s="47"/>
    </row>
    <row r="54">
      <c r="A54" s="65"/>
      <c r="B54" s="47"/>
      <c r="C54" s="47"/>
      <c r="D54" s="47"/>
      <c r="E54" s="47"/>
      <c r="F54" s="47"/>
      <c r="G54" s="47"/>
      <c r="H54" s="47"/>
      <c r="I54" s="47"/>
      <c r="J54" s="47"/>
    </row>
    <row r="55">
      <c r="A55" s="65"/>
      <c r="B55" s="47"/>
      <c r="C55" s="47"/>
      <c r="D55" s="47"/>
      <c r="E55" s="47"/>
      <c r="F55" s="47"/>
      <c r="G55" s="47"/>
      <c r="H55" s="47"/>
      <c r="I55" s="47"/>
      <c r="J55" s="47"/>
    </row>
    <row r="56">
      <c r="A56" s="65"/>
      <c r="B56" s="47"/>
      <c r="C56" s="47"/>
      <c r="D56" s="47"/>
      <c r="E56" s="47"/>
      <c r="F56" s="47"/>
      <c r="G56" s="47"/>
      <c r="H56" s="47"/>
      <c r="I56" s="47"/>
      <c r="J56" s="47"/>
    </row>
    <row r="57">
      <c r="A57" s="65"/>
      <c r="B57" s="47"/>
      <c r="C57" s="47"/>
      <c r="D57" s="47"/>
      <c r="E57" s="47"/>
      <c r="F57" s="47"/>
      <c r="G57" s="47"/>
      <c r="H57" s="47"/>
      <c r="I57" s="47"/>
      <c r="J57" s="47"/>
    </row>
    <row r="58">
      <c r="A58" s="65"/>
      <c r="B58" s="47"/>
      <c r="C58" s="47"/>
      <c r="D58" s="47"/>
      <c r="E58" s="47"/>
      <c r="F58" s="47"/>
      <c r="G58" s="47"/>
      <c r="H58" s="47"/>
      <c r="I58" s="47"/>
      <c r="J58" s="47"/>
    </row>
    <row r="59">
      <c r="A59" s="65"/>
      <c r="B59" s="47"/>
      <c r="C59" s="47"/>
      <c r="D59" s="47"/>
      <c r="E59" s="47"/>
      <c r="F59" s="47"/>
      <c r="G59" s="47"/>
      <c r="H59" s="47"/>
      <c r="I59" s="47"/>
      <c r="J59" s="47"/>
    </row>
    <row r="60">
      <c r="A60" s="65"/>
      <c r="B60" s="47"/>
      <c r="C60" s="47"/>
      <c r="D60" s="47"/>
      <c r="E60" s="47"/>
      <c r="F60" s="47"/>
      <c r="G60" s="47"/>
      <c r="H60" s="47"/>
      <c r="I60" s="47"/>
      <c r="J60" s="47"/>
    </row>
    <row r="61">
      <c r="A61" s="65"/>
      <c r="B61" s="47"/>
      <c r="C61" s="47"/>
      <c r="D61" s="47"/>
      <c r="E61" s="47"/>
      <c r="F61" s="47"/>
      <c r="G61" s="47"/>
      <c r="H61" s="47"/>
      <c r="I61" s="47"/>
      <c r="J61" s="47"/>
    </row>
    <row r="62">
      <c r="A62" s="65"/>
      <c r="B62" s="47"/>
      <c r="C62" s="47"/>
      <c r="D62" s="47"/>
      <c r="E62" s="47"/>
      <c r="F62" s="47"/>
      <c r="G62" s="47"/>
      <c r="H62" s="47"/>
      <c r="I62" s="47"/>
      <c r="J62" s="47"/>
    </row>
    <row r="63">
      <c r="A63" s="65"/>
      <c r="B63" s="47"/>
      <c r="C63" s="47"/>
      <c r="D63" s="47"/>
      <c r="E63" s="47"/>
      <c r="F63" s="47"/>
      <c r="G63" s="47"/>
      <c r="H63" s="47"/>
      <c r="I63" s="47"/>
      <c r="J63" s="47"/>
    </row>
    <row r="64">
      <c r="A64" s="65"/>
      <c r="B64" s="47"/>
      <c r="C64" s="47"/>
      <c r="D64" s="47"/>
      <c r="E64" s="47"/>
      <c r="F64" s="47"/>
      <c r="G64" s="47"/>
      <c r="H64" s="47"/>
      <c r="I64" s="47"/>
      <c r="J64" s="47"/>
    </row>
    <row r="65">
      <c r="A65" s="65"/>
      <c r="B65" s="47"/>
      <c r="C65" s="47"/>
      <c r="D65" s="47"/>
      <c r="E65" s="47"/>
      <c r="F65" s="47"/>
      <c r="G65" s="47"/>
      <c r="H65" s="47"/>
      <c r="I65" s="47"/>
      <c r="J65" s="47"/>
    </row>
    <row r="66">
      <c r="A66" s="65"/>
      <c r="B66" s="47"/>
      <c r="C66" s="47"/>
      <c r="D66" s="47"/>
      <c r="E66" s="47"/>
      <c r="F66" s="47"/>
      <c r="G66" s="47"/>
      <c r="H66" s="47"/>
      <c r="I66" s="47"/>
      <c r="J66" s="47"/>
    </row>
    <row r="67">
      <c r="A67" s="65"/>
      <c r="B67" s="47"/>
      <c r="C67" s="47"/>
      <c r="D67" s="47"/>
      <c r="E67" s="47"/>
      <c r="F67" s="47"/>
      <c r="G67" s="47"/>
      <c r="H67" s="47"/>
      <c r="I67" s="47"/>
      <c r="J67" s="47"/>
    </row>
    <row r="68">
      <c r="A68" s="65"/>
      <c r="B68" s="47"/>
      <c r="C68" s="47"/>
      <c r="D68" s="47"/>
      <c r="E68" s="47"/>
      <c r="F68" s="47"/>
      <c r="G68" s="47"/>
      <c r="H68" s="47"/>
      <c r="I68" s="47"/>
      <c r="J68" s="47"/>
    </row>
    <row r="69">
      <c r="A69" s="65"/>
      <c r="B69" s="47"/>
      <c r="C69" s="47"/>
      <c r="D69" s="47"/>
      <c r="E69" s="47"/>
      <c r="F69" s="47"/>
      <c r="G69" s="47"/>
      <c r="H69" s="47"/>
      <c r="I69" s="47"/>
      <c r="J69" s="47"/>
    </row>
    <row r="70">
      <c r="A70" s="65"/>
      <c r="B70" s="47"/>
      <c r="C70" s="47"/>
      <c r="D70" s="47"/>
      <c r="E70" s="47"/>
      <c r="F70" s="47"/>
      <c r="G70" s="47"/>
      <c r="H70" s="47"/>
      <c r="I70" s="47"/>
      <c r="J70" s="47"/>
    </row>
    <row r="71">
      <c r="A71" s="65"/>
      <c r="B71" s="47"/>
      <c r="C71" s="47"/>
      <c r="D71" s="47"/>
      <c r="E71" s="47"/>
      <c r="F71" s="47"/>
      <c r="G71" s="47"/>
      <c r="H71" s="47"/>
      <c r="I71" s="47"/>
      <c r="J71" s="47"/>
    </row>
    <row r="72">
      <c r="A72" s="65"/>
      <c r="B72" s="47"/>
      <c r="C72" s="47"/>
      <c r="D72" s="47"/>
      <c r="E72" s="47"/>
      <c r="F72" s="47"/>
      <c r="G72" s="47"/>
      <c r="H72" s="47"/>
      <c r="I72" s="47"/>
      <c r="J72" s="47"/>
    </row>
    <row r="73">
      <c r="A73" s="65"/>
      <c r="B73" s="47"/>
      <c r="C73" s="47"/>
      <c r="D73" s="47"/>
      <c r="E73" s="47"/>
      <c r="F73" s="47"/>
      <c r="G73" s="47"/>
      <c r="H73" s="47"/>
      <c r="I73" s="47"/>
      <c r="J73" s="47"/>
    </row>
    <row r="74">
      <c r="A74" s="65"/>
      <c r="B74" s="47"/>
      <c r="C74" s="47"/>
      <c r="D74" s="47"/>
      <c r="E74" s="47"/>
      <c r="F74" s="47"/>
      <c r="G74" s="47"/>
      <c r="H74" s="47"/>
      <c r="I74" s="47"/>
      <c r="J74" s="47"/>
    </row>
    <row r="75">
      <c r="A75" s="65"/>
      <c r="B75" s="47"/>
      <c r="C75" s="47"/>
      <c r="D75" s="47"/>
      <c r="E75" s="47"/>
      <c r="F75" s="47"/>
      <c r="G75" s="47"/>
      <c r="H75" s="47"/>
      <c r="I75" s="47"/>
      <c r="J75" s="47"/>
    </row>
    <row r="76">
      <c r="A76" s="65"/>
      <c r="B76" s="47"/>
      <c r="C76" s="47"/>
      <c r="D76" s="47"/>
      <c r="E76" s="47"/>
      <c r="F76" s="47"/>
      <c r="G76" s="47"/>
      <c r="H76" s="47"/>
      <c r="I76" s="47"/>
      <c r="J76" s="47"/>
    </row>
    <row r="77">
      <c r="A77" s="65"/>
      <c r="B77" s="47"/>
      <c r="C77" s="47"/>
      <c r="D77" s="47"/>
      <c r="E77" s="47"/>
      <c r="F77" s="47"/>
      <c r="G77" s="47"/>
      <c r="H77" s="47"/>
      <c r="I77" s="47"/>
      <c r="J77" s="47"/>
    </row>
    <row r="78">
      <c r="A78" s="65"/>
      <c r="B78" s="47"/>
      <c r="C78" s="47"/>
      <c r="D78" s="47"/>
      <c r="E78" s="47"/>
      <c r="F78" s="47"/>
      <c r="G78" s="47"/>
      <c r="H78" s="47"/>
      <c r="I78" s="47"/>
      <c r="J78" s="47"/>
    </row>
    <row r="79">
      <c r="A79" s="65"/>
      <c r="B79" s="47"/>
      <c r="C79" s="47"/>
      <c r="D79" s="47"/>
      <c r="E79" s="47"/>
      <c r="F79" s="47"/>
      <c r="G79" s="47"/>
      <c r="H79" s="47"/>
      <c r="I79" s="47"/>
      <c r="J79" s="47"/>
    </row>
    <row r="80">
      <c r="A80" s="65"/>
      <c r="B80" s="47"/>
      <c r="C80" s="47"/>
      <c r="D80" s="47"/>
      <c r="E80" s="47"/>
      <c r="F80" s="47"/>
      <c r="G80" s="47"/>
      <c r="H80" s="47"/>
      <c r="I80" s="47"/>
      <c r="J80" s="47"/>
    </row>
    <row r="81">
      <c r="A81" s="65"/>
      <c r="B81" s="47"/>
      <c r="C81" s="47"/>
      <c r="D81" s="47"/>
      <c r="E81" s="47"/>
      <c r="F81" s="47"/>
      <c r="G81" s="47"/>
      <c r="H81" s="47"/>
      <c r="I81" s="47"/>
      <c r="J81" s="47"/>
    </row>
    <row r="82">
      <c r="A82" s="65"/>
      <c r="B82" s="47"/>
      <c r="C82" s="47"/>
      <c r="D82" s="47"/>
      <c r="E82" s="47"/>
      <c r="F82" s="47"/>
      <c r="G82" s="47"/>
      <c r="H82" s="47"/>
      <c r="I82" s="47"/>
      <c r="J82" s="47"/>
    </row>
    <row r="83">
      <c r="A83" s="65"/>
      <c r="B83" s="47"/>
      <c r="C83" s="47"/>
      <c r="D83" s="47"/>
      <c r="E83" s="47"/>
      <c r="F83" s="47"/>
      <c r="G83" s="47"/>
      <c r="H83" s="47"/>
      <c r="I83" s="47"/>
      <c r="J83" s="47"/>
    </row>
    <row r="84">
      <c r="A84" s="65"/>
      <c r="B84" s="47"/>
      <c r="C84" s="47"/>
      <c r="D84" s="47"/>
      <c r="E84" s="47"/>
      <c r="F84" s="47"/>
      <c r="G84" s="47"/>
      <c r="H84" s="47"/>
      <c r="I84" s="47"/>
      <c r="J84" s="47"/>
    </row>
    <row r="85">
      <c r="A85" s="65"/>
      <c r="B85" s="47"/>
      <c r="C85" s="47"/>
      <c r="D85" s="47"/>
      <c r="E85" s="47"/>
      <c r="F85" s="47"/>
      <c r="G85" s="47"/>
      <c r="H85" s="47"/>
      <c r="I85" s="47"/>
      <c r="J85" s="47"/>
    </row>
    <row r="86">
      <c r="A86" s="65"/>
      <c r="B86" s="47"/>
      <c r="C86" s="47"/>
      <c r="D86" s="47"/>
      <c r="E86" s="47"/>
      <c r="F86" s="47"/>
      <c r="G86" s="47"/>
      <c r="H86" s="47"/>
      <c r="I86" s="47"/>
      <c r="J86" s="47"/>
    </row>
    <row r="87">
      <c r="A87" s="65"/>
      <c r="B87" s="47"/>
      <c r="C87" s="47"/>
      <c r="D87" s="47"/>
      <c r="E87" s="47"/>
      <c r="F87" s="47"/>
      <c r="G87" s="47"/>
      <c r="H87" s="47"/>
      <c r="I87" s="47"/>
      <c r="J87" s="47"/>
    </row>
    <row r="88">
      <c r="A88" s="65"/>
      <c r="B88" s="47"/>
      <c r="C88" s="47"/>
      <c r="D88" s="47"/>
      <c r="E88" s="47"/>
      <c r="F88" s="47"/>
      <c r="G88" s="47"/>
      <c r="H88" s="47"/>
      <c r="I88" s="47"/>
      <c r="J88" s="47"/>
    </row>
    <row r="89">
      <c r="A89" s="65"/>
      <c r="B89" s="47"/>
      <c r="C89" s="47"/>
      <c r="D89" s="47"/>
      <c r="E89" s="47"/>
      <c r="F89" s="47"/>
      <c r="G89" s="47"/>
      <c r="H89" s="47"/>
      <c r="I89" s="47"/>
      <c r="J89" s="47"/>
    </row>
    <row r="90">
      <c r="A90" s="65"/>
      <c r="B90" s="47"/>
      <c r="C90" s="47"/>
      <c r="D90" s="47"/>
      <c r="E90" s="47"/>
      <c r="F90" s="47"/>
      <c r="G90" s="47"/>
      <c r="H90" s="47"/>
      <c r="I90" s="47"/>
      <c r="J90" s="47"/>
    </row>
    <row r="91">
      <c r="A91" s="65"/>
      <c r="B91" s="47"/>
      <c r="C91" s="47"/>
      <c r="D91" s="47"/>
      <c r="E91" s="47"/>
      <c r="F91" s="47"/>
      <c r="G91" s="47"/>
      <c r="H91" s="47"/>
      <c r="I91" s="47"/>
      <c r="J91" s="47"/>
    </row>
    <row r="92">
      <c r="A92" s="65"/>
      <c r="B92" s="47"/>
      <c r="C92" s="47"/>
      <c r="D92" s="47"/>
      <c r="E92" s="47"/>
      <c r="F92" s="47"/>
      <c r="G92" s="47"/>
      <c r="H92" s="47"/>
      <c r="I92" s="47"/>
      <c r="J92" s="47"/>
    </row>
    <row r="93">
      <c r="A93" s="65"/>
      <c r="B93" s="47"/>
      <c r="C93" s="47"/>
      <c r="D93" s="47"/>
      <c r="E93" s="47"/>
      <c r="F93" s="47"/>
      <c r="G93" s="47"/>
      <c r="H93" s="47"/>
      <c r="I93" s="47"/>
      <c r="J93" s="47"/>
    </row>
    <row r="94">
      <c r="A94" s="65"/>
      <c r="B94" s="47"/>
      <c r="C94" s="47"/>
      <c r="D94" s="47"/>
      <c r="E94" s="47"/>
      <c r="F94" s="47"/>
      <c r="G94" s="47"/>
      <c r="H94" s="47"/>
      <c r="I94" s="47"/>
      <c r="J94" s="47"/>
    </row>
    <row r="95">
      <c r="A95" s="65"/>
      <c r="B95" s="47"/>
      <c r="C95" s="47"/>
      <c r="D95" s="47"/>
      <c r="E95" s="47"/>
      <c r="F95" s="47"/>
      <c r="G95" s="47"/>
      <c r="H95" s="47"/>
      <c r="I95" s="47"/>
      <c r="J95" s="47"/>
    </row>
    <row r="96">
      <c r="A96" s="65"/>
      <c r="B96" s="47"/>
      <c r="C96" s="47"/>
      <c r="D96" s="47"/>
      <c r="E96" s="47"/>
      <c r="F96" s="47"/>
      <c r="G96" s="47"/>
      <c r="H96" s="47"/>
      <c r="I96" s="47"/>
      <c r="J96" s="47"/>
    </row>
    <row r="97">
      <c r="A97" s="65"/>
      <c r="B97" s="47"/>
      <c r="C97" s="47"/>
      <c r="D97" s="47"/>
      <c r="E97" s="47"/>
      <c r="F97" s="47"/>
      <c r="G97" s="47"/>
      <c r="H97" s="47"/>
      <c r="I97" s="47"/>
      <c r="J97" s="47"/>
    </row>
    <row r="98">
      <c r="A98" s="65"/>
      <c r="B98" s="47"/>
      <c r="C98" s="47"/>
      <c r="D98" s="47"/>
      <c r="E98" s="47"/>
      <c r="F98" s="47"/>
      <c r="G98" s="47"/>
      <c r="H98" s="47"/>
      <c r="I98" s="47"/>
      <c r="J98" s="47"/>
    </row>
    <row r="99">
      <c r="A99" s="65"/>
      <c r="B99" s="47"/>
      <c r="C99" s="47"/>
      <c r="D99" s="47"/>
      <c r="E99" s="47"/>
      <c r="F99" s="47"/>
      <c r="G99" s="47"/>
      <c r="H99" s="47"/>
      <c r="I99" s="47"/>
      <c r="J99" s="47"/>
    </row>
    <row r="100">
      <c r="A100" s="65"/>
      <c r="B100" s="47"/>
      <c r="C100" s="47"/>
      <c r="D100" s="47"/>
      <c r="E100" s="47"/>
      <c r="F100" s="47"/>
      <c r="G100" s="47"/>
      <c r="H100" s="47"/>
      <c r="I100" s="47"/>
      <c r="J100" s="47"/>
    </row>
    <row r="101">
      <c r="A101" s="65"/>
      <c r="B101" s="47"/>
      <c r="C101" s="47"/>
      <c r="D101" s="47"/>
      <c r="E101" s="47"/>
      <c r="F101" s="47"/>
      <c r="G101" s="47"/>
      <c r="H101" s="47"/>
      <c r="I101" s="47"/>
      <c r="J101" s="47"/>
    </row>
    <row r="102">
      <c r="A102" s="65"/>
      <c r="B102" s="47"/>
      <c r="C102" s="47"/>
      <c r="D102" s="47"/>
      <c r="E102" s="47"/>
      <c r="F102" s="47"/>
      <c r="G102" s="47"/>
      <c r="H102" s="47"/>
      <c r="I102" s="47"/>
      <c r="J102" s="47"/>
    </row>
    <row r="103">
      <c r="A103" s="65"/>
      <c r="B103" s="47"/>
      <c r="C103" s="47"/>
      <c r="D103" s="47"/>
      <c r="E103" s="47"/>
      <c r="F103" s="47"/>
      <c r="G103" s="47"/>
      <c r="H103" s="47"/>
      <c r="I103" s="47"/>
      <c r="J103" s="47"/>
    </row>
    <row r="104">
      <c r="A104" s="65"/>
      <c r="B104" s="47"/>
      <c r="C104" s="47"/>
      <c r="D104" s="47"/>
      <c r="E104" s="47"/>
      <c r="F104" s="47"/>
      <c r="G104" s="47"/>
      <c r="H104" s="47"/>
      <c r="I104" s="47"/>
      <c r="J104" s="47"/>
    </row>
    <row r="105">
      <c r="A105" s="65"/>
      <c r="B105" s="47"/>
      <c r="C105" s="47"/>
      <c r="D105" s="47"/>
      <c r="E105" s="47"/>
      <c r="F105" s="47"/>
      <c r="G105" s="47"/>
      <c r="H105" s="47"/>
      <c r="I105" s="47"/>
      <c r="J105" s="47"/>
    </row>
    <row r="106">
      <c r="A106" s="65"/>
      <c r="B106" s="47"/>
      <c r="C106" s="47"/>
      <c r="D106" s="47"/>
      <c r="E106" s="47"/>
      <c r="F106" s="47"/>
      <c r="G106" s="47"/>
      <c r="H106" s="47"/>
      <c r="I106" s="47"/>
      <c r="J106" s="47"/>
    </row>
    <row r="107">
      <c r="A107" s="65"/>
      <c r="B107" s="47"/>
      <c r="C107" s="47"/>
      <c r="D107" s="47"/>
      <c r="E107" s="47"/>
      <c r="F107" s="47"/>
      <c r="G107" s="47"/>
      <c r="H107" s="47"/>
      <c r="I107" s="47"/>
      <c r="J107" s="47"/>
    </row>
    <row r="108">
      <c r="A108" s="65"/>
      <c r="B108" s="47"/>
      <c r="C108" s="47"/>
      <c r="D108" s="47"/>
      <c r="E108" s="47"/>
      <c r="F108" s="47"/>
      <c r="G108" s="47"/>
      <c r="H108" s="47"/>
      <c r="I108" s="47"/>
      <c r="J108" s="47"/>
    </row>
    <row r="109">
      <c r="A109" s="65"/>
      <c r="B109" s="47"/>
      <c r="C109" s="47"/>
      <c r="D109" s="47"/>
      <c r="E109" s="47"/>
      <c r="F109" s="47"/>
      <c r="G109" s="47"/>
      <c r="H109" s="47"/>
      <c r="I109" s="47"/>
      <c r="J109" s="47"/>
    </row>
    <row r="110">
      <c r="A110" s="65"/>
      <c r="B110" s="47"/>
      <c r="C110" s="47"/>
      <c r="D110" s="47"/>
      <c r="E110" s="47"/>
      <c r="F110" s="47"/>
      <c r="G110" s="47"/>
      <c r="H110" s="47"/>
      <c r="I110" s="47"/>
      <c r="J110" s="47"/>
    </row>
    <row r="111">
      <c r="A111" s="65"/>
      <c r="B111" s="47"/>
      <c r="C111" s="47"/>
      <c r="D111" s="47"/>
      <c r="E111" s="47"/>
      <c r="F111" s="47"/>
      <c r="G111" s="47"/>
      <c r="H111" s="47"/>
      <c r="I111" s="47"/>
      <c r="J111" s="47"/>
    </row>
    <row r="112">
      <c r="A112" s="65"/>
      <c r="B112" s="47"/>
      <c r="C112" s="47"/>
      <c r="D112" s="47"/>
      <c r="E112" s="47"/>
      <c r="F112" s="47"/>
      <c r="G112" s="47"/>
      <c r="H112" s="47"/>
      <c r="I112" s="47"/>
      <c r="J112" s="47"/>
    </row>
    <row r="113">
      <c r="A113" s="65"/>
      <c r="B113" s="47"/>
      <c r="C113" s="47"/>
      <c r="D113" s="47"/>
      <c r="E113" s="47"/>
      <c r="F113" s="47"/>
      <c r="G113" s="47"/>
      <c r="H113" s="47"/>
      <c r="I113" s="47"/>
      <c r="J113" s="47"/>
    </row>
    <row r="114">
      <c r="A114" s="65"/>
      <c r="B114" s="47"/>
      <c r="C114" s="47"/>
      <c r="D114" s="47"/>
      <c r="E114" s="47"/>
      <c r="F114" s="47"/>
      <c r="G114" s="47"/>
      <c r="H114" s="47"/>
      <c r="I114" s="47"/>
      <c r="J114" s="47"/>
    </row>
    <row r="115">
      <c r="A115" s="65"/>
      <c r="B115" s="47"/>
      <c r="C115" s="47"/>
      <c r="D115" s="47"/>
      <c r="E115" s="47"/>
      <c r="F115" s="47"/>
      <c r="G115" s="47"/>
      <c r="H115" s="47"/>
      <c r="I115" s="47"/>
      <c r="J115" s="47"/>
    </row>
    <row r="116">
      <c r="A116" s="65"/>
      <c r="B116" s="47"/>
      <c r="C116" s="47"/>
      <c r="D116" s="47"/>
      <c r="E116" s="47"/>
      <c r="F116" s="47"/>
      <c r="G116" s="47"/>
      <c r="H116" s="47"/>
      <c r="I116" s="47"/>
      <c r="J116" s="47"/>
    </row>
    <row r="117">
      <c r="A117" s="65"/>
      <c r="B117" s="47"/>
      <c r="C117" s="47"/>
      <c r="D117" s="47"/>
      <c r="E117" s="47"/>
      <c r="F117" s="47"/>
      <c r="G117" s="47"/>
      <c r="H117" s="47"/>
      <c r="I117" s="47"/>
      <c r="J117" s="47"/>
    </row>
    <row r="118">
      <c r="A118" s="65"/>
      <c r="B118" s="47"/>
      <c r="C118" s="47"/>
      <c r="D118" s="47"/>
      <c r="E118" s="47"/>
      <c r="F118" s="47"/>
      <c r="G118" s="47"/>
      <c r="H118" s="47"/>
      <c r="I118" s="47"/>
      <c r="J118" s="47"/>
    </row>
    <row r="119">
      <c r="A119" s="65"/>
      <c r="B119" s="47"/>
      <c r="C119" s="47"/>
      <c r="D119" s="47"/>
      <c r="E119" s="47"/>
      <c r="F119" s="47"/>
      <c r="G119" s="47"/>
      <c r="H119" s="47"/>
      <c r="I119" s="47"/>
      <c r="J119" s="47"/>
    </row>
    <row r="120">
      <c r="A120" s="65"/>
      <c r="B120" s="47"/>
      <c r="C120" s="47"/>
      <c r="D120" s="47"/>
      <c r="E120" s="47"/>
      <c r="F120" s="47"/>
      <c r="G120" s="47"/>
      <c r="H120" s="47"/>
      <c r="I120" s="47"/>
      <c r="J120" s="47"/>
    </row>
    <row r="121">
      <c r="A121" s="65"/>
      <c r="B121" s="47"/>
      <c r="C121" s="47"/>
      <c r="D121" s="47"/>
      <c r="E121" s="47"/>
      <c r="F121" s="47"/>
      <c r="G121" s="47"/>
      <c r="H121" s="47"/>
      <c r="I121" s="47"/>
      <c r="J121" s="47"/>
    </row>
    <row r="122">
      <c r="A122" s="65"/>
      <c r="B122" s="47"/>
      <c r="C122" s="47"/>
      <c r="D122" s="47"/>
      <c r="E122" s="47"/>
      <c r="F122" s="47"/>
      <c r="G122" s="47"/>
      <c r="H122" s="47"/>
      <c r="I122" s="47"/>
      <c r="J122" s="47"/>
    </row>
    <row r="123">
      <c r="A123" s="65"/>
      <c r="B123" s="47"/>
      <c r="C123" s="47"/>
      <c r="D123" s="47"/>
      <c r="E123" s="47"/>
      <c r="F123" s="47"/>
      <c r="G123" s="47"/>
      <c r="H123" s="47"/>
      <c r="I123" s="47"/>
      <c r="J123" s="47"/>
    </row>
    <row r="124">
      <c r="A124" s="65"/>
      <c r="B124" s="47"/>
      <c r="C124" s="47"/>
      <c r="D124" s="47"/>
      <c r="E124" s="47"/>
      <c r="F124" s="47"/>
      <c r="G124" s="47"/>
      <c r="H124" s="47"/>
      <c r="I124" s="47"/>
      <c r="J124" s="47"/>
    </row>
    <row r="125">
      <c r="A125" s="65"/>
      <c r="B125" s="47"/>
      <c r="C125" s="47"/>
      <c r="D125" s="47"/>
      <c r="E125" s="47"/>
      <c r="F125" s="47"/>
      <c r="G125" s="47"/>
      <c r="H125" s="47"/>
      <c r="I125" s="47"/>
      <c r="J125" s="47"/>
    </row>
    <row r="126">
      <c r="A126" s="65"/>
      <c r="B126" s="47"/>
      <c r="C126" s="47"/>
      <c r="D126" s="47"/>
      <c r="E126" s="47"/>
      <c r="F126" s="47"/>
      <c r="G126" s="47"/>
      <c r="H126" s="47"/>
      <c r="I126" s="47"/>
      <c r="J126" s="47"/>
    </row>
    <row r="127">
      <c r="A127" s="65"/>
      <c r="B127" s="47"/>
      <c r="C127" s="47"/>
      <c r="D127" s="47"/>
      <c r="E127" s="47"/>
      <c r="F127" s="47"/>
      <c r="G127" s="47"/>
      <c r="H127" s="47"/>
      <c r="I127" s="47"/>
      <c r="J127" s="47"/>
    </row>
    <row r="128">
      <c r="A128" s="65"/>
      <c r="B128" s="47"/>
      <c r="C128" s="47"/>
      <c r="D128" s="47"/>
      <c r="E128" s="47"/>
      <c r="F128" s="47"/>
      <c r="G128" s="47"/>
      <c r="H128" s="47"/>
      <c r="I128" s="47"/>
      <c r="J128" s="47"/>
    </row>
    <row r="129">
      <c r="A129" s="65"/>
      <c r="B129" s="47"/>
      <c r="C129" s="47"/>
      <c r="D129" s="47"/>
      <c r="E129" s="47"/>
      <c r="F129" s="47"/>
      <c r="G129" s="47"/>
      <c r="H129" s="47"/>
      <c r="I129" s="47"/>
      <c r="J129" s="47"/>
    </row>
    <row r="130">
      <c r="A130" s="65"/>
      <c r="B130" s="47"/>
      <c r="C130" s="47"/>
      <c r="D130" s="47"/>
      <c r="E130" s="47"/>
      <c r="F130" s="47"/>
      <c r="G130" s="47"/>
      <c r="H130" s="47"/>
      <c r="I130" s="47"/>
      <c r="J130" s="47"/>
    </row>
    <row r="131">
      <c r="A131" s="65"/>
      <c r="B131" s="47"/>
      <c r="C131" s="47"/>
      <c r="D131" s="47"/>
      <c r="E131" s="47"/>
      <c r="F131" s="47"/>
      <c r="G131" s="47"/>
      <c r="H131" s="47"/>
      <c r="I131" s="47"/>
      <c r="J131" s="47"/>
    </row>
    <row r="132">
      <c r="A132" s="65"/>
      <c r="B132" s="47"/>
      <c r="C132" s="47"/>
      <c r="D132" s="47"/>
      <c r="E132" s="47"/>
      <c r="F132" s="47"/>
      <c r="G132" s="47"/>
      <c r="H132" s="47"/>
      <c r="I132" s="47"/>
      <c r="J132" s="47"/>
    </row>
    <row r="133">
      <c r="A133" s="65"/>
      <c r="B133" s="47"/>
      <c r="C133" s="47"/>
      <c r="D133" s="47"/>
      <c r="E133" s="47"/>
      <c r="F133" s="47"/>
      <c r="G133" s="47"/>
      <c r="H133" s="47"/>
      <c r="I133" s="47"/>
      <c r="J133" s="47"/>
    </row>
    <row r="134">
      <c r="A134" s="65"/>
      <c r="B134" s="47"/>
      <c r="C134" s="47"/>
      <c r="D134" s="47"/>
      <c r="E134" s="47"/>
      <c r="F134" s="47"/>
      <c r="G134" s="47"/>
      <c r="H134" s="47"/>
      <c r="I134" s="47"/>
      <c r="J134" s="47"/>
    </row>
    <row r="135">
      <c r="A135" s="65"/>
      <c r="B135" s="47"/>
      <c r="C135" s="47"/>
      <c r="D135" s="47"/>
      <c r="E135" s="47"/>
      <c r="F135" s="47"/>
      <c r="G135" s="47"/>
      <c r="H135" s="47"/>
      <c r="I135" s="47"/>
      <c r="J135" s="47"/>
    </row>
    <row r="136">
      <c r="A136" s="65"/>
      <c r="B136" s="47"/>
      <c r="C136" s="47"/>
      <c r="D136" s="47"/>
      <c r="E136" s="47"/>
      <c r="F136" s="47"/>
      <c r="G136" s="47"/>
      <c r="H136" s="47"/>
      <c r="I136" s="47"/>
      <c r="J136" s="47"/>
    </row>
    <row r="137">
      <c r="A137" s="65"/>
      <c r="B137" s="47"/>
      <c r="C137" s="47"/>
      <c r="D137" s="47"/>
      <c r="E137" s="47"/>
      <c r="F137" s="47"/>
      <c r="G137" s="47"/>
      <c r="H137" s="47"/>
      <c r="I137" s="47"/>
      <c r="J137" s="47"/>
    </row>
    <row r="138">
      <c r="A138" s="65"/>
      <c r="B138" s="47"/>
      <c r="C138" s="47"/>
      <c r="D138" s="47"/>
      <c r="E138" s="47"/>
      <c r="F138" s="47"/>
      <c r="G138" s="47"/>
      <c r="H138" s="47"/>
      <c r="I138" s="47"/>
      <c r="J138" s="47"/>
    </row>
    <row r="139">
      <c r="A139" s="65"/>
      <c r="B139" s="47"/>
      <c r="C139" s="47"/>
      <c r="D139" s="47"/>
      <c r="E139" s="47"/>
      <c r="F139" s="47"/>
      <c r="G139" s="47"/>
      <c r="H139" s="47"/>
      <c r="I139" s="47"/>
      <c r="J139" s="47"/>
    </row>
    <row r="140">
      <c r="A140" s="65"/>
      <c r="B140" s="47"/>
      <c r="C140" s="47"/>
      <c r="D140" s="47"/>
      <c r="E140" s="47"/>
      <c r="F140" s="47"/>
      <c r="G140" s="47"/>
      <c r="H140" s="47"/>
      <c r="I140" s="47"/>
      <c r="J140" s="47"/>
    </row>
    <row r="141">
      <c r="A141" s="65"/>
      <c r="B141" s="47"/>
      <c r="C141" s="47"/>
      <c r="D141" s="47"/>
      <c r="E141" s="47"/>
      <c r="F141" s="47"/>
      <c r="G141" s="47"/>
      <c r="H141" s="47"/>
      <c r="I141" s="47"/>
      <c r="J141" s="47"/>
    </row>
    <row r="142">
      <c r="A142" s="65"/>
      <c r="B142" s="47"/>
      <c r="C142" s="47"/>
      <c r="D142" s="47"/>
      <c r="E142" s="47"/>
      <c r="F142" s="47"/>
      <c r="G142" s="47"/>
      <c r="H142" s="47"/>
      <c r="I142" s="47"/>
      <c r="J142" s="47"/>
    </row>
    <row r="143">
      <c r="A143" s="65"/>
      <c r="B143" s="47"/>
      <c r="C143" s="47"/>
      <c r="D143" s="47"/>
      <c r="E143" s="47"/>
      <c r="F143" s="47"/>
      <c r="G143" s="47"/>
      <c r="H143" s="47"/>
      <c r="I143" s="47"/>
      <c r="J143" s="47"/>
    </row>
    <row r="144">
      <c r="A144" s="65"/>
      <c r="B144" s="47"/>
      <c r="C144" s="47"/>
      <c r="D144" s="47"/>
      <c r="E144" s="47"/>
      <c r="F144" s="47"/>
      <c r="G144" s="47"/>
      <c r="H144" s="47"/>
      <c r="I144" s="47"/>
      <c r="J144" s="47"/>
    </row>
    <row r="145">
      <c r="A145" s="65"/>
      <c r="B145" s="47"/>
      <c r="C145" s="47"/>
      <c r="D145" s="47"/>
      <c r="E145" s="47"/>
      <c r="F145" s="47"/>
      <c r="G145" s="47"/>
      <c r="H145" s="47"/>
      <c r="I145" s="47"/>
      <c r="J145" s="47"/>
    </row>
    <row r="146">
      <c r="A146" s="65"/>
      <c r="B146" s="47"/>
      <c r="C146" s="47"/>
      <c r="D146" s="47"/>
      <c r="E146" s="47"/>
      <c r="F146" s="47"/>
      <c r="G146" s="47"/>
      <c r="H146" s="47"/>
      <c r="I146" s="47"/>
      <c r="J146" s="47"/>
    </row>
    <row r="147">
      <c r="A147" s="65"/>
      <c r="B147" s="47"/>
      <c r="C147" s="47"/>
      <c r="D147" s="47"/>
      <c r="E147" s="47"/>
      <c r="F147" s="47"/>
      <c r="G147" s="47"/>
      <c r="H147" s="47"/>
      <c r="I147" s="47"/>
      <c r="J147" s="47"/>
    </row>
    <row r="148">
      <c r="A148" s="65"/>
      <c r="B148" s="47"/>
      <c r="C148" s="47"/>
      <c r="D148" s="47"/>
      <c r="E148" s="47"/>
      <c r="F148" s="47"/>
      <c r="G148" s="47"/>
      <c r="H148" s="47"/>
      <c r="I148" s="47"/>
      <c r="J148" s="47"/>
    </row>
    <row r="149">
      <c r="A149" s="65"/>
      <c r="B149" s="47"/>
      <c r="C149" s="47"/>
      <c r="D149" s="47"/>
      <c r="E149" s="47"/>
      <c r="F149" s="47"/>
      <c r="G149" s="47"/>
      <c r="H149" s="47"/>
      <c r="I149" s="47"/>
      <c r="J149" s="47"/>
    </row>
    <row r="150">
      <c r="A150" s="65"/>
      <c r="B150" s="47"/>
      <c r="C150" s="47"/>
      <c r="D150" s="47"/>
      <c r="E150" s="47"/>
      <c r="F150" s="47"/>
      <c r="G150" s="47"/>
      <c r="H150" s="47"/>
      <c r="I150" s="47"/>
      <c r="J150" s="47"/>
    </row>
    <row r="151">
      <c r="A151" s="65"/>
      <c r="B151" s="47"/>
      <c r="C151" s="47"/>
      <c r="D151" s="47"/>
      <c r="E151" s="47"/>
      <c r="F151" s="47"/>
      <c r="G151" s="47"/>
      <c r="H151" s="47"/>
      <c r="I151" s="47"/>
      <c r="J151" s="47"/>
    </row>
    <row r="152">
      <c r="A152" s="65"/>
      <c r="B152" s="47"/>
      <c r="C152" s="47"/>
      <c r="D152" s="47"/>
      <c r="E152" s="47"/>
      <c r="F152" s="47"/>
      <c r="G152" s="47"/>
      <c r="H152" s="47"/>
      <c r="I152" s="47"/>
      <c r="J152" s="47"/>
    </row>
    <row r="153">
      <c r="A153" s="65"/>
      <c r="B153" s="47"/>
      <c r="C153" s="47"/>
      <c r="D153" s="47"/>
      <c r="E153" s="47"/>
      <c r="F153" s="47"/>
      <c r="G153" s="47"/>
      <c r="H153" s="47"/>
      <c r="I153" s="47"/>
      <c r="J153" s="47"/>
    </row>
    <row r="154">
      <c r="A154" s="65"/>
      <c r="B154" s="47"/>
      <c r="C154" s="47"/>
      <c r="D154" s="47"/>
      <c r="E154" s="47"/>
      <c r="F154" s="47"/>
      <c r="G154" s="47"/>
      <c r="H154" s="47"/>
      <c r="I154" s="47"/>
      <c r="J154" s="47"/>
    </row>
    <row r="155">
      <c r="A155" s="65"/>
      <c r="B155" s="47"/>
      <c r="C155" s="47"/>
      <c r="D155" s="47"/>
      <c r="E155" s="47"/>
      <c r="F155" s="47"/>
      <c r="G155" s="47"/>
      <c r="H155" s="47"/>
      <c r="I155" s="47"/>
      <c r="J155" s="47"/>
    </row>
    <row r="156">
      <c r="A156" s="65"/>
      <c r="B156" s="47"/>
      <c r="C156" s="47"/>
      <c r="D156" s="47"/>
      <c r="E156" s="47"/>
      <c r="F156" s="47"/>
      <c r="G156" s="47"/>
      <c r="H156" s="47"/>
      <c r="I156" s="47"/>
      <c r="J156" s="47"/>
    </row>
    <row r="157">
      <c r="A157" s="65"/>
      <c r="B157" s="47"/>
      <c r="C157" s="47"/>
      <c r="D157" s="47"/>
      <c r="E157" s="47"/>
      <c r="F157" s="47"/>
      <c r="G157" s="47"/>
      <c r="H157" s="47"/>
      <c r="I157" s="47"/>
      <c r="J157" s="47"/>
    </row>
    <row r="158">
      <c r="A158" s="65"/>
      <c r="B158" s="47"/>
      <c r="C158" s="47"/>
      <c r="D158" s="47"/>
      <c r="E158" s="47"/>
      <c r="F158" s="47"/>
      <c r="G158" s="47"/>
      <c r="H158" s="47"/>
      <c r="I158" s="47"/>
      <c r="J158" s="47"/>
    </row>
    <row r="159">
      <c r="A159" s="65"/>
      <c r="B159" s="47"/>
      <c r="C159" s="47"/>
      <c r="D159" s="47"/>
      <c r="E159" s="47"/>
      <c r="F159" s="47"/>
      <c r="G159" s="47"/>
      <c r="H159" s="47"/>
      <c r="I159" s="47"/>
      <c r="J159" s="47"/>
    </row>
    <row r="160">
      <c r="A160" s="65"/>
      <c r="B160" s="47"/>
      <c r="C160" s="47"/>
      <c r="D160" s="47"/>
      <c r="E160" s="47"/>
      <c r="F160" s="47"/>
      <c r="G160" s="47"/>
      <c r="H160" s="47"/>
      <c r="I160" s="47"/>
      <c r="J160" s="47"/>
    </row>
    <row r="161">
      <c r="A161" s="65"/>
      <c r="B161" s="47"/>
      <c r="C161" s="47"/>
      <c r="D161" s="47"/>
      <c r="E161" s="47"/>
      <c r="F161" s="47"/>
      <c r="G161" s="47"/>
      <c r="H161" s="47"/>
      <c r="I161" s="47"/>
      <c r="J161" s="47"/>
    </row>
    <row r="162">
      <c r="A162" s="65"/>
      <c r="B162" s="47"/>
      <c r="C162" s="47"/>
      <c r="D162" s="47"/>
      <c r="E162" s="47"/>
      <c r="F162" s="47"/>
      <c r="G162" s="47"/>
      <c r="H162" s="47"/>
      <c r="I162" s="47"/>
      <c r="J162" s="47"/>
    </row>
    <row r="163">
      <c r="A163" s="65"/>
      <c r="B163" s="47"/>
      <c r="C163" s="47"/>
      <c r="D163" s="47"/>
      <c r="E163" s="47"/>
      <c r="F163" s="47"/>
      <c r="G163" s="47"/>
      <c r="H163" s="47"/>
      <c r="I163" s="47"/>
      <c r="J163" s="47"/>
    </row>
    <row r="164">
      <c r="A164" s="65"/>
      <c r="B164" s="47"/>
      <c r="C164" s="47"/>
      <c r="D164" s="47"/>
      <c r="E164" s="47"/>
      <c r="F164" s="47"/>
      <c r="G164" s="47"/>
      <c r="H164" s="47"/>
      <c r="I164" s="47"/>
      <c r="J164" s="47"/>
    </row>
    <row r="165">
      <c r="A165" s="65"/>
      <c r="B165" s="47"/>
      <c r="C165" s="47"/>
      <c r="D165" s="47"/>
      <c r="E165" s="47"/>
      <c r="F165" s="47"/>
      <c r="G165" s="47"/>
      <c r="H165" s="47"/>
      <c r="I165" s="47"/>
      <c r="J165" s="47"/>
    </row>
    <row r="166">
      <c r="A166" s="65"/>
      <c r="B166" s="47"/>
      <c r="C166" s="47"/>
      <c r="D166" s="47"/>
      <c r="E166" s="47"/>
      <c r="F166" s="47"/>
      <c r="G166" s="47"/>
      <c r="H166" s="47"/>
      <c r="I166" s="47"/>
      <c r="J166" s="47"/>
    </row>
    <row r="167">
      <c r="A167" s="65"/>
      <c r="B167" s="47"/>
      <c r="C167" s="47"/>
      <c r="D167" s="47"/>
      <c r="E167" s="47"/>
      <c r="F167" s="47"/>
      <c r="G167" s="47"/>
      <c r="H167" s="47"/>
      <c r="I167" s="47"/>
      <c r="J167" s="47"/>
    </row>
    <row r="168">
      <c r="A168" s="65"/>
      <c r="B168" s="47"/>
      <c r="C168" s="47"/>
      <c r="D168" s="47"/>
      <c r="E168" s="47"/>
      <c r="F168" s="47"/>
      <c r="G168" s="47"/>
      <c r="H168" s="47"/>
      <c r="I168" s="47"/>
      <c r="J168" s="47"/>
    </row>
    <row r="169">
      <c r="A169" s="65"/>
      <c r="B169" s="47"/>
      <c r="C169" s="47"/>
      <c r="D169" s="47"/>
      <c r="E169" s="47"/>
      <c r="F169" s="47"/>
      <c r="G169" s="47"/>
      <c r="H169" s="47"/>
      <c r="I169" s="47"/>
      <c r="J169" s="47"/>
    </row>
    <row r="170">
      <c r="A170" s="65"/>
      <c r="B170" s="47"/>
      <c r="C170" s="47"/>
      <c r="D170" s="47"/>
      <c r="E170" s="47"/>
      <c r="F170" s="47"/>
      <c r="G170" s="47"/>
      <c r="H170" s="47"/>
      <c r="I170" s="47"/>
      <c r="J170" s="47"/>
    </row>
    <row r="171">
      <c r="A171" s="65"/>
      <c r="B171" s="47"/>
      <c r="C171" s="47"/>
      <c r="D171" s="47"/>
      <c r="E171" s="47"/>
      <c r="F171" s="47"/>
      <c r="G171" s="47"/>
      <c r="H171" s="47"/>
      <c r="I171" s="47"/>
      <c r="J171" s="47"/>
    </row>
    <row r="172">
      <c r="A172" s="65"/>
      <c r="B172" s="47"/>
      <c r="C172" s="47"/>
      <c r="D172" s="47"/>
      <c r="E172" s="47"/>
      <c r="F172" s="47"/>
      <c r="G172" s="47"/>
      <c r="H172" s="47"/>
      <c r="I172" s="47"/>
      <c r="J172" s="47"/>
    </row>
    <row r="173">
      <c r="A173" s="65"/>
      <c r="B173" s="47"/>
      <c r="C173" s="47"/>
      <c r="D173" s="47"/>
      <c r="E173" s="47"/>
      <c r="F173" s="47"/>
      <c r="G173" s="47"/>
      <c r="H173" s="47"/>
      <c r="I173" s="47"/>
      <c r="J173" s="47"/>
    </row>
    <row r="174">
      <c r="A174" s="65"/>
      <c r="B174" s="47"/>
      <c r="C174" s="47"/>
      <c r="D174" s="47"/>
      <c r="E174" s="47"/>
      <c r="F174" s="47"/>
      <c r="G174" s="47"/>
      <c r="H174" s="47"/>
      <c r="I174" s="47"/>
      <c r="J174" s="47"/>
    </row>
    <row r="175">
      <c r="A175" s="65"/>
      <c r="B175" s="47"/>
      <c r="C175" s="47"/>
      <c r="D175" s="47"/>
      <c r="E175" s="47"/>
      <c r="F175" s="47"/>
      <c r="G175" s="47"/>
      <c r="H175" s="47"/>
      <c r="I175" s="47"/>
      <c r="J175" s="47"/>
    </row>
    <row r="176">
      <c r="A176" s="65"/>
      <c r="B176" s="47"/>
      <c r="C176" s="47"/>
      <c r="D176" s="47"/>
      <c r="E176" s="47"/>
      <c r="F176" s="47"/>
      <c r="G176" s="47"/>
      <c r="H176" s="47"/>
      <c r="I176" s="47"/>
      <c r="J176" s="47"/>
    </row>
    <row r="177">
      <c r="A177" s="65"/>
      <c r="B177" s="47"/>
      <c r="C177" s="47"/>
      <c r="D177" s="47"/>
      <c r="E177" s="47"/>
      <c r="F177" s="47"/>
      <c r="G177" s="47"/>
      <c r="H177" s="47"/>
      <c r="I177" s="47"/>
      <c r="J177" s="47"/>
    </row>
    <row r="178">
      <c r="A178" s="65"/>
      <c r="B178" s="47"/>
      <c r="C178" s="47"/>
      <c r="D178" s="47"/>
      <c r="E178" s="47"/>
      <c r="F178" s="47"/>
      <c r="G178" s="47"/>
      <c r="H178" s="47"/>
      <c r="I178" s="47"/>
      <c r="J178" s="47"/>
    </row>
    <row r="179">
      <c r="A179" s="65"/>
      <c r="B179" s="47"/>
      <c r="C179" s="47"/>
      <c r="D179" s="47"/>
      <c r="E179" s="47"/>
      <c r="F179" s="47"/>
      <c r="G179" s="47"/>
      <c r="H179" s="47"/>
      <c r="I179" s="47"/>
      <c r="J179" s="47"/>
    </row>
    <row r="180">
      <c r="A180" s="65"/>
      <c r="B180" s="47"/>
      <c r="C180" s="47"/>
      <c r="D180" s="47"/>
      <c r="E180" s="47"/>
      <c r="F180" s="47"/>
      <c r="G180" s="47"/>
      <c r="H180" s="47"/>
      <c r="I180" s="47"/>
      <c r="J180" s="47"/>
    </row>
    <row r="181">
      <c r="A181" s="65"/>
      <c r="B181" s="47"/>
      <c r="C181" s="47"/>
      <c r="D181" s="47"/>
      <c r="E181" s="47"/>
      <c r="F181" s="47"/>
      <c r="G181" s="47"/>
      <c r="H181" s="47"/>
      <c r="I181" s="47"/>
      <c r="J181" s="47"/>
    </row>
    <row r="182">
      <c r="A182" s="65"/>
      <c r="B182" s="47"/>
      <c r="C182" s="47"/>
      <c r="D182" s="47"/>
      <c r="E182" s="47"/>
      <c r="F182" s="47"/>
      <c r="G182" s="47"/>
      <c r="H182" s="47"/>
      <c r="I182" s="47"/>
      <c r="J182" s="47"/>
    </row>
    <row r="183">
      <c r="A183" s="65"/>
      <c r="B183" s="47"/>
      <c r="C183" s="47"/>
      <c r="D183" s="47"/>
      <c r="E183" s="47"/>
      <c r="F183" s="47"/>
      <c r="G183" s="47"/>
      <c r="H183" s="47"/>
      <c r="I183" s="47"/>
      <c r="J183" s="47"/>
    </row>
    <row r="184">
      <c r="A184" s="65"/>
      <c r="B184" s="47"/>
      <c r="C184" s="47"/>
      <c r="D184" s="47"/>
      <c r="E184" s="47"/>
      <c r="F184" s="47"/>
      <c r="G184" s="47"/>
      <c r="H184" s="47"/>
      <c r="I184" s="47"/>
      <c r="J184" s="47"/>
    </row>
    <row r="185">
      <c r="A185" s="65"/>
      <c r="B185" s="47"/>
      <c r="C185" s="47"/>
      <c r="D185" s="47"/>
      <c r="E185" s="47"/>
      <c r="F185" s="47"/>
      <c r="G185" s="47"/>
      <c r="H185" s="47"/>
      <c r="I185" s="47"/>
      <c r="J185" s="47"/>
    </row>
    <row r="186">
      <c r="A186" s="65"/>
      <c r="B186" s="47"/>
      <c r="C186" s="47"/>
      <c r="D186" s="47"/>
      <c r="E186" s="47"/>
      <c r="F186" s="47"/>
      <c r="G186" s="47"/>
      <c r="H186" s="47"/>
      <c r="I186" s="47"/>
      <c r="J186" s="47"/>
    </row>
    <row r="187">
      <c r="A187" s="65"/>
      <c r="B187" s="47"/>
      <c r="C187" s="47"/>
      <c r="D187" s="47"/>
      <c r="E187" s="47"/>
      <c r="F187" s="47"/>
      <c r="G187" s="47"/>
      <c r="H187" s="47"/>
      <c r="I187" s="47"/>
      <c r="J187" s="47"/>
    </row>
    <row r="188">
      <c r="A188" s="65"/>
      <c r="B188" s="47"/>
      <c r="C188" s="47"/>
      <c r="D188" s="47"/>
      <c r="E188" s="47"/>
      <c r="F188" s="47"/>
      <c r="G188" s="47"/>
      <c r="H188" s="47"/>
      <c r="I188" s="47"/>
      <c r="J188" s="47"/>
    </row>
    <row r="189">
      <c r="A189" s="65"/>
      <c r="B189" s="47"/>
      <c r="C189" s="47"/>
      <c r="D189" s="47"/>
      <c r="E189" s="47"/>
      <c r="F189" s="47"/>
      <c r="G189" s="47"/>
      <c r="H189" s="47"/>
      <c r="I189" s="47"/>
      <c r="J189" s="47"/>
    </row>
    <row r="190">
      <c r="A190" s="65"/>
      <c r="B190" s="47"/>
      <c r="C190" s="47"/>
      <c r="D190" s="47"/>
      <c r="E190" s="47"/>
      <c r="F190" s="47"/>
      <c r="G190" s="47"/>
      <c r="H190" s="47"/>
      <c r="I190" s="47"/>
      <c r="J190" s="47"/>
    </row>
    <row r="191">
      <c r="A191" s="65"/>
      <c r="B191" s="47"/>
      <c r="C191" s="47"/>
      <c r="D191" s="47"/>
      <c r="E191" s="47"/>
      <c r="F191" s="47"/>
      <c r="G191" s="47"/>
      <c r="H191" s="47"/>
      <c r="I191" s="47"/>
      <c r="J191" s="47"/>
    </row>
    <row r="192">
      <c r="A192" s="65"/>
      <c r="B192" s="47"/>
      <c r="C192" s="47"/>
      <c r="D192" s="47"/>
      <c r="E192" s="47"/>
      <c r="F192" s="47"/>
      <c r="G192" s="47"/>
      <c r="H192" s="47"/>
      <c r="I192" s="47"/>
      <c r="J192" s="47"/>
    </row>
    <row r="193">
      <c r="A193" s="65"/>
      <c r="B193" s="47"/>
      <c r="C193" s="47"/>
      <c r="D193" s="47"/>
      <c r="E193" s="47"/>
      <c r="F193" s="47"/>
      <c r="G193" s="47"/>
      <c r="H193" s="47"/>
      <c r="I193" s="47"/>
      <c r="J193" s="47"/>
    </row>
    <row r="194">
      <c r="A194" s="65"/>
      <c r="B194" s="47"/>
      <c r="C194" s="47"/>
      <c r="D194" s="47"/>
      <c r="E194" s="47"/>
      <c r="F194" s="47"/>
      <c r="G194" s="47"/>
      <c r="H194" s="47"/>
      <c r="I194" s="47"/>
      <c r="J194" s="47"/>
    </row>
    <row r="195">
      <c r="A195" s="65"/>
      <c r="B195" s="47"/>
      <c r="C195" s="47"/>
      <c r="D195" s="47"/>
      <c r="E195" s="47"/>
      <c r="F195" s="47"/>
      <c r="G195" s="47"/>
      <c r="H195" s="47"/>
      <c r="I195" s="47"/>
      <c r="J195" s="47"/>
    </row>
    <row r="196">
      <c r="A196" s="65"/>
      <c r="B196" s="47"/>
      <c r="C196" s="47"/>
      <c r="D196" s="47"/>
      <c r="E196" s="47"/>
      <c r="F196" s="47"/>
      <c r="G196" s="47"/>
      <c r="H196" s="47"/>
      <c r="I196" s="47"/>
      <c r="J196" s="47"/>
    </row>
    <row r="197">
      <c r="A197" s="65"/>
      <c r="B197" s="47"/>
      <c r="C197" s="47"/>
      <c r="D197" s="47"/>
      <c r="E197" s="47"/>
      <c r="F197" s="47"/>
      <c r="G197" s="47"/>
      <c r="H197" s="47"/>
      <c r="I197" s="47"/>
      <c r="J197" s="47"/>
    </row>
    <row r="198">
      <c r="A198" s="65"/>
      <c r="B198" s="47"/>
      <c r="C198" s="47"/>
      <c r="D198" s="47"/>
      <c r="E198" s="47"/>
      <c r="F198" s="47"/>
      <c r="G198" s="47"/>
      <c r="H198" s="47"/>
      <c r="I198" s="47"/>
      <c r="J198" s="47"/>
    </row>
    <row r="199">
      <c r="A199" s="65"/>
      <c r="B199" s="47"/>
      <c r="C199" s="47"/>
      <c r="D199" s="47"/>
      <c r="E199" s="47"/>
      <c r="F199" s="47"/>
      <c r="G199" s="47"/>
      <c r="H199" s="47"/>
      <c r="I199" s="47"/>
      <c r="J199" s="47"/>
    </row>
    <row r="200">
      <c r="A200" s="65"/>
      <c r="B200" s="47"/>
      <c r="C200" s="47"/>
      <c r="D200" s="47"/>
      <c r="E200" s="47"/>
      <c r="F200" s="47"/>
      <c r="G200" s="47"/>
      <c r="H200" s="47"/>
      <c r="I200" s="47"/>
      <c r="J200" s="47"/>
    </row>
    <row r="201">
      <c r="A201" s="65"/>
      <c r="B201" s="47"/>
      <c r="C201" s="47"/>
      <c r="D201" s="47"/>
      <c r="E201" s="47"/>
      <c r="F201" s="47"/>
      <c r="G201" s="47"/>
      <c r="H201" s="47"/>
      <c r="I201" s="47"/>
      <c r="J201" s="47"/>
    </row>
    <row r="202">
      <c r="A202" s="65"/>
      <c r="B202" s="47"/>
      <c r="C202" s="47"/>
      <c r="D202" s="47"/>
      <c r="E202" s="47"/>
      <c r="F202" s="47"/>
      <c r="G202" s="47"/>
      <c r="H202" s="47"/>
      <c r="I202" s="47"/>
      <c r="J202" s="47"/>
    </row>
    <row r="203">
      <c r="A203" s="65"/>
      <c r="B203" s="47"/>
      <c r="C203" s="47"/>
      <c r="D203" s="47"/>
      <c r="E203" s="47"/>
      <c r="F203" s="47"/>
      <c r="G203" s="47"/>
      <c r="H203" s="47"/>
      <c r="I203" s="47"/>
      <c r="J203" s="47"/>
    </row>
    <row r="204">
      <c r="A204" s="65"/>
      <c r="B204" s="47"/>
      <c r="C204" s="47"/>
      <c r="D204" s="47"/>
      <c r="E204" s="47"/>
      <c r="F204" s="47"/>
      <c r="G204" s="47"/>
      <c r="H204" s="47"/>
      <c r="I204" s="47"/>
      <c r="J204" s="47"/>
    </row>
    <row r="205">
      <c r="A205" s="65"/>
      <c r="B205" s="47"/>
      <c r="C205" s="47"/>
      <c r="D205" s="47"/>
      <c r="E205" s="47"/>
      <c r="F205" s="47"/>
      <c r="G205" s="47"/>
      <c r="H205" s="47"/>
      <c r="I205" s="47"/>
      <c r="J205" s="47"/>
    </row>
    <row r="206">
      <c r="A206" s="65"/>
      <c r="B206" s="47"/>
      <c r="C206" s="47"/>
      <c r="D206" s="47"/>
      <c r="E206" s="47"/>
      <c r="F206" s="47"/>
      <c r="G206" s="47"/>
      <c r="H206" s="47"/>
      <c r="I206" s="47"/>
      <c r="J206" s="47"/>
    </row>
    <row r="207">
      <c r="A207" s="65"/>
      <c r="B207" s="47"/>
      <c r="C207" s="47"/>
      <c r="D207" s="47"/>
      <c r="E207" s="47"/>
      <c r="F207" s="47"/>
      <c r="G207" s="47"/>
      <c r="H207" s="47"/>
      <c r="I207" s="47"/>
      <c r="J207" s="47"/>
    </row>
    <row r="208">
      <c r="A208" s="65"/>
      <c r="B208" s="47"/>
      <c r="C208" s="47"/>
      <c r="D208" s="47"/>
      <c r="E208" s="47"/>
      <c r="F208" s="47"/>
      <c r="G208" s="47"/>
      <c r="H208" s="47"/>
      <c r="I208" s="47"/>
      <c r="J208" s="47"/>
    </row>
    <row r="209">
      <c r="A209" s="65"/>
      <c r="B209" s="47"/>
      <c r="C209" s="47"/>
      <c r="D209" s="47"/>
      <c r="E209" s="47"/>
      <c r="F209" s="47"/>
      <c r="G209" s="47"/>
      <c r="H209" s="47"/>
      <c r="I209" s="47"/>
      <c r="J209" s="47"/>
    </row>
    <row r="210">
      <c r="A210" s="65"/>
      <c r="B210" s="47"/>
      <c r="C210" s="47"/>
      <c r="D210" s="47"/>
      <c r="E210" s="47"/>
      <c r="F210" s="47"/>
      <c r="G210" s="47"/>
      <c r="H210" s="47"/>
      <c r="I210" s="47"/>
      <c r="J210" s="47"/>
    </row>
    <row r="211">
      <c r="A211" s="65"/>
      <c r="B211" s="47"/>
      <c r="C211" s="47"/>
      <c r="D211" s="47"/>
      <c r="E211" s="47"/>
      <c r="F211" s="47"/>
      <c r="G211" s="47"/>
      <c r="H211" s="47"/>
      <c r="I211" s="47"/>
      <c r="J211" s="47"/>
    </row>
    <row r="212">
      <c r="A212" s="65"/>
      <c r="B212" s="47"/>
      <c r="C212" s="47"/>
      <c r="D212" s="47"/>
      <c r="E212" s="47"/>
      <c r="F212" s="47"/>
      <c r="G212" s="47"/>
      <c r="H212" s="47"/>
      <c r="I212" s="47"/>
      <c r="J212" s="47"/>
    </row>
    <row r="213">
      <c r="A213" s="65"/>
      <c r="B213" s="47"/>
      <c r="C213" s="47"/>
      <c r="D213" s="47"/>
      <c r="E213" s="47"/>
      <c r="F213" s="47"/>
      <c r="G213" s="47"/>
      <c r="H213" s="47"/>
      <c r="I213" s="47"/>
      <c r="J213" s="47"/>
    </row>
    <row r="214">
      <c r="A214" s="65"/>
      <c r="B214" s="47"/>
      <c r="C214" s="47"/>
      <c r="D214" s="47"/>
      <c r="E214" s="47"/>
      <c r="F214" s="47"/>
      <c r="G214" s="47"/>
      <c r="H214" s="47"/>
      <c r="I214" s="47"/>
      <c r="J214" s="47"/>
    </row>
    <row r="215">
      <c r="A215" s="65"/>
      <c r="B215" s="47"/>
      <c r="C215" s="47"/>
      <c r="D215" s="47"/>
      <c r="E215" s="47"/>
      <c r="F215" s="47"/>
      <c r="G215" s="47"/>
      <c r="H215" s="47"/>
      <c r="I215" s="47"/>
      <c r="J215" s="47"/>
    </row>
    <row r="216">
      <c r="A216" s="65"/>
      <c r="B216" s="47"/>
      <c r="C216" s="47"/>
      <c r="D216" s="47"/>
      <c r="E216" s="47"/>
      <c r="F216" s="47"/>
      <c r="G216" s="47"/>
      <c r="H216" s="47"/>
      <c r="I216" s="47"/>
      <c r="J216" s="47"/>
    </row>
    <row r="217">
      <c r="A217" s="65"/>
      <c r="B217" s="47"/>
      <c r="C217" s="47"/>
      <c r="D217" s="47"/>
      <c r="E217" s="47"/>
      <c r="F217" s="47"/>
      <c r="G217" s="47"/>
      <c r="H217" s="47"/>
      <c r="I217" s="47"/>
      <c r="J217" s="47"/>
    </row>
    <row r="218">
      <c r="A218" s="65"/>
      <c r="B218" s="47"/>
      <c r="C218" s="47"/>
      <c r="D218" s="47"/>
      <c r="E218" s="47"/>
      <c r="F218" s="47"/>
      <c r="G218" s="47"/>
      <c r="H218" s="47"/>
      <c r="I218" s="47"/>
      <c r="J218" s="47"/>
    </row>
    <row r="219">
      <c r="A219" s="65"/>
      <c r="B219" s="47"/>
      <c r="C219" s="47"/>
      <c r="D219" s="47"/>
      <c r="E219" s="47"/>
      <c r="F219" s="47"/>
      <c r="G219" s="47"/>
      <c r="H219" s="47"/>
      <c r="I219" s="47"/>
      <c r="J219" s="47"/>
    </row>
    <row r="220">
      <c r="A220" s="65"/>
      <c r="B220" s="47"/>
      <c r="C220" s="47"/>
      <c r="D220" s="47"/>
      <c r="E220" s="47"/>
      <c r="F220" s="47"/>
      <c r="G220" s="47"/>
      <c r="H220" s="47"/>
      <c r="I220" s="47"/>
      <c r="J220" s="47"/>
    </row>
    <row r="221">
      <c r="A221" s="65"/>
      <c r="B221" s="47"/>
      <c r="C221" s="47"/>
      <c r="D221" s="47"/>
      <c r="E221" s="47"/>
      <c r="F221" s="47"/>
      <c r="G221" s="47"/>
      <c r="H221" s="47"/>
      <c r="I221" s="47"/>
      <c r="J221" s="47"/>
    </row>
    <row r="222">
      <c r="A222" s="65"/>
      <c r="B222" s="47"/>
      <c r="C222" s="47"/>
      <c r="D222" s="47"/>
      <c r="E222" s="47"/>
      <c r="F222" s="47"/>
      <c r="G222" s="47"/>
      <c r="H222" s="47"/>
      <c r="I222" s="47"/>
      <c r="J222" s="47"/>
    </row>
    <row r="223">
      <c r="A223" s="65"/>
      <c r="B223" s="47"/>
      <c r="C223" s="47"/>
      <c r="D223" s="47"/>
      <c r="E223" s="47"/>
      <c r="F223" s="47"/>
      <c r="G223" s="47"/>
      <c r="H223" s="47"/>
      <c r="I223" s="47"/>
      <c r="J223" s="47"/>
    </row>
    <row r="224">
      <c r="A224" s="65"/>
      <c r="B224" s="47"/>
      <c r="C224" s="47"/>
      <c r="D224" s="47"/>
      <c r="E224" s="47"/>
      <c r="F224" s="47"/>
      <c r="G224" s="47"/>
      <c r="H224" s="47"/>
      <c r="I224" s="47"/>
      <c r="J224" s="47"/>
    </row>
    <row r="225">
      <c r="A225" s="65"/>
      <c r="B225" s="47"/>
      <c r="C225" s="47"/>
      <c r="D225" s="47"/>
      <c r="E225" s="47"/>
      <c r="F225" s="47"/>
      <c r="G225" s="47"/>
      <c r="H225" s="47"/>
      <c r="I225" s="47"/>
      <c r="J225" s="47"/>
    </row>
    <row r="226">
      <c r="A226" s="65"/>
      <c r="B226" s="47"/>
      <c r="C226" s="47"/>
      <c r="D226" s="47"/>
      <c r="E226" s="47"/>
      <c r="F226" s="47"/>
      <c r="G226" s="47"/>
      <c r="H226" s="47"/>
      <c r="I226" s="47"/>
      <c r="J226" s="47"/>
    </row>
    <row r="227">
      <c r="A227" s="65"/>
      <c r="B227" s="47"/>
      <c r="C227" s="47"/>
      <c r="D227" s="47"/>
      <c r="E227" s="47"/>
      <c r="F227" s="47"/>
      <c r="G227" s="47"/>
      <c r="H227" s="47"/>
      <c r="I227" s="47"/>
      <c r="J227" s="47"/>
    </row>
    <row r="228">
      <c r="A228" s="65"/>
      <c r="B228" s="47"/>
      <c r="C228" s="47"/>
      <c r="D228" s="47"/>
      <c r="E228" s="47"/>
      <c r="F228" s="47"/>
      <c r="G228" s="47"/>
      <c r="H228" s="47"/>
      <c r="I228" s="47"/>
      <c r="J228" s="47"/>
    </row>
    <row r="229">
      <c r="A229" s="65"/>
      <c r="B229" s="47"/>
      <c r="C229" s="47"/>
      <c r="D229" s="47"/>
      <c r="E229" s="47"/>
      <c r="F229" s="47"/>
      <c r="G229" s="47"/>
      <c r="H229" s="47"/>
      <c r="I229" s="47"/>
      <c r="J229" s="47"/>
    </row>
    <row r="230">
      <c r="A230" s="65"/>
      <c r="B230" s="47"/>
      <c r="C230" s="47"/>
      <c r="D230" s="47"/>
      <c r="E230" s="47"/>
      <c r="F230" s="47"/>
      <c r="G230" s="47"/>
      <c r="H230" s="47"/>
      <c r="I230" s="47"/>
      <c r="J230" s="47"/>
    </row>
    <row r="231">
      <c r="A231" s="65"/>
      <c r="B231" s="47"/>
      <c r="C231" s="47"/>
      <c r="D231" s="47"/>
      <c r="E231" s="47"/>
      <c r="F231" s="47"/>
      <c r="G231" s="47"/>
      <c r="H231" s="47"/>
      <c r="I231" s="47"/>
      <c r="J231" s="47"/>
    </row>
    <row r="232">
      <c r="A232" s="65"/>
      <c r="B232" s="47"/>
      <c r="C232" s="47"/>
      <c r="D232" s="47"/>
      <c r="E232" s="47"/>
      <c r="F232" s="47"/>
      <c r="G232" s="47"/>
      <c r="H232" s="47"/>
      <c r="I232" s="47"/>
      <c r="J232" s="47"/>
    </row>
    <row r="233">
      <c r="A233" s="65"/>
      <c r="B233" s="47"/>
      <c r="C233" s="47"/>
      <c r="D233" s="47"/>
      <c r="E233" s="47"/>
      <c r="F233" s="47"/>
      <c r="G233" s="47"/>
      <c r="H233" s="47"/>
      <c r="I233" s="47"/>
      <c r="J233" s="47"/>
    </row>
    <row r="234">
      <c r="A234" s="65"/>
      <c r="B234" s="47"/>
      <c r="C234" s="47"/>
      <c r="D234" s="47"/>
      <c r="E234" s="47"/>
      <c r="F234" s="47"/>
      <c r="G234" s="47"/>
      <c r="H234" s="47"/>
      <c r="I234" s="47"/>
      <c r="J234" s="47"/>
    </row>
    <row r="235">
      <c r="A235" s="65"/>
      <c r="B235" s="47"/>
      <c r="C235" s="47"/>
      <c r="D235" s="47"/>
      <c r="E235" s="47"/>
      <c r="F235" s="47"/>
      <c r="G235" s="47"/>
      <c r="H235" s="47"/>
      <c r="I235" s="47"/>
      <c r="J235" s="47"/>
    </row>
    <row r="236">
      <c r="A236" s="65"/>
      <c r="B236" s="47"/>
      <c r="C236" s="47"/>
      <c r="D236" s="47"/>
      <c r="E236" s="47"/>
      <c r="F236" s="47"/>
      <c r="G236" s="47"/>
      <c r="H236" s="47"/>
      <c r="I236" s="47"/>
      <c r="J236" s="47"/>
    </row>
    <row r="237">
      <c r="A237" s="65"/>
      <c r="B237" s="47"/>
      <c r="C237" s="47"/>
      <c r="D237" s="47"/>
      <c r="E237" s="47"/>
      <c r="F237" s="47"/>
      <c r="G237" s="47"/>
      <c r="H237" s="47"/>
      <c r="I237" s="47"/>
      <c r="J237" s="47"/>
    </row>
    <row r="238">
      <c r="A238" s="65"/>
      <c r="B238" s="47"/>
      <c r="C238" s="47"/>
      <c r="D238" s="47"/>
      <c r="E238" s="47"/>
      <c r="F238" s="47"/>
      <c r="G238" s="47"/>
      <c r="H238" s="47"/>
      <c r="I238" s="47"/>
      <c r="J238" s="47"/>
    </row>
    <row r="239">
      <c r="A239" s="65"/>
      <c r="B239" s="47"/>
      <c r="C239" s="47"/>
      <c r="D239" s="47"/>
      <c r="E239" s="47"/>
      <c r="F239" s="47"/>
      <c r="G239" s="47"/>
      <c r="H239" s="47"/>
      <c r="I239" s="47"/>
      <c r="J239" s="47"/>
    </row>
    <row r="240">
      <c r="A240" s="65"/>
      <c r="B240" s="47"/>
      <c r="C240" s="47"/>
      <c r="D240" s="47"/>
      <c r="E240" s="47"/>
      <c r="F240" s="47"/>
      <c r="G240" s="47"/>
      <c r="H240" s="47"/>
      <c r="I240" s="47"/>
      <c r="J240" s="47"/>
    </row>
    <row r="241">
      <c r="A241" s="65"/>
      <c r="B241" s="47"/>
      <c r="C241" s="47"/>
      <c r="D241" s="47"/>
      <c r="E241" s="47"/>
      <c r="F241" s="47"/>
      <c r="G241" s="47"/>
      <c r="H241" s="47"/>
      <c r="I241" s="47"/>
      <c r="J241" s="47"/>
    </row>
    <row r="242">
      <c r="A242" s="65"/>
      <c r="B242" s="47"/>
      <c r="C242" s="47"/>
      <c r="D242" s="47"/>
      <c r="E242" s="47"/>
      <c r="F242" s="47"/>
      <c r="G242" s="47"/>
      <c r="H242" s="47"/>
      <c r="I242" s="47"/>
      <c r="J242" s="47"/>
    </row>
    <row r="243">
      <c r="A243" s="65"/>
      <c r="B243" s="47"/>
      <c r="C243" s="47"/>
      <c r="D243" s="47"/>
      <c r="E243" s="47"/>
      <c r="F243" s="47"/>
      <c r="G243" s="47"/>
      <c r="H243" s="47"/>
      <c r="I243" s="47"/>
      <c r="J243" s="47"/>
    </row>
    <row r="244">
      <c r="A244" s="65"/>
      <c r="B244" s="47"/>
      <c r="C244" s="47"/>
      <c r="D244" s="47"/>
      <c r="E244" s="47"/>
      <c r="F244" s="47"/>
      <c r="G244" s="47"/>
      <c r="H244" s="47"/>
      <c r="I244" s="47"/>
      <c r="J244" s="47"/>
    </row>
    <row r="245">
      <c r="A245" s="65"/>
      <c r="B245" s="47"/>
      <c r="C245" s="47"/>
      <c r="D245" s="47"/>
      <c r="E245" s="47"/>
      <c r="F245" s="47"/>
      <c r="G245" s="47"/>
      <c r="H245" s="47"/>
      <c r="I245" s="47"/>
      <c r="J245" s="47"/>
    </row>
    <row r="246">
      <c r="A246" s="65"/>
      <c r="B246" s="47"/>
      <c r="C246" s="47"/>
      <c r="D246" s="47"/>
      <c r="E246" s="47"/>
      <c r="F246" s="47"/>
      <c r="G246" s="47"/>
      <c r="H246" s="47"/>
      <c r="I246" s="47"/>
      <c r="J246" s="47"/>
    </row>
    <row r="247">
      <c r="A247" s="65"/>
      <c r="B247" s="47"/>
      <c r="C247" s="47"/>
      <c r="D247" s="47"/>
      <c r="E247" s="47"/>
      <c r="F247" s="47"/>
      <c r="G247" s="47"/>
      <c r="H247" s="47"/>
      <c r="I247" s="47"/>
      <c r="J247" s="47"/>
    </row>
    <row r="248">
      <c r="A248" s="65"/>
      <c r="B248" s="47"/>
      <c r="C248" s="47"/>
      <c r="D248" s="47"/>
      <c r="E248" s="47"/>
      <c r="F248" s="47"/>
      <c r="G248" s="47"/>
      <c r="H248" s="47"/>
      <c r="I248" s="47"/>
      <c r="J248" s="47"/>
    </row>
    <row r="249">
      <c r="A249" s="65"/>
      <c r="B249" s="47"/>
      <c r="C249" s="47"/>
      <c r="D249" s="47"/>
      <c r="E249" s="47"/>
      <c r="F249" s="47"/>
      <c r="G249" s="47"/>
      <c r="H249" s="47"/>
      <c r="I249" s="47"/>
      <c r="J249" s="47"/>
    </row>
    <row r="250">
      <c r="A250" s="65"/>
      <c r="B250" s="47"/>
      <c r="C250" s="47"/>
      <c r="D250" s="47"/>
      <c r="E250" s="47"/>
      <c r="F250" s="47"/>
      <c r="G250" s="47"/>
      <c r="H250" s="47"/>
      <c r="I250" s="47"/>
      <c r="J250" s="47"/>
    </row>
    <row r="251">
      <c r="A251" s="65"/>
      <c r="B251" s="47"/>
      <c r="C251" s="47"/>
      <c r="D251" s="47"/>
      <c r="E251" s="47"/>
      <c r="F251" s="47"/>
      <c r="G251" s="47"/>
      <c r="H251" s="47"/>
      <c r="I251" s="47"/>
      <c r="J251" s="47"/>
    </row>
    <row r="252">
      <c r="A252" s="65"/>
      <c r="B252" s="47"/>
      <c r="C252" s="47"/>
      <c r="D252" s="47"/>
      <c r="E252" s="47"/>
      <c r="F252" s="47"/>
      <c r="G252" s="47"/>
      <c r="H252" s="47"/>
      <c r="I252" s="47"/>
      <c r="J252" s="47"/>
    </row>
    <row r="253">
      <c r="A253" s="65"/>
      <c r="B253" s="47"/>
      <c r="C253" s="47"/>
      <c r="D253" s="47"/>
      <c r="E253" s="47"/>
      <c r="F253" s="47"/>
      <c r="G253" s="47"/>
      <c r="H253" s="47"/>
      <c r="I253" s="47"/>
      <c r="J253" s="47"/>
    </row>
    <row r="254">
      <c r="A254" s="65"/>
      <c r="B254" s="47"/>
      <c r="C254" s="47"/>
      <c r="D254" s="47"/>
      <c r="E254" s="47"/>
      <c r="F254" s="47"/>
      <c r="G254" s="47"/>
      <c r="H254" s="47"/>
      <c r="I254" s="47"/>
      <c r="J254" s="47"/>
    </row>
    <row r="255">
      <c r="A255" s="65"/>
      <c r="B255" s="47"/>
      <c r="C255" s="47"/>
      <c r="D255" s="47"/>
      <c r="E255" s="47"/>
      <c r="F255" s="47"/>
      <c r="G255" s="47"/>
      <c r="H255" s="47"/>
      <c r="I255" s="47"/>
      <c r="J255" s="47"/>
    </row>
    <row r="256">
      <c r="A256" s="65"/>
      <c r="B256" s="47"/>
      <c r="C256" s="47"/>
      <c r="D256" s="47"/>
      <c r="E256" s="47"/>
      <c r="F256" s="47"/>
      <c r="G256" s="47"/>
      <c r="H256" s="47"/>
      <c r="I256" s="47"/>
      <c r="J256" s="47"/>
    </row>
    <row r="257">
      <c r="A257" s="65"/>
      <c r="B257" s="47"/>
      <c r="C257" s="47"/>
      <c r="D257" s="47"/>
      <c r="E257" s="47"/>
      <c r="F257" s="47"/>
      <c r="G257" s="47"/>
      <c r="H257" s="47"/>
      <c r="I257" s="47"/>
      <c r="J257" s="47"/>
    </row>
    <row r="258">
      <c r="A258" s="65"/>
      <c r="B258" s="47"/>
      <c r="C258" s="47"/>
      <c r="D258" s="47"/>
      <c r="E258" s="47"/>
      <c r="F258" s="47"/>
      <c r="G258" s="47"/>
      <c r="H258" s="47"/>
      <c r="I258" s="47"/>
      <c r="J258" s="47"/>
    </row>
    <row r="259">
      <c r="A259" s="65"/>
      <c r="B259" s="47"/>
      <c r="C259" s="47"/>
      <c r="D259" s="47"/>
      <c r="E259" s="47"/>
      <c r="F259" s="47"/>
      <c r="G259" s="47"/>
      <c r="H259" s="47"/>
      <c r="I259" s="47"/>
      <c r="J259" s="47"/>
    </row>
    <row r="260">
      <c r="A260" s="65"/>
      <c r="B260" s="47"/>
      <c r="C260" s="47"/>
      <c r="D260" s="47"/>
      <c r="E260" s="47"/>
      <c r="F260" s="47"/>
      <c r="G260" s="47"/>
      <c r="H260" s="47"/>
      <c r="I260" s="47"/>
      <c r="J260" s="47"/>
    </row>
    <row r="261">
      <c r="A261" s="65"/>
      <c r="B261" s="47"/>
      <c r="C261" s="47"/>
      <c r="D261" s="47"/>
      <c r="E261" s="47"/>
      <c r="F261" s="47"/>
      <c r="G261" s="47"/>
      <c r="H261" s="47"/>
      <c r="I261" s="47"/>
      <c r="J261" s="47"/>
    </row>
    <row r="262">
      <c r="A262" s="65"/>
      <c r="B262" s="47"/>
      <c r="C262" s="47"/>
      <c r="D262" s="47"/>
      <c r="E262" s="47"/>
      <c r="F262" s="47"/>
      <c r="G262" s="47"/>
      <c r="H262" s="47"/>
      <c r="I262" s="47"/>
      <c r="J262" s="47"/>
    </row>
    <row r="263">
      <c r="A263" s="65"/>
      <c r="B263" s="47"/>
      <c r="C263" s="47"/>
      <c r="D263" s="47"/>
      <c r="E263" s="47"/>
      <c r="F263" s="47"/>
      <c r="G263" s="47"/>
      <c r="H263" s="47"/>
      <c r="I263" s="47"/>
      <c r="J263" s="47"/>
    </row>
    <row r="264">
      <c r="A264" s="65"/>
      <c r="B264" s="47"/>
      <c r="C264" s="47"/>
      <c r="D264" s="47"/>
      <c r="E264" s="47"/>
      <c r="F264" s="47"/>
      <c r="G264" s="47"/>
      <c r="H264" s="47"/>
      <c r="I264" s="47"/>
      <c r="J264" s="47"/>
    </row>
    <row r="265">
      <c r="A265" s="65"/>
      <c r="B265" s="47"/>
      <c r="C265" s="47"/>
      <c r="D265" s="47"/>
      <c r="E265" s="47"/>
      <c r="F265" s="47"/>
      <c r="G265" s="47"/>
      <c r="H265" s="47"/>
      <c r="I265" s="47"/>
      <c r="J265" s="47"/>
    </row>
    <row r="266">
      <c r="A266" s="65"/>
      <c r="B266" s="47"/>
      <c r="C266" s="47"/>
      <c r="D266" s="47"/>
      <c r="E266" s="47"/>
      <c r="F266" s="47"/>
      <c r="G266" s="47"/>
      <c r="H266" s="47"/>
      <c r="I266" s="47"/>
      <c r="J266" s="47"/>
    </row>
    <row r="267">
      <c r="A267" s="65"/>
      <c r="B267" s="47"/>
      <c r="C267" s="47"/>
      <c r="D267" s="47"/>
      <c r="E267" s="47"/>
      <c r="F267" s="47"/>
      <c r="G267" s="47"/>
      <c r="H267" s="47"/>
      <c r="I267" s="47"/>
      <c r="J267" s="47"/>
    </row>
    <row r="268">
      <c r="A268" s="65"/>
      <c r="B268" s="47"/>
      <c r="C268" s="47"/>
      <c r="D268" s="47"/>
      <c r="E268" s="47"/>
      <c r="F268" s="47"/>
      <c r="G268" s="47"/>
      <c r="H268" s="47"/>
      <c r="I268" s="47"/>
      <c r="J268" s="47"/>
    </row>
    <row r="269">
      <c r="A269" s="65"/>
      <c r="B269" s="47"/>
      <c r="C269" s="47"/>
      <c r="D269" s="47"/>
      <c r="E269" s="47"/>
      <c r="F269" s="47"/>
      <c r="G269" s="47"/>
      <c r="H269" s="47"/>
      <c r="I269" s="47"/>
      <c r="J269" s="47"/>
    </row>
    <row r="270">
      <c r="A270" s="65"/>
      <c r="B270" s="47"/>
      <c r="C270" s="47"/>
      <c r="D270" s="47"/>
      <c r="E270" s="47"/>
      <c r="F270" s="47"/>
      <c r="G270" s="47"/>
      <c r="H270" s="47"/>
      <c r="I270" s="47"/>
      <c r="J270" s="47"/>
    </row>
    <row r="271">
      <c r="A271" s="65"/>
      <c r="B271" s="47"/>
      <c r="C271" s="47"/>
      <c r="D271" s="47"/>
      <c r="E271" s="47"/>
      <c r="F271" s="47"/>
      <c r="G271" s="47"/>
      <c r="H271" s="47"/>
      <c r="I271" s="47"/>
      <c r="J271" s="47"/>
    </row>
    <row r="272">
      <c r="A272" s="65"/>
      <c r="B272" s="47"/>
      <c r="C272" s="47"/>
      <c r="D272" s="47"/>
      <c r="E272" s="47"/>
      <c r="F272" s="47"/>
      <c r="G272" s="47"/>
      <c r="H272" s="47"/>
      <c r="I272" s="47"/>
      <c r="J272" s="47"/>
    </row>
    <row r="273">
      <c r="A273" s="65"/>
      <c r="B273" s="47"/>
      <c r="C273" s="47"/>
      <c r="D273" s="47"/>
      <c r="E273" s="47"/>
      <c r="F273" s="47"/>
      <c r="G273" s="47"/>
      <c r="H273" s="47"/>
      <c r="I273" s="47"/>
      <c r="J273" s="47"/>
    </row>
    <row r="274">
      <c r="A274" s="65"/>
      <c r="B274" s="47"/>
      <c r="C274" s="47"/>
      <c r="D274" s="47"/>
      <c r="E274" s="47"/>
      <c r="F274" s="47"/>
      <c r="G274" s="47"/>
      <c r="H274" s="47"/>
      <c r="I274" s="47"/>
      <c r="J274" s="47"/>
    </row>
    <row r="275">
      <c r="A275" s="65"/>
      <c r="B275" s="47"/>
      <c r="C275" s="47"/>
      <c r="D275" s="47"/>
      <c r="E275" s="47"/>
      <c r="F275" s="47"/>
      <c r="G275" s="47"/>
      <c r="H275" s="47"/>
      <c r="I275" s="47"/>
      <c r="J275" s="47"/>
    </row>
    <row r="276">
      <c r="A276" s="65"/>
      <c r="B276" s="47"/>
      <c r="C276" s="47"/>
      <c r="D276" s="47"/>
      <c r="E276" s="47"/>
      <c r="F276" s="47"/>
      <c r="G276" s="47"/>
      <c r="H276" s="47"/>
      <c r="I276" s="47"/>
      <c r="J276" s="47"/>
    </row>
    <row r="277">
      <c r="A277" s="65"/>
      <c r="B277" s="47"/>
      <c r="C277" s="47"/>
      <c r="D277" s="47"/>
      <c r="E277" s="47"/>
      <c r="F277" s="47"/>
      <c r="G277" s="47"/>
      <c r="H277" s="47"/>
      <c r="I277" s="47"/>
      <c r="J277" s="47"/>
    </row>
    <row r="278">
      <c r="A278" s="65"/>
      <c r="B278" s="47"/>
      <c r="C278" s="47"/>
      <c r="D278" s="47"/>
      <c r="E278" s="47"/>
      <c r="F278" s="47"/>
      <c r="G278" s="47"/>
      <c r="H278" s="47"/>
      <c r="I278" s="47"/>
      <c r="J278" s="47"/>
    </row>
    <row r="279">
      <c r="A279" s="65"/>
      <c r="B279" s="47"/>
      <c r="C279" s="47"/>
      <c r="D279" s="47"/>
      <c r="E279" s="47"/>
      <c r="F279" s="47"/>
      <c r="G279" s="47"/>
      <c r="H279" s="47"/>
      <c r="I279" s="47"/>
      <c r="J279" s="47"/>
    </row>
    <row r="280">
      <c r="A280" s="65"/>
      <c r="B280" s="47"/>
      <c r="C280" s="47"/>
      <c r="D280" s="47"/>
      <c r="E280" s="47"/>
      <c r="F280" s="47"/>
      <c r="G280" s="47"/>
      <c r="H280" s="47"/>
      <c r="I280" s="47"/>
      <c r="J280" s="47"/>
    </row>
    <row r="281">
      <c r="A281" s="65"/>
      <c r="B281" s="47"/>
      <c r="C281" s="47"/>
      <c r="D281" s="47"/>
      <c r="E281" s="47"/>
      <c r="F281" s="47"/>
      <c r="G281" s="47"/>
      <c r="H281" s="47"/>
      <c r="I281" s="47"/>
      <c r="J281" s="47"/>
    </row>
    <row r="282">
      <c r="A282" s="65"/>
      <c r="B282" s="47"/>
      <c r="C282" s="47"/>
      <c r="D282" s="47"/>
      <c r="E282" s="47"/>
      <c r="F282" s="47"/>
      <c r="G282" s="47"/>
      <c r="H282" s="47"/>
      <c r="I282" s="47"/>
      <c r="J282" s="47"/>
    </row>
    <row r="283">
      <c r="A283" s="65"/>
      <c r="B283" s="47"/>
      <c r="C283" s="47"/>
      <c r="D283" s="47"/>
      <c r="E283" s="47"/>
      <c r="F283" s="47"/>
      <c r="G283" s="47"/>
      <c r="H283" s="47"/>
      <c r="I283" s="47"/>
      <c r="J283" s="47"/>
    </row>
    <row r="284">
      <c r="A284" s="65"/>
      <c r="B284" s="47"/>
      <c r="C284" s="47"/>
      <c r="D284" s="47"/>
      <c r="E284" s="47"/>
      <c r="F284" s="47"/>
      <c r="G284" s="47"/>
      <c r="H284" s="47"/>
      <c r="I284" s="47"/>
      <c r="J284" s="47"/>
    </row>
    <row r="285">
      <c r="A285" s="65"/>
      <c r="B285" s="47"/>
      <c r="C285" s="47"/>
      <c r="D285" s="47"/>
      <c r="E285" s="47"/>
      <c r="F285" s="47"/>
      <c r="G285" s="47"/>
      <c r="H285" s="47"/>
      <c r="I285" s="47"/>
      <c r="J285" s="47"/>
    </row>
    <row r="286">
      <c r="A286" s="65"/>
      <c r="B286" s="47"/>
      <c r="C286" s="47"/>
      <c r="D286" s="47"/>
      <c r="E286" s="47"/>
      <c r="F286" s="47"/>
      <c r="G286" s="47"/>
      <c r="H286" s="47"/>
      <c r="I286" s="47"/>
      <c r="J286" s="47"/>
    </row>
    <row r="287">
      <c r="A287" s="65"/>
      <c r="B287" s="47"/>
      <c r="C287" s="47"/>
      <c r="D287" s="47"/>
      <c r="E287" s="47"/>
      <c r="F287" s="47"/>
      <c r="G287" s="47"/>
      <c r="H287" s="47"/>
      <c r="I287" s="47"/>
      <c r="J287" s="47"/>
    </row>
    <row r="288">
      <c r="A288" s="65"/>
      <c r="B288" s="47"/>
      <c r="C288" s="47"/>
      <c r="D288" s="47"/>
      <c r="E288" s="47"/>
      <c r="F288" s="47"/>
      <c r="G288" s="47"/>
      <c r="H288" s="47"/>
      <c r="I288" s="47"/>
      <c r="J288" s="47"/>
    </row>
    <row r="289">
      <c r="A289" s="65"/>
      <c r="B289" s="47"/>
      <c r="C289" s="47"/>
      <c r="D289" s="47"/>
      <c r="E289" s="47"/>
      <c r="F289" s="47"/>
      <c r="G289" s="47"/>
      <c r="H289" s="47"/>
      <c r="I289" s="47"/>
      <c r="J289" s="47"/>
    </row>
    <row r="290">
      <c r="A290" s="65"/>
      <c r="B290" s="47"/>
      <c r="C290" s="47"/>
      <c r="D290" s="47"/>
      <c r="E290" s="47"/>
      <c r="F290" s="47"/>
      <c r="G290" s="47"/>
      <c r="H290" s="47"/>
      <c r="I290" s="47"/>
      <c r="J290" s="47"/>
    </row>
    <row r="291">
      <c r="A291" s="65"/>
      <c r="B291" s="47"/>
      <c r="C291" s="47"/>
      <c r="D291" s="47"/>
      <c r="E291" s="47"/>
      <c r="F291" s="47"/>
      <c r="G291" s="47"/>
      <c r="H291" s="47"/>
      <c r="I291" s="47"/>
      <c r="J291" s="47"/>
    </row>
    <row r="292">
      <c r="A292" s="65"/>
      <c r="B292" s="47"/>
      <c r="C292" s="47"/>
      <c r="D292" s="47"/>
      <c r="E292" s="47"/>
      <c r="F292" s="47"/>
      <c r="G292" s="47"/>
      <c r="H292" s="47"/>
      <c r="I292" s="47"/>
      <c r="J292" s="47"/>
    </row>
    <row r="293">
      <c r="A293" s="65"/>
      <c r="B293" s="47"/>
      <c r="C293" s="47"/>
      <c r="D293" s="47"/>
      <c r="E293" s="47"/>
      <c r="F293" s="47"/>
      <c r="G293" s="47"/>
      <c r="H293" s="47"/>
      <c r="I293" s="47"/>
      <c r="J293" s="47"/>
    </row>
    <row r="294">
      <c r="A294" s="65"/>
      <c r="B294" s="47"/>
      <c r="C294" s="47"/>
      <c r="D294" s="47"/>
      <c r="E294" s="47"/>
      <c r="F294" s="47"/>
      <c r="G294" s="47"/>
      <c r="H294" s="47"/>
      <c r="I294" s="47"/>
      <c r="J294" s="47"/>
    </row>
    <row r="295">
      <c r="A295" s="65"/>
      <c r="B295" s="47"/>
      <c r="C295" s="47"/>
      <c r="D295" s="47"/>
      <c r="E295" s="47"/>
      <c r="F295" s="47"/>
      <c r="G295" s="47"/>
      <c r="H295" s="47"/>
      <c r="I295" s="47"/>
      <c r="J295" s="47"/>
    </row>
    <row r="296">
      <c r="A296" s="65"/>
      <c r="B296" s="47"/>
      <c r="C296" s="47"/>
      <c r="D296" s="47"/>
      <c r="E296" s="47"/>
      <c r="F296" s="47"/>
      <c r="G296" s="47"/>
      <c r="H296" s="47"/>
      <c r="I296" s="47"/>
      <c r="J296" s="47"/>
    </row>
    <row r="297">
      <c r="A297" s="65"/>
      <c r="B297" s="47"/>
      <c r="C297" s="47"/>
      <c r="D297" s="47"/>
      <c r="E297" s="47"/>
      <c r="F297" s="47"/>
      <c r="G297" s="47"/>
      <c r="H297" s="47"/>
      <c r="I297" s="47"/>
      <c r="J297" s="47"/>
    </row>
    <row r="298">
      <c r="A298" s="65"/>
      <c r="B298" s="47"/>
      <c r="C298" s="47"/>
      <c r="D298" s="47"/>
      <c r="E298" s="47"/>
      <c r="F298" s="47"/>
      <c r="G298" s="47"/>
      <c r="H298" s="47"/>
      <c r="I298" s="47"/>
      <c r="J298" s="47"/>
    </row>
    <row r="299">
      <c r="A299" s="65"/>
      <c r="B299" s="47"/>
      <c r="C299" s="47"/>
      <c r="D299" s="47"/>
      <c r="E299" s="47"/>
      <c r="F299" s="47"/>
      <c r="G299" s="47"/>
      <c r="H299" s="47"/>
      <c r="I299" s="47"/>
      <c r="J299" s="47"/>
    </row>
    <row r="300">
      <c r="A300" s="65"/>
      <c r="B300" s="47"/>
      <c r="C300" s="47"/>
      <c r="D300" s="47"/>
      <c r="E300" s="47"/>
      <c r="F300" s="47"/>
      <c r="G300" s="47"/>
      <c r="H300" s="47"/>
      <c r="I300" s="47"/>
      <c r="J300" s="47"/>
    </row>
    <row r="301">
      <c r="A301" s="65"/>
      <c r="B301" s="47"/>
      <c r="C301" s="47"/>
      <c r="D301" s="47"/>
      <c r="E301" s="47"/>
      <c r="F301" s="47"/>
      <c r="G301" s="47"/>
      <c r="H301" s="47"/>
      <c r="I301" s="47"/>
      <c r="J301" s="47"/>
    </row>
    <row r="302">
      <c r="A302" s="65"/>
      <c r="B302" s="47"/>
      <c r="C302" s="47"/>
      <c r="D302" s="47"/>
      <c r="E302" s="47"/>
      <c r="F302" s="47"/>
      <c r="G302" s="47"/>
      <c r="H302" s="47"/>
      <c r="I302" s="47"/>
      <c r="J302" s="47"/>
    </row>
    <row r="303">
      <c r="A303" s="65"/>
      <c r="B303" s="47"/>
      <c r="C303" s="47"/>
      <c r="D303" s="47"/>
      <c r="E303" s="47"/>
      <c r="F303" s="47"/>
      <c r="G303" s="47"/>
      <c r="H303" s="47"/>
      <c r="I303" s="47"/>
      <c r="J303" s="47"/>
    </row>
    <row r="304">
      <c r="A304" s="65"/>
      <c r="B304" s="47"/>
      <c r="C304" s="47"/>
      <c r="D304" s="47"/>
      <c r="E304" s="47"/>
      <c r="F304" s="47"/>
      <c r="G304" s="47"/>
      <c r="H304" s="47"/>
      <c r="I304" s="47"/>
      <c r="J304" s="47"/>
    </row>
    <row r="305">
      <c r="A305" s="65"/>
      <c r="B305" s="47"/>
      <c r="C305" s="47"/>
      <c r="D305" s="47"/>
      <c r="E305" s="47"/>
      <c r="F305" s="47"/>
      <c r="G305" s="47"/>
      <c r="H305" s="47"/>
      <c r="I305" s="47"/>
      <c r="J305" s="47"/>
    </row>
    <row r="306">
      <c r="A306" s="65"/>
      <c r="B306" s="47"/>
      <c r="C306" s="47"/>
      <c r="D306" s="47"/>
      <c r="E306" s="47"/>
      <c r="F306" s="47"/>
      <c r="G306" s="47"/>
      <c r="H306" s="47"/>
      <c r="I306" s="47"/>
      <c r="J306" s="47"/>
    </row>
    <row r="307">
      <c r="A307" s="65"/>
      <c r="B307" s="47"/>
      <c r="C307" s="47"/>
      <c r="D307" s="47"/>
      <c r="E307" s="47"/>
      <c r="F307" s="47"/>
      <c r="G307" s="47"/>
      <c r="H307" s="47"/>
      <c r="I307" s="47"/>
      <c r="J307" s="47"/>
    </row>
    <row r="308">
      <c r="A308" s="65"/>
      <c r="B308" s="47"/>
      <c r="C308" s="47"/>
      <c r="D308" s="47"/>
      <c r="E308" s="47"/>
      <c r="F308" s="47"/>
      <c r="G308" s="47"/>
      <c r="H308" s="47"/>
      <c r="I308" s="47"/>
      <c r="J308" s="47"/>
    </row>
    <row r="309">
      <c r="A309" s="65"/>
      <c r="B309" s="47"/>
      <c r="C309" s="47"/>
      <c r="D309" s="47"/>
      <c r="E309" s="47"/>
      <c r="F309" s="47"/>
      <c r="G309" s="47"/>
      <c r="H309" s="47"/>
      <c r="I309" s="47"/>
      <c r="J309" s="47"/>
    </row>
    <row r="310">
      <c r="A310" s="65"/>
      <c r="B310" s="47"/>
      <c r="C310" s="47"/>
      <c r="D310" s="47"/>
      <c r="E310" s="47"/>
      <c r="F310" s="47"/>
      <c r="G310" s="47"/>
      <c r="H310" s="47"/>
      <c r="I310" s="47"/>
      <c r="J310" s="47"/>
    </row>
    <row r="311">
      <c r="A311" s="65"/>
      <c r="B311" s="47"/>
      <c r="C311" s="47"/>
      <c r="D311" s="47"/>
      <c r="E311" s="47"/>
      <c r="F311" s="47"/>
      <c r="G311" s="47"/>
      <c r="H311" s="47"/>
      <c r="I311" s="47"/>
      <c r="J311" s="47"/>
    </row>
    <row r="312">
      <c r="A312" s="65"/>
      <c r="B312" s="47"/>
      <c r="C312" s="47"/>
      <c r="D312" s="47"/>
      <c r="E312" s="47"/>
      <c r="F312" s="47"/>
      <c r="G312" s="47"/>
      <c r="H312" s="47"/>
      <c r="I312" s="47"/>
      <c r="J312" s="47"/>
    </row>
    <row r="313">
      <c r="A313" s="65"/>
      <c r="B313" s="47"/>
      <c r="C313" s="47"/>
      <c r="D313" s="47"/>
      <c r="E313" s="47"/>
      <c r="F313" s="47"/>
      <c r="G313" s="47"/>
      <c r="H313" s="47"/>
      <c r="I313" s="47"/>
      <c r="J313" s="47"/>
    </row>
    <row r="314">
      <c r="A314" s="65"/>
      <c r="B314" s="47"/>
      <c r="C314" s="47"/>
      <c r="D314" s="47"/>
      <c r="E314" s="47"/>
      <c r="F314" s="47"/>
      <c r="G314" s="47"/>
      <c r="H314" s="47"/>
      <c r="I314" s="47"/>
      <c r="J314" s="47"/>
    </row>
    <row r="315">
      <c r="A315" s="65"/>
      <c r="B315" s="47"/>
      <c r="C315" s="47"/>
      <c r="D315" s="47"/>
      <c r="E315" s="47"/>
      <c r="F315" s="47"/>
      <c r="G315" s="47"/>
      <c r="H315" s="47"/>
      <c r="I315" s="47"/>
      <c r="J315" s="47"/>
    </row>
    <row r="316">
      <c r="A316" s="65"/>
      <c r="B316" s="47"/>
      <c r="C316" s="47"/>
      <c r="D316" s="47"/>
      <c r="E316" s="47"/>
      <c r="F316" s="47"/>
      <c r="G316" s="47"/>
      <c r="H316" s="47"/>
      <c r="I316" s="47"/>
      <c r="J316" s="47"/>
    </row>
    <row r="317">
      <c r="A317" s="65"/>
      <c r="B317" s="47"/>
      <c r="C317" s="47"/>
      <c r="D317" s="47"/>
      <c r="E317" s="47"/>
      <c r="F317" s="47"/>
      <c r="G317" s="47"/>
      <c r="H317" s="47"/>
      <c r="I317" s="47"/>
      <c r="J317" s="47"/>
    </row>
    <row r="318">
      <c r="A318" s="65"/>
      <c r="B318" s="47"/>
      <c r="C318" s="47"/>
      <c r="D318" s="47"/>
      <c r="E318" s="47"/>
      <c r="F318" s="47"/>
      <c r="G318" s="47"/>
      <c r="H318" s="47"/>
      <c r="I318" s="47"/>
      <c r="J318" s="47"/>
    </row>
    <row r="319">
      <c r="A319" s="65"/>
      <c r="B319" s="47"/>
      <c r="C319" s="47"/>
      <c r="D319" s="47"/>
      <c r="E319" s="47"/>
      <c r="F319" s="47"/>
      <c r="G319" s="47"/>
      <c r="H319" s="47"/>
      <c r="I319" s="47"/>
      <c r="J319" s="47"/>
    </row>
    <row r="320">
      <c r="A320" s="65"/>
      <c r="B320" s="47"/>
      <c r="C320" s="47"/>
      <c r="D320" s="47"/>
      <c r="E320" s="47"/>
      <c r="F320" s="47"/>
      <c r="G320" s="47"/>
      <c r="H320" s="47"/>
      <c r="I320" s="47"/>
      <c r="J320" s="47"/>
    </row>
    <row r="321">
      <c r="A321" s="65"/>
      <c r="B321" s="47"/>
      <c r="C321" s="47"/>
      <c r="D321" s="47"/>
      <c r="E321" s="47"/>
      <c r="F321" s="47"/>
      <c r="G321" s="47"/>
      <c r="H321" s="47"/>
      <c r="I321" s="47"/>
      <c r="J321" s="47"/>
    </row>
    <row r="322">
      <c r="A322" s="65"/>
      <c r="B322" s="47"/>
      <c r="C322" s="47"/>
      <c r="D322" s="47"/>
      <c r="E322" s="47"/>
      <c r="F322" s="47"/>
      <c r="G322" s="47"/>
      <c r="H322" s="47"/>
      <c r="I322" s="47"/>
      <c r="J322" s="47"/>
    </row>
    <row r="323">
      <c r="A323" s="65"/>
      <c r="B323" s="47"/>
      <c r="C323" s="47"/>
      <c r="D323" s="47"/>
      <c r="E323" s="47"/>
      <c r="F323" s="47"/>
      <c r="G323" s="47"/>
      <c r="H323" s="47"/>
      <c r="I323" s="47"/>
      <c r="J323" s="47"/>
    </row>
    <row r="324">
      <c r="A324" s="65"/>
      <c r="B324" s="47"/>
      <c r="C324" s="47"/>
      <c r="D324" s="47"/>
      <c r="E324" s="47"/>
      <c r="F324" s="47"/>
      <c r="G324" s="47"/>
      <c r="H324" s="47"/>
      <c r="I324" s="47"/>
      <c r="J324" s="47"/>
    </row>
    <row r="325">
      <c r="A325" s="65"/>
      <c r="B325" s="47"/>
      <c r="C325" s="47"/>
      <c r="D325" s="47"/>
      <c r="E325" s="47"/>
      <c r="F325" s="47"/>
      <c r="G325" s="47"/>
      <c r="H325" s="47"/>
      <c r="I325" s="47"/>
      <c r="J325" s="47"/>
    </row>
    <row r="326">
      <c r="A326" s="65"/>
      <c r="B326" s="47"/>
      <c r="C326" s="47"/>
      <c r="D326" s="47"/>
      <c r="E326" s="47"/>
      <c r="F326" s="47"/>
      <c r="G326" s="47"/>
      <c r="H326" s="47"/>
      <c r="I326" s="47"/>
      <c r="J326" s="47"/>
    </row>
    <row r="327">
      <c r="A327" s="65"/>
      <c r="B327" s="47"/>
      <c r="C327" s="47"/>
      <c r="D327" s="47"/>
      <c r="E327" s="47"/>
      <c r="F327" s="47"/>
      <c r="G327" s="47"/>
      <c r="H327" s="47"/>
      <c r="I327" s="47"/>
      <c r="J327" s="47"/>
    </row>
    <row r="328">
      <c r="A328" s="65"/>
      <c r="B328" s="47"/>
      <c r="C328" s="47"/>
      <c r="D328" s="47"/>
      <c r="E328" s="47"/>
      <c r="F328" s="47"/>
      <c r="G328" s="47"/>
      <c r="H328" s="47"/>
      <c r="I328" s="47"/>
      <c r="J328" s="47"/>
    </row>
    <row r="329">
      <c r="A329" s="65"/>
      <c r="B329" s="47"/>
      <c r="C329" s="47"/>
      <c r="D329" s="47"/>
      <c r="E329" s="47"/>
      <c r="F329" s="47"/>
      <c r="G329" s="47"/>
      <c r="H329" s="47"/>
      <c r="I329" s="47"/>
      <c r="J329" s="47"/>
    </row>
    <row r="330">
      <c r="A330" s="65"/>
      <c r="B330" s="47"/>
      <c r="C330" s="47"/>
      <c r="D330" s="47"/>
      <c r="E330" s="47"/>
      <c r="F330" s="47"/>
      <c r="G330" s="47"/>
      <c r="H330" s="47"/>
      <c r="I330" s="47"/>
      <c r="J330" s="47"/>
    </row>
    <row r="331">
      <c r="A331" s="65"/>
      <c r="B331" s="47"/>
      <c r="C331" s="47"/>
      <c r="D331" s="47"/>
      <c r="E331" s="47"/>
      <c r="F331" s="47"/>
      <c r="G331" s="47"/>
      <c r="H331" s="47"/>
      <c r="I331" s="47"/>
      <c r="J331" s="47"/>
    </row>
    <row r="332">
      <c r="A332" s="65"/>
      <c r="B332" s="47"/>
      <c r="C332" s="47"/>
      <c r="D332" s="47"/>
      <c r="E332" s="47"/>
      <c r="F332" s="47"/>
      <c r="G332" s="47"/>
      <c r="H332" s="47"/>
      <c r="I332" s="47"/>
      <c r="J332" s="47"/>
    </row>
    <row r="333">
      <c r="A333" s="65"/>
      <c r="B333" s="47"/>
      <c r="C333" s="47"/>
      <c r="D333" s="47"/>
      <c r="E333" s="47"/>
      <c r="F333" s="47"/>
      <c r="G333" s="47"/>
      <c r="H333" s="47"/>
      <c r="I333" s="47"/>
      <c r="J333" s="47"/>
    </row>
    <row r="334">
      <c r="A334" s="65"/>
      <c r="B334" s="47"/>
      <c r="C334" s="47"/>
      <c r="D334" s="47"/>
      <c r="E334" s="47"/>
      <c r="F334" s="47"/>
      <c r="G334" s="47"/>
      <c r="H334" s="47"/>
      <c r="I334" s="47"/>
      <c r="J334" s="47"/>
    </row>
    <row r="335">
      <c r="A335" s="65"/>
      <c r="B335" s="47"/>
      <c r="C335" s="47"/>
      <c r="D335" s="47"/>
      <c r="E335" s="47"/>
      <c r="F335" s="47"/>
      <c r="G335" s="47"/>
      <c r="H335" s="47"/>
      <c r="I335" s="47"/>
      <c r="J335" s="47"/>
    </row>
    <row r="336">
      <c r="A336" s="65"/>
      <c r="B336" s="47"/>
      <c r="C336" s="47"/>
      <c r="D336" s="47"/>
      <c r="E336" s="47"/>
      <c r="F336" s="47"/>
      <c r="G336" s="47"/>
      <c r="H336" s="47"/>
      <c r="I336" s="47"/>
      <c r="J336" s="47"/>
    </row>
    <row r="337">
      <c r="A337" s="65"/>
      <c r="B337" s="47"/>
      <c r="C337" s="47"/>
      <c r="D337" s="47"/>
      <c r="E337" s="47"/>
      <c r="F337" s="47"/>
      <c r="G337" s="47"/>
      <c r="H337" s="47"/>
      <c r="I337" s="47"/>
      <c r="J337" s="47"/>
    </row>
    <row r="338">
      <c r="A338" s="65"/>
      <c r="B338" s="47"/>
      <c r="C338" s="47"/>
      <c r="D338" s="47"/>
      <c r="E338" s="47"/>
      <c r="F338" s="47"/>
      <c r="G338" s="47"/>
      <c r="H338" s="47"/>
      <c r="I338" s="47"/>
      <c r="J338" s="47"/>
    </row>
    <row r="339">
      <c r="A339" s="65"/>
      <c r="B339" s="47"/>
      <c r="C339" s="47"/>
      <c r="D339" s="47"/>
      <c r="E339" s="47"/>
      <c r="F339" s="47"/>
      <c r="G339" s="47"/>
      <c r="H339" s="47"/>
      <c r="I339" s="47"/>
      <c r="J339" s="47"/>
    </row>
    <row r="340">
      <c r="A340" s="65"/>
      <c r="B340" s="47"/>
      <c r="C340" s="47"/>
      <c r="D340" s="47"/>
      <c r="E340" s="47"/>
      <c r="F340" s="47"/>
      <c r="G340" s="47"/>
      <c r="H340" s="47"/>
      <c r="I340" s="47"/>
      <c r="J340" s="47"/>
    </row>
    <row r="341">
      <c r="A341" s="65"/>
      <c r="B341" s="47"/>
      <c r="C341" s="47"/>
      <c r="D341" s="47"/>
      <c r="E341" s="47"/>
      <c r="F341" s="47"/>
      <c r="G341" s="47"/>
      <c r="H341" s="47"/>
      <c r="I341" s="47"/>
      <c r="J341" s="47"/>
    </row>
    <row r="342">
      <c r="A342" s="65"/>
      <c r="B342" s="47"/>
      <c r="C342" s="47"/>
      <c r="D342" s="47"/>
      <c r="E342" s="47"/>
      <c r="F342" s="47"/>
      <c r="G342" s="47"/>
      <c r="H342" s="47"/>
      <c r="I342" s="47"/>
      <c r="J342" s="47"/>
    </row>
    <row r="343">
      <c r="A343" s="65"/>
      <c r="B343" s="47"/>
      <c r="C343" s="47"/>
      <c r="D343" s="47"/>
      <c r="E343" s="47"/>
      <c r="F343" s="47"/>
      <c r="G343" s="47"/>
      <c r="H343" s="47"/>
      <c r="I343" s="47"/>
      <c r="J343" s="47"/>
    </row>
    <row r="344">
      <c r="A344" s="65"/>
      <c r="B344" s="47"/>
      <c r="C344" s="47"/>
      <c r="D344" s="47"/>
      <c r="E344" s="47"/>
      <c r="F344" s="47"/>
      <c r="G344" s="47"/>
      <c r="H344" s="47"/>
      <c r="I344" s="47"/>
      <c r="J344" s="47"/>
    </row>
    <row r="345">
      <c r="A345" s="65"/>
      <c r="B345" s="47"/>
      <c r="C345" s="47"/>
      <c r="D345" s="47"/>
      <c r="E345" s="47"/>
      <c r="F345" s="47"/>
      <c r="G345" s="47"/>
      <c r="H345" s="47"/>
      <c r="I345" s="47"/>
      <c r="J345" s="47"/>
    </row>
    <row r="346">
      <c r="A346" s="65"/>
      <c r="B346" s="47"/>
      <c r="C346" s="47"/>
      <c r="D346" s="47"/>
      <c r="E346" s="47"/>
      <c r="F346" s="47"/>
      <c r="G346" s="47"/>
      <c r="H346" s="47"/>
      <c r="I346" s="47"/>
      <c r="J346" s="47"/>
    </row>
    <row r="347">
      <c r="A347" s="65"/>
      <c r="B347" s="47"/>
      <c r="C347" s="47"/>
      <c r="D347" s="47"/>
      <c r="E347" s="47"/>
      <c r="F347" s="47"/>
      <c r="G347" s="47"/>
      <c r="H347" s="47"/>
      <c r="I347" s="47"/>
      <c r="J347" s="47"/>
    </row>
    <row r="348">
      <c r="A348" s="65"/>
      <c r="B348" s="47"/>
      <c r="C348" s="47"/>
      <c r="D348" s="47"/>
      <c r="E348" s="47"/>
      <c r="F348" s="47"/>
      <c r="G348" s="47"/>
      <c r="H348" s="47"/>
      <c r="I348" s="47"/>
      <c r="J348" s="47"/>
    </row>
    <row r="349">
      <c r="A349" s="65"/>
      <c r="B349" s="47"/>
      <c r="C349" s="47"/>
      <c r="D349" s="47"/>
      <c r="E349" s="47"/>
      <c r="F349" s="47"/>
      <c r="G349" s="47"/>
      <c r="H349" s="47"/>
      <c r="I349" s="47"/>
      <c r="J349" s="47"/>
    </row>
    <row r="350">
      <c r="A350" s="65"/>
      <c r="B350" s="47"/>
      <c r="C350" s="47"/>
      <c r="D350" s="47"/>
      <c r="E350" s="47"/>
      <c r="F350" s="47"/>
      <c r="G350" s="47"/>
      <c r="H350" s="47"/>
      <c r="I350" s="47"/>
      <c r="J350" s="47"/>
    </row>
    <row r="351">
      <c r="A351" s="65"/>
      <c r="B351" s="47"/>
      <c r="C351" s="47"/>
      <c r="D351" s="47"/>
      <c r="E351" s="47"/>
      <c r="F351" s="47"/>
      <c r="G351" s="47"/>
      <c r="H351" s="47"/>
      <c r="I351" s="47"/>
      <c r="J351" s="47"/>
    </row>
    <row r="352">
      <c r="A352" s="65"/>
      <c r="B352" s="47"/>
      <c r="C352" s="47"/>
      <c r="D352" s="47"/>
      <c r="E352" s="47"/>
      <c r="F352" s="47"/>
      <c r="G352" s="47"/>
      <c r="H352" s="47"/>
      <c r="I352" s="47"/>
      <c r="J352" s="47"/>
    </row>
    <row r="353">
      <c r="A353" s="65"/>
      <c r="B353" s="47"/>
      <c r="C353" s="47"/>
      <c r="D353" s="47"/>
      <c r="E353" s="47"/>
      <c r="F353" s="47"/>
      <c r="G353" s="47"/>
      <c r="H353" s="47"/>
      <c r="I353" s="47"/>
      <c r="J353" s="47"/>
    </row>
    <row r="354">
      <c r="A354" s="65"/>
      <c r="B354" s="47"/>
      <c r="C354" s="47"/>
      <c r="D354" s="47"/>
      <c r="E354" s="47"/>
      <c r="F354" s="47"/>
      <c r="G354" s="47"/>
      <c r="H354" s="47"/>
      <c r="I354" s="47"/>
      <c r="J354" s="47"/>
    </row>
    <row r="355">
      <c r="A355" s="65"/>
      <c r="B355" s="47"/>
      <c r="C355" s="47"/>
      <c r="D355" s="47"/>
      <c r="E355" s="47"/>
      <c r="F355" s="47"/>
      <c r="G355" s="47"/>
      <c r="H355" s="47"/>
      <c r="I355" s="47"/>
      <c r="J355" s="47"/>
    </row>
    <row r="356">
      <c r="A356" s="65"/>
      <c r="B356" s="47"/>
      <c r="C356" s="47"/>
      <c r="D356" s="47"/>
      <c r="E356" s="47"/>
      <c r="F356" s="47"/>
      <c r="G356" s="47"/>
      <c r="H356" s="47"/>
      <c r="I356" s="47"/>
      <c r="J356" s="47"/>
    </row>
    <row r="357">
      <c r="A357" s="65"/>
      <c r="B357" s="47"/>
      <c r="C357" s="47"/>
      <c r="D357" s="47"/>
      <c r="E357" s="47"/>
      <c r="F357" s="47"/>
      <c r="G357" s="47"/>
      <c r="H357" s="47"/>
      <c r="I357" s="47"/>
      <c r="J357" s="47"/>
    </row>
    <row r="358">
      <c r="A358" s="65"/>
      <c r="B358" s="47"/>
      <c r="C358" s="47"/>
      <c r="D358" s="47"/>
      <c r="E358" s="47"/>
      <c r="F358" s="47"/>
      <c r="G358" s="47"/>
      <c r="H358" s="47"/>
      <c r="I358" s="47"/>
      <c r="J358" s="47"/>
    </row>
    <row r="359">
      <c r="A359" s="65"/>
      <c r="B359" s="47"/>
      <c r="C359" s="47"/>
      <c r="D359" s="47"/>
      <c r="E359" s="47"/>
      <c r="F359" s="47"/>
      <c r="G359" s="47"/>
      <c r="H359" s="47"/>
      <c r="I359" s="47"/>
      <c r="J359" s="47"/>
    </row>
    <row r="360">
      <c r="A360" s="65"/>
      <c r="B360" s="47"/>
      <c r="C360" s="47"/>
      <c r="D360" s="47"/>
      <c r="E360" s="47"/>
      <c r="F360" s="47"/>
      <c r="G360" s="47"/>
      <c r="H360" s="47"/>
      <c r="I360" s="47"/>
      <c r="J360" s="47"/>
    </row>
    <row r="361">
      <c r="A361" s="65"/>
      <c r="B361" s="47"/>
      <c r="C361" s="47"/>
      <c r="D361" s="47"/>
      <c r="E361" s="47"/>
      <c r="F361" s="47"/>
      <c r="G361" s="47"/>
      <c r="H361" s="47"/>
      <c r="I361" s="47"/>
      <c r="J361" s="47"/>
    </row>
    <row r="362">
      <c r="A362" s="65"/>
      <c r="B362" s="47"/>
      <c r="C362" s="47"/>
      <c r="D362" s="47"/>
      <c r="E362" s="47"/>
      <c r="F362" s="47"/>
      <c r="G362" s="47"/>
      <c r="H362" s="47"/>
      <c r="I362" s="47"/>
      <c r="J362" s="47"/>
    </row>
    <row r="363">
      <c r="A363" s="65"/>
      <c r="B363" s="47"/>
      <c r="C363" s="47"/>
      <c r="D363" s="47"/>
      <c r="E363" s="47"/>
      <c r="F363" s="47"/>
      <c r="G363" s="47"/>
      <c r="H363" s="47"/>
      <c r="I363" s="47"/>
      <c r="J363" s="47"/>
    </row>
    <row r="364">
      <c r="A364" s="65"/>
      <c r="B364" s="47"/>
      <c r="C364" s="47"/>
      <c r="D364" s="47"/>
      <c r="E364" s="47"/>
      <c r="F364" s="47"/>
      <c r="G364" s="47"/>
      <c r="H364" s="47"/>
      <c r="I364" s="47"/>
      <c r="J364" s="47"/>
    </row>
    <row r="365">
      <c r="A365" s="65"/>
      <c r="B365" s="47"/>
      <c r="C365" s="47"/>
      <c r="D365" s="47"/>
      <c r="E365" s="47"/>
      <c r="F365" s="47"/>
      <c r="G365" s="47"/>
      <c r="H365" s="47"/>
      <c r="I365" s="47"/>
      <c r="J365" s="47"/>
    </row>
    <row r="366">
      <c r="A366" s="65"/>
      <c r="B366" s="47"/>
      <c r="C366" s="47"/>
      <c r="D366" s="47"/>
      <c r="E366" s="47"/>
      <c r="F366" s="47"/>
      <c r="G366" s="47"/>
      <c r="H366" s="47"/>
      <c r="I366" s="47"/>
      <c r="J366" s="47"/>
    </row>
    <row r="367">
      <c r="A367" s="65"/>
      <c r="B367" s="47"/>
      <c r="C367" s="47"/>
      <c r="D367" s="47"/>
      <c r="E367" s="47"/>
      <c r="F367" s="47"/>
      <c r="G367" s="47"/>
      <c r="H367" s="47"/>
      <c r="I367" s="47"/>
      <c r="J367" s="47"/>
    </row>
    <row r="368">
      <c r="A368" s="65"/>
      <c r="B368" s="47"/>
      <c r="C368" s="47"/>
      <c r="D368" s="47"/>
      <c r="E368" s="47"/>
      <c r="F368" s="47"/>
      <c r="G368" s="47"/>
      <c r="H368" s="47"/>
      <c r="I368" s="47"/>
      <c r="J368" s="47"/>
    </row>
    <row r="369">
      <c r="A369" s="65"/>
      <c r="B369" s="47"/>
      <c r="C369" s="47"/>
      <c r="D369" s="47"/>
      <c r="E369" s="47"/>
      <c r="F369" s="47"/>
      <c r="G369" s="47"/>
      <c r="H369" s="47"/>
      <c r="I369" s="47"/>
      <c r="J369" s="47"/>
    </row>
    <row r="370">
      <c r="A370" s="65"/>
      <c r="B370" s="47"/>
      <c r="C370" s="47"/>
      <c r="D370" s="47"/>
      <c r="E370" s="47"/>
      <c r="F370" s="47"/>
      <c r="G370" s="47"/>
      <c r="H370" s="47"/>
      <c r="I370" s="47"/>
      <c r="J370" s="47"/>
    </row>
    <row r="371">
      <c r="A371" s="65"/>
      <c r="B371" s="47"/>
      <c r="C371" s="47"/>
      <c r="D371" s="47"/>
      <c r="E371" s="47"/>
      <c r="F371" s="47"/>
      <c r="G371" s="47"/>
      <c r="H371" s="47"/>
      <c r="I371" s="47"/>
      <c r="J371" s="47"/>
    </row>
    <row r="372">
      <c r="A372" s="65"/>
      <c r="B372" s="47"/>
      <c r="C372" s="47"/>
      <c r="D372" s="47"/>
      <c r="E372" s="47"/>
      <c r="F372" s="47"/>
      <c r="G372" s="47"/>
      <c r="H372" s="47"/>
      <c r="I372" s="47"/>
      <c r="J372" s="47"/>
    </row>
    <row r="373">
      <c r="A373" s="65"/>
      <c r="B373" s="47"/>
      <c r="C373" s="47"/>
      <c r="D373" s="47"/>
      <c r="E373" s="47"/>
      <c r="F373" s="47"/>
      <c r="G373" s="47"/>
      <c r="H373" s="47"/>
      <c r="I373" s="47"/>
      <c r="J373" s="47"/>
    </row>
    <row r="374">
      <c r="A374" s="65"/>
      <c r="B374" s="47"/>
      <c r="C374" s="47"/>
      <c r="D374" s="47"/>
      <c r="E374" s="47"/>
      <c r="F374" s="47"/>
      <c r="G374" s="47"/>
      <c r="H374" s="47"/>
      <c r="I374" s="47"/>
      <c r="J374" s="47"/>
    </row>
    <row r="375">
      <c r="A375" s="65"/>
      <c r="B375" s="47"/>
      <c r="C375" s="47"/>
      <c r="D375" s="47"/>
      <c r="E375" s="47"/>
      <c r="F375" s="47"/>
      <c r="G375" s="47"/>
      <c r="H375" s="47"/>
      <c r="I375" s="47"/>
      <c r="J375" s="47"/>
    </row>
    <row r="376">
      <c r="A376" s="65"/>
      <c r="B376" s="47"/>
      <c r="C376" s="47"/>
      <c r="D376" s="47"/>
      <c r="E376" s="47"/>
      <c r="F376" s="47"/>
      <c r="G376" s="47"/>
      <c r="H376" s="47"/>
      <c r="I376" s="47"/>
      <c r="J376" s="47"/>
    </row>
    <row r="377">
      <c r="A377" s="65"/>
      <c r="B377" s="47"/>
      <c r="C377" s="47"/>
      <c r="D377" s="47"/>
      <c r="E377" s="47"/>
      <c r="F377" s="47"/>
      <c r="G377" s="47"/>
      <c r="H377" s="47"/>
      <c r="I377" s="47"/>
      <c r="J377" s="47"/>
    </row>
    <row r="378">
      <c r="A378" s="65"/>
      <c r="B378" s="47"/>
      <c r="C378" s="47"/>
      <c r="D378" s="47"/>
      <c r="E378" s="47"/>
      <c r="F378" s="47"/>
      <c r="G378" s="47"/>
      <c r="H378" s="47"/>
      <c r="I378" s="47"/>
      <c r="J378" s="47"/>
    </row>
    <row r="379">
      <c r="A379" s="65"/>
      <c r="B379" s="47"/>
      <c r="C379" s="47"/>
      <c r="D379" s="47"/>
      <c r="E379" s="47"/>
      <c r="F379" s="47"/>
      <c r="G379" s="47"/>
      <c r="H379" s="47"/>
      <c r="I379" s="47"/>
      <c r="J379" s="47"/>
    </row>
    <row r="380">
      <c r="A380" s="65"/>
      <c r="B380" s="47"/>
      <c r="C380" s="47"/>
      <c r="D380" s="47"/>
      <c r="E380" s="47"/>
      <c r="F380" s="47"/>
      <c r="G380" s="47"/>
      <c r="H380" s="47"/>
      <c r="I380" s="47"/>
      <c r="J380" s="47"/>
    </row>
    <row r="381">
      <c r="A381" s="65"/>
      <c r="B381" s="47"/>
      <c r="C381" s="47"/>
      <c r="D381" s="47"/>
      <c r="E381" s="47"/>
      <c r="F381" s="47"/>
      <c r="G381" s="47"/>
      <c r="H381" s="47"/>
      <c r="I381" s="47"/>
      <c r="J381" s="47"/>
    </row>
    <row r="382">
      <c r="A382" s="65"/>
      <c r="B382" s="47"/>
      <c r="C382" s="47"/>
      <c r="D382" s="47"/>
      <c r="E382" s="47"/>
      <c r="F382" s="47"/>
      <c r="G382" s="47"/>
      <c r="H382" s="47"/>
      <c r="I382" s="47"/>
      <c r="J382" s="47"/>
    </row>
    <row r="383">
      <c r="A383" s="65"/>
      <c r="B383" s="47"/>
      <c r="C383" s="47"/>
      <c r="D383" s="47"/>
      <c r="E383" s="47"/>
      <c r="F383" s="47"/>
      <c r="G383" s="47"/>
      <c r="H383" s="47"/>
      <c r="I383" s="47"/>
      <c r="J383" s="47"/>
    </row>
    <row r="384">
      <c r="A384" s="65"/>
      <c r="B384" s="47"/>
      <c r="C384" s="47"/>
      <c r="D384" s="47"/>
      <c r="E384" s="47"/>
      <c r="F384" s="47"/>
      <c r="G384" s="47"/>
      <c r="H384" s="47"/>
      <c r="I384" s="47"/>
      <c r="J384" s="47"/>
    </row>
    <row r="385">
      <c r="A385" s="65"/>
      <c r="B385" s="47"/>
      <c r="C385" s="47"/>
      <c r="D385" s="47"/>
      <c r="E385" s="47"/>
      <c r="F385" s="47"/>
      <c r="G385" s="47"/>
      <c r="H385" s="47"/>
      <c r="I385" s="47"/>
      <c r="J385" s="47"/>
    </row>
    <row r="386">
      <c r="A386" s="65"/>
      <c r="B386" s="47"/>
      <c r="C386" s="47"/>
      <c r="D386" s="47"/>
      <c r="E386" s="47"/>
      <c r="F386" s="47"/>
      <c r="G386" s="47"/>
      <c r="H386" s="47"/>
      <c r="I386" s="47"/>
      <c r="J386" s="47"/>
    </row>
    <row r="387">
      <c r="A387" s="65"/>
      <c r="B387" s="47"/>
      <c r="C387" s="47"/>
      <c r="D387" s="47"/>
      <c r="E387" s="47"/>
      <c r="F387" s="47"/>
      <c r="G387" s="47"/>
      <c r="H387" s="47"/>
      <c r="I387" s="47"/>
      <c r="J387" s="47"/>
    </row>
    <row r="388">
      <c r="A388" s="65"/>
      <c r="B388" s="47"/>
      <c r="C388" s="47"/>
      <c r="D388" s="47"/>
      <c r="E388" s="47"/>
      <c r="F388" s="47"/>
      <c r="G388" s="47"/>
      <c r="H388" s="47"/>
      <c r="I388" s="47"/>
      <c r="J388" s="47"/>
    </row>
    <row r="389">
      <c r="A389" s="65"/>
      <c r="B389" s="47"/>
      <c r="C389" s="47"/>
      <c r="D389" s="47"/>
      <c r="E389" s="47"/>
      <c r="F389" s="47"/>
      <c r="G389" s="47"/>
      <c r="H389" s="47"/>
      <c r="I389" s="47"/>
      <c r="J389" s="47"/>
    </row>
    <row r="390">
      <c r="A390" s="65"/>
      <c r="B390" s="47"/>
      <c r="C390" s="47"/>
      <c r="D390" s="47"/>
      <c r="E390" s="47"/>
      <c r="F390" s="47"/>
      <c r="G390" s="47"/>
      <c r="H390" s="47"/>
      <c r="I390" s="47"/>
      <c r="J390" s="47"/>
    </row>
    <row r="391">
      <c r="A391" s="65"/>
      <c r="B391" s="47"/>
      <c r="C391" s="47"/>
      <c r="D391" s="47"/>
      <c r="E391" s="47"/>
      <c r="F391" s="47"/>
      <c r="G391" s="47"/>
      <c r="H391" s="47"/>
      <c r="I391" s="47"/>
      <c r="J391" s="47"/>
    </row>
    <row r="392">
      <c r="A392" s="65"/>
      <c r="B392" s="47"/>
      <c r="C392" s="47"/>
      <c r="D392" s="47"/>
      <c r="E392" s="47"/>
      <c r="F392" s="47"/>
      <c r="G392" s="47"/>
      <c r="H392" s="47"/>
      <c r="I392" s="47"/>
      <c r="J392" s="47"/>
    </row>
    <row r="393">
      <c r="A393" s="65"/>
      <c r="B393" s="47"/>
      <c r="C393" s="47"/>
      <c r="D393" s="47"/>
      <c r="E393" s="47"/>
      <c r="F393" s="47"/>
      <c r="G393" s="47"/>
      <c r="H393" s="47"/>
      <c r="I393" s="47"/>
      <c r="J393" s="47"/>
    </row>
    <row r="394">
      <c r="A394" s="65"/>
      <c r="B394" s="47"/>
      <c r="C394" s="47"/>
      <c r="D394" s="47"/>
      <c r="E394" s="47"/>
      <c r="F394" s="47"/>
      <c r="G394" s="47"/>
      <c r="H394" s="47"/>
      <c r="I394" s="47"/>
      <c r="J394" s="47"/>
    </row>
    <row r="395">
      <c r="A395" s="65"/>
      <c r="B395" s="47"/>
      <c r="C395" s="47"/>
      <c r="D395" s="47"/>
      <c r="E395" s="47"/>
      <c r="F395" s="47"/>
      <c r="G395" s="47"/>
      <c r="H395" s="47"/>
      <c r="I395" s="47"/>
      <c r="J395" s="47"/>
    </row>
    <row r="396">
      <c r="A396" s="65"/>
      <c r="B396" s="47"/>
      <c r="C396" s="47"/>
      <c r="D396" s="47"/>
      <c r="E396" s="47"/>
      <c r="F396" s="47"/>
      <c r="G396" s="47"/>
      <c r="H396" s="47"/>
      <c r="I396" s="47"/>
      <c r="J396" s="47"/>
    </row>
    <row r="397">
      <c r="A397" s="65"/>
      <c r="B397" s="47"/>
      <c r="C397" s="47"/>
      <c r="D397" s="47"/>
      <c r="E397" s="47"/>
      <c r="F397" s="47"/>
      <c r="G397" s="47"/>
      <c r="H397" s="47"/>
      <c r="I397" s="47"/>
      <c r="J397" s="47"/>
    </row>
    <row r="398">
      <c r="A398" s="65"/>
      <c r="B398" s="47"/>
      <c r="C398" s="47"/>
      <c r="D398" s="47"/>
      <c r="E398" s="47"/>
      <c r="F398" s="47"/>
      <c r="G398" s="47"/>
      <c r="H398" s="47"/>
      <c r="I398" s="47"/>
      <c r="J398" s="47"/>
    </row>
    <row r="399">
      <c r="A399" s="65"/>
      <c r="B399" s="47"/>
      <c r="C399" s="47"/>
      <c r="D399" s="47"/>
      <c r="E399" s="47"/>
      <c r="F399" s="47"/>
      <c r="G399" s="47"/>
      <c r="H399" s="47"/>
      <c r="I399" s="47"/>
      <c r="J399" s="47"/>
    </row>
    <row r="400">
      <c r="A400" s="65"/>
      <c r="B400" s="47"/>
      <c r="C400" s="47"/>
      <c r="D400" s="47"/>
      <c r="E400" s="47"/>
      <c r="F400" s="47"/>
      <c r="G400" s="47"/>
      <c r="H400" s="47"/>
      <c r="I400" s="47"/>
      <c r="J400" s="47"/>
    </row>
    <row r="401">
      <c r="A401" s="65"/>
      <c r="B401" s="47"/>
      <c r="C401" s="47"/>
      <c r="D401" s="47"/>
      <c r="E401" s="47"/>
      <c r="F401" s="47"/>
      <c r="G401" s="47"/>
      <c r="H401" s="47"/>
      <c r="I401" s="47"/>
      <c r="J401" s="47"/>
    </row>
    <row r="402">
      <c r="A402" s="65"/>
      <c r="B402" s="47"/>
      <c r="C402" s="47"/>
      <c r="D402" s="47"/>
      <c r="E402" s="47"/>
      <c r="F402" s="47"/>
      <c r="G402" s="47"/>
      <c r="H402" s="47"/>
      <c r="I402" s="47"/>
      <c r="J402" s="47"/>
    </row>
    <row r="403">
      <c r="A403" s="65"/>
      <c r="B403" s="47"/>
      <c r="C403" s="47"/>
      <c r="D403" s="47"/>
      <c r="E403" s="47"/>
      <c r="F403" s="47"/>
      <c r="G403" s="47"/>
      <c r="H403" s="47"/>
      <c r="I403" s="47"/>
      <c r="J403" s="47"/>
    </row>
    <row r="404">
      <c r="A404" s="65"/>
      <c r="B404" s="47"/>
      <c r="C404" s="47"/>
      <c r="D404" s="47"/>
      <c r="E404" s="47"/>
      <c r="F404" s="47"/>
      <c r="G404" s="47"/>
      <c r="H404" s="47"/>
      <c r="I404" s="47"/>
      <c r="J404" s="47"/>
    </row>
    <row r="405">
      <c r="A405" s="65"/>
      <c r="B405" s="47"/>
      <c r="C405" s="47"/>
      <c r="D405" s="47"/>
      <c r="E405" s="47"/>
      <c r="F405" s="47"/>
      <c r="G405" s="47"/>
      <c r="H405" s="47"/>
      <c r="I405" s="47"/>
      <c r="J405" s="47"/>
    </row>
    <row r="406">
      <c r="A406" s="65"/>
      <c r="B406" s="47"/>
      <c r="C406" s="47"/>
      <c r="D406" s="47"/>
      <c r="E406" s="47"/>
      <c r="F406" s="47"/>
      <c r="G406" s="47"/>
      <c r="H406" s="47"/>
      <c r="I406" s="47"/>
      <c r="J406" s="47"/>
    </row>
    <row r="407">
      <c r="A407" s="65"/>
      <c r="B407" s="47"/>
      <c r="C407" s="47"/>
      <c r="D407" s="47"/>
      <c r="E407" s="47"/>
      <c r="F407" s="47"/>
      <c r="G407" s="47"/>
      <c r="H407" s="47"/>
      <c r="I407" s="47"/>
      <c r="J407" s="47"/>
    </row>
    <row r="408">
      <c r="A408" s="65"/>
      <c r="B408" s="47"/>
      <c r="C408" s="47"/>
      <c r="D408" s="47"/>
      <c r="E408" s="47"/>
      <c r="F408" s="47"/>
      <c r="G408" s="47"/>
      <c r="H408" s="47"/>
      <c r="I408" s="47"/>
      <c r="J408" s="47"/>
    </row>
    <row r="409">
      <c r="A409" s="65"/>
      <c r="B409" s="47"/>
      <c r="C409" s="47"/>
      <c r="D409" s="47"/>
      <c r="E409" s="47"/>
      <c r="F409" s="47"/>
      <c r="G409" s="47"/>
      <c r="H409" s="47"/>
      <c r="I409" s="47"/>
      <c r="J409" s="47"/>
    </row>
    <row r="410">
      <c r="A410" s="65"/>
      <c r="B410" s="47"/>
      <c r="C410" s="47"/>
      <c r="D410" s="47"/>
      <c r="E410" s="47"/>
      <c r="F410" s="47"/>
      <c r="G410" s="47"/>
      <c r="H410" s="47"/>
      <c r="I410" s="47"/>
      <c r="J410" s="47"/>
    </row>
    <row r="411">
      <c r="A411" s="65"/>
      <c r="B411" s="47"/>
      <c r="C411" s="47"/>
      <c r="D411" s="47"/>
      <c r="E411" s="47"/>
      <c r="F411" s="47"/>
      <c r="G411" s="47"/>
      <c r="H411" s="47"/>
      <c r="I411" s="47"/>
      <c r="J411" s="47"/>
    </row>
    <row r="412">
      <c r="A412" s="65"/>
      <c r="B412" s="47"/>
      <c r="C412" s="47"/>
      <c r="D412" s="47"/>
      <c r="E412" s="47"/>
      <c r="F412" s="47"/>
      <c r="G412" s="47"/>
      <c r="H412" s="47"/>
      <c r="I412" s="47"/>
      <c r="J412" s="47"/>
    </row>
    <row r="413">
      <c r="A413" s="65"/>
      <c r="B413" s="47"/>
      <c r="C413" s="47"/>
      <c r="D413" s="47"/>
      <c r="E413" s="47"/>
      <c r="F413" s="47"/>
      <c r="G413" s="47"/>
      <c r="H413" s="47"/>
      <c r="I413" s="47"/>
      <c r="J413" s="47"/>
    </row>
    <row r="414">
      <c r="A414" s="65"/>
      <c r="B414" s="47"/>
      <c r="C414" s="47"/>
      <c r="D414" s="47"/>
      <c r="E414" s="47"/>
      <c r="F414" s="47"/>
      <c r="G414" s="47"/>
      <c r="H414" s="47"/>
      <c r="I414" s="47"/>
      <c r="J414" s="47"/>
    </row>
    <row r="415">
      <c r="A415" s="65"/>
      <c r="B415" s="47"/>
      <c r="C415" s="47"/>
      <c r="D415" s="47"/>
      <c r="E415" s="47"/>
      <c r="F415" s="47"/>
      <c r="G415" s="47"/>
      <c r="H415" s="47"/>
      <c r="I415" s="47"/>
      <c r="J415" s="47"/>
    </row>
    <row r="416">
      <c r="A416" s="65"/>
      <c r="B416" s="47"/>
      <c r="C416" s="47"/>
      <c r="D416" s="47"/>
      <c r="E416" s="47"/>
      <c r="F416" s="47"/>
      <c r="G416" s="47"/>
      <c r="H416" s="47"/>
      <c r="I416" s="47"/>
      <c r="J416" s="47"/>
    </row>
    <row r="417">
      <c r="A417" s="65"/>
      <c r="B417" s="47"/>
      <c r="C417" s="47"/>
      <c r="D417" s="47"/>
      <c r="E417" s="47"/>
      <c r="F417" s="47"/>
      <c r="G417" s="47"/>
      <c r="H417" s="47"/>
      <c r="I417" s="47"/>
      <c r="J417" s="47"/>
    </row>
    <row r="418">
      <c r="A418" s="65"/>
      <c r="B418" s="47"/>
      <c r="C418" s="47"/>
      <c r="D418" s="47"/>
      <c r="E418" s="47"/>
      <c r="F418" s="47"/>
      <c r="G418" s="47"/>
      <c r="H418" s="47"/>
      <c r="I418" s="47"/>
      <c r="J418" s="47"/>
    </row>
    <row r="419">
      <c r="A419" s="65"/>
      <c r="B419" s="47"/>
      <c r="C419" s="47"/>
      <c r="D419" s="47"/>
      <c r="E419" s="47"/>
      <c r="F419" s="47"/>
      <c r="G419" s="47"/>
      <c r="H419" s="47"/>
      <c r="I419" s="47"/>
      <c r="J419" s="47"/>
    </row>
    <row r="420">
      <c r="A420" s="65"/>
      <c r="B420" s="47"/>
      <c r="C420" s="47"/>
      <c r="D420" s="47"/>
      <c r="E420" s="47"/>
      <c r="F420" s="47"/>
      <c r="G420" s="47"/>
      <c r="H420" s="47"/>
      <c r="I420" s="47"/>
      <c r="J420" s="47"/>
    </row>
    <row r="421">
      <c r="A421" s="65"/>
      <c r="B421" s="47"/>
      <c r="C421" s="47"/>
      <c r="D421" s="47"/>
      <c r="E421" s="47"/>
      <c r="F421" s="47"/>
      <c r="G421" s="47"/>
      <c r="H421" s="47"/>
      <c r="I421" s="47"/>
      <c r="J421" s="47"/>
    </row>
    <row r="422">
      <c r="A422" s="65"/>
      <c r="B422" s="47"/>
      <c r="C422" s="47"/>
      <c r="D422" s="47"/>
      <c r="E422" s="47"/>
      <c r="F422" s="47"/>
      <c r="G422" s="47"/>
      <c r="H422" s="47"/>
      <c r="I422" s="47"/>
      <c r="J422" s="47"/>
    </row>
    <row r="423">
      <c r="A423" s="65"/>
      <c r="B423" s="47"/>
      <c r="C423" s="47"/>
      <c r="D423" s="47"/>
      <c r="E423" s="47"/>
      <c r="F423" s="47"/>
      <c r="G423" s="47"/>
      <c r="H423" s="47"/>
      <c r="I423" s="47"/>
      <c r="J423" s="47"/>
    </row>
    <row r="424">
      <c r="A424" s="65"/>
      <c r="B424" s="47"/>
      <c r="C424" s="47"/>
      <c r="D424" s="47"/>
      <c r="E424" s="47"/>
      <c r="F424" s="47"/>
      <c r="G424" s="47"/>
      <c r="H424" s="47"/>
      <c r="I424" s="47"/>
      <c r="J424" s="47"/>
    </row>
    <row r="425">
      <c r="A425" s="65"/>
      <c r="B425" s="47"/>
      <c r="C425" s="47"/>
      <c r="D425" s="47"/>
      <c r="E425" s="47"/>
      <c r="F425" s="47"/>
      <c r="G425" s="47"/>
      <c r="H425" s="47"/>
      <c r="I425" s="47"/>
      <c r="J425" s="47"/>
    </row>
    <row r="426">
      <c r="A426" s="65"/>
      <c r="B426" s="47"/>
      <c r="C426" s="47"/>
      <c r="D426" s="47"/>
      <c r="E426" s="47"/>
      <c r="F426" s="47"/>
      <c r="G426" s="47"/>
      <c r="H426" s="47"/>
      <c r="I426" s="47"/>
      <c r="J426" s="47"/>
    </row>
    <row r="427">
      <c r="A427" s="65"/>
      <c r="B427" s="47"/>
      <c r="C427" s="47"/>
      <c r="D427" s="47"/>
      <c r="E427" s="47"/>
      <c r="F427" s="47"/>
      <c r="G427" s="47"/>
      <c r="H427" s="47"/>
      <c r="I427" s="47"/>
      <c r="J427" s="47"/>
    </row>
    <row r="428">
      <c r="A428" s="65"/>
      <c r="B428" s="47"/>
      <c r="C428" s="47"/>
      <c r="D428" s="47"/>
      <c r="E428" s="47"/>
      <c r="F428" s="47"/>
      <c r="G428" s="47"/>
      <c r="H428" s="47"/>
      <c r="I428" s="47"/>
      <c r="J428" s="47"/>
    </row>
    <row r="429">
      <c r="A429" s="65"/>
      <c r="B429" s="47"/>
      <c r="C429" s="47"/>
      <c r="D429" s="47"/>
      <c r="E429" s="47"/>
      <c r="F429" s="47"/>
      <c r="G429" s="47"/>
      <c r="H429" s="47"/>
      <c r="I429" s="47"/>
      <c r="J429" s="47"/>
    </row>
    <row r="430">
      <c r="A430" s="65"/>
      <c r="B430" s="47"/>
      <c r="C430" s="47"/>
      <c r="D430" s="47"/>
      <c r="E430" s="47"/>
      <c r="F430" s="47"/>
      <c r="G430" s="47"/>
      <c r="H430" s="47"/>
      <c r="I430" s="47"/>
      <c r="J430" s="47"/>
    </row>
    <row r="431">
      <c r="A431" s="65"/>
      <c r="B431" s="47"/>
      <c r="C431" s="47"/>
      <c r="D431" s="47"/>
      <c r="E431" s="47"/>
      <c r="F431" s="47"/>
      <c r="G431" s="47"/>
      <c r="H431" s="47"/>
      <c r="I431" s="47"/>
      <c r="J431" s="47"/>
    </row>
    <row r="432">
      <c r="A432" s="65"/>
      <c r="B432" s="47"/>
      <c r="C432" s="47"/>
      <c r="D432" s="47"/>
      <c r="E432" s="47"/>
      <c r="F432" s="47"/>
      <c r="G432" s="47"/>
      <c r="H432" s="47"/>
      <c r="I432" s="47"/>
      <c r="J432" s="47"/>
    </row>
    <row r="433">
      <c r="A433" s="65"/>
      <c r="B433" s="47"/>
      <c r="C433" s="47"/>
      <c r="D433" s="47"/>
      <c r="E433" s="47"/>
      <c r="F433" s="47"/>
      <c r="G433" s="47"/>
      <c r="H433" s="47"/>
      <c r="I433" s="47"/>
      <c r="J433" s="47"/>
    </row>
    <row r="434">
      <c r="A434" s="65"/>
      <c r="B434" s="47"/>
      <c r="C434" s="47"/>
      <c r="D434" s="47"/>
      <c r="E434" s="47"/>
      <c r="F434" s="47"/>
      <c r="G434" s="47"/>
      <c r="H434" s="47"/>
      <c r="I434" s="47"/>
      <c r="J434" s="47"/>
    </row>
    <row r="435">
      <c r="A435" s="65"/>
      <c r="B435" s="47"/>
      <c r="C435" s="47"/>
      <c r="D435" s="47"/>
      <c r="E435" s="47"/>
      <c r="F435" s="47"/>
      <c r="G435" s="47"/>
      <c r="H435" s="47"/>
      <c r="I435" s="47"/>
      <c r="J435" s="47"/>
    </row>
    <row r="436">
      <c r="A436" s="65"/>
      <c r="B436" s="47"/>
      <c r="C436" s="47"/>
      <c r="D436" s="47"/>
      <c r="E436" s="47"/>
      <c r="F436" s="47"/>
      <c r="G436" s="47"/>
      <c r="H436" s="47"/>
      <c r="I436" s="47"/>
      <c r="J436" s="47"/>
    </row>
    <row r="437">
      <c r="A437" s="65"/>
      <c r="B437" s="47"/>
      <c r="C437" s="47"/>
      <c r="D437" s="47"/>
      <c r="E437" s="47"/>
      <c r="F437" s="47"/>
      <c r="G437" s="47"/>
      <c r="H437" s="47"/>
      <c r="I437" s="47"/>
      <c r="J437" s="47"/>
    </row>
    <row r="438">
      <c r="A438" s="65"/>
      <c r="B438" s="47"/>
      <c r="C438" s="47"/>
      <c r="D438" s="47"/>
      <c r="E438" s="47"/>
      <c r="F438" s="47"/>
      <c r="G438" s="47"/>
      <c r="H438" s="47"/>
      <c r="I438" s="47"/>
      <c r="J438" s="47"/>
    </row>
    <row r="439">
      <c r="A439" s="65"/>
      <c r="B439" s="47"/>
      <c r="C439" s="47"/>
      <c r="D439" s="47"/>
      <c r="E439" s="47"/>
      <c r="F439" s="47"/>
      <c r="G439" s="47"/>
      <c r="H439" s="47"/>
      <c r="I439" s="47"/>
      <c r="J439" s="47"/>
    </row>
    <row r="440">
      <c r="A440" s="65"/>
      <c r="B440" s="47"/>
      <c r="C440" s="47"/>
      <c r="D440" s="47"/>
      <c r="E440" s="47"/>
      <c r="F440" s="47"/>
      <c r="G440" s="47"/>
      <c r="H440" s="47"/>
      <c r="I440" s="47"/>
      <c r="J440" s="47"/>
    </row>
    <row r="441">
      <c r="A441" s="65"/>
      <c r="B441" s="47"/>
      <c r="C441" s="47"/>
      <c r="D441" s="47"/>
      <c r="E441" s="47"/>
      <c r="F441" s="47"/>
      <c r="G441" s="47"/>
      <c r="H441" s="47"/>
      <c r="I441" s="47"/>
      <c r="J441" s="47"/>
    </row>
    <row r="442">
      <c r="A442" s="65"/>
      <c r="B442" s="47"/>
      <c r="C442" s="47"/>
      <c r="D442" s="47"/>
      <c r="E442" s="47"/>
      <c r="F442" s="47"/>
      <c r="G442" s="47"/>
      <c r="H442" s="47"/>
      <c r="I442" s="47"/>
      <c r="J442" s="47"/>
    </row>
    <row r="443">
      <c r="A443" s="65"/>
      <c r="B443" s="47"/>
      <c r="C443" s="47"/>
      <c r="D443" s="47"/>
      <c r="E443" s="47"/>
      <c r="F443" s="47"/>
      <c r="G443" s="47"/>
      <c r="H443" s="47"/>
      <c r="I443" s="47"/>
      <c r="J443" s="47"/>
    </row>
    <row r="444">
      <c r="A444" s="65"/>
      <c r="B444" s="47"/>
      <c r="C444" s="47"/>
      <c r="D444" s="47"/>
      <c r="E444" s="47"/>
      <c r="F444" s="47"/>
      <c r="G444" s="47"/>
      <c r="H444" s="47"/>
      <c r="I444" s="47"/>
      <c r="J444" s="47"/>
    </row>
    <row r="445">
      <c r="A445" s="65"/>
      <c r="B445" s="47"/>
      <c r="C445" s="47"/>
      <c r="D445" s="47"/>
      <c r="E445" s="47"/>
      <c r="F445" s="47"/>
      <c r="G445" s="47"/>
      <c r="H445" s="47"/>
      <c r="I445" s="47"/>
      <c r="J445" s="47"/>
    </row>
    <row r="446">
      <c r="A446" s="65"/>
      <c r="B446" s="47"/>
      <c r="C446" s="47"/>
      <c r="D446" s="47"/>
      <c r="E446" s="47"/>
      <c r="F446" s="47"/>
      <c r="G446" s="47"/>
      <c r="H446" s="47"/>
      <c r="I446" s="47"/>
      <c r="J446" s="47"/>
    </row>
    <row r="447">
      <c r="A447" s="65"/>
      <c r="B447" s="47"/>
      <c r="C447" s="47"/>
      <c r="D447" s="47"/>
      <c r="E447" s="47"/>
      <c r="F447" s="47"/>
      <c r="G447" s="47"/>
      <c r="H447" s="47"/>
      <c r="I447" s="47"/>
      <c r="J447" s="47"/>
    </row>
    <row r="448">
      <c r="A448" s="65"/>
      <c r="B448" s="47"/>
      <c r="C448" s="47"/>
      <c r="D448" s="47"/>
      <c r="E448" s="47"/>
      <c r="F448" s="47"/>
      <c r="G448" s="47"/>
      <c r="H448" s="47"/>
      <c r="I448" s="47"/>
      <c r="J448" s="47"/>
    </row>
    <row r="449">
      <c r="A449" s="65"/>
      <c r="B449" s="47"/>
      <c r="C449" s="47"/>
      <c r="D449" s="47"/>
      <c r="E449" s="47"/>
      <c r="F449" s="47"/>
      <c r="G449" s="47"/>
      <c r="H449" s="47"/>
      <c r="I449" s="47"/>
      <c r="J449" s="47"/>
    </row>
    <row r="450">
      <c r="A450" s="65"/>
      <c r="B450" s="47"/>
      <c r="C450" s="47"/>
      <c r="D450" s="47"/>
      <c r="E450" s="47"/>
      <c r="F450" s="47"/>
      <c r="G450" s="47"/>
      <c r="H450" s="47"/>
      <c r="I450" s="47"/>
      <c r="J450" s="47"/>
    </row>
    <row r="451">
      <c r="A451" s="65"/>
      <c r="B451" s="47"/>
      <c r="C451" s="47"/>
      <c r="D451" s="47"/>
      <c r="E451" s="47"/>
      <c r="F451" s="47"/>
      <c r="G451" s="47"/>
      <c r="H451" s="47"/>
      <c r="I451" s="47"/>
      <c r="J451" s="47"/>
    </row>
    <row r="452">
      <c r="A452" s="65"/>
      <c r="B452" s="47"/>
      <c r="C452" s="47"/>
      <c r="D452" s="47"/>
      <c r="E452" s="47"/>
      <c r="F452" s="47"/>
      <c r="G452" s="47"/>
      <c r="H452" s="47"/>
      <c r="I452" s="47"/>
      <c r="J452" s="47"/>
    </row>
    <row r="453">
      <c r="A453" s="65"/>
      <c r="B453" s="47"/>
      <c r="C453" s="47"/>
      <c r="D453" s="47"/>
      <c r="E453" s="47"/>
      <c r="F453" s="47"/>
      <c r="G453" s="47"/>
      <c r="H453" s="47"/>
      <c r="I453" s="47"/>
      <c r="J453" s="47"/>
    </row>
    <row r="454">
      <c r="A454" s="65"/>
      <c r="B454" s="47"/>
      <c r="C454" s="47"/>
      <c r="D454" s="47"/>
      <c r="E454" s="47"/>
      <c r="F454" s="47"/>
      <c r="G454" s="47"/>
      <c r="H454" s="47"/>
      <c r="I454" s="47"/>
      <c r="J454" s="47"/>
    </row>
    <row r="455">
      <c r="A455" s="65"/>
      <c r="B455" s="47"/>
      <c r="C455" s="47"/>
      <c r="D455" s="47"/>
      <c r="E455" s="47"/>
      <c r="F455" s="47"/>
      <c r="G455" s="47"/>
      <c r="H455" s="47"/>
      <c r="I455" s="47"/>
      <c r="J455" s="47"/>
    </row>
    <row r="456">
      <c r="A456" s="65"/>
      <c r="B456" s="47"/>
      <c r="C456" s="47"/>
      <c r="D456" s="47"/>
      <c r="E456" s="47"/>
      <c r="F456" s="47"/>
      <c r="G456" s="47"/>
      <c r="H456" s="47"/>
      <c r="I456" s="47"/>
      <c r="J456" s="47"/>
    </row>
    <row r="457">
      <c r="A457" s="65"/>
      <c r="B457" s="47"/>
      <c r="C457" s="47"/>
      <c r="D457" s="47"/>
      <c r="E457" s="47"/>
      <c r="F457" s="47"/>
      <c r="G457" s="47"/>
      <c r="H457" s="47"/>
      <c r="I457" s="47"/>
      <c r="J457" s="47"/>
    </row>
    <row r="458">
      <c r="A458" s="65"/>
      <c r="B458" s="47"/>
      <c r="C458" s="47"/>
      <c r="D458" s="47"/>
      <c r="E458" s="47"/>
      <c r="F458" s="47"/>
      <c r="G458" s="47"/>
      <c r="H458" s="47"/>
      <c r="I458" s="47"/>
      <c r="J458" s="47"/>
    </row>
    <row r="459">
      <c r="A459" s="65"/>
      <c r="B459" s="47"/>
      <c r="C459" s="47"/>
      <c r="D459" s="47"/>
      <c r="E459" s="47"/>
      <c r="F459" s="47"/>
      <c r="G459" s="47"/>
      <c r="H459" s="47"/>
      <c r="I459" s="47"/>
      <c r="J459" s="47"/>
    </row>
    <row r="460">
      <c r="A460" s="65"/>
      <c r="B460" s="47"/>
      <c r="C460" s="47"/>
      <c r="D460" s="47"/>
      <c r="E460" s="47"/>
      <c r="F460" s="47"/>
      <c r="G460" s="47"/>
      <c r="H460" s="47"/>
      <c r="I460" s="47"/>
      <c r="J460" s="47"/>
    </row>
    <row r="461">
      <c r="A461" s="65"/>
      <c r="B461" s="47"/>
      <c r="C461" s="47"/>
      <c r="D461" s="47"/>
      <c r="E461" s="47"/>
      <c r="F461" s="47"/>
      <c r="G461" s="47"/>
      <c r="H461" s="47"/>
      <c r="I461" s="47"/>
      <c r="J461" s="47"/>
    </row>
    <row r="462">
      <c r="A462" s="65"/>
      <c r="B462" s="47"/>
      <c r="C462" s="47"/>
      <c r="D462" s="47"/>
      <c r="E462" s="47"/>
      <c r="F462" s="47"/>
      <c r="G462" s="47"/>
      <c r="H462" s="47"/>
      <c r="I462" s="47"/>
      <c r="J462" s="47"/>
    </row>
    <row r="463">
      <c r="A463" s="65"/>
      <c r="B463" s="47"/>
      <c r="C463" s="47"/>
      <c r="D463" s="47"/>
      <c r="E463" s="47"/>
      <c r="F463" s="47"/>
      <c r="G463" s="47"/>
      <c r="H463" s="47"/>
      <c r="I463" s="47"/>
      <c r="J463" s="47"/>
    </row>
    <row r="464">
      <c r="A464" s="65"/>
      <c r="B464" s="47"/>
      <c r="C464" s="47"/>
      <c r="D464" s="47"/>
      <c r="E464" s="47"/>
      <c r="F464" s="47"/>
      <c r="G464" s="47"/>
      <c r="H464" s="47"/>
      <c r="I464" s="47"/>
      <c r="J464" s="47"/>
    </row>
    <row r="465">
      <c r="A465" s="65"/>
      <c r="B465" s="47"/>
      <c r="C465" s="47"/>
      <c r="D465" s="47"/>
      <c r="E465" s="47"/>
      <c r="F465" s="47"/>
      <c r="G465" s="47"/>
      <c r="H465" s="47"/>
      <c r="I465" s="47"/>
      <c r="J465" s="47"/>
    </row>
    <row r="466">
      <c r="A466" s="65"/>
      <c r="B466" s="47"/>
      <c r="C466" s="47"/>
      <c r="D466" s="47"/>
      <c r="E466" s="47"/>
      <c r="F466" s="47"/>
      <c r="G466" s="47"/>
      <c r="H466" s="47"/>
      <c r="I466" s="47"/>
      <c r="J466" s="47"/>
    </row>
    <row r="467">
      <c r="A467" s="65"/>
      <c r="B467" s="47"/>
      <c r="C467" s="47"/>
      <c r="D467" s="47"/>
      <c r="E467" s="47"/>
      <c r="F467" s="47"/>
      <c r="G467" s="47"/>
      <c r="H467" s="47"/>
      <c r="I467" s="47"/>
      <c r="J467" s="47"/>
    </row>
    <row r="468">
      <c r="A468" s="65"/>
      <c r="B468" s="47"/>
      <c r="C468" s="47"/>
      <c r="D468" s="47"/>
      <c r="E468" s="47"/>
      <c r="F468" s="47"/>
      <c r="G468" s="47"/>
      <c r="H468" s="47"/>
      <c r="I468" s="47"/>
      <c r="J468" s="47"/>
    </row>
    <row r="469">
      <c r="A469" s="65"/>
      <c r="B469" s="47"/>
      <c r="C469" s="47"/>
      <c r="D469" s="47"/>
      <c r="E469" s="47"/>
      <c r="F469" s="47"/>
      <c r="G469" s="47"/>
      <c r="H469" s="47"/>
      <c r="I469" s="47"/>
      <c r="J469" s="47"/>
    </row>
    <row r="470">
      <c r="A470" s="65"/>
      <c r="B470" s="47"/>
      <c r="C470" s="47"/>
      <c r="D470" s="47"/>
      <c r="E470" s="47"/>
      <c r="F470" s="47"/>
      <c r="G470" s="47"/>
      <c r="H470" s="47"/>
      <c r="I470" s="47"/>
      <c r="J470" s="47"/>
    </row>
    <row r="471">
      <c r="A471" s="65"/>
      <c r="B471" s="47"/>
      <c r="C471" s="47"/>
      <c r="D471" s="47"/>
      <c r="E471" s="47"/>
      <c r="F471" s="47"/>
      <c r="G471" s="47"/>
      <c r="H471" s="47"/>
      <c r="I471" s="47"/>
      <c r="J471" s="47"/>
    </row>
    <row r="472">
      <c r="A472" s="65"/>
      <c r="B472" s="47"/>
      <c r="C472" s="47"/>
      <c r="D472" s="47"/>
      <c r="E472" s="47"/>
      <c r="F472" s="47"/>
      <c r="G472" s="47"/>
      <c r="H472" s="47"/>
      <c r="I472" s="47"/>
      <c r="J472" s="47"/>
    </row>
    <row r="473">
      <c r="A473" s="65"/>
      <c r="B473" s="47"/>
      <c r="C473" s="47"/>
      <c r="D473" s="47"/>
      <c r="E473" s="47"/>
      <c r="F473" s="47"/>
      <c r="G473" s="47"/>
      <c r="H473" s="47"/>
      <c r="I473" s="47"/>
      <c r="J473" s="47"/>
    </row>
    <row r="474">
      <c r="A474" s="65"/>
      <c r="B474" s="47"/>
      <c r="C474" s="47"/>
      <c r="D474" s="47"/>
      <c r="E474" s="47"/>
      <c r="F474" s="47"/>
      <c r="G474" s="47"/>
      <c r="H474" s="47"/>
      <c r="I474" s="47"/>
      <c r="J474" s="47"/>
    </row>
    <row r="475">
      <c r="A475" s="65"/>
      <c r="B475" s="47"/>
      <c r="C475" s="47"/>
      <c r="D475" s="47"/>
      <c r="E475" s="47"/>
      <c r="F475" s="47"/>
      <c r="G475" s="47"/>
      <c r="H475" s="47"/>
      <c r="I475" s="47"/>
      <c r="J475" s="47"/>
    </row>
    <row r="476">
      <c r="A476" s="65"/>
      <c r="B476" s="47"/>
      <c r="C476" s="47"/>
      <c r="D476" s="47"/>
      <c r="E476" s="47"/>
      <c r="F476" s="47"/>
      <c r="G476" s="47"/>
      <c r="H476" s="47"/>
      <c r="I476" s="47"/>
      <c r="J476" s="47"/>
    </row>
    <row r="477">
      <c r="A477" s="65"/>
      <c r="B477" s="47"/>
      <c r="C477" s="47"/>
      <c r="D477" s="47"/>
      <c r="E477" s="47"/>
      <c r="F477" s="47"/>
      <c r="G477" s="47"/>
      <c r="H477" s="47"/>
      <c r="I477" s="47"/>
      <c r="J477" s="47"/>
    </row>
    <row r="478">
      <c r="A478" s="65"/>
      <c r="B478" s="47"/>
      <c r="C478" s="47"/>
      <c r="D478" s="47"/>
      <c r="E478" s="47"/>
      <c r="F478" s="47"/>
      <c r="G478" s="47"/>
      <c r="H478" s="47"/>
      <c r="I478" s="47"/>
      <c r="J478" s="47"/>
    </row>
    <row r="479">
      <c r="A479" s="65"/>
      <c r="B479" s="47"/>
      <c r="C479" s="47"/>
      <c r="D479" s="47"/>
      <c r="E479" s="47"/>
      <c r="F479" s="47"/>
      <c r="G479" s="47"/>
      <c r="H479" s="47"/>
      <c r="I479" s="47"/>
      <c r="J479" s="47"/>
    </row>
    <row r="480">
      <c r="A480" s="65"/>
      <c r="B480" s="47"/>
      <c r="C480" s="47"/>
      <c r="D480" s="47"/>
      <c r="E480" s="47"/>
      <c r="F480" s="47"/>
      <c r="G480" s="47"/>
      <c r="H480" s="47"/>
      <c r="I480" s="47"/>
      <c r="J480" s="47"/>
    </row>
    <row r="481">
      <c r="A481" s="65"/>
      <c r="B481" s="47"/>
      <c r="C481" s="47"/>
      <c r="D481" s="47"/>
      <c r="E481" s="47"/>
      <c r="F481" s="47"/>
      <c r="G481" s="47"/>
      <c r="H481" s="47"/>
      <c r="I481" s="47"/>
      <c r="J481" s="47"/>
    </row>
    <row r="482">
      <c r="A482" s="65"/>
      <c r="B482" s="47"/>
      <c r="C482" s="47"/>
      <c r="D482" s="47"/>
      <c r="E482" s="47"/>
      <c r="F482" s="47"/>
      <c r="G482" s="47"/>
      <c r="H482" s="47"/>
      <c r="I482" s="47"/>
      <c r="J482" s="47"/>
    </row>
    <row r="483">
      <c r="A483" s="65"/>
      <c r="B483" s="47"/>
      <c r="C483" s="47"/>
      <c r="D483" s="47"/>
      <c r="E483" s="47"/>
      <c r="F483" s="47"/>
      <c r="G483" s="47"/>
      <c r="H483" s="47"/>
      <c r="I483" s="47"/>
      <c r="J483" s="47"/>
    </row>
    <row r="484">
      <c r="A484" s="65"/>
      <c r="B484" s="47"/>
      <c r="C484" s="47"/>
      <c r="D484" s="47"/>
      <c r="E484" s="47"/>
      <c r="F484" s="47"/>
      <c r="G484" s="47"/>
      <c r="H484" s="47"/>
      <c r="I484" s="47"/>
      <c r="J484" s="47"/>
    </row>
    <row r="485">
      <c r="A485" s="65"/>
      <c r="B485" s="47"/>
      <c r="C485" s="47"/>
      <c r="D485" s="47"/>
      <c r="E485" s="47"/>
      <c r="F485" s="47"/>
      <c r="G485" s="47"/>
      <c r="H485" s="47"/>
      <c r="I485" s="47"/>
      <c r="J485" s="47"/>
    </row>
    <row r="486">
      <c r="A486" s="65"/>
      <c r="B486" s="47"/>
      <c r="C486" s="47"/>
      <c r="D486" s="47"/>
      <c r="E486" s="47"/>
      <c r="F486" s="47"/>
      <c r="G486" s="47"/>
      <c r="H486" s="47"/>
      <c r="I486" s="47"/>
      <c r="J486" s="47"/>
    </row>
    <row r="487">
      <c r="A487" s="65"/>
      <c r="B487" s="47"/>
      <c r="C487" s="47"/>
      <c r="D487" s="47"/>
      <c r="E487" s="47"/>
      <c r="F487" s="47"/>
      <c r="G487" s="47"/>
      <c r="H487" s="47"/>
      <c r="I487" s="47"/>
      <c r="J487" s="47"/>
    </row>
    <row r="488">
      <c r="A488" s="65"/>
      <c r="B488" s="47"/>
      <c r="C488" s="47"/>
      <c r="D488" s="47"/>
      <c r="E488" s="47"/>
      <c r="F488" s="47"/>
      <c r="G488" s="47"/>
      <c r="H488" s="47"/>
      <c r="I488" s="47"/>
      <c r="J488" s="47"/>
    </row>
    <row r="489">
      <c r="A489" s="65"/>
      <c r="B489" s="47"/>
      <c r="C489" s="47"/>
      <c r="D489" s="47"/>
      <c r="E489" s="47"/>
      <c r="F489" s="47"/>
      <c r="G489" s="47"/>
      <c r="H489" s="47"/>
      <c r="I489" s="47"/>
      <c r="J489" s="47"/>
    </row>
    <row r="490">
      <c r="A490" s="65"/>
      <c r="B490" s="47"/>
      <c r="C490" s="47"/>
      <c r="D490" s="47"/>
      <c r="E490" s="47"/>
      <c r="F490" s="47"/>
      <c r="G490" s="47"/>
      <c r="H490" s="47"/>
      <c r="I490" s="47"/>
      <c r="J490" s="47"/>
    </row>
    <row r="491">
      <c r="A491" s="65"/>
      <c r="B491" s="47"/>
      <c r="C491" s="47"/>
      <c r="D491" s="47"/>
      <c r="E491" s="47"/>
      <c r="F491" s="47"/>
      <c r="G491" s="47"/>
      <c r="H491" s="47"/>
      <c r="I491" s="47"/>
      <c r="J491" s="47"/>
    </row>
    <row r="492">
      <c r="A492" s="65"/>
      <c r="B492" s="47"/>
      <c r="C492" s="47"/>
      <c r="D492" s="47"/>
      <c r="E492" s="47"/>
      <c r="F492" s="47"/>
      <c r="G492" s="47"/>
      <c r="H492" s="47"/>
      <c r="I492" s="47"/>
      <c r="J492" s="47"/>
    </row>
    <row r="493">
      <c r="A493" s="65"/>
      <c r="B493" s="47"/>
      <c r="C493" s="47"/>
      <c r="D493" s="47"/>
      <c r="E493" s="47"/>
      <c r="F493" s="47"/>
      <c r="G493" s="47"/>
      <c r="H493" s="47"/>
      <c r="I493" s="47"/>
      <c r="J493" s="47"/>
    </row>
    <row r="494">
      <c r="A494" s="65"/>
      <c r="B494" s="47"/>
      <c r="C494" s="47"/>
      <c r="D494" s="47"/>
      <c r="E494" s="47"/>
      <c r="F494" s="47"/>
      <c r="G494" s="47"/>
      <c r="H494" s="47"/>
      <c r="I494" s="47"/>
      <c r="J494" s="47"/>
    </row>
    <row r="495">
      <c r="A495" s="65"/>
      <c r="B495" s="47"/>
      <c r="C495" s="47"/>
      <c r="D495" s="47"/>
      <c r="E495" s="47"/>
      <c r="F495" s="47"/>
      <c r="G495" s="47"/>
      <c r="H495" s="47"/>
      <c r="I495" s="47"/>
      <c r="J495" s="47"/>
    </row>
    <row r="496">
      <c r="A496" s="65"/>
      <c r="B496" s="47"/>
      <c r="C496" s="47"/>
      <c r="D496" s="47"/>
      <c r="E496" s="47"/>
      <c r="F496" s="47"/>
      <c r="G496" s="47"/>
      <c r="H496" s="47"/>
      <c r="I496" s="47"/>
      <c r="J496" s="47"/>
    </row>
    <row r="497">
      <c r="A497" s="65"/>
      <c r="B497" s="47"/>
      <c r="C497" s="47"/>
      <c r="D497" s="47"/>
      <c r="E497" s="47"/>
      <c r="F497" s="47"/>
      <c r="G497" s="47"/>
      <c r="H497" s="47"/>
      <c r="I497" s="47"/>
      <c r="J497" s="47"/>
    </row>
    <row r="498">
      <c r="A498" s="65"/>
      <c r="B498" s="47"/>
      <c r="C498" s="47"/>
      <c r="D498" s="47"/>
      <c r="E498" s="47"/>
      <c r="F498" s="47"/>
      <c r="G498" s="47"/>
      <c r="H498" s="47"/>
      <c r="I498" s="47"/>
      <c r="J498" s="47"/>
    </row>
    <row r="499">
      <c r="A499" s="65"/>
      <c r="B499" s="47"/>
      <c r="C499" s="47"/>
      <c r="D499" s="47"/>
      <c r="E499" s="47"/>
      <c r="F499" s="47"/>
      <c r="G499" s="47"/>
      <c r="H499" s="47"/>
      <c r="I499" s="47"/>
      <c r="J499" s="47"/>
    </row>
    <row r="500">
      <c r="A500" s="65"/>
      <c r="B500" s="47"/>
      <c r="C500" s="47"/>
      <c r="D500" s="47"/>
      <c r="E500" s="47"/>
      <c r="F500" s="47"/>
      <c r="G500" s="47"/>
      <c r="H500" s="47"/>
      <c r="I500" s="47"/>
      <c r="J500" s="47"/>
    </row>
    <row r="501">
      <c r="A501" s="65"/>
      <c r="B501" s="47"/>
      <c r="C501" s="47"/>
      <c r="D501" s="47"/>
      <c r="E501" s="47"/>
      <c r="F501" s="47"/>
      <c r="G501" s="47"/>
      <c r="H501" s="47"/>
      <c r="I501" s="47"/>
      <c r="J501" s="47"/>
    </row>
    <row r="502">
      <c r="A502" s="65"/>
      <c r="B502" s="47"/>
      <c r="C502" s="47"/>
      <c r="D502" s="47"/>
      <c r="E502" s="47"/>
      <c r="F502" s="47"/>
      <c r="G502" s="47"/>
      <c r="H502" s="47"/>
      <c r="I502" s="47"/>
      <c r="J502" s="47"/>
    </row>
    <row r="503">
      <c r="A503" s="65"/>
      <c r="B503" s="47"/>
      <c r="C503" s="47"/>
      <c r="D503" s="47"/>
      <c r="E503" s="47"/>
      <c r="F503" s="47"/>
      <c r="G503" s="47"/>
      <c r="H503" s="47"/>
      <c r="I503" s="47"/>
      <c r="J503" s="47"/>
    </row>
    <row r="504">
      <c r="A504" s="65"/>
      <c r="B504" s="47"/>
      <c r="C504" s="47"/>
      <c r="D504" s="47"/>
      <c r="E504" s="47"/>
      <c r="F504" s="47"/>
      <c r="G504" s="47"/>
      <c r="H504" s="47"/>
      <c r="I504" s="47"/>
      <c r="J504" s="47"/>
    </row>
    <row r="505">
      <c r="A505" s="65"/>
      <c r="B505" s="47"/>
      <c r="C505" s="47"/>
      <c r="D505" s="47"/>
      <c r="E505" s="47"/>
      <c r="F505" s="47"/>
      <c r="G505" s="47"/>
      <c r="H505" s="47"/>
      <c r="I505" s="47"/>
      <c r="J505" s="47"/>
    </row>
    <row r="506">
      <c r="A506" s="65"/>
      <c r="B506" s="47"/>
      <c r="C506" s="47"/>
      <c r="D506" s="47"/>
      <c r="E506" s="47"/>
      <c r="F506" s="47"/>
      <c r="G506" s="47"/>
      <c r="H506" s="47"/>
      <c r="I506" s="47"/>
      <c r="J506" s="47"/>
    </row>
    <row r="507">
      <c r="A507" s="65"/>
      <c r="B507" s="47"/>
      <c r="C507" s="47"/>
      <c r="D507" s="47"/>
      <c r="E507" s="47"/>
      <c r="F507" s="47"/>
      <c r="G507" s="47"/>
      <c r="H507" s="47"/>
      <c r="I507" s="47"/>
      <c r="J507" s="47"/>
    </row>
    <row r="508">
      <c r="A508" s="65"/>
      <c r="B508" s="47"/>
      <c r="C508" s="47"/>
      <c r="D508" s="47"/>
      <c r="E508" s="47"/>
      <c r="F508" s="47"/>
      <c r="G508" s="47"/>
      <c r="H508" s="47"/>
      <c r="I508" s="47"/>
      <c r="J508" s="47"/>
    </row>
    <row r="509">
      <c r="A509" s="65"/>
      <c r="B509" s="47"/>
      <c r="C509" s="47"/>
      <c r="D509" s="47"/>
      <c r="E509" s="47"/>
      <c r="F509" s="47"/>
      <c r="G509" s="47"/>
      <c r="H509" s="47"/>
      <c r="I509" s="47"/>
      <c r="J509" s="47"/>
    </row>
    <row r="510">
      <c r="A510" s="65"/>
      <c r="B510" s="47"/>
      <c r="C510" s="47"/>
      <c r="D510" s="47"/>
      <c r="E510" s="47"/>
      <c r="F510" s="47"/>
      <c r="G510" s="47"/>
      <c r="H510" s="47"/>
      <c r="I510" s="47"/>
      <c r="J510" s="47"/>
    </row>
    <row r="511">
      <c r="A511" s="65"/>
      <c r="B511" s="47"/>
      <c r="C511" s="47"/>
      <c r="D511" s="47"/>
      <c r="E511" s="47"/>
      <c r="F511" s="47"/>
      <c r="G511" s="47"/>
      <c r="H511" s="47"/>
      <c r="I511" s="47"/>
      <c r="J511" s="47"/>
    </row>
    <row r="512">
      <c r="A512" s="65"/>
      <c r="B512" s="47"/>
      <c r="C512" s="47"/>
      <c r="D512" s="47"/>
      <c r="E512" s="47"/>
      <c r="F512" s="47"/>
      <c r="G512" s="47"/>
      <c r="H512" s="47"/>
      <c r="I512" s="47"/>
      <c r="J512" s="47"/>
    </row>
    <row r="513">
      <c r="A513" s="65"/>
      <c r="B513" s="47"/>
      <c r="C513" s="47"/>
      <c r="D513" s="47"/>
      <c r="E513" s="47"/>
      <c r="F513" s="47"/>
      <c r="G513" s="47"/>
      <c r="H513" s="47"/>
      <c r="I513" s="47"/>
      <c r="J513" s="47"/>
    </row>
    <row r="514">
      <c r="A514" s="65"/>
      <c r="B514" s="47"/>
      <c r="C514" s="47"/>
      <c r="D514" s="47"/>
      <c r="E514" s="47"/>
      <c r="F514" s="47"/>
      <c r="G514" s="47"/>
      <c r="H514" s="47"/>
      <c r="I514" s="47"/>
      <c r="J514" s="47"/>
    </row>
    <row r="515">
      <c r="A515" s="65"/>
      <c r="B515" s="47"/>
      <c r="C515" s="47"/>
      <c r="D515" s="47"/>
      <c r="E515" s="47"/>
      <c r="F515" s="47"/>
      <c r="G515" s="47"/>
      <c r="H515" s="47"/>
      <c r="I515" s="47"/>
      <c r="J515" s="47"/>
    </row>
    <row r="516">
      <c r="A516" s="65"/>
      <c r="B516" s="47"/>
      <c r="C516" s="47"/>
      <c r="D516" s="47"/>
      <c r="E516" s="47"/>
      <c r="F516" s="47"/>
      <c r="G516" s="47"/>
      <c r="H516" s="47"/>
      <c r="I516" s="47"/>
      <c r="J516" s="47"/>
    </row>
    <row r="517">
      <c r="A517" s="65"/>
      <c r="B517" s="47"/>
      <c r="C517" s="47"/>
      <c r="D517" s="47"/>
      <c r="E517" s="47"/>
      <c r="F517" s="47"/>
      <c r="G517" s="47"/>
      <c r="H517" s="47"/>
      <c r="I517" s="47"/>
      <c r="J517" s="47"/>
    </row>
    <row r="518">
      <c r="A518" s="65"/>
      <c r="B518" s="47"/>
      <c r="C518" s="47"/>
      <c r="D518" s="47"/>
      <c r="E518" s="47"/>
      <c r="F518" s="47"/>
      <c r="G518" s="47"/>
      <c r="H518" s="47"/>
      <c r="I518" s="47"/>
      <c r="J518" s="47"/>
    </row>
    <row r="519">
      <c r="A519" s="65"/>
      <c r="B519" s="47"/>
      <c r="C519" s="47"/>
      <c r="D519" s="47"/>
      <c r="E519" s="47"/>
      <c r="F519" s="47"/>
      <c r="G519" s="47"/>
      <c r="H519" s="47"/>
      <c r="I519" s="47"/>
      <c r="J519" s="47"/>
    </row>
    <row r="520">
      <c r="A520" s="65"/>
      <c r="B520" s="47"/>
      <c r="C520" s="47"/>
      <c r="D520" s="47"/>
      <c r="E520" s="47"/>
      <c r="F520" s="47"/>
      <c r="G520" s="47"/>
      <c r="H520" s="47"/>
      <c r="I520" s="47"/>
      <c r="J520" s="47"/>
    </row>
    <row r="521">
      <c r="A521" s="65"/>
      <c r="B521" s="47"/>
      <c r="C521" s="47"/>
      <c r="D521" s="47"/>
      <c r="E521" s="47"/>
      <c r="F521" s="47"/>
      <c r="G521" s="47"/>
      <c r="H521" s="47"/>
      <c r="I521" s="47"/>
      <c r="J521" s="47"/>
    </row>
    <row r="522">
      <c r="A522" s="65"/>
      <c r="B522" s="47"/>
      <c r="C522" s="47"/>
      <c r="D522" s="47"/>
      <c r="E522" s="47"/>
      <c r="F522" s="47"/>
      <c r="G522" s="47"/>
      <c r="H522" s="47"/>
      <c r="I522" s="47"/>
      <c r="J522" s="47"/>
    </row>
    <row r="523">
      <c r="A523" s="65"/>
      <c r="B523" s="47"/>
      <c r="C523" s="47"/>
      <c r="D523" s="47"/>
      <c r="E523" s="47"/>
      <c r="F523" s="47"/>
      <c r="G523" s="47"/>
      <c r="H523" s="47"/>
      <c r="I523" s="47"/>
      <c r="J523" s="47"/>
    </row>
    <row r="524">
      <c r="A524" s="65"/>
      <c r="B524" s="47"/>
      <c r="C524" s="47"/>
      <c r="D524" s="47"/>
      <c r="E524" s="47"/>
      <c r="F524" s="47"/>
      <c r="G524" s="47"/>
      <c r="H524" s="47"/>
      <c r="I524" s="47"/>
      <c r="J524" s="47"/>
    </row>
    <row r="525">
      <c r="A525" s="65"/>
      <c r="B525" s="47"/>
      <c r="C525" s="47"/>
      <c r="D525" s="47"/>
      <c r="E525" s="47"/>
      <c r="F525" s="47"/>
      <c r="G525" s="47"/>
      <c r="H525" s="47"/>
      <c r="I525" s="47"/>
      <c r="J525" s="47"/>
    </row>
    <row r="526">
      <c r="A526" s="65"/>
      <c r="B526" s="47"/>
      <c r="C526" s="47"/>
      <c r="D526" s="47"/>
      <c r="E526" s="47"/>
      <c r="F526" s="47"/>
      <c r="G526" s="47"/>
      <c r="H526" s="47"/>
      <c r="I526" s="47"/>
      <c r="J526" s="47"/>
    </row>
    <row r="527">
      <c r="A527" s="65"/>
      <c r="B527" s="47"/>
      <c r="C527" s="47"/>
      <c r="D527" s="47"/>
      <c r="E527" s="47"/>
      <c r="F527" s="47"/>
      <c r="G527" s="47"/>
      <c r="H527" s="47"/>
      <c r="I527" s="47"/>
      <c r="J527" s="47"/>
    </row>
    <row r="528">
      <c r="A528" s="65"/>
      <c r="B528" s="47"/>
      <c r="C528" s="47"/>
      <c r="D528" s="47"/>
      <c r="E528" s="47"/>
      <c r="F528" s="47"/>
      <c r="G528" s="47"/>
      <c r="H528" s="47"/>
      <c r="I528" s="47"/>
      <c r="J528" s="47"/>
    </row>
    <row r="529">
      <c r="A529" s="65"/>
      <c r="B529" s="47"/>
      <c r="C529" s="47"/>
      <c r="D529" s="47"/>
      <c r="E529" s="47"/>
      <c r="F529" s="47"/>
      <c r="G529" s="47"/>
      <c r="H529" s="47"/>
      <c r="I529" s="47"/>
      <c r="J529" s="47"/>
    </row>
    <row r="530">
      <c r="A530" s="65"/>
      <c r="B530" s="47"/>
      <c r="C530" s="47"/>
      <c r="D530" s="47"/>
      <c r="E530" s="47"/>
      <c r="F530" s="47"/>
      <c r="G530" s="47"/>
      <c r="H530" s="47"/>
      <c r="I530" s="47"/>
      <c r="J530" s="47"/>
    </row>
    <row r="531">
      <c r="A531" s="65"/>
      <c r="B531" s="47"/>
      <c r="C531" s="47"/>
      <c r="D531" s="47"/>
      <c r="E531" s="47"/>
      <c r="F531" s="47"/>
      <c r="G531" s="47"/>
      <c r="H531" s="47"/>
      <c r="I531" s="47"/>
      <c r="J531" s="47"/>
    </row>
    <row r="532">
      <c r="A532" s="65"/>
      <c r="B532" s="47"/>
      <c r="C532" s="47"/>
      <c r="D532" s="47"/>
      <c r="E532" s="47"/>
      <c r="F532" s="47"/>
      <c r="G532" s="47"/>
      <c r="H532" s="47"/>
      <c r="I532" s="47"/>
      <c r="J532" s="47"/>
    </row>
    <row r="533">
      <c r="A533" s="65"/>
      <c r="B533" s="47"/>
      <c r="C533" s="47"/>
      <c r="D533" s="47"/>
      <c r="E533" s="47"/>
      <c r="F533" s="47"/>
      <c r="G533" s="47"/>
      <c r="H533" s="47"/>
      <c r="I533" s="47"/>
      <c r="J533" s="47"/>
    </row>
    <row r="534">
      <c r="A534" s="65"/>
      <c r="B534" s="47"/>
      <c r="C534" s="47"/>
      <c r="D534" s="47"/>
      <c r="E534" s="47"/>
      <c r="F534" s="47"/>
      <c r="G534" s="47"/>
      <c r="H534" s="47"/>
      <c r="I534" s="47"/>
      <c r="J534" s="47"/>
    </row>
    <row r="535">
      <c r="A535" s="65"/>
      <c r="B535" s="47"/>
      <c r="C535" s="47"/>
      <c r="D535" s="47"/>
      <c r="E535" s="47"/>
      <c r="F535" s="47"/>
      <c r="G535" s="47"/>
      <c r="H535" s="47"/>
      <c r="I535" s="47"/>
      <c r="J535" s="47"/>
    </row>
    <row r="536">
      <c r="A536" s="65"/>
      <c r="B536" s="47"/>
      <c r="C536" s="47"/>
      <c r="D536" s="47"/>
      <c r="E536" s="47"/>
      <c r="F536" s="47"/>
      <c r="G536" s="47"/>
      <c r="H536" s="47"/>
      <c r="I536" s="47"/>
      <c r="J536" s="47"/>
    </row>
    <row r="537">
      <c r="A537" s="65"/>
      <c r="B537" s="47"/>
      <c r="C537" s="47"/>
      <c r="D537" s="47"/>
      <c r="E537" s="47"/>
      <c r="F537" s="47"/>
      <c r="G537" s="47"/>
      <c r="H537" s="47"/>
      <c r="I537" s="47"/>
      <c r="J537" s="47"/>
    </row>
    <row r="538">
      <c r="A538" s="65"/>
      <c r="B538" s="47"/>
      <c r="C538" s="47"/>
      <c r="D538" s="47"/>
      <c r="E538" s="47"/>
      <c r="F538" s="47"/>
      <c r="G538" s="47"/>
      <c r="H538" s="47"/>
      <c r="I538" s="47"/>
      <c r="J538" s="47"/>
    </row>
    <row r="539">
      <c r="A539" s="65"/>
      <c r="B539" s="47"/>
      <c r="C539" s="47"/>
      <c r="D539" s="47"/>
      <c r="E539" s="47"/>
      <c r="F539" s="47"/>
      <c r="G539" s="47"/>
      <c r="H539" s="47"/>
      <c r="I539" s="47"/>
      <c r="J539" s="47"/>
    </row>
    <row r="540">
      <c r="A540" s="65"/>
      <c r="B540" s="47"/>
      <c r="C540" s="47"/>
      <c r="D540" s="47"/>
      <c r="E540" s="47"/>
      <c r="F540" s="47"/>
      <c r="G540" s="47"/>
      <c r="H540" s="47"/>
      <c r="I540" s="47"/>
      <c r="J540" s="47"/>
    </row>
    <row r="541">
      <c r="A541" s="65"/>
      <c r="B541" s="47"/>
      <c r="C541" s="47"/>
      <c r="D541" s="47"/>
      <c r="E541" s="47"/>
      <c r="F541" s="47"/>
      <c r="G541" s="47"/>
      <c r="H541" s="47"/>
      <c r="I541" s="47"/>
      <c r="J541" s="47"/>
    </row>
    <row r="542">
      <c r="A542" s="65"/>
      <c r="B542" s="47"/>
      <c r="C542" s="47"/>
      <c r="D542" s="47"/>
      <c r="E542" s="47"/>
      <c r="F542" s="47"/>
      <c r="G542" s="47"/>
      <c r="H542" s="47"/>
      <c r="I542" s="47"/>
      <c r="J542" s="47"/>
    </row>
    <row r="543">
      <c r="A543" s="65"/>
      <c r="B543" s="47"/>
      <c r="C543" s="47"/>
      <c r="D543" s="47"/>
      <c r="E543" s="47"/>
      <c r="F543" s="47"/>
      <c r="G543" s="47"/>
      <c r="H543" s="47"/>
      <c r="I543" s="47"/>
      <c r="J543" s="47"/>
    </row>
    <row r="544">
      <c r="A544" s="65"/>
      <c r="B544" s="47"/>
      <c r="C544" s="47"/>
      <c r="D544" s="47"/>
      <c r="E544" s="47"/>
      <c r="F544" s="47"/>
      <c r="G544" s="47"/>
      <c r="H544" s="47"/>
      <c r="I544" s="47"/>
      <c r="J544" s="47"/>
    </row>
    <row r="545">
      <c r="A545" s="65"/>
      <c r="B545" s="47"/>
      <c r="C545" s="47"/>
      <c r="D545" s="47"/>
      <c r="E545" s="47"/>
      <c r="F545" s="47"/>
      <c r="G545" s="47"/>
      <c r="H545" s="47"/>
      <c r="I545" s="47"/>
      <c r="J545" s="47"/>
    </row>
    <row r="546">
      <c r="A546" s="65"/>
      <c r="B546" s="47"/>
      <c r="C546" s="47"/>
      <c r="D546" s="47"/>
      <c r="E546" s="47"/>
      <c r="F546" s="47"/>
      <c r="G546" s="47"/>
      <c r="H546" s="47"/>
      <c r="I546" s="47"/>
      <c r="J546" s="47"/>
    </row>
    <row r="547">
      <c r="A547" s="65"/>
      <c r="B547" s="47"/>
      <c r="C547" s="47"/>
      <c r="D547" s="47"/>
      <c r="E547" s="47"/>
      <c r="F547" s="47"/>
      <c r="G547" s="47"/>
      <c r="H547" s="47"/>
      <c r="I547" s="47"/>
      <c r="J547" s="47"/>
    </row>
    <row r="548">
      <c r="A548" s="65"/>
      <c r="B548" s="47"/>
      <c r="C548" s="47"/>
      <c r="D548" s="47"/>
      <c r="E548" s="47"/>
      <c r="F548" s="47"/>
      <c r="G548" s="47"/>
      <c r="H548" s="47"/>
      <c r="I548" s="47"/>
      <c r="J548" s="47"/>
    </row>
    <row r="549">
      <c r="A549" s="65"/>
      <c r="B549" s="47"/>
      <c r="C549" s="47"/>
      <c r="D549" s="47"/>
      <c r="E549" s="47"/>
      <c r="F549" s="47"/>
      <c r="G549" s="47"/>
      <c r="H549" s="47"/>
      <c r="I549" s="47"/>
      <c r="J549" s="47"/>
    </row>
    <row r="550">
      <c r="A550" s="65"/>
      <c r="B550" s="47"/>
      <c r="C550" s="47"/>
      <c r="D550" s="47"/>
      <c r="E550" s="47"/>
      <c r="F550" s="47"/>
      <c r="G550" s="47"/>
      <c r="H550" s="47"/>
      <c r="I550" s="47"/>
      <c r="J550" s="47"/>
    </row>
    <row r="551">
      <c r="A551" s="65"/>
      <c r="B551" s="47"/>
      <c r="C551" s="47"/>
      <c r="D551" s="47"/>
      <c r="E551" s="47"/>
      <c r="F551" s="47"/>
      <c r="G551" s="47"/>
      <c r="H551" s="47"/>
      <c r="I551" s="47"/>
      <c r="J551" s="47"/>
    </row>
    <row r="552">
      <c r="A552" s="65"/>
      <c r="B552" s="47"/>
      <c r="C552" s="47"/>
      <c r="D552" s="47"/>
      <c r="E552" s="47"/>
      <c r="F552" s="47"/>
      <c r="G552" s="47"/>
      <c r="H552" s="47"/>
      <c r="I552" s="47"/>
      <c r="J552" s="47"/>
    </row>
    <row r="553">
      <c r="A553" s="65"/>
      <c r="B553" s="47"/>
      <c r="C553" s="47"/>
      <c r="D553" s="47"/>
      <c r="E553" s="47"/>
      <c r="F553" s="47"/>
      <c r="G553" s="47"/>
      <c r="H553" s="47"/>
      <c r="I553" s="47"/>
      <c r="J553" s="47"/>
    </row>
    <row r="554">
      <c r="A554" s="65"/>
      <c r="B554" s="47"/>
      <c r="C554" s="47"/>
      <c r="D554" s="47"/>
      <c r="E554" s="47"/>
      <c r="F554" s="47"/>
      <c r="G554" s="47"/>
      <c r="H554" s="47"/>
      <c r="I554" s="47"/>
      <c r="J554" s="47"/>
    </row>
    <row r="555">
      <c r="A555" s="65"/>
      <c r="B555" s="47"/>
      <c r="C555" s="47"/>
      <c r="D555" s="47"/>
      <c r="E555" s="47"/>
      <c r="F555" s="47"/>
      <c r="G555" s="47"/>
      <c r="H555" s="47"/>
      <c r="I555" s="47"/>
      <c r="J555" s="47"/>
    </row>
    <row r="556">
      <c r="A556" s="65"/>
      <c r="B556" s="47"/>
      <c r="C556" s="47"/>
      <c r="D556" s="47"/>
      <c r="E556" s="47"/>
      <c r="F556" s="47"/>
      <c r="G556" s="47"/>
      <c r="H556" s="47"/>
      <c r="I556" s="47"/>
      <c r="J556" s="47"/>
    </row>
    <row r="557">
      <c r="A557" s="65"/>
      <c r="B557" s="47"/>
      <c r="C557" s="47"/>
      <c r="D557" s="47"/>
      <c r="E557" s="47"/>
      <c r="F557" s="47"/>
      <c r="G557" s="47"/>
      <c r="H557" s="47"/>
      <c r="I557" s="47"/>
      <c r="J557" s="47"/>
    </row>
    <row r="558">
      <c r="A558" s="65"/>
      <c r="B558" s="47"/>
      <c r="C558" s="47"/>
      <c r="D558" s="47"/>
      <c r="E558" s="47"/>
      <c r="F558" s="47"/>
      <c r="G558" s="47"/>
      <c r="H558" s="47"/>
      <c r="I558" s="47"/>
      <c r="J558" s="47"/>
    </row>
    <row r="559">
      <c r="A559" s="65"/>
      <c r="B559" s="47"/>
      <c r="C559" s="47"/>
      <c r="D559" s="47"/>
      <c r="E559" s="47"/>
      <c r="F559" s="47"/>
      <c r="G559" s="47"/>
      <c r="H559" s="47"/>
      <c r="I559" s="47"/>
      <c r="J559" s="47"/>
    </row>
    <row r="560">
      <c r="A560" s="65"/>
      <c r="B560" s="47"/>
      <c r="C560" s="47"/>
      <c r="D560" s="47"/>
      <c r="E560" s="47"/>
      <c r="F560" s="47"/>
      <c r="G560" s="47"/>
      <c r="H560" s="47"/>
      <c r="I560" s="47"/>
      <c r="J560" s="47"/>
    </row>
    <row r="561">
      <c r="A561" s="65"/>
      <c r="B561" s="47"/>
      <c r="C561" s="47"/>
      <c r="D561" s="47"/>
      <c r="E561" s="47"/>
      <c r="F561" s="47"/>
      <c r="G561" s="47"/>
      <c r="H561" s="47"/>
      <c r="I561" s="47"/>
      <c r="J561" s="47"/>
    </row>
    <row r="562">
      <c r="A562" s="65"/>
      <c r="B562" s="47"/>
      <c r="C562" s="47"/>
      <c r="D562" s="47"/>
      <c r="E562" s="47"/>
      <c r="F562" s="47"/>
      <c r="G562" s="47"/>
      <c r="H562" s="47"/>
      <c r="I562" s="47"/>
      <c r="J562" s="47"/>
    </row>
    <row r="563">
      <c r="A563" s="65"/>
      <c r="B563" s="47"/>
      <c r="C563" s="47"/>
      <c r="D563" s="47"/>
      <c r="E563" s="47"/>
      <c r="F563" s="47"/>
      <c r="G563" s="47"/>
      <c r="H563" s="47"/>
      <c r="I563" s="47"/>
      <c r="J563" s="47"/>
    </row>
    <row r="564">
      <c r="A564" s="65"/>
      <c r="B564" s="47"/>
      <c r="C564" s="47"/>
      <c r="D564" s="47"/>
      <c r="E564" s="47"/>
      <c r="F564" s="47"/>
      <c r="G564" s="47"/>
      <c r="H564" s="47"/>
      <c r="I564" s="47"/>
      <c r="J564" s="47"/>
    </row>
    <row r="565">
      <c r="A565" s="65"/>
      <c r="B565" s="47"/>
      <c r="C565" s="47"/>
      <c r="D565" s="47"/>
      <c r="E565" s="47"/>
      <c r="F565" s="47"/>
      <c r="G565" s="47"/>
      <c r="H565" s="47"/>
      <c r="I565" s="47"/>
      <c r="J565" s="47"/>
    </row>
    <row r="566">
      <c r="A566" s="65"/>
      <c r="B566" s="47"/>
      <c r="C566" s="47"/>
      <c r="D566" s="47"/>
      <c r="E566" s="47"/>
      <c r="F566" s="47"/>
      <c r="G566" s="47"/>
      <c r="H566" s="47"/>
      <c r="I566" s="47"/>
      <c r="J566" s="47"/>
    </row>
    <row r="567">
      <c r="A567" s="65"/>
      <c r="B567" s="47"/>
      <c r="C567" s="47"/>
      <c r="D567" s="47"/>
      <c r="E567" s="47"/>
      <c r="F567" s="47"/>
      <c r="G567" s="47"/>
      <c r="H567" s="47"/>
      <c r="I567" s="47"/>
      <c r="J567" s="47"/>
    </row>
    <row r="568">
      <c r="A568" s="65"/>
      <c r="B568" s="47"/>
      <c r="C568" s="47"/>
      <c r="D568" s="47"/>
      <c r="E568" s="47"/>
      <c r="F568" s="47"/>
      <c r="G568" s="47"/>
      <c r="H568" s="47"/>
      <c r="I568" s="47"/>
      <c r="J568" s="47"/>
    </row>
    <row r="569">
      <c r="A569" s="65"/>
      <c r="B569" s="47"/>
      <c r="C569" s="47"/>
      <c r="D569" s="47"/>
      <c r="E569" s="47"/>
      <c r="F569" s="47"/>
      <c r="G569" s="47"/>
      <c r="H569" s="47"/>
      <c r="I569" s="47"/>
      <c r="J569" s="47"/>
    </row>
    <row r="570">
      <c r="A570" s="65"/>
      <c r="B570" s="47"/>
      <c r="C570" s="47"/>
      <c r="D570" s="47"/>
      <c r="E570" s="47"/>
      <c r="F570" s="47"/>
      <c r="G570" s="47"/>
      <c r="H570" s="47"/>
      <c r="I570" s="47"/>
      <c r="J570" s="47"/>
    </row>
    <row r="571">
      <c r="A571" s="65"/>
      <c r="B571" s="47"/>
      <c r="C571" s="47"/>
      <c r="D571" s="47"/>
      <c r="E571" s="47"/>
      <c r="F571" s="47"/>
      <c r="G571" s="47"/>
      <c r="H571" s="47"/>
      <c r="I571" s="47"/>
      <c r="J571" s="47"/>
    </row>
    <row r="572">
      <c r="A572" s="65"/>
      <c r="B572" s="47"/>
      <c r="C572" s="47"/>
      <c r="D572" s="47"/>
      <c r="E572" s="47"/>
      <c r="F572" s="47"/>
      <c r="G572" s="47"/>
      <c r="H572" s="47"/>
      <c r="I572" s="47"/>
      <c r="J572" s="47"/>
    </row>
    <row r="573">
      <c r="A573" s="65"/>
      <c r="B573" s="47"/>
      <c r="C573" s="47"/>
      <c r="D573" s="47"/>
      <c r="E573" s="47"/>
      <c r="F573" s="47"/>
      <c r="G573" s="47"/>
      <c r="H573" s="47"/>
      <c r="I573" s="47"/>
      <c r="J573" s="47"/>
    </row>
    <row r="574">
      <c r="A574" s="65"/>
      <c r="B574" s="47"/>
      <c r="C574" s="47"/>
      <c r="D574" s="47"/>
      <c r="E574" s="47"/>
      <c r="F574" s="47"/>
      <c r="G574" s="47"/>
      <c r="H574" s="47"/>
      <c r="I574" s="47"/>
      <c r="J574" s="47"/>
    </row>
    <row r="575">
      <c r="A575" s="65"/>
      <c r="B575" s="47"/>
      <c r="C575" s="47"/>
      <c r="D575" s="47"/>
      <c r="E575" s="47"/>
      <c r="F575" s="47"/>
      <c r="G575" s="47"/>
      <c r="H575" s="47"/>
      <c r="I575" s="47"/>
      <c r="J575" s="47"/>
    </row>
    <row r="576">
      <c r="A576" s="65"/>
      <c r="B576" s="47"/>
      <c r="C576" s="47"/>
      <c r="D576" s="47"/>
      <c r="E576" s="47"/>
      <c r="F576" s="47"/>
      <c r="G576" s="47"/>
      <c r="H576" s="47"/>
      <c r="I576" s="47"/>
      <c r="J576" s="47"/>
    </row>
    <row r="577">
      <c r="A577" s="65"/>
      <c r="B577" s="47"/>
      <c r="C577" s="47"/>
      <c r="D577" s="47"/>
      <c r="E577" s="47"/>
      <c r="F577" s="47"/>
      <c r="G577" s="47"/>
      <c r="H577" s="47"/>
      <c r="I577" s="47"/>
      <c r="J577" s="47"/>
    </row>
    <row r="578">
      <c r="A578" s="65"/>
      <c r="B578" s="47"/>
      <c r="C578" s="47"/>
      <c r="D578" s="47"/>
      <c r="E578" s="47"/>
      <c r="F578" s="47"/>
      <c r="G578" s="47"/>
      <c r="H578" s="47"/>
      <c r="I578" s="47"/>
      <c r="J578" s="47"/>
    </row>
    <row r="579">
      <c r="A579" s="65"/>
      <c r="B579" s="47"/>
      <c r="C579" s="47"/>
      <c r="D579" s="47"/>
      <c r="E579" s="47"/>
      <c r="F579" s="47"/>
      <c r="G579" s="47"/>
      <c r="H579" s="47"/>
      <c r="I579" s="47"/>
      <c r="J579" s="47"/>
    </row>
    <row r="580">
      <c r="A580" s="65"/>
      <c r="B580" s="47"/>
      <c r="C580" s="47"/>
      <c r="D580" s="47"/>
      <c r="E580" s="47"/>
      <c r="F580" s="47"/>
      <c r="G580" s="47"/>
      <c r="H580" s="47"/>
      <c r="I580" s="47"/>
      <c r="J580" s="47"/>
    </row>
    <row r="581">
      <c r="A581" s="65"/>
      <c r="B581" s="47"/>
      <c r="C581" s="47"/>
      <c r="D581" s="47"/>
      <c r="E581" s="47"/>
      <c r="F581" s="47"/>
      <c r="G581" s="47"/>
      <c r="H581" s="47"/>
      <c r="I581" s="47"/>
      <c r="J581" s="47"/>
    </row>
    <row r="582">
      <c r="A582" s="65"/>
      <c r="B582" s="47"/>
      <c r="C582" s="47"/>
      <c r="D582" s="47"/>
      <c r="E582" s="47"/>
      <c r="F582" s="47"/>
      <c r="G582" s="47"/>
      <c r="H582" s="47"/>
      <c r="I582" s="47"/>
      <c r="J582" s="47"/>
    </row>
    <row r="583">
      <c r="A583" s="65"/>
      <c r="B583" s="47"/>
      <c r="C583" s="47"/>
      <c r="D583" s="47"/>
      <c r="E583" s="47"/>
      <c r="F583" s="47"/>
      <c r="G583" s="47"/>
      <c r="H583" s="47"/>
      <c r="I583" s="47"/>
      <c r="J583" s="47"/>
    </row>
    <row r="584">
      <c r="A584" s="65"/>
      <c r="B584" s="47"/>
      <c r="C584" s="47"/>
      <c r="D584" s="47"/>
      <c r="E584" s="47"/>
      <c r="F584" s="47"/>
      <c r="G584" s="47"/>
      <c r="H584" s="47"/>
      <c r="I584" s="47"/>
      <c r="J584" s="47"/>
    </row>
    <row r="585">
      <c r="A585" s="65"/>
      <c r="B585" s="47"/>
      <c r="C585" s="47"/>
      <c r="D585" s="47"/>
      <c r="E585" s="47"/>
      <c r="F585" s="47"/>
      <c r="G585" s="47"/>
      <c r="H585" s="47"/>
      <c r="I585" s="47"/>
      <c r="J585" s="47"/>
    </row>
    <row r="586">
      <c r="A586" s="65"/>
      <c r="B586" s="47"/>
      <c r="C586" s="47"/>
      <c r="D586" s="47"/>
      <c r="E586" s="47"/>
      <c r="F586" s="47"/>
      <c r="G586" s="47"/>
      <c r="H586" s="47"/>
      <c r="I586" s="47"/>
      <c r="J586" s="47"/>
    </row>
    <row r="587">
      <c r="A587" s="65"/>
      <c r="B587" s="47"/>
      <c r="C587" s="47"/>
      <c r="D587" s="47"/>
      <c r="E587" s="47"/>
      <c r="F587" s="47"/>
      <c r="G587" s="47"/>
      <c r="H587" s="47"/>
      <c r="I587" s="47"/>
      <c r="J587" s="47"/>
    </row>
    <row r="588">
      <c r="A588" s="65"/>
      <c r="B588" s="47"/>
      <c r="C588" s="47"/>
      <c r="D588" s="47"/>
      <c r="E588" s="47"/>
      <c r="F588" s="47"/>
      <c r="G588" s="47"/>
      <c r="H588" s="47"/>
      <c r="I588" s="47"/>
      <c r="J588" s="47"/>
    </row>
    <row r="589">
      <c r="A589" s="65"/>
      <c r="B589" s="47"/>
      <c r="C589" s="47"/>
      <c r="D589" s="47"/>
      <c r="E589" s="47"/>
      <c r="F589" s="47"/>
      <c r="G589" s="47"/>
      <c r="H589" s="47"/>
      <c r="I589" s="47"/>
      <c r="J589" s="47"/>
    </row>
    <row r="590">
      <c r="A590" s="65"/>
      <c r="B590" s="47"/>
      <c r="C590" s="47"/>
      <c r="D590" s="47"/>
      <c r="E590" s="47"/>
      <c r="F590" s="47"/>
      <c r="G590" s="47"/>
      <c r="H590" s="47"/>
      <c r="I590" s="47"/>
      <c r="J590" s="47"/>
    </row>
    <row r="591">
      <c r="A591" s="65"/>
      <c r="B591" s="47"/>
      <c r="C591" s="47"/>
      <c r="D591" s="47"/>
      <c r="E591" s="47"/>
      <c r="F591" s="47"/>
      <c r="G591" s="47"/>
      <c r="H591" s="47"/>
      <c r="I591" s="47"/>
      <c r="J591" s="47"/>
    </row>
    <row r="592">
      <c r="A592" s="65"/>
      <c r="B592" s="47"/>
      <c r="C592" s="47"/>
      <c r="D592" s="47"/>
      <c r="E592" s="47"/>
      <c r="F592" s="47"/>
      <c r="G592" s="47"/>
      <c r="H592" s="47"/>
      <c r="I592" s="47"/>
      <c r="J592" s="47"/>
    </row>
    <row r="593">
      <c r="A593" s="65"/>
      <c r="B593" s="47"/>
      <c r="C593" s="47"/>
      <c r="D593" s="47"/>
      <c r="E593" s="47"/>
      <c r="F593" s="47"/>
      <c r="G593" s="47"/>
      <c r="H593" s="47"/>
      <c r="I593" s="47"/>
      <c r="J593" s="47"/>
    </row>
    <row r="594">
      <c r="A594" s="65"/>
      <c r="B594" s="47"/>
      <c r="C594" s="47"/>
      <c r="D594" s="47"/>
      <c r="E594" s="47"/>
      <c r="F594" s="47"/>
      <c r="G594" s="47"/>
      <c r="H594" s="47"/>
      <c r="I594" s="47"/>
      <c r="J594" s="47"/>
    </row>
    <row r="595">
      <c r="A595" s="65"/>
      <c r="B595" s="47"/>
      <c r="C595" s="47"/>
      <c r="D595" s="47"/>
      <c r="E595" s="47"/>
      <c r="F595" s="47"/>
      <c r="G595" s="47"/>
      <c r="H595" s="47"/>
      <c r="I595" s="47"/>
      <c r="J595" s="47"/>
    </row>
    <row r="596">
      <c r="A596" s="65"/>
      <c r="B596" s="47"/>
      <c r="C596" s="47"/>
      <c r="D596" s="47"/>
      <c r="E596" s="47"/>
      <c r="F596" s="47"/>
      <c r="G596" s="47"/>
      <c r="H596" s="47"/>
      <c r="I596" s="47"/>
      <c r="J596" s="47"/>
    </row>
    <row r="597">
      <c r="A597" s="65"/>
      <c r="B597" s="47"/>
      <c r="C597" s="47"/>
      <c r="D597" s="47"/>
      <c r="E597" s="47"/>
      <c r="F597" s="47"/>
      <c r="G597" s="47"/>
      <c r="H597" s="47"/>
      <c r="I597" s="47"/>
      <c r="J597" s="47"/>
    </row>
    <row r="598">
      <c r="A598" s="65"/>
      <c r="B598" s="47"/>
      <c r="C598" s="47"/>
      <c r="D598" s="47"/>
      <c r="E598" s="47"/>
      <c r="F598" s="47"/>
      <c r="G598" s="47"/>
      <c r="H598" s="47"/>
      <c r="I598" s="47"/>
      <c r="J598" s="47"/>
    </row>
    <row r="599">
      <c r="A599" s="65"/>
      <c r="B599" s="47"/>
      <c r="C599" s="47"/>
      <c r="D599" s="47"/>
      <c r="E599" s="47"/>
      <c r="F599" s="47"/>
      <c r="G599" s="47"/>
      <c r="H599" s="47"/>
      <c r="I599" s="47"/>
      <c r="J599" s="47"/>
    </row>
    <row r="600">
      <c r="A600" s="65"/>
      <c r="B600" s="47"/>
      <c r="C600" s="47"/>
      <c r="D600" s="47"/>
      <c r="E600" s="47"/>
      <c r="F600" s="47"/>
      <c r="G600" s="47"/>
      <c r="H600" s="47"/>
      <c r="I600" s="47"/>
      <c r="J600" s="47"/>
    </row>
    <row r="601">
      <c r="A601" s="65"/>
      <c r="B601" s="47"/>
      <c r="C601" s="47"/>
      <c r="D601" s="47"/>
      <c r="E601" s="47"/>
      <c r="F601" s="47"/>
      <c r="G601" s="47"/>
      <c r="H601" s="47"/>
      <c r="I601" s="47"/>
      <c r="J601" s="47"/>
    </row>
    <row r="602">
      <c r="A602" s="65"/>
      <c r="B602" s="47"/>
      <c r="C602" s="47"/>
      <c r="D602" s="47"/>
      <c r="E602" s="47"/>
      <c r="F602" s="47"/>
      <c r="G602" s="47"/>
      <c r="H602" s="47"/>
      <c r="I602" s="47"/>
      <c r="J602" s="47"/>
    </row>
    <row r="603">
      <c r="A603" s="65"/>
      <c r="B603" s="47"/>
      <c r="C603" s="47"/>
      <c r="D603" s="47"/>
      <c r="E603" s="47"/>
      <c r="F603" s="47"/>
      <c r="G603" s="47"/>
      <c r="H603" s="47"/>
      <c r="I603" s="47"/>
      <c r="J603" s="47"/>
    </row>
    <row r="604">
      <c r="A604" s="65"/>
      <c r="B604" s="47"/>
      <c r="C604" s="47"/>
      <c r="D604" s="47"/>
      <c r="E604" s="47"/>
      <c r="F604" s="47"/>
      <c r="G604" s="47"/>
      <c r="H604" s="47"/>
      <c r="I604" s="47"/>
      <c r="J604" s="47"/>
    </row>
    <row r="605">
      <c r="A605" s="65"/>
      <c r="B605" s="47"/>
      <c r="C605" s="47"/>
      <c r="D605" s="47"/>
      <c r="E605" s="47"/>
      <c r="F605" s="47"/>
      <c r="G605" s="47"/>
      <c r="H605" s="47"/>
      <c r="I605" s="47"/>
      <c r="J605" s="47"/>
    </row>
    <row r="606">
      <c r="A606" s="65"/>
      <c r="B606" s="47"/>
      <c r="C606" s="47"/>
      <c r="D606" s="47"/>
      <c r="E606" s="47"/>
      <c r="F606" s="47"/>
      <c r="G606" s="47"/>
      <c r="H606" s="47"/>
      <c r="I606" s="47"/>
      <c r="J606" s="47"/>
    </row>
    <row r="607">
      <c r="A607" s="65"/>
      <c r="B607" s="47"/>
      <c r="C607" s="47"/>
      <c r="D607" s="47"/>
      <c r="E607" s="47"/>
      <c r="F607" s="47"/>
      <c r="G607" s="47"/>
      <c r="H607" s="47"/>
      <c r="I607" s="47"/>
      <c r="J607" s="47"/>
    </row>
    <row r="608">
      <c r="A608" s="65"/>
      <c r="B608" s="47"/>
      <c r="C608" s="47"/>
      <c r="D608" s="47"/>
      <c r="E608" s="47"/>
      <c r="F608" s="47"/>
      <c r="G608" s="47"/>
      <c r="H608" s="47"/>
      <c r="I608" s="47"/>
      <c r="J608" s="47"/>
    </row>
    <row r="609">
      <c r="A609" s="65"/>
      <c r="B609" s="47"/>
      <c r="C609" s="47"/>
      <c r="D609" s="47"/>
      <c r="E609" s="47"/>
      <c r="F609" s="47"/>
      <c r="G609" s="47"/>
      <c r="H609" s="47"/>
      <c r="I609" s="47"/>
      <c r="J609" s="47"/>
    </row>
    <row r="610">
      <c r="A610" s="65"/>
      <c r="B610" s="47"/>
      <c r="C610" s="47"/>
      <c r="D610" s="47"/>
      <c r="E610" s="47"/>
      <c r="F610" s="47"/>
      <c r="G610" s="47"/>
      <c r="H610" s="47"/>
      <c r="I610" s="47"/>
      <c r="J610" s="47"/>
    </row>
    <row r="611">
      <c r="A611" s="65"/>
      <c r="B611" s="47"/>
      <c r="C611" s="47"/>
      <c r="D611" s="47"/>
      <c r="E611" s="47"/>
      <c r="F611" s="47"/>
      <c r="G611" s="47"/>
      <c r="H611" s="47"/>
      <c r="I611" s="47"/>
      <c r="J611" s="47"/>
    </row>
    <row r="612">
      <c r="A612" s="65"/>
      <c r="B612" s="47"/>
      <c r="C612" s="47"/>
      <c r="D612" s="47"/>
      <c r="E612" s="47"/>
      <c r="F612" s="47"/>
      <c r="G612" s="47"/>
      <c r="H612" s="47"/>
      <c r="I612" s="47"/>
      <c r="J612" s="47"/>
    </row>
    <row r="613">
      <c r="A613" s="65"/>
      <c r="B613" s="47"/>
      <c r="C613" s="47"/>
      <c r="D613" s="47"/>
      <c r="E613" s="47"/>
      <c r="F613" s="47"/>
      <c r="G613" s="47"/>
      <c r="H613" s="47"/>
      <c r="I613" s="47"/>
      <c r="J613" s="47"/>
    </row>
    <row r="614">
      <c r="A614" s="65"/>
      <c r="B614" s="47"/>
      <c r="C614" s="47"/>
      <c r="D614" s="47"/>
      <c r="E614" s="47"/>
      <c r="F614" s="47"/>
      <c r="G614" s="47"/>
      <c r="H614" s="47"/>
      <c r="I614" s="47"/>
      <c r="J614" s="47"/>
    </row>
    <row r="615">
      <c r="A615" s="65"/>
      <c r="B615" s="47"/>
      <c r="C615" s="47"/>
      <c r="D615" s="47"/>
      <c r="E615" s="47"/>
      <c r="F615" s="47"/>
      <c r="G615" s="47"/>
      <c r="H615" s="47"/>
      <c r="I615" s="47"/>
      <c r="J615" s="47"/>
    </row>
    <row r="616">
      <c r="A616" s="65"/>
      <c r="B616" s="47"/>
      <c r="C616" s="47"/>
      <c r="D616" s="47"/>
      <c r="E616" s="47"/>
      <c r="F616" s="47"/>
      <c r="G616" s="47"/>
      <c r="H616" s="47"/>
      <c r="I616" s="47"/>
      <c r="J616" s="47"/>
    </row>
    <row r="617">
      <c r="A617" s="65"/>
      <c r="B617" s="47"/>
      <c r="C617" s="47"/>
      <c r="D617" s="47"/>
      <c r="E617" s="47"/>
      <c r="F617" s="47"/>
      <c r="G617" s="47"/>
      <c r="H617" s="47"/>
      <c r="I617" s="47"/>
      <c r="J617" s="47"/>
    </row>
    <row r="618">
      <c r="A618" s="65"/>
      <c r="B618" s="47"/>
      <c r="C618" s="47"/>
      <c r="D618" s="47"/>
      <c r="E618" s="47"/>
      <c r="F618" s="47"/>
      <c r="G618" s="47"/>
      <c r="H618" s="47"/>
      <c r="I618" s="47"/>
      <c r="J618" s="47"/>
    </row>
    <row r="619">
      <c r="A619" s="65"/>
      <c r="B619" s="47"/>
      <c r="C619" s="47"/>
      <c r="D619" s="47"/>
      <c r="E619" s="47"/>
      <c r="F619" s="47"/>
      <c r="G619" s="47"/>
      <c r="H619" s="47"/>
      <c r="I619" s="47"/>
      <c r="J619" s="47"/>
    </row>
    <row r="620">
      <c r="A620" s="65"/>
      <c r="B620" s="47"/>
      <c r="C620" s="47"/>
      <c r="D620" s="47"/>
      <c r="E620" s="47"/>
      <c r="F620" s="47"/>
      <c r="G620" s="47"/>
      <c r="H620" s="47"/>
      <c r="I620" s="47"/>
      <c r="J620" s="47"/>
    </row>
    <row r="621">
      <c r="A621" s="65"/>
      <c r="B621" s="47"/>
      <c r="C621" s="47"/>
      <c r="D621" s="47"/>
      <c r="E621" s="47"/>
      <c r="F621" s="47"/>
      <c r="G621" s="47"/>
      <c r="H621" s="47"/>
      <c r="I621" s="47"/>
      <c r="J621" s="47"/>
    </row>
    <row r="622">
      <c r="A622" s="65"/>
      <c r="B622" s="47"/>
      <c r="C622" s="47"/>
      <c r="D622" s="47"/>
      <c r="E622" s="47"/>
      <c r="F622" s="47"/>
      <c r="G622" s="47"/>
      <c r="H622" s="47"/>
      <c r="I622" s="47"/>
      <c r="J622" s="47"/>
    </row>
    <row r="623">
      <c r="A623" s="65"/>
      <c r="B623" s="47"/>
      <c r="C623" s="47"/>
      <c r="D623" s="47"/>
      <c r="E623" s="47"/>
      <c r="F623" s="47"/>
      <c r="G623" s="47"/>
      <c r="H623" s="47"/>
      <c r="I623" s="47"/>
      <c r="J623" s="47"/>
    </row>
    <row r="624">
      <c r="A624" s="65"/>
      <c r="B624" s="47"/>
      <c r="C624" s="47"/>
      <c r="D624" s="47"/>
      <c r="E624" s="47"/>
      <c r="F624" s="47"/>
      <c r="G624" s="47"/>
      <c r="H624" s="47"/>
      <c r="I624" s="47"/>
      <c r="J624" s="47"/>
    </row>
    <row r="625">
      <c r="A625" s="65"/>
      <c r="B625" s="47"/>
      <c r="C625" s="47"/>
      <c r="D625" s="47"/>
      <c r="E625" s="47"/>
      <c r="F625" s="47"/>
      <c r="G625" s="47"/>
      <c r="H625" s="47"/>
      <c r="I625" s="47"/>
      <c r="J625" s="47"/>
    </row>
    <row r="626">
      <c r="A626" s="65"/>
      <c r="B626" s="47"/>
      <c r="C626" s="47"/>
      <c r="D626" s="47"/>
      <c r="E626" s="47"/>
      <c r="F626" s="47"/>
      <c r="G626" s="47"/>
      <c r="H626" s="47"/>
      <c r="I626" s="47"/>
      <c r="J626" s="47"/>
    </row>
    <row r="627">
      <c r="A627" s="65"/>
      <c r="B627" s="47"/>
      <c r="C627" s="47"/>
      <c r="D627" s="47"/>
      <c r="E627" s="47"/>
      <c r="F627" s="47"/>
      <c r="G627" s="47"/>
      <c r="H627" s="47"/>
      <c r="I627" s="47"/>
      <c r="J627" s="47"/>
    </row>
    <row r="628">
      <c r="A628" s="65"/>
      <c r="B628" s="47"/>
      <c r="C628" s="47"/>
      <c r="D628" s="47"/>
      <c r="E628" s="47"/>
      <c r="F628" s="47"/>
      <c r="G628" s="47"/>
      <c r="H628" s="47"/>
      <c r="I628" s="47"/>
      <c r="J628" s="47"/>
    </row>
    <row r="629">
      <c r="A629" s="65"/>
      <c r="B629" s="47"/>
      <c r="C629" s="47"/>
      <c r="D629" s="47"/>
      <c r="E629" s="47"/>
      <c r="F629" s="47"/>
      <c r="G629" s="47"/>
      <c r="H629" s="47"/>
      <c r="I629" s="47"/>
      <c r="J629" s="47"/>
    </row>
    <row r="630">
      <c r="A630" s="65"/>
      <c r="B630" s="47"/>
      <c r="C630" s="47"/>
      <c r="D630" s="47"/>
      <c r="E630" s="47"/>
      <c r="F630" s="47"/>
      <c r="G630" s="47"/>
      <c r="H630" s="47"/>
      <c r="I630" s="47"/>
      <c r="J630" s="47"/>
    </row>
    <row r="631">
      <c r="A631" s="65"/>
      <c r="B631" s="47"/>
      <c r="C631" s="47"/>
      <c r="D631" s="47"/>
      <c r="E631" s="47"/>
      <c r="F631" s="47"/>
      <c r="G631" s="47"/>
      <c r="H631" s="47"/>
      <c r="I631" s="47"/>
      <c r="J631" s="47"/>
    </row>
    <row r="632">
      <c r="A632" s="65"/>
      <c r="B632" s="47"/>
      <c r="C632" s="47"/>
      <c r="D632" s="47"/>
      <c r="E632" s="47"/>
      <c r="F632" s="47"/>
      <c r="G632" s="47"/>
      <c r="H632" s="47"/>
      <c r="I632" s="47"/>
      <c r="J632" s="47"/>
    </row>
    <row r="633">
      <c r="A633" s="65"/>
      <c r="B633" s="47"/>
      <c r="C633" s="47"/>
      <c r="D633" s="47"/>
      <c r="E633" s="47"/>
      <c r="F633" s="47"/>
      <c r="G633" s="47"/>
      <c r="H633" s="47"/>
      <c r="I633" s="47"/>
      <c r="J633" s="47"/>
    </row>
    <row r="634">
      <c r="A634" s="65"/>
      <c r="B634" s="47"/>
      <c r="C634" s="47"/>
      <c r="D634" s="47"/>
      <c r="E634" s="47"/>
      <c r="F634" s="47"/>
      <c r="G634" s="47"/>
      <c r="H634" s="47"/>
      <c r="I634" s="47"/>
      <c r="J634" s="47"/>
    </row>
    <row r="635">
      <c r="A635" s="65"/>
      <c r="B635" s="47"/>
      <c r="C635" s="47"/>
      <c r="D635" s="47"/>
      <c r="E635" s="47"/>
      <c r="F635" s="47"/>
      <c r="G635" s="47"/>
      <c r="H635" s="47"/>
      <c r="I635" s="47"/>
      <c r="J635" s="47"/>
    </row>
    <row r="636">
      <c r="A636" s="65"/>
      <c r="B636" s="47"/>
      <c r="C636" s="47"/>
      <c r="D636" s="47"/>
      <c r="E636" s="47"/>
      <c r="F636" s="47"/>
      <c r="G636" s="47"/>
      <c r="H636" s="47"/>
      <c r="I636" s="47"/>
      <c r="J636" s="47"/>
    </row>
    <row r="637">
      <c r="A637" s="65"/>
      <c r="B637" s="47"/>
      <c r="C637" s="47"/>
      <c r="D637" s="47"/>
      <c r="E637" s="47"/>
      <c r="F637" s="47"/>
      <c r="G637" s="47"/>
      <c r="H637" s="47"/>
      <c r="I637" s="47"/>
      <c r="J637" s="47"/>
    </row>
    <row r="638">
      <c r="A638" s="65"/>
      <c r="B638" s="47"/>
      <c r="C638" s="47"/>
      <c r="D638" s="47"/>
      <c r="E638" s="47"/>
      <c r="F638" s="47"/>
      <c r="G638" s="47"/>
      <c r="H638" s="47"/>
      <c r="I638" s="47"/>
      <c r="J638" s="47"/>
    </row>
    <row r="639">
      <c r="A639" s="65"/>
      <c r="B639" s="47"/>
      <c r="C639" s="47"/>
      <c r="D639" s="47"/>
      <c r="E639" s="47"/>
      <c r="F639" s="47"/>
      <c r="G639" s="47"/>
      <c r="H639" s="47"/>
      <c r="I639" s="47"/>
      <c r="J639" s="47"/>
    </row>
    <row r="640">
      <c r="A640" s="65"/>
      <c r="B640" s="47"/>
      <c r="C640" s="47"/>
      <c r="D640" s="47"/>
      <c r="E640" s="47"/>
      <c r="F640" s="47"/>
      <c r="G640" s="47"/>
      <c r="H640" s="47"/>
      <c r="I640" s="47"/>
      <c r="J640" s="47"/>
    </row>
    <row r="641">
      <c r="A641" s="65"/>
      <c r="B641" s="47"/>
      <c r="C641" s="47"/>
      <c r="D641" s="47"/>
      <c r="E641" s="47"/>
      <c r="F641" s="47"/>
      <c r="G641" s="47"/>
      <c r="H641" s="47"/>
      <c r="I641" s="47"/>
      <c r="J641" s="47"/>
    </row>
    <row r="642">
      <c r="A642" s="65"/>
      <c r="B642" s="47"/>
      <c r="C642" s="47"/>
      <c r="D642" s="47"/>
      <c r="E642" s="47"/>
      <c r="F642" s="47"/>
      <c r="G642" s="47"/>
      <c r="H642" s="47"/>
      <c r="I642" s="47"/>
      <c r="J642" s="47"/>
    </row>
    <row r="643">
      <c r="A643" s="65"/>
      <c r="B643" s="47"/>
      <c r="C643" s="47"/>
      <c r="D643" s="47"/>
      <c r="E643" s="47"/>
      <c r="F643" s="47"/>
      <c r="G643" s="47"/>
      <c r="H643" s="47"/>
      <c r="I643" s="47"/>
      <c r="J643" s="47"/>
    </row>
    <row r="644">
      <c r="A644" s="65"/>
      <c r="B644" s="47"/>
      <c r="C644" s="47"/>
      <c r="D644" s="47"/>
      <c r="E644" s="47"/>
      <c r="F644" s="47"/>
      <c r="G644" s="47"/>
      <c r="H644" s="47"/>
      <c r="I644" s="47"/>
      <c r="J644" s="47"/>
    </row>
    <row r="645">
      <c r="A645" s="65"/>
      <c r="B645" s="47"/>
      <c r="C645" s="47"/>
      <c r="D645" s="47"/>
      <c r="E645" s="47"/>
      <c r="F645" s="47"/>
      <c r="G645" s="47"/>
      <c r="H645" s="47"/>
      <c r="I645" s="47"/>
      <c r="J645" s="47"/>
    </row>
    <row r="646">
      <c r="A646" s="65"/>
      <c r="B646" s="47"/>
      <c r="C646" s="47"/>
      <c r="D646" s="47"/>
      <c r="E646" s="47"/>
      <c r="F646" s="47"/>
      <c r="G646" s="47"/>
      <c r="H646" s="47"/>
      <c r="I646" s="47"/>
      <c r="J646" s="47"/>
    </row>
    <row r="647">
      <c r="A647" s="65"/>
      <c r="B647" s="47"/>
      <c r="C647" s="47"/>
      <c r="D647" s="47"/>
      <c r="E647" s="47"/>
      <c r="F647" s="47"/>
      <c r="G647" s="47"/>
      <c r="H647" s="47"/>
      <c r="I647" s="47"/>
      <c r="J647" s="47"/>
    </row>
    <row r="648">
      <c r="A648" s="65"/>
      <c r="B648" s="47"/>
      <c r="C648" s="47"/>
      <c r="D648" s="47"/>
      <c r="E648" s="47"/>
      <c r="F648" s="47"/>
      <c r="G648" s="47"/>
      <c r="H648" s="47"/>
      <c r="I648" s="47"/>
      <c r="J648" s="47"/>
    </row>
    <row r="649">
      <c r="A649" s="65"/>
      <c r="B649" s="47"/>
      <c r="C649" s="47"/>
      <c r="D649" s="47"/>
      <c r="E649" s="47"/>
      <c r="F649" s="47"/>
      <c r="G649" s="47"/>
      <c r="H649" s="47"/>
      <c r="I649" s="47"/>
      <c r="J649" s="47"/>
    </row>
    <row r="650">
      <c r="A650" s="65"/>
      <c r="B650" s="47"/>
      <c r="C650" s="47"/>
      <c r="D650" s="47"/>
      <c r="E650" s="47"/>
      <c r="F650" s="47"/>
      <c r="G650" s="47"/>
      <c r="H650" s="47"/>
      <c r="I650" s="47"/>
      <c r="J650" s="47"/>
    </row>
    <row r="651">
      <c r="A651" s="65"/>
      <c r="B651" s="47"/>
      <c r="C651" s="47"/>
      <c r="D651" s="47"/>
      <c r="E651" s="47"/>
      <c r="F651" s="47"/>
      <c r="G651" s="47"/>
      <c r="H651" s="47"/>
      <c r="I651" s="47"/>
      <c r="J651" s="47"/>
    </row>
    <row r="652">
      <c r="A652" s="65"/>
      <c r="B652" s="47"/>
      <c r="C652" s="47"/>
      <c r="D652" s="47"/>
      <c r="E652" s="47"/>
      <c r="F652" s="47"/>
      <c r="G652" s="47"/>
      <c r="H652" s="47"/>
      <c r="I652" s="47"/>
      <c r="J652" s="47"/>
    </row>
    <row r="653">
      <c r="A653" s="65"/>
      <c r="B653" s="47"/>
      <c r="C653" s="47"/>
      <c r="D653" s="47"/>
      <c r="E653" s="47"/>
      <c r="F653" s="47"/>
      <c r="G653" s="47"/>
      <c r="H653" s="47"/>
      <c r="I653" s="47"/>
      <c r="J653" s="47"/>
    </row>
    <row r="654">
      <c r="A654" s="65"/>
      <c r="B654" s="47"/>
      <c r="C654" s="47"/>
      <c r="D654" s="47"/>
      <c r="E654" s="47"/>
      <c r="F654" s="47"/>
      <c r="G654" s="47"/>
      <c r="H654" s="47"/>
      <c r="I654" s="47"/>
      <c r="J654" s="47"/>
    </row>
    <row r="655">
      <c r="A655" s="65"/>
      <c r="B655" s="47"/>
      <c r="C655" s="47"/>
      <c r="D655" s="47"/>
      <c r="E655" s="47"/>
      <c r="F655" s="47"/>
      <c r="G655" s="47"/>
      <c r="H655" s="47"/>
      <c r="I655" s="47"/>
      <c r="J655" s="47"/>
    </row>
    <row r="656">
      <c r="A656" s="65"/>
      <c r="B656" s="47"/>
      <c r="C656" s="47"/>
      <c r="D656" s="47"/>
      <c r="E656" s="47"/>
      <c r="F656" s="47"/>
      <c r="G656" s="47"/>
      <c r="H656" s="47"/>
      <c r="I656" s="47"/>
      <c r="J656" s="47"/>
    </row>
    <row r="657">
      <c r="A657" s="65"/>
      <c r="B657" s="47"/>
      <c r="C657" s="47"/>
      <c r="D657" s="47"/>
      <c r="E657" s="47"/>
      <c r="F657" s="47"/>
      <c r="G657" s="47"/>
      <c r="H657" s="47"/>
      <c r="I657" s="47"/>
      <c r="J657" s="47"/>
    </row>
    <row r="658">
      <c r="A658" s="65"/>
      <c r="B658" s="47"/>
      <c r="C658" s="47"/>
      <c r="D658" s="47"/>
      <c r="E658" s="47"/>
      <c r="F658" s="47"/>
      <c r="G658" s="47"/>
      <c r="H658" s="47"/>
      <c r="I658" s="47"/>
      <c r="J658" s="47"/>
    </row>
    <row r="659">
      <c r="A659" s="65"/>
      <c r="B659" s="47"/>
      <c r="C659" s="47"/>
      <c r="D659" s="47"/>
      <c r="E659" s="47"/>
      <c r="F659" s="47"/>
      <c r="G659" s="47"/>
      <c r="H659" s="47"/>
      <c r="I659" s="47"/>
      <c r="J659" s="47"/>
    </row>
    <row r="660">
      <c r="A660" s="65"/>
      <c r="B660" s="47"/>
      <c r="C660" s="47"/>
      <c r="D660" s="47"/>
      <c r="E660" s="47"/>
      <c r="F660" s="47"/>
      <c r="G660" s="47"/>
      <c r="H660" s="47"/>
      <c r="I660" s="47"/>
      <c r="J660" s="47"/>
    </row>
    <row r="661">
      <c r="A661" s="65"/>
      <c r="B661" s="47"/>
      <c r="C661" s="47"/>
      <c r="D661" s="47"/>
      <c r="E661" s="47"/>
      <c r="F661" s="47"/>
      <c r="G661" s="47"/>
      <c r="H661" s="47"/>
      <c r="I661" s="47"/>
      <c r="J661" s="47"/>
    </row>
    <row r="662">
      <c r="A662" s="65"/>
      <c r="B662" s="47"/>
      <c r="C662" s="47"/>
      <c r="D662" s="47"/>
      <c r="E662" s="47"/>
      <c r="F662" s="47"/>
      <c r="G662" s="47"/>
      <c r="H662" s="47"/>
      <c r="I662" s="47"/>
      <c r="J662" s="47"/>
    </row>
    <row r="663">
      <c r="A663" s="65"/>
      <c r="B663" s="47"/>
      <c r="C663" s="47"/>
      <c r="D663" s="47"/>
      <c r="E663" s="47"/>
      <c r="F663" s="47"/>
      <c r="G663" s="47"/>
      <c r="H663" s="47"/>
      <c r="I663" s="47"/>
      <c r="J663" s="47"/>
    </row>
    <row r="664">
      <c r="A664" s="65"/>
      <c r="B664" s="47"/>
      <c r="C664" s="47"/>
      <c r="D664" s="47"/>
      <c r="E664" s="47"/>
      <c r="F664" s="47"/>
      <c r="G664" s="47"/>
      <c r="H664" s="47"/>
      <c r="I664" s="47"/>
      <c r="J664" s="47"/>
    </row>
    <row r="665">
      <c r="A665" s="65"/>
      <c r="B665" s="47"/>
      <c r="C665" s="47"/>
      <c r="D665" s="47"/>
      <c r="E665" s="47"/>
      <c r="F665" s="47"/>
      <c r="G665" s="47"/>
      <c r="H665" s="47"/>
      <c r="I665" s="47"/>
      <c r="J665" s="47"/>
    </row>
    <row r="666">
      <c r="A666" s="65"/>
      <c r="B666" s="47"/>
      <c r="C666" s="47"/>
      <c r="D666" s="47"/>
      <c r="E666" s="47"/>
      <c r="F666" s="47"/>
      <c r="G666" s="47"/>
      <c r="H666" s="47"/>
      <c r="I666" s="47"/>
      <c r="J666" s="47"/>
    </row>
    <row r="667">
      <c r="A667" s="65"/>
      <c r="B667" s="47"/>
      <c r="C667" s="47"/>
      <c r="D667" s="47"/>
      <c r="E667" s="47"/>
      <c r="F667" s="47"/>
      <c r="G667" s="47"/>
      <c r="H667" s="47"/>
      <c r="I667" s="47"/>
      <c r="J667" s="47"/>
    </row>
    <row r="668">
      <c r="A668" s="65"/>
      <c r="B668" s="47"/>
      <c r="C668" s="47"/>
      <c r="D668" s="47"/>
      <c r="E668" s="47"/>
      <c r="F668" s="47"/>
      <c r="G668" s="47"/>
      <c r="H668" s="47"/>
      <c r="I668" s="47"/>
      <c r="J668" s="47"/>
    </row>
    <row r="669">
      <c r="A669" s="65"/>
      <c r="B669" s="47"/>
      <c r="C669" s="47"/>
      <c r="D669" s="47"/>
      <c r="E669" s="47"/>
      <c r="F669" s="47"/>
      <c r="G669" s="47"/>
      <c r="H669" s="47"/>
      <c r="I669" s="47"/>
      <c r="J669" s="47"/>
    </row>
    <row r="670">
      <c r="A670" s="65"/>
      <c r="B670" s="47"/>
      <c r="C670" s="47"/>
      <c r="D670" s="47"/>
      <c r="E670" s="47"/>
      <c r="F670" s="47"/>
      <c r="G670" s="47"/>
      <c r="H670" s="47"/>
      <c r="I670" s="47"/>
      <c r="J670" s="47"/>
    </row>
    <row r="671">
      <c r="A671" s="65"/>
      <c r="B671" s="47"/>
      <c r="C671" s="47"/>
      <c r="D671" s="47"/>
      <c r="E671" s="47"/>
      <c r="F671" s="47"/>
      <c r="G671" s="47"/>
      <c r="H671" s="47"/>
      <c r="I671" s="47"/>
      <c r="J671" s="47"/>
    </row>
    <row r="672">
      <c r="A672" s="65"/>
      <c r="B672" s="47"/>
      <c r="C672" s="47"/>
      <c r="D672" s="47"/>
      <c r="E672" s="47"/>
      <c r="F672" s="47"/>
      <c r="G672" s="47"/>
      <c r="H672" s="47"/>
      <c r="I672" s="47"/>
      <c r="J672" s="47"/>
    </row>
    <row r="673">
      <c r="A673" s="65"/>
      <c r="B673" s="47"/>
      <c r="C673" s="47"/>
      <c r="D673" s="47"/>
      <c r="E673" s="47"/>
      <c r="F673" s="47"/>
      <c r="G673" s="47"/>
      <c r="H673" s="47"/>
      <c r="I673" s="47"/>
      <c r="J673" s="47"/>
    </row>
    <row r="674">
      <c r="A674" s="65"/>
      <c r="B674" s="47"/>
      <c r="C674" s="47"/>
      <c r="D674" s="47"/>
      <c r="E674" s="47"/>
      <c r="F674" s="47"/>
      <c r="G674" s="47"/>
      <c r="H674" s="47"/>
      <c r="I674" s="47"/>
      <c r="J674" s="47"/>
    </row>
    <row r="675">
      <c r="A675" s="65"/>
      <c r="B675" s="47"/>
      <c r="C675" s="47"/>
      <c r="D675" s="47"/>
      <c r="E675" s="47"/>
      <c r="F675" s="47"/>
      <c r="G675" s="47"/>
      <c r="H675" s="47"/>
      <c r="I675" s="47"/>
      <c r="J675" s="47"/>
    </row>
    <row r="676">
      <c r="A676" s="65"/>
      <c r="B676" s="47"/>
      <c r="C676" s="47"/>
      <c r="D676" s="47"/>
      <c r="E676" s="47"/>
      <c r="F676" s="47"/>
      <c r="G676" s="47"/>
      <c r="H676" s="47"/>
      <c r="I676" s="47"/>
      <c r="J676" s="47"/>
    </row>
    <row r="677">
      <c r="A677" s="65"/>
      <c r="B677" s="47"/>
      <c r="C677" s="47"/>
      <c r="D677" s="47"/>
      <c r="E677" s="47"/>
      <c r="F677" s="47"/>
      <c r="G677" s="47"/>
      <c r="H677" s="47"/>
      <c r="I677" s="47"/>
      <c r="J677" s="47"/>
    </row>
    <row r="678">
      <c r="A678" s="65"/>
      <c r="B678" s="47"/>
      <c r="C678" s="47"/>
      <c r="D678" s="47"/>
      <c r="E678" s="47"/>
      <c r="F678" s="47"/>
      <c r="G678" s="47"/>
      <c r="H678" s="47"/>
      <c r="I678" s="47"/>
      <c r="J678" s="47"/>
    </row>
    <row r="679">
      <c r="A679" s="65"/>
      <c r="B679" s="47"/>
      <c r="C679" s="47"/>
      <c r="D679" s="47"/>
      <c r="E679" s="47"/>
      <c r="F679" s="47"/>
      <c r="G679" s="47"/>
      <c r="H679" s="47"/>
      <c r="I679" s="47"/>
      <c r="J679" s="47"/>
    </row>
    <row r="680">
      <c r="A680" s="65"/>
      <c r="B680" s="47"/>
      <c r="C680" s="47"/>
      <c r="D680" s="47"/>
      <c r="E680" s="47"/>
      <c r="F680" s="47"/>
      <c r="G680" s="47"/>
      <c r="H680" s="47"/>
      <c r="I680" s="47"/>
      <c r="J680" s="47"/>
    </row>
    <row r="681">
      <c r="A681" s="65"/>
      <c r="B681" s="47"/>
      <c r="C681" s="47"/>
      <c r="D681" s="47"/>
      <c r="E681" s="47"/>
      <c r="F681" s="47"/>
      <c r="G681" s="47"/>
      <c r="H681" s="47"/>
      <c r="I681" s="47"/>
      <c r="J681" s="47"/>
    </row>
    <row r="682">
      <c r="A682" s="65"/>
      <c r="B682" s="47"/>
      <c r="C682" s="47"/>
      <c r="D682" s="47"/>
      <c r="E682" s="47"/>
      <c r="F682" s="47"/>
      <c r="G682" s="47"/>
      <c r="H682" s="47"/>
      <c r="I682" s="47"/>
      <c r="J682" s="47"/>
    </row>
    <row r="683">
      <c r="A683" s="65"/>
      <c r="B683" s="47"/>
      <c r="C683" s="47"/>
      <c r="D683" s="47"/>
      <c r="E683" s="47"/>
      <c r="F683" s="47"/>
      <c r="G683" s="47"/>
      <c r="H683" s="47"/>
      <c r="I683" s="47"/>
      <c r="J683" s="47"/>
    </row>
    <row r="684">
      <c r="A684" s="65"/>
      <c r="B684" s="47"/>
      <c r="C684" s="47"/>
      <c r="D684" s="47"/>
      <c r="E684" s="47"/>
      <c r="F684" s="47"/>
      <c r="G684" s="47"/>
      <c r="H684" s="47"/>
      <c r="I684" s="47"/>
      <c r="J684" s="47"/>
    </row>
    <row r="685">
      <c r="A685" s="65"/>
      <c r="B685" s="47"/>
      <c r="C685" s="47"/>
      <c r="D685" s="47"/>
      <c r="E685" s="47"/>
      <c r="F685" s="47"/>
      <c r="G685" s="47"/>
      <c r="H685" s="47"/>
      <c r="I685" s="47"/>
      <c r="J685" s="47"/>
    </row>
    <row r="686">
      <c r="A686" s="65"/>
      <c r="B686" s="47"/>
      <c r="C686" s="47"/>
      <c r="D686" s="47"/>
      <c r="E686" s="47"/>
      <c r="F686" s="47"/>
      <c r="G686" s="47"/>
      <c r="H686" s="47"/>
      <c r="I686" s="47"/>
      <c r="J686" s="47"/>
    </row>
    <row r="687">
      <c r="A687" s="65"/>
      <c r="B687" s="47"/>
      <c r="C687" s="47"/>
      <c r="D687" s="47"/>
      <c r="E687" s="47"/>
      <c r="F687" s="47"/>
      <c r="G687" s="47"/>
      <c r="H687" s="47"/>
      <c r="I687" s="47"/>
      <c r="J687" s="47"/>
    </row>
    <row r="688">
      <c r="A688" s="65"/>
      <c r="B688" s="47"/>
      <c r="C688" s="47"/>
      <c r="D688" s="47"/>
      <c r="E688" s="47"/>
      <c r="F688" s="47"/>
      <c r="G688" s="47"/>
      <c r="H688" s="47"/>
      <c r="I688" s="47"/>
      <c r="J688" s="47"/>
    </row>
    <row r="689">
      <c r="A689" s="65"/>
      <c r="B689" s="47"/>
      <c r="C689" s="47"/>
      <c r="D689" s="47"/>
      <c r="E689" s="47"/>
      <c r="F689" s="47"/>
      <c r="G689" s="47"/>
      <c r="H689" s="47"/>
      <c r="I689" s="47"/>
      <c r="J689" s="47"/>
    </row>
    <row r="690">
      <c r="A690" s="65"/>
      <c r="B690" s="47"/>
      <c r="C690" s="47"/>
      <c r="D690" s="47"/>
      <c r="E690" s="47"/>
      <c r="F690" s="47"/>
      <c r="G690" s="47"/>
      <c r="H690" s="47"/>
      <c r="I690" s="47"/>
      <c r="J690" s="47"/>
    </row>
    <row r="691">
      <c r="A691" s="65"/>
      <c r="B691" s="47"/>
      <c r="C691" s="47"/>
      <c r="D691" s="47"/>
      <c r="E691" s="47"/>
      <c r="F691" s="47"/>
      <c r="G691" s="47"/>
      <c r="H691" s="47"/>
      <c r="I691" s="47"/>
      <c r="J691" s="47"/>
    </row>
    <row r="692">
      <c r="A692" s="65"/>
      <c r="B692" s="47"/>
      <c r="C692" s="47"/>
      <c r="D692" s="47"/>
      <c r="E692" s="47"/>
      <c r="F692" s="47"/>
      <c r="G692" s="47"/>
      <c r="H692" s="47"/>
      <c r="I692" s="47"/>
      <c r="J692" s="47"/>
    </row>
    <row r="693">
      <c r="A693" s="65"/>
      <c r="B693" s="47"/>
      <c r="C693" s="47"/>
      <c r="D693" s="47"/>
      <c r="E693" s="47"/>
      <c r="F693" s="47"/>
      <c r="G693" s="47"/>
      <c r="H693" s="47"/>
      <c r="I693" s="47"/>
      <c r="J693" s="47"/>
    </row>
    <row r="694">
      <c r="A694" s="65"/>
      <c r="B694" s="47"/>
      <c r="C694" s="47"/>
      <c r="D694" s="47"/>
      <c r="E694" s="47"/>
      <c r="F694" s="47"/>
      <c r="G694" s="47"/>
      <c r="H694" s="47"/>
      <c r="I694" s="47"/>
      <c r="J694" s="47"/>
    </row>
    <row r="695">
      <c r="A695" s="65"/>
      <c r="B695" s="47"/>
      <c r="C695" s="47"/>
      <c r="D695" s="47"/>
      <c r="E695" s="47"/>
      <c r="F695" s="47"/>
      <c r="G695" s="47"/>
      <c r="H695" s="47"/>
      <c r="I695" s="47"/>
      <c r="J695" s="47"/>
    </row>
    <row r="696">
      <c r="A696" s="65"/>
      <c r="B696" s="47"/>
      <c r="C696" s="47"/>
      <c r="D696" s="47"/>
      <c r="E696" s="47"/>
      <c r="F696" s="47"/>
      <c r="G696" s="47"/>
      <c r="H696" s="47"/>
      <c r="I696" s="47"/>
      <c r="J696" s="47"/>
    </row>
    <row r="697">
      <c r="A697" s="65"/>
      <c r="B697" s="47"/>
      <c r="C697" s="47"/>
      <c r="D697" s="47"/>
      <c r="E697" s="47"/>
      <c r="F697" s="47"/>
      <c r="G697" s="47"/>
      <c r="H697" s="47"/>
      <c r="I697" s="47"/>
      <c r="J697" s="47"/>
    </row>
    <row r="698">
      <c r="A698" s="65"/>
      <c r="B698" s="47"/>
      <c r="C698" s="47"/>
      <c r="D698" s="47"/>
      <c r="E698" s="47"/>
      <c r="F698" s="47"/>
      <c r="G698" s="47"/>
      <c r="H698" s="47"/>
      <c r="I698" s="47"/>
      <c r="J698" s="47"/>
    </row>
    <row r="699">
      <c r="A699" s="65"/>
      <c r="B699" s="47"/>
      <c r="C699" s="47"/>
      <c r="D699" s="47"/>
      <c r="E699" s="47"/>
      <c r="F699" s="47"/>
      <c r="G699" s="47"/>
      <c r="H699" s="47"/>
      <c r="I699" s="47"/>
      <c r="J699" s="47"/>
    </row>
    <row r="700">
      <c r="A700" s="65"/>
      <c r="B700" s="47"/>
      <c r="C700" s="47"/>
      <c r="D700" s="47"/>
      <c r="E700" s="47"/>
      <c r="F700" s="47"/>
      <c r="G700" s="47"/>
      <c r="H700" s="47"/>
      <c r="I700" s="47"/>
      <c r="J700" s="47"/>
    </row>
    <row r="701">
      <c r="A701" s="65"/>
      <c r="B701" s="47"/>
      <c r="C701" s="47"/>
      <c r="D701" s="47"/>
      <c r="E701" s="47"/>
      <c r="F701" s="47"/>
      <c r="G701" s="47"/>
      <c r="H701" s="47"/>
      <c r="I701" s="47"/>
      <c r="J701" s="47"/>
    </row>
    <row r="702">
      <c r="A702" s="65"/>
      <c r="B702" s="47"/>
      <c r="C702" s="47"/>
      <c r="D702" s="47"/>
      <c r="E702" s="47"/>
      <c r="F702" s="47"/>
      <c r="G702" s="47"/>
      <c r="H702" s="47"/>
      <c r="I702" s="47"/>
      <c r="J702" s="47"/>
    </row>
    <row r="703">
      <c r="A703" s="65"/>
      <c r="B703" s="47"/>
      <c r="C703" s="47"/>
      <c r="D703" s="47"/>
      <c r="E703" s="47"/>
      <c r="F703" s="47"/>
      <c r="G703" s="47"/>
      <c r="H703" s="47"/>
      <c r="I703" s="47"/>
      <c r="J703" s="47"/>
    </row>
    <row r="704">
      <c r="A704" s="65"/>
      <c r="B704" s="47"/>
      <c r="C704" s="47"/>
      <c r="D704" s="47"/>
      <c r="E704" s="47"/>
      <c r="F704" s="47"/>
      <c r="G704" s="47"/>
      <c r="H704" s="47"/>
      <c r="I704" s="47"/>
      <c r="J704" s="47"/>
    </row>
    <row r="705">
      <c r="A705" s="65"/>
      <c r="B705" s="47"/>
      <c r="C705" s="47"/>
      <c r="D705" s="47"/>
      <c r="E705" s="47"/>
      <c r="F705" s="47"/>
      <c r="G705" s="47"/>
      <c r="H705" s="47"/>
      <c r="I705" s="47"/>
      <c r="J705" s="47"/>
    </row>
    <row r="706">
      <c r="A706" s="65"/>
      <c r="B706" s="47"/>
      <c r="C706" s="47"/>
      <c r="D706" s="47"/>
      <c r="E706" s="47"/>
      <c r="F706" s="47"/>
      <c r="G706" s="47"/>
      <c r="H706" s="47"/>
      <c r="I706" s="47"/>
      <c r="J706" s="47"/>
    </row>
    <row r="707">
      <c r="A707" s="65"/>
      <c r="B707" s="47"/>
      <c r="C707" s="47"/>
      <c r="D707" s="47"/>
      <c r="E707" s="47"/>
      <c r="F707" s="47"/>
      <c r="G707" s="47"/>
      <c r="H707" s="47"/>
      <c r="I707" s="47"/>
      <c r="J707" s="47"/>
    </row>
    <row r="708">
      <c r="A708" s="65"/>
      <c r="B708" s="47"/>
      <c r="C708" s="47"/>
      <c r="D708" s="47"/>
      <c r="E708" s="47"/>
      <c r="F708" s="47"/>
      <c r="G708" s="47"/>
      <c r="H708" s="47"/>
      <c r="I708" s="47"/>
      <c r="J708" s="47"/>
    </row>
    <row r="709">
      <c r="A709" s="65"/>
      <c r="B709" s="47"/>
      <c r="C709" s="47"/>
      <c r="D709" s="47"/>
      <c r="E709" s="47"/>
      <c r="F709" s="47"/>
      <c r="G709" s="47"/>
      <c r="H709" s="47"/>
      <c r="I709" s="47"/>
      <c r="J709" s="47"/>
    </row>
    <row r="710">
      <c r="A710" s="65"/>
      <c r="B710" s="47"/>
      <c r="C710" s="47"/>
      <c r="D710" s="47"/>
      <c r="E710" s="47"/>
      <c r="F710" s="47"/>
      <c r="G710" s="47"/>
      <c r="H710" s="47"/>
      <c r="I710" s="47"/>
      <c r="J710" s="47"/>
    </row>
    <row r="711">
      <c r="A711" s="65"/>
      <c r="B711" s="47"/>
      <c r="C711" s="47"/>
      <c r="D711" s="47"/>
      <c r="E711" s="47"/>
      <c r="F711" s="47"/>
      <c r="G711" s="47"/>
      <c r="H711" s="47"/>
      <c r="I711" s="47"/>
      <c r="J711" s="47"/>
    </row>
    <row r="712">
      <c r="A712" s="65"/>
      <c r="B712" s="47"/>
      <c r="C712" s="47"/>
      <c r="D712" s="47"/>
      <c r="E712" s="47"/>
      <c r="F712" s="47"/>
      <c r="G712" s="47"/>
      <c r="H712" s="47"/>
      <c r="I712" s="47"/>
      <c r="J712" s="47"/>
    </row>
    <row r="713">
      <c r="A713" s="65"/>
      <c r="B713" s="47"/>
      <c r="C713" s="47"/>
      <c r="D713" s="47"/>
      <c r="E713" s="47"/>
      <c r="F713" s="47"/>
      <c r="G713" s="47"/>
      <c r="H713" s="47"/>
      <c r="I713" s="47"/>
      <c r="J713" s="47"/>
    </row>
    <row r="714">
      <c r="A714" s="65"/>
      <c r="B714" s="47"/>
      <c r="C714" s="47"/>
      <c r="D714" s="47"/>
      <c r="E714" s="47"/>
      <c r="F714" s="47"/>
      <c r="G714" s="47"/>
      <c r="H714" s="47"/>
      <c r="I714" s="47"/>
      <c r="J714" s="47"/>
    </row>
    <row r="715">
      <c r="A715" s="65"/>
      <c r="B715" s="47"/>
      <c r="C715" s="47"/>
      <c r="D715" s="47"/>
      <c r="E715" s="47"/>
      <c r="F715" s="47"/>
      <c r="G715" s="47"/>
      <c r="H715" s="47"/>
      <c r="I715" s="47"/>
      <c r="J715" s="47"/>
    </row>
    <row r="716">
      <c r="A716" s="65"/>
      <c r="B716" s="47"/>
      <c r="C716" s="47"/>
      <c r="D716" s="47"/>
      <c r="E716" s="47"/>
      <c r="F716" s="47"/>
      <c r="G716" s="47"/>
      <c r="H716" s="47"/>
      <c r="I716" s="47"/>
      <c r="J716" s="47"/>
    </row>
    <row r="717">
      <c r="A717" s="65"/>
      <c r="B717" s="47"/>
      <c r="C717" s="47"/>
      <c r="D717" s="47"/>
      <c r="E717" s="47"/>
      <c r="F717" s="47"/>
      <c r="G717" s="47"/>
      <c r="H717" s="47"/>
      <c r="I717" s="47"/>
      <c r="J717" s="47"/>
    </row>
    <row r="718">
      <c r="A718" s="65"/>
      <c r="B718" s="47"/>
      <c r="C718" s="47"/>
      <c r="D718" s="47"/>
      <c r="E718" s="47"/>
      <c r="F718" s="47"/>
      <c r="G718" s="47"/>
      <c r="H718" s="47"/>
      <c r="I718" s="47"/>
      <c r="J718" s="47"/>
    </row>
    <row r="719">
      <c r="A719" s="65"/>
      <c r="B719" s="47"/>
      <c r="C719" s="47"/>
      <c r="D719" s="47"/>
      <c r="E719" s="47"/>
      <c r="F719" s="47"/>
      <c r="G719" s="47"/>
      <c r="H719" s="47"/>
      <c r="I719" s="47"/>
      <c r="J719" s="47"/>
    </row>
    <row r="720">
      <c r="A720" s="65"/>
      <c r="B720" s="47"/>
      <c r="C720" s="47"/>
      <c r="D720" s="47"/>
      <c r="E720" s="47"/>
      <c r="F720" s="47"/>
      <c r="G720" s="47"/>
      <c r="H720" s="47"/>
      <c r="I720" s="47"/>
      <c r="J720" s="47"/>
    </row>
    <row r="721">
      <c r="A721" s="65"/>
      <c r="B721" s="47"/>
      <c r="C721" s="47"/>
      <c r="D721" s="47"/>
      <c r="E721" s="47"/>
      <c r="F721" s="47"/>
      <c r="G721" s="47"/>
      <c r="H721" s="47"/>
      <c r="I721" s="47"/>
      <c r="J721" s="47"/>
    </row>
    <row r="722">
      <c r="A722" s="65"/>
      <c r="B722" s="47"/>
      <c r="C722" s="47"/>
      <c r="D722" s="47"/>
      <c r="E722" s="47"/>
      <c r="F722" s="47"/>
      <c r="G722" s="47"/>
      <c r="H722" s="47"/>
      <c r="I722" s="47"/>
      <c r="J722" s="47"/>
    </row>
    <row r="723">
      <c r="A723" s="65"/>
      <c r="B723" s="47"/>
      <c r="C723" s="47"/>
      <c r="D723" s="47"/>
      <c r="E723" s="47"/>
      <c r="F723" s="47"/>
      <c r="G723" s="47"/>
      <c r="H723" s="47"/>
      <c r="I723" s="47"/>
      <c r="J723" s="47"/>
    </row>
    <row r="724">
      <c r="A724" s="65"/>
      <c r="B724" s="47"/>
      <c r="C724" s="47"/>
      <c r="D724" s="47"/>
      <c r="E724" s="47"/>
      <c r="F724" s="47"/>
      <c r="G724" s="47"/>
      <c r="H724" s="47"/>
      <c r="I724" s="47"/>
      <c r="J724" s="47"/>
    </row>
    <row r="725">
      <c r="A725" s="65"/>
      <c r="B725" s="47"/>
      <c r="C725" s="47"/>
      <c r="D725" s="47"/>
      <c r="E725" s="47"/>
      <c r="F725" s="47"/>
      <c r="G725" s="47"/>
      <c r="H725" s="47"/>
      <c r="I725" s="47"/>
      <c r="J725" s="47"/>
    </row>
    <row r="726">
      <c r="A726" s="65"/>
      <c r="B726" s="47"/>
      <c r="C726" s="47"/>
      <c r="D726" s="47"/>
      <c r="E726" s="47"/>
      <c r="F726" s="47"/>
      <c r="G726" s="47"/>
      <c r="H726" s="47"/>
      <c r="I726" s="47"/>
      <c r="J726" s="47"/>
    </row>
    <row r="727">
      <c r="A727" s="65"/>
      <c r="B727" s="47"/>
      <c r="C727" s="47"/>
      <c r="D727" s="47"/>
      <c r="E727" s="47"/>
      <c r="F727" s="47"/>
      <c r="G727" s="47"/>
      <c r="H727" s="47"/>
      <c r="I727" s="47"/>
      <c r="J727" s="47"/>
    </row>
    <row r="728">
      <c r="A728" s="65"/>
      <c r="B728" s="47"/>
      <c r="C728" s="47"/>
      <c r="D728" s="47"/>
      <c r="E728" s="47"/>
      <c r="F728" s="47"/>
      <c r="G728" s="47"/>
      <c r="H728" s="47"/>
      <c r="I728" s="47"/>
      <c r="J728" s="47"/>
    </row>
    <row r="729">
      <c r="A729" s="65"/>
      <c r="B729" s="47"/>
      <c r="C729" s="47"/>
      <c r="D729" s="47"/>
      <c r="E729" s="47"/>
      <c r="F729" s="47"/>
      <c r="G729" s="47"/>
      <c r="H729" s="47"/>
      <c r="I729" s="47"/>
      <c r="J729" s="47"/>
    </row>
    <row r="730">
      <c r="A730" s="65"/>
      <c r="B730" s="47"/>
      <c r="C730" s="47"/>
      <c r="D730" s="47"/>
      <c r="E730" s="47"/>
      <c r="F730" s="47"/>
      <c r="G730" s="47"/>
      <c r="H730" s="47"/>
      <c r="I730" s="47"/>
      <c r="J730" s="47"/>
    </row>
    <row r="731">
      <c r="A731" s="65"/>
      <c r="B731" s="47"/>
      <c r="C731" s="47"/>
      <c r="D731" s="47"/>
      <c r="E731" s="47"/>
      <c r="F731" s="47"/>
      <c r="G731" s="47"/>
      <c r="H731" s="47"/>
      <c r="I731" s="47"/>
      <c r="J731" s="47"/>
    </row>
    <row r="732">
      <c r="A732" s="65"/>
      <c r="B732" s="47"/>
      <c r="C732" s="47"/>
      <c r="D732" s="47"/>
      <c r="E732" s="47"/>
      <c r="F732" s="47"/>
      <c r="G732" s="47"/>
      <c r="H732" s="47"/>
      <c r="I732" s="47"/>
      <c r="J732" s="47"/>
    </row>
    <row r="733">
      <c r="A733" s="65"/>
      <c r="B733" s="47"/>
      <c r="C733" s="47"/>
      <c r="D733" s="47"/>
      <c r="E733" s="47"/>
      <c r="F733" s="47"/>
      <c r="G733" s="47"/>
      <c r="H733" s="47"/>
      <c r="I733" s="47"/>
      <c r="J733" s="47"/>
    </row>
    <row r="734">
      <c r="A734" s="65"/>
      <c r="B734" s="47"/>
      <c r="C734" s="47"/>
      <c r="D734" s="47"/>
      <c r="E734" s="47"/>
      <c r="F734" s="47"/>
      <c r="G734" s="47"/>
      <c r="H734" s="47"/>
      <c r="I734" s="47"/>
      <c r="J734" s="47"/>
    </row>
    <row r="735">
      <c r="A735" s="65"/>
      <c r="B735" s="47"/>
      <c r="C735" s="47"/>
      <c r="D735" s="47"/>
      <c r="E735" s="47"/>
      <c r="F735" s="47"/>
      <c r="G735" s="47"/>
      <c r="H735" s="47"/>
      <c r="I735" s="47"/>
      <c r="J735" s="47"/>
    </row>
    <row r="736">
      <c r="A736" s="65"/>
      <c r="B736" s="47"/>
      <c r="C736" s="47"/>
      <c r="D736" s="47"/>
      <c r="E736" s="47"/>
      <c r="F736" s="47"/>
      <c r="G736" s="47"/>
      <c r="H736" s="47"/>
      <c r="I736" s="47"/>
      <c r="J736" s="47"/>
    </row>
    <row r="737">
      <c r="A737" s="65"/>
      <c r="B737" s="47"/>
      <c r="C737" s="47"/>
      <c r="D737" s="47"/>
      <c r="E737" s="47"/>
      <c r="F737" s="47"/>
      <c r="G737" s="47"/>
      <c r="H737" s="47"/>
      <c r="I737" s="47"/>
      <c r="J737" s="47"/>
    </row>
    <row r="738">
      <c r="A738" s="65"/>
      <c r="B738" s="47"/>
      <c r="C738" s="47"/>
      <c r="D738" s="47"/>
      <c r="E738" s="47"/>
      <c r="F738" s="47"/>
      <c r="G738" s="47"/>
      <c r="H738" s="47"/>
      <c r="I738" s="47"/>
      <c r="J738" s="47"/>
    </row>
    <row r="739">
      <c r="A739" s="65"/>
      <c r="B739" s="47"/>
      <c r="C739" s="47"/>
      <c r="D739" s="47"/>
      <c r="E739" s="47"/>
      <c r="F739" s="47"/>
      <c r="G739" s="47"/>
      <c r="H739" s="47"/>
      <c r="I739" s="47"/>
      <c r="J739" s="47"/>
    </row>
    <row r="740">
      <c r="A740" s="65"/>
      <c r="B740" s="47"/>
      <c r="C740" s="47"/>
      <c r="D740" s="47"/>
      <c r="E740" s="47"/>
      <c r="F740" s="47"/>
      <c r="G740" s="47"/>
      <c r="H740" s="47"/>
      <c r="I740" s="47"/>
      <c r="J740" s="47"/>
    </row>
    <row r="741">
      <c r="A741" s="65"/>
      <c r="B741" s="47"/>
      <c r="C741" s="47"/>
      <c r="D741" s="47"/>
      <c r="E741" s="47"/>
      <c r="F741" s="47"/>
      <c r="G741" s="47"/>
      <c r="H741" s="47"/>
      <c r="I741" s="47"/>
      <c r="J741" s="47"/>
    </row>
    <row r="742">
      <c r="A742" s="65"/>
      <c r="B742" s="47"/>
      <c r="C742" s="47"/>
      <c r="D742" s="47"/>
      <c r="E742" s="47"/>
      <c r="F742" s="47"/>
      <c r="G742" s="47"/>
      <c r="H742" s="47"/>
      <c r="I742" s="47"/>
      <c r="J742" s="47"/>
    </row>
    <row r="743">
      <c r="A743" s="65"/>
      <c r="B743" s="47"/>
      <c r="C743" s="47"/>
      <c r="D743" s="47"/>
      <c r="E743" s="47"/>
      <c r="F743" s="47"/>
      <c r="G743" s="47"/>
      <c r="H743" s="47"/>
      <c r="I743" s="47"/>
      <c r="J743" s="47"/>
    </row>
    <row r="744">
      <c r="A744" s="65"/>
      <c r="B744" s="47"/>
      <c r="C744" s="47"/>
      <c r="D744" s="47"/>
      <c r="E744" s="47"/>
      <c r="F744" s="47"/>
      <c r="G744" s="47"/>
      <c r="H744" s="47"/>
      <c r="I744" s="47"/>
      <c r="J744" s="47"/>
    </row>
    <row r="745">
      <c r="A745" s="65"/>
      <c r="B745" s="47"/>
      <c r="C745" s="47"/>
      <c r="D745" s="47"/>
      <c r="E745" s="47"/>
      <c r="F745" s="47"/>
      <c r="G745" s="47"/>
      <c r="H745" s="47"/>
      <c r="I745" s="47"/>
      <c r="J745" s="47"/>
    </row>
    <row r="746">
      <c r="A746" s="65"/>
      <c r="B746" s="47"/>
      <c r="C746" s="47"/>
      <c r="D746" s="47"/>
      <c r="E746" s="47"/>
      <c r="F746" s="47"/>
      <c r="G746" s="47"/>
      <c r="H746" s="47"/>
      <c r="I746" s="47"/>
      <c r="J746" s="47"/>
    </row>
    <row r="747">
      <c r="A747" s="65"/>
      <c r="B747" s="47"/>
      <c r="C747" s="47"/>
      <c r="D747" s="47"/>
      <c r="E747" s="47"/>
      <c r="F747" s="47"/>
      <c r="G747" s="47"/>
      <c r="H747" s="47"/>
      <c r="I747" s="47"/>
      <c r="J747" s="47"/>
    </row>
    <row r="748">
      <c r="A748" s="65"/>
      <c r="B748" s="47"/>
      <c r="C748" s="47"/>
      <c r="D748" s="47"/>
      <c r="E748" s="47"/>
      <c r="F748" s="47"/>
      <c r="G748" s="47"/>
      <c r="H748" s="47"/>
      <c r="I748" s="47"/>
      <c r="J748" s="47"/>
    </row>
    <row r="749">
      <c r="A749" s="65"/>
      <c r="B749" s="47"/>
      <c r="C749" s="47"/>
      <c r="D749" s="47"/>
      <c r="E749" s="47"/>
      <c r="F749" s="47"/>
      <c r="G749" s="47"/>
      <c r="H749" s="47"/>
      <c r="I749" s="47"/>
      <c r="J749" s="47"/>
    </row>
    <row r="750">
      <c r="A750" s="65"/>
      <c r="B750" s="47"/>
      <c r="C750" s="47"/>
      <c r="D750" s="47"/>
      <c r="E750" s="47"/>
      <c r="F750" s="47"/>
      <c r="G750" s="47"/>
      <c r="H750" s="47"/>
      <c r="I750" s="47"/>
      <c r="J750" s="47"/>
    </row>
    <row r="751">
      <c r="A751" s="65"/>
      <c r="B751" s="47"/>
      <c r="C751" s="47"/>
      <c r="D751" s="47"/>
      <c r="E751" s="47"/>
      <c r="F751" s="47"/>
      <c r="G751" s="47"/>
      <c r="H751" s="47"/>
      <c r="I751" s="47"/>
      <c r="J751" s="47"/>
    </row>
    <row r="752">
      <c r="A752" s="65"/>
      <c r="B752" s="47"/>
      <c r="C752" s="47"/>
      <c r="D752" s="47"/>
      <c r="E752" s="47"/>
      <c r="F752" s="47"/>
      <c r="G752" s="47"/>
      <c r="H752" s="47"/>
      <c r="I752" s="47"/>
      <c r="J752" s="47"/>
    </row>
    <row r="753">
      <c r="A753" s="65"/>
      <c r="B753" s="47"/>
      <c r="C753" s="47"/>
      <c r="D753" s="47"/>
      <c r="E753" s="47"/>
      <c r="F753" s="47"/>
      <c r="G753" s="47"/>
      <c r="H753" s="47"/>
      <c r="I753" s="47"/>
      <c r="J753" s="47"/>
    </row>
    <row r="754">
      <c r="A754" s="65"/>
      <c r="B754" s="47"/>
      <c r="C754" s="47"/>
      <c r="D754" s="47"/>
      <c r="E754" s="47"/>
      <c r="F754" s="47"/>
      <c r="G754" s="47"/>
      <c r="H754" s="47"/>
      <c r="I754" s="47"/>
      <c r="J754" s="47"/>
    </row>
    <row r="755">
      <c r="A755" s="65"/>
      <c r="B755" s="47"/>
      <c r="C755" s="47"/>
      <c r="D755" s="47"/>
      <c r="E755" s="47"/>
      <c r="F755" s="47"/>
      <c r="G755" s="47"/>
      <c r="H755" s="47"/>
      <c r="I755" s="47"/>
      <c r="J755" s="47"/>
    </row>
    <row r="756">
      <c r="A756" s="65"/>
      <c r="B756" s="47"/>
      <c r="C756" s="47"/>
      <c r="D756" s="47"/>
      <c r="E756" s="47"/>
      <c r="F756" s="47"/>
      <c r="G756" s="47"/>
      <c r="H756" s="47"/>
      <c r="I756" s="47"/>
      <c r="J756" s="47"/>
    </row>
    <row r="757">
      <c r="A757" s="65"/>
      <c r="B757" s="47"/>
      <c r="C757" s="47"/>
      <c r="D757" s="47"/>
      <c r="E757" s="47"/>
      <c r="F757" s="47"/>
      <c r="G757" s="47"/>
      <c r="H757" s="47"/>
      <c r="I757" s="47"/>
      <c r="J757" s="47"/>
    </row>
    <row r="758">
      <c r="A758" s="65"/>
      <c r="B758" s="47"/>
      <c r="C758" s="47"/>
      <c r="D758" s="47"/>
      <c r="E758" s="47"/>
      <c r="F758" s="47"/>
      <c r="G758" s="47"/>
      <c r="H758" s="47"/>
      <c r="I758" s="47"/>
      <c r="J758" s="47"/>
    </row>
    <row r="759">
      <c r="A759" s="65"/>
      <c r="B759" s="47"/>
      <c r="C759" s="47"/>
      <c r="D759" s="47"/>
      <c r="E759" s="47"/>
      <c r="F759" s="47"/>
      <c r="G759" s="47"/>
      <c r="H759" s="47"/>
      <c r="I759" s="47"/>
      <c r="J759" s="47"/>
    </row>
    <row r="760">
      <c r="A760" s="65"/>
      <c r="B760" s="47"/>
      <c r="C760" s="47"/>
      <c r="D760" s="47"/>
      <c r="E760" s="47"/>
      <c r="F760" s="47"/>
      <c r="G760" s="47"/>
      <c r="H760" s="47"/>
      <c r="I760" s="47"/>
      <c r="J760" s="47"/>
    </row>
    <row r="761">
      <c r="A761" s="65"/>
      <c r="B761" s="47"/>
      <c r="C761" s="47"/>
      <c r="D761" s="47"/>
      <c r="E761" s="47"/>
      <c r="F761" s="47"/>
      <c r="G761" s="47"/>
      <c r="H761" s="47"/>
      <c r="I761" s="47"/>
      <c r="J761" s="47"/>
    </row>
    <row r="762">
      <c r="A762" s="65"/>
      <c r="B762" s="47"/>
      <c r="C762" s="47"/>
      <c r="D762" s="47"/>
      <c r="E762" s="47"/>
      <c r="F762" s="47"/>
      <c r="G762" s="47"/>
      <c r="H762" s="47"/>
      <c r="I762" s="47"/>
      <c r="J762" s="47"/>
    </row>
    <row r="763">
      <c r="A763" s="65"/>
      <c r="B763" s="47"/>
      <c r="C763" s="47"/>
      <c r="D763" s="47"/>
      <c r="E763" s="47"/>
      <c r="F763" s="47"/>
      <c r="G763" s="47"/>
      <c r="H763" s="47"/>
      <c r="I763" s="47"/>
      <c r="J763" s="47"/>
    </row>
    <row r="764">
      <c r="A764" s="65"/>
      <c r="B764" s="47"/>
      <c r="C764" s="47"/>
      <c r="D764" s="47"/>
      <c r="E764" s="47"/>
      <c r="F764" s="47"/>
      <c r="G764" s="47"/>
      <c r="H764" s="47"/>
      <c r="I764" s="47"/>
      <c r="J764" s="47"/>
    </row>
    <row r="765">
      <c r="A765" s="65"/>
      <c r="B765" s="47"/>
      <c r="C765" s="47"/>
      <c r="D765" s="47"/>
      <c r="E765" s="47"/>
      <c r="F765" s="47"/>
      <c r="G765" s="47"/>
      <c r="H765" s="47"/>
      <c r="I765" s="47"/>
      <c r="J765" s="47"/>
    </row>
    <row r="766">
      <c r="A766" s="65"/>
      <c r="B766" s="47"/>
      <c r="C766" s="47"/>
      <c r="D766" s="47"/>
      <c r="E766" s="47"/>
      <c r="F766" s="47"/>
      <c r="G766" s="47"/>
      <c r="H766" s="47"/>
      <c r="I766" s="47"/>
      <c r="J766" s="47"/>
    </row>
    <row r="767">
      <c r="A767" s="65"/>
      <c r="B767" s="47"/>
      <c r="C767" s="47"/>
      <c r="D767" s="47"/>
      <c r="E767" s="47"/>
      <c r="F767" s="47"/>
      <c r="G767" s="47"/>
      <c r="H767" s="47"/>
      <c r="I767" s="47"/>
      <c r="J767" s="47"/>
    </row>
    <row r="768">
      <c r="A768" s="65"/>
      <c r="B768" s="47"/>
      <c r="C768" s="47"/>
      <c r="D768" s="47"/>
      <c r="E768" s="47"/>
      <c r="F768" s="47"/>
      <c r="G768" s="47"/>
      <c r="H768" s="47"/>
      <c r="I768" s="47"/>
      <c r="J768" s="47"/>
    </row>
    <row r="769">
      <c r="A769" s="65"/>
      <c r="B769" s="47"/>
      <c r="C769" s="47"/>
      <c r="D769" s="47"/>
      <c r="E769" s="47"/>
      <c r="F769" s="47"/>
      <c r="G769" s="47"/>
      <c r="H769" s="47"/>
      <c r="I769" s="47"/>
      <c r="J769" s="47"/>
    </row>
    <row r="770">
      <c r="A770" s="65"/>
      <c r="B770" s="47"/>
      <c r="C770" s="47"/>
      <c r="D770" s="47"/>
      <c r="E770" s="47"/>
      <c r="F770" s="47"/>
      <c r="G770" s="47"/>
      <c r="H770" s="47"/>
      <c r="I770" s="47"/>
      <c r="J770" s="47"/>
    </row>
    <row r="771">
      <c r="A771" s="65"/>
      <c r="B771" s="47"/>
      <c r="C771" s="47"/>
      <c r="D771" s="47"/>
      <c r="E771" s="47"/>
      <c r="F771" s="47"/>
      <c r="G771" s="47"/>
      <c r="H771" s="47"/>
      <c r="I771" s="47"/>
      <c r="J771" s="47"/>
    </row>
    <row r="772">
      <c r="A772" s="65"/>
      <c r="B772" s="47"/>
      <c r="C772" s="47"/>
      <c r="D772" s="47"/>
      <c r="E772" s="47"/>
      <c r="F772" s="47"/>
      <c r="G772" s="47"/>
      <c r="H772" s="47"/>
      <c r="I772" s="47"/>
      <c r="J772" s="47"/>
    </row>
    <row r="773">
      <c r="A773" s="65"/>
      <c r="B773" s="47"/>
      <c r="C773" s="47"/>
      <c r="D773" s="47"/>
      <c r="E773" s="47"/>
      <c r="F773" s="47"/>
      <c r="G773" s="47"/>
      <c r="H773" s="47"/>
      <c r="I773" s="47"/>
      <c r="J773" s="47"/>
    </row>
    <row r="774">
      <c r="A774" s="65"/>
      <c r="B774" s="47"/>
      <c r="C774" s="47"/>
      <c r="D774" s="47"/>
      <c r="E774" s="47"/>
      <c r="F774" s="47"/>
      <c r="G774" s="47"/>
      <c r="H774" s="47"/>
      <c r="I774" s="47"/>
      <c r="J774" s="47"/>
    </row>
    <row r="775">
      <c r="A775" s="65"/>
      <c r="B775" s="47"/>
      <c r="C775" s="47"/>
      <c r="D775" s="47"/>
      <c r="E775" s="47"/>
      <c r="F775" s="47"/>
      <c r="G775" s="47"/>
      <c r="H775" s="47"/>
      <c r="I775" s="47"/>
      <c r="J775" s="47"/>
    </row>
    <row r="776">
      <c r="A776" s="65"/>
      <c r="B776" s="47"/>
      <c r="C776" s="47"/>
      <c r="D776" s="47"/>
      <c r="E776" s="47"/>
      <c r="F776" s="47"/>
      <c r="G776" s="47"/>
      <c r="H776" s="47"/>
      <c r="I776" s="47"/>
      <c r="J776" s="47"/>
    </row>
    <row r="777">
      <c r="A777" s="65"/>
      <c r="B777" s="47"/>
      <c r="C777" s="47"/>
      <c r="D777" s="47"/>
      <c r="E777" s="47"/>
      <c r="F777" s="47"/>
      <c r="G777" s="47"/>
      <c r="H777" s="47"/>
      <c r="I777" s="47"/>
      <c r="J777" s="47"/>
    </row>
    <row r="778">
      <c r="A778" s="65"/>
      <c r="B778" s="47"/>
      <c r="C778" s="47"/>
      <c r="D778" s="47"/>
      <c r="E778" s="47"/>
      <c r="F778" s="47"/>
      <c r="G778" s="47"/>
      <c r="H778" s="47"/>
      <c r="I778" s="47"/>
      <c r="J778" s="47"/>
    </row>
    <row r="779">
      <c r="A779" s="65"/>
      <c r="B779" s="47"/>
      <c r="C779" s="47"/>
      <c r="D779" s="47"/>
      <c r="E779" s="47"/>
      <c r="F779" s="47"/>
      <c r="G779" s="47"/>
      <c r="H779" s="47"/>
      <c r="I779" s="47"/>
      <c r="J779" s="47"/>
    </row>
    <row r="780">
      <c r="A780" s="65"/>
      <c r="B780" s="47"/>
      <c r="C780" s="47"/>
      <c r="D780" s="47"/>
      <c r="E780" s="47"/>
      <c r="F780" s="47"/>
      <c r="G780" s="47"/>
      <c r="H780" s="47"/>
      <c r="I780" s="47"/>
      <c r="J780" s="47"/>
    </row>
    <row r="781">
      <c r="A781" s="65"/>
      <c r="B781" s="47"/>
      <c r="C781" s="47"/>
      <c r="D781" s="47"/>
      <c r="E781" s="47"/>
      <c r="F781" s="47"/>
      <c r="G781" s="47"/>
      <c r="H781" s="47"/>
      <c r="I781" s="47"/>
      <c r="J781" s="47"/>
    </row>
    <row r="782">
      <c r="A782" s="65"/>
      <c r="B782" s="47"/>
      <c r="C782" s="47"/>
      <c r="D782" s="47"/>
      <c r="E782" s="47"/>
      <c r="F782" s="47"/>
      <c r="G782" s="47"/>
      <c r="H782" s="47"/>
      <c r="I782" s="47"/>
      <c r="J782" s="47"/>
    </row>
    <row r="783">
      <c r="A783" s="65"/>
      <c r="B783" s="47"/>
      <c r="C783" s="47"/>
      <c r="D783" s="47"/>
      <c r="E783" s="47"/>
      <c r="F783" s="47"/>
      <c r="G783" s="47"/>
      <c r="H783" s="47"/>
      <c r="I783" s="47"/>
      <c r="J783" s="47"/>
    </row>
    <row r="784">
      <c r="A784" s="65"/>
      <c r="B784" s="47"/>
      <c r="C784" s="47"/>
      <c r="D784" s="47"/>
      <c r="E784" s="47"/>
      <c r="F784" s="47"/>
      <c r="G784" s="47"/>
      <c r="H784" s="47"/>
      <c r="I784" s="47"/>
      <c r="J784" s="47"/>
    </row>
    <row r="785">
      <c r="A785" s="65"/>
      <c r="B785" s="47"/>
      <c r="C785" s="47"/>
      <c r="D785" s="47"/>
      <c r="E785" s="47"/>
      <c r="F785" s="47"/>
      <c r="G785" s="47"/>
      <c r="H785" s="47"/>
      <c r="I785" s="47"/>
      <c r="J785" s="47"/>
    </row>
    <row r="786">
      <c r="A786" s="65"/>
      <c r="B786" s="47"/>
      <c r="C786" s="47"/>
      <c r="D786" s="47"/>
      <c r="E786" s="47"/>
      <c r="F786" s="47"/>
      <c r="G786" s="47"/>
      <c r="H786" s="47"/>
      <c r="I786" s="47"/>
      <c r="J786" s="47"/>
    </row>
    <row r="787">
      <c r="A787" s="65"/>
      <c r="B787" s="47"/>
      <c r="C787" s="47"/>
      <c r="D787" s="47"/>
      <c r="E787" s="47"/>
      <c r="F787" s="47"/>
      <c r="G787" s="47"/>
      <c r="H787" s="47"/>
      <c r="I787" s="47"/>
      <c r="J787" s="47"/>
    </row>
    <row r="788">
      <c r="A788" s="65"/>
      <c r="B788" s="47"/>
      <c r="C788" s="47"/>
      <c r="D788" s="47"/>
      <c r="E788" s="47"/>
      <c r="F788" s="47"/>
      <c r="G788" s="47"/>
      <c r="H788" s="47"/>
      <c r="I788" s="47"/>
      <c r="J788" s="47"/>
    </row>
    <row r="789">
      <c r="A789" s="65"/>
      <c r="B789" s="47"/>
      <c r="C789" s="47"/>
      <c r="D789" s="47"/>
      <c r="E789" s="47"/>
      <c r="F789" s="47"/>
      <c r="G789" s="47"/>
      <c r="H789" s="47"/>
      <c r="I789" s="47"/>
      <c r="J789" s="47"/>
    </row>
    <row r="790">
      <c r="A790" s="65"/>
      <c r="B790" s="47"/>
      <c r="C790" s="47"/>
      <c r="D790" s="47"/>
      <c r="E790" s="47"/>
      <c r="F790" s="47"/>
      <c r="G790" s="47"/>
      <c r="H790" s="47"/>
      <c r="I790" s="47"/>
      <c r="J790" s="47"/>
    </row>
    <row r="791">
      <c r="A791" s="65"/>
      <c r="B791" s="47"/>
      <c r="C791" s="47"/>
      <c r="D791" s="47"/>
      <c r="E791" s="47"/>
      <c r="F791" s="47"/>
      <c r="G791" s="47"/>
      <c r="H791" s="47"/>
      <c r="I791" s="47"/>
      <c r="J791" s="47"/>
    </row>
    <row r="792">
      <c r="A792" s="65"/>
      <c r="B792" s="47"/>
      <c r="C792" s="47"/>
      <c r="D792" s="47"/>
      <c r="E792" s="47"/>
      <c r="F792" s="47"/>
      <c r="G792" s="47"/>
      <c r="H792" s="47"/>
      <c r="I792" s="47"/>
      <c r="J792" s="47"/>
    </row>
    <row r="793">
      <c r="A793" s="65"/>
      <c r="B793" s="47"/>
      <c r="C793" s="47"/>
      <c r="D793" s="47"/>
      <c r="E793" s="47"/>
      <c r="F793" s="47"/>
      <c r="G793" s="47"/>
      <c r="H793" s="47"/>
      <c r="I793" s="47"/>
      <c r="J793" s="47"/>
    </row>
    <row r="794">
      <c r="A794" s="65"/>
      <c r="B794" s="47"/>
      <c r="C794" s="47"/>
      <c r="D794" s="47"/>
      <c r="E794" s="47"/>
      <c r="F794" s="47"/>
      <c r="G794" s="47"/>
      <c r="H794" s="47"/>
      <c r="I794" s="47"/>
      <c r="J794" s="47"/>
    </row>
    <row r="795">
      <c r="A795" s="65"/>
      <c r="B795" s="47"/>
      <c r="C795" s="47"/>
      <c r="D795" s="47"/>
      <c r="E795" s="47"/>
      <c r="F795" s="47"/>
      <c r="G795" s="47"/>
      <c r="H795" s="47"/>
      <c r="I795" s="47"/>
      <c r="J795" s="47"/>
    </row>
    <row r="796">
      <c r="A796" s="65"/>
      <c r="B796" s="47"/>
      <c r="C796" s="47"/>
      <c r="D796" s="47"/>
      <c r="E796" s="47"/>
      <c r="F796" s="47"/>
      <c r="G796" s="47"/>
      <c r="H796" s="47"/>
      <c r="I796" s="47"/>
      <c r="J796" s="47"/>
    </row>
    <row r="797">
      <c r="A797" s="65"/>
      <c r="B797" s="47"/>
      <c r="C797" s="47"/>
      <c r="D797" s="47"/>
      <c r="E797" s="47"/>
      <c r="F797" s="47"/>
      <c r="G797" s="47"/>
      <c r="H797" s="47"/>
      <c r="I797" s="47"/>
      <c r="J797" s="47"/>
    </row>
    <row r="798">
      <c r="A798" s="65"/>
      <c r="B798" s="47"/>
      <c r="C798" s="47"/>
      <c r="D798" s="47"/>
      <c r="E798" s="47"/>
      <c r="F798" s="47"/>
      <c r="G798" s="47"/>
      <c r="H798" s="47"/>
      <c r="I798" s="47"/>
      <c r="J798" s="47"/>
    </row>
    <row r="799">
      <c r="A799" s="65"/>
      <c r="B799" s="47"/>
      <c r="C799" s="47"/>
      <c r="D799" s="47"/>
      <c r="E799" s="47"/>
      <c r="F799" s="47"/>
      <c r="G799" s="47"/>
      <c r="H799" s="47"/>
      <c r="I799" s="47"/>
      <c r="J799" s="47"/>
    </row>
    <row r="800">
      <c r="A800" s="65"/>
      <c r="B800" s="47"/>
      <c r="C800" s="47"/>
      <c r="D800" s="47"/>
      <c r="E800" s="47"/>
      <c r="F800" s="47"/>
      <c r="G800" s="47"/>
      <c r="H800" s="47"/>
      <c r="I800" s="47"/>
      <c r="J800" s="47"/>
    </row>
    <row r="801">
      <c r="A801" s="65"/>
      <c r="B801" s="47"/>
      <c r="C801" s="47"/>
      <c r="D801" s="47"/>
      <c r="E801" s="47"/>
      <c r="F801" s="47"/>
      <c r="G801" s="47"/>
      <c r="H801" s="47"/>
      <c r="I801" s="47"/>
      <c r="J801" s="47"/>
    </row>
    <row r="802">
      <c r="A802" s="65"/>
      <c r="B802" s="47"/>
      <c r="C802" s="47"/>
      <c r="D802" s="47"/>
      <c r="E802" s="47"/>
      <c r="F802" s="47"/>
      <c r="G802" s="47"/>
      <c r="H802" s="47"/>
      <c r="I802" s="47"/>
      <c r="J802" s="47"/>
    </row>
    <row r="803">
      <c r="A803" s="65"/>
      <c r="B803" s="47"/>
      <c r="C803" s="47"/>
      <c r="D803" s="47"/>
      <c r="E803" s="47"/>
      <c r="F803" s="47"/>
      <c r="G803" s="47"/>
      <c r="H803" s="47"/>
      <c r="I803" s="47"/>
      <c r="J803" s="47"/>
    </row>
    <row r="804">
      <c r="A804" s="65"/>
      <c r="B804" s="47"/>
      <c r="C804" s="47"/>
      <c r="D804" s="47"/>
      <c r="E804" s="47"/>
      <c r="F804" s="47"/>
      <c r="G804" s="47"/>
      <c r="H804" s="47"/>
      <c r="I804" s="47"/>
      <c r="J804" s="47"/>
    </row>
    <row r="805">
      <c r="A805" s="65"/>
      <c r="B805" s="47"/>
      <c r="C805" s="47"/>
      <c r="D805" s="47"/>
      <c r="E805" s="47"/>
      <c r="F805" s="47"/>
      <c r="G805" s="47"/>
      <c r="H805" s="47"/>
      <c r="I805" s="47"/>
      <c r="J805" s="47"/>
    </row>
    <row r="806">
      <c r="A806" s="65"/>
      <c r="B806" s="47"/>
      <c r="C806" s="47"/>
      <c r="D806" s="47"/>
      <c r="E806" s="47"/>
      <c r="F806" s="47"/>
      <c r="G806" s="47"/>
      <c r="H806" s="47"/>
      <c r="I806" s="47"/>
      <c r="J806" s="47"/>
    </row>
    <row r="807">
      <c r="A807" s="65"/>
      <c r="B807" s="47"/>
      <c r="C807" s="47"/>
      <c r="D807" s="47"/>
      <c r="E807" s="47"/>
      <c r="F807" s="47"/>
      <c r="G807" s="47"/>
      <c r="H807" s="47"/>
      <c r="I807" s="47"/>
      <c r="J807" s="47"/>
    </row>
    <row r="808">
      <c r="A808" s="65"/>
      <c r="B808" s="47"/>
      <c r="C808" s="47"/>
      <c r="D808" s="47"/>
      <c r="E808" s="47"/>
      <c r="F808" s="47"/>
      <c r="G808" s="47"/>
      <c r="H808" s="47"/>
      <c r="I808" s="47"/>
      <c r="J808" s="47"/>
    </row>
    <row r="809">
      <c r="A809" s="65"/>
      <c r="B809" s="47"/>
      <c r="C809" s="47"/>
      <c r="D809" s="47"/>
      <c r="E809" s="47"/>
      <c r="F809" s="47"/>
      <c r="G809" s="47"/>
      <c r="H809" s="47"/>
      <c r="I809" s="47"/>
      <c r="J809" s="47"/>
    </row>
    <row r="810">
      <c r="A810" s="65"/>
      <c r="B810" s="47"/>
      <c r="C810" s="47"/>
      <c r="D810" s="47"/>
      <c r="E810" s="47"/>
      <c r="F810" s="47"/>
      <c r="G810" s="47"/>
      <c r="H810" s="47"/>
      <c r="I810" s="47"/>
      <c r="J810" s="47"/>
    </row>
    <row r="811">
      <c r="A811" s="65"/>
      <c r="B811" s="47"/>
      <c r="C811" s="47"/>
      <c r="D811" s="47"/>
      <c r="E811" s="47"/>
      <c r="F811" s="47"/>
      <c r="G811" s="47"/>
      <c r="H811" s="47"/>
      <c r="I811" s="47"/>
      <c r="J811" s="47"/>
    </row>
    <row r="812">
      <c r="A812" s="65"/>
      <c r="B812" s="47"/>
      <c r="C812" s="47"/>
      <c r="D812" s="47"/>
      <c r="E812" s="47"/>
      <c r="F812" s="47"/>
      <c r="G812" s="47"/>
      <c r="H812" s="47"/>
      <c r="I812" s="47"/>
      <c r="J812" s="47"/>
    </row>
    <row r="813">
      <c r="A813" s="65"/>
      <c r="B813" s="47"/>
      <c r="C813" s="47"/>
      <c r="D813" s="47"/>
      <c r="E813" s="47"/>
      <c r="F813" s="47"/>
      <c r="G813" s="47"/>
      <c r="H813" s="47"/>
      <c r="I813" s="47"/>
      <c r="J813" s="47"/>
    </row>
    <row r="814">
      <c r="A814" s="65"/>
      <c r="B814" s="47"/>
      <c r="C814" s="47"/>
      <c r="D814" s="47"/>
      <c r="E814" s="47"/>
      <c r="F814" s="47"/>
      <c r="G814" s="47"/>
      <c r="H814" s="47"/>
      <c r="I814" s="47"/>
      <c r="J814" s="47"/>
    </row>
    <row r="815">
      <c r="A815" s="65"/>
      <c r="B815" s="47"/>
      <c r="C815" s="47"/>
      <c r="D815" s="47"/>
      <c r="E815" s="47"/>
      <c r="F815" s="47"/>
      <c r="G815" s="47"/>
      <c r="H815" s="47"/>
      <c r="I815" s="47"/>
      <c r="J815" s="47"/>
    </row>
    <row r="816">
      <c r="A816" s="65"/>
      <c r="B816" s="47"/>
      <c r="C816" s="47"/>
      <c r="D816" s="47"/>
      <c r="E816" s="47"/>
      <c r="F816" s="47"/>
      <c r="G816" s="47"/>
      <c r="H816" s="47"/>
      <c r="I816" s="47"/>
      <c r="J816" s="47"/>
    </row>
    <row r="817">
      <c r="A817" s="65"/>
      <c r="B817" s="47"/>
      <c r="C817" s="47"/>
      <c r="D817" s="47"/>
      <c r="E817" s="47"/>
      <c r="F817" s="47"/>
      <c r="G817" s="47"/>
      <c r="H817" s="47"/>
      <c r="I817" s="47"/>
      <c r="J817" s="47"/>
    </row>
    <row r="818">
      <c r="A818" s="65"/>
      <c r="B818" s="47"/>
      <c r="C818" s="47"/>
      <c r="D818" s="47"/>
      <c r="E818" s="47"/>
      <c r="F818" s="47"/>
      <c r="G818" s="47"/>
      <c r="H818" s="47"/>
      <c r="I818" s="47"/>
      <c r="J818" s="47"/>
    </row>
    <row r="819">
      <c r="A819" s="65"/>
      <c r="B819" s="47"/>
      <c r="C819" s="47"/>
      <c r="D819" s="47"/>
      <c r="E819" s="47"/>
      <c r="F819" s="47"/>
      <c r="G819" s="47"/>
      <c r="H819" s="47"/>
      <c r="I819" s="47"/>
      <c r="J819" s="47"/>
    </row>
    <row r="820">
      <c r="A820" s="65"/>
      <c r="B820" s="47"/>
      <c r="C820" s="47"/>
      <c r="D820" s="47"/>
      <c r="E820" s="47"/>
      <c r="F820" s="47"/>
      <c r="G820" s="47"/>
      <c r="H820" s="47"/>
      <c r="I820" s="47"/>
      <c r="J820" s="47"/>
    </row>
    <row r="821">
      <c r="A821" s="65"/>
      <c r="B821" s="47"/>
      <c r="C821" s="47"/>
      <c r="D821" s="47"/>
      <c r="E821" s="47"/>
      <c r="F821" s="47"/>
      <c r="G821" s="47"/>
      <c r="H821" s="47"/>
      <c r="I821" s="47"/>
      <c r="J821" s="47"/>
    </row>
    <row r="822">
      <c r="A822" s="65"/>
      <c r="B822" s="47"/>
      <c r="C822" s="47"/>
      <c r="D822" s="47"/>
      <c r="E822" s="47"/>
      <c r="F822" s="47"/>
      <c r="G822" s="47"/>
      <c r="H822" s="47"/>
      <c r="I822" s="47"/>
      <c r="J822" s="47"/>
    </row>
    <row r="823">
      <c r="A823" s="65"/>
      <c r="B823" s="47"/>
      <c r="C823" s="47"/>
      <c r="D823" s="47"/>
      <c r="E823" s="47"/>
      <c r="F823" s="47"/>
      <c r="G823" s="47"/>
      <c r="H823" s="47"/>
      <c r="I823" s="47"/>
      <c r="J823" s="47"/>
    </row>
    <row r="824">
      <c r="A824" s="65"/>
      <c r="B824" s="47"/>
      <c r="C824" s="47"/>
      <c r="D824" s="47"/>
      <c r="E824" s="47"/>
      <c r="F824" s="47"/>
      <c r="G824" s="47"/>
      <c r="H824" s="47"/>
      <c r="I824" s="47"/>
      <c r="J824" s="47"/>
    </row>
    <row r="825">
      <c r="A825" s="65"/>
      <c r="B825" s="47"/>
      <c r="C825" s="47"/>
      <c r="D825" s="47"/>
      <c r="E825" s="47"/>
      <c r="F825" s="47"/>
      <c r="G825" s="47"/>
      <c r="H825" s="47"/>
      <c r="I825" s="47"/>
      <c r="J825" s="47"/>
    </row>
    <row r="826">
      <c r="A826" s="65"/>
      <c r="B826" s="47"/>
      <c r="C826" s="47"/>
      <c r="D826" s="47"/>
      <c r="E826" s="47"/>
      <c r="F826" s="47"/>
      <c r="G826" s="47"/>
      <c r="H826" s="47"/>
      <c r="I826" s="47"/>
      <c r="J826" s="47"/>
    </row>
    <row r="827">
      <c r="A827" s="65"/>
      <c r="B827" s="47"/>
      <c r="C827" s="47"/>
      <c r="D827" s="47"/>
      <c r="E827" s="47"/>
      <c r="F827" s="47"/>
      <c r="G827" s="47"/>
      <c r="H827" s="47"/>
      <c r="I827" s="47"/>
      <c r="J827" s="47"/>
    </row>
    <row r="828">
      <c r="A828" s="65"/>
      <c r="B828" s="47"/>
      <c r="C828" s="47"/>
      <c r="D828" s="47"/>
      <c r="E828" s="47"/>
      <c r="F828" s="47"/>
      <c r="G828" s="47"/>
      <c r="H828" s="47"/>
      <c r="I828" s="47"/>
      <c r="J828" s="47"/>
    </row>
    <row r="829">
      <c r="A829" s="65"/>
      <c r="B829" s="47"/>
      <c r="C829" s="47"/>
      <c r="D829" s="47"/>
      <c r="E829" s="47"/>
      <c r="F829" s="47"/>
      <c r="G829" s="47"/>
      <c r="H829" s="47"/>
      <c r="I829" s="47"/>
      <c r="J829" s="47"/>
    </row>
    <row r="830">
      <c r="A830" s="65"/>
      <c r="B830" s="47"/>
      <c r="C830" s="47"/>
      <c r="D830" s="47"/>
      <c r="E830" s="47"/>
      <c r="F830" s="47"/>
      <c r="G830" s="47"/>
      <c r="H830" s="47"/>
      <c r="I830" s="47"/>
      <c r="J830" s="47"/>
    </row>
    <row r="831">
      <c r="A831" s="65"/>
      <c r="B831" s="47"/>
      <c r="C831" s="47"/>
      <c r="D831" s="47"/>
      <c r="E831" s="47"/>
      <c r="F831" s="47"/>
      <c r="G831" s="47"/>
      <c r="H831" s="47"/>
      <c r="I831" s="47"/>
      <c r="J831" s="47"/>
    </row>
    <row r="832">
      <c r="A832" s="65"/>
      <c r="B832" s="47"/>
      <c r="C832" s="47"/>
      <c r="D832" s="47"/>
      <c r="E832" s="47"/>
      <c r="F832" s="47"/>
      <c r="G832" s="47"/>
      <c r="H832" s="47"/>
      <c r="I832" s="47"/>
      <c r="J832" s="47"/>
    </row>
    <row r="833">
      <c r="A833" s="65"/>
      <c r="B833" s="47"/>
      <c r="C833" s="47"/>
      <c r="D833" s="47"/>
      <c r="E833" s="47"/>
      <c r="F833" s="47"/>
      <c r="G833" s="47"/>
      <c r="H833" s="47"/>
      <c r="I833" s="47"/>
      <c r="J833" s="47"/>
    </row>
    <row r="834">
      <c r="A834" s="65"/>
      <c r="B834" s="47"/>
      <c r="C834" s="47"/>
      <c r="D834" s="47"/>
      <c r="E834" s="47"/>
      <c r="F834" s="47"/>
      <c r="G834" s="47"/>
      <c r="H834" s="47"/>
      <c r="I834" s="47"/>
      <c r="J834" s="47"/>
    </row>
    <row r="835">
      <c r="A835" s="65"/>
      <c r="B835" s="47"/>
      <c r="C835" s="47"/>
      <c r="D835" s="47"/>
      <c r="E835" s="47"/>
      <c r="F835" s="47"/>
      <c r="G835" s="47"/>
      <c r="H835" s="47"/>
      <c r="I835" s="47"/>
      <c r="J835" s="47"/>
    </row>
    <row r="836">
      <c r="A836" s="65"/>
      <c r="B836" s="47"/>
      <c r="C836" s="47"/>
      <c r="D836" s="47"/>
      <c r="E836" s="47"/>
      <c r="F836" s="47"/>
      <c r="G836" s="47"/>
      <c r="H836" s="47"/>
      <c r="I836" s="47"/>
      <c r="J836" s="47"/>
    </row>
    <row r="837">
      <c r="A837" s="65"/>
      <c r="B837" s="47"/>
      <c r="C837" s="47"/>
      <c r="D837" s="47"/>
      <c r="E837" s="47"/>
      <c r="F837" s="47"/>
      <c r="G837" s="47"/>
      <c r="H837" s="47"/>
      <c r="I837" s="47"/>
      <c r="J837" s="47"/>
    </row>
    <row r="838">
      <c r="A838" s="65"/>
      <c r="B838" s="47"/>
      <c r="C838" s="47"/>
      <c r="D838" s="47"/>
      <c r="E838" s="47"/>
      <c r="F838" s="47"/>
      <c r="G838" s="47"/>
      <c r="H838" s="47"/>
      <c r="I838" s="47"/>
      <c r="J838" s="47"/>
    </row>
    <row r="839">
      <c r="A839" s="65"/>
      <c r="B839" s="47"/>
      <c r="C839" s="47"/>
      <c r="D839" s="47"/>
      <c r="E839" s="47"/>
      <c r="F839" s="47"/>
      <c r="G839" s="47"/>
      <c r="H839" s="47"/>
      <c r="I839" s="47"/>
      <c r="J839" s="47"/>
    </row>
    <row r="840">
      <c r="A840" s="65"/>
      <c r="B840" s="47"/>
      <c r="C840" s="47"/>
      <c r="D840" s="47"/>
      <c r="E840" s="47"/>
      <c r="F840" s="47"/>
      <c r="G840" s="47"/>
      <c r="H840" s="47"/>
      <c r="I840" s="47"/>
      <c r="J840" s="47"/>
    </row>
    <row r="841">
      <c r="A841" s="65"/>
      <c r="B841" s="47"/>
      <c r="C841" s="47"/>
      <c r="D841" s="47"/>
      <c r="E841" s="47"/>
      <c r="F841" s="47"/>
      <c r="G841" s="47"/>
      <c r="H841" s="47"/>
      <c r="I841" s="47"/>
      <c r="J841" s="47"/>
    </row>
    <row r="842">
      <c r="A842" s="65"/>
      <c r="B842" s="47"/>
      <c r="C842" s="47"/>
      <c r="D842" s="47"/>
      <c r="E842" s="47"/>
      <c r="F842" s="47"/>
      <c r="G842" s="47"/>
      <c r="H842" s="47"/>
      <c r="I842" s="47"/>
      <c r="J842" s="47"/>
    </row>
    <row r="843">
      <c r="A843" s="65"/>
      <c r="B843" s="47"/>
      <c r="C843" s="47"/>
      <c r="D843" s="47"/>
      <c r="E843" s="47"/>
      <c r="F843" s="47"/>
      <c r="G843" s="47"/>
      <c r="H843" s="47"/>
      <c r="I843" s="47"/>
      <c r="J843" s="47"/>
    </row>
    <row r="844">
      <c r="A844" s="65"/>
      <c r="B844" s="47"/>
      <c r="C844" s="47"/>
      <c r="D844" s="47"/>
      <c r="E844" s="47"/>
      <c r="F844" s="47"/>
      <c r="G844" s="47"/>
      <c r="H844" s="47"/>
      <c r="I844" s="47"/>
      <c r="J844" s="47"/>
    </row>
    <row r="845">
      <c r="A845" s="65"/>
      <c r="B845" s="47"/>
      <c r="C845" s="47"/>
      <c r="D845" s="47"/>
      <c r="E845" s="47"/>
      <c r="F845" s="47"/>
      <c r="G845" s="47"/>
      <c r="H845" s="47"/>
      <c r="I845" s="47"/>
      <c r="J845" s="47"/>
    </row>
    <row r="846">
      <c r="A846" s="65"/>
      <c r="B846" s="47"/>
      <c r="C846" s="47"/>
      <c r="D846" s="47"/>
      <c r="E846" s="47"/>
      <c r="F846" s="47"/>
      <c r="G846" s="47"/>
      <c r="H846" s="47"/>
      <c r="I846" s="47"/>
      <c r="J846" s="47"/>
    </row>
    <row r="847">
      <c r="A847" s="65"/>
      <c r="B847" s="47"/>
      <c r="C847" s="47"/>
      <c r="D847" s="47"/>
      <c r="E847" s="47"/>
      <c r="F847" s="47"/>
      <c r="G847" s="47"/>
      <c r="H847" s="47"/>
      <c r="I847" s="47"/>
      <c r="J847" s="47"/>
    </row>
    <row r="848">
      <c r="A848" s="65"/>
      <c r="B848" s="47"/>
      <c r="C848" s="47"/>
      <c r="D848" s="47"/>
      <c r="E848" s="47"/>
      <c r="F848" s="47"/>
      <c r="G848" s="47"/>
      <c r="H848" s="47"/>
      <c r="I848" s="47"/>
      <c r="J848" s="47"/>
    </row>
    <row r="849">
      <c r="A849" s="65"/>
      <c r="B849" s="47"/>
      <c r="C849" s="47"/>
      <c r="D849" s="47"/>
      <c r="E849" s="47"/>
      <c r="F849" s="47"/>
      <c r="G849" s="47"/>
      <c r="H849" s="47"/>
      <c r="I849" s="47"/>
      <c r="J849" s="47"/>
    </row>
    <row r="850">
      <c r="A850" s="65"/>
      <c r="B850" s="47"/>
      <c r="C850" s="47"/>
      <c r="D850" s="47"/>
      <c r="E850" s="47"/>
      <c r="F850" s="47"/>
      <c r="G850" s="47"/>
      <c r="H850" s="47"/>
      <c r="I850" s="47"/>
      <c r="J850" s="47"/>
    </row>
    <row r="851">
      <c r="A851" s="65"/>
      <c r="B851" s="47"/>
      <c r="C851" s="47"/>
      <c r="D851" s="47"/>
      <c r="E851" s="47"/>
      <c r="F851" s="47"/>
      <c r="G851" s="47"/>
      <c r="H851" s="47"/>
      <c r="I851" s="47"/>
      <c r="J851" s="47"/>
    </row>
    <row r="852">
      <c r="A852" s="65"/>
      <c r="B852" s="47"/>
      <c r="C852" s="47"/>
      <c r="D852" s="47"/>
      <c r="E852" s="47"/>
      <c r="F852" s="47"/>
      <c r="G852" s="47"/>
      <c r="H852" s="47"/>
      <c r="I852" s="47"/>
      <c r="J852" s="47"/>
    </row>
    <row r="853">
      <c r="A853" s="65"/>
      <c r="B853" s="47"/>
      <c r="C853" s="47"/>
      <c r="D853" s="47"/>
      <c r="E853" s="47"/>
      <c r="F853" s="47"/>
      <c r="G853" s="47"/>
      <c r="H853" s="47"/>
      <c r="I853" s="47"/>
      <c r="J853" s="47"/>
    </row>
    <row r="854">
      <c r="A854" s="65"/>
      <c r="B854" s="47"/>
      <c r="C854" s="47"/>
      <c r="D854" s="47"/>
      <c r="E854" s="47"/>
      <c r="F854" s="47"/>
      <c r="G854" s="47"/>
      <c r="H854" s="47"/>
      <c r="I854" s="47"/>
      <c r="J854" s="47"/>
    </row>
    <row r="855">
      <c r="A855" s="65"/>
      <c r="B855" s="47"/>
      <c r="C855" s="47"/>
      <c r="D855" s="47"/>
      <c r="E855" s="47"/>
      <c r="F855" s="47"/>
      <c r="G855" s="47"/>
      <c r="H855" s="47"/>
      <c r="I855" s="47"/>
      <c r="J855" s="47"/>
    </row>
    <row r="856">
      <c r="A856" s="65"/>
      <c r="B856" s="47"/>
      <c r="C856" s="47"/>
      <c r="D856" s="47"/>
      <c r="E856" s="47"/>
      <c r="F856" s="47"/>
      <c r="G856" s="47"/>
      <c r="H856" s="47"/>
      <c r="I856" s="47"/>
      <c r="J856" s="47"/>
    </row>
    <row r="857">
      <c r="A857" s="65"/>
      <c r="B857" s="47"/>
      <c r="C857" s="47"/>
      <c r="D857" s="47"/>
      <c r="E857" s="47"/>
      <c r="F857" s="47"/>
      <c r="G857" s="47"/>
      <c r="H857" s="47"/>
      <c r="I857" s="47"/>
      <c r="J857" s="47"/>
    </row>
    <row r="858">
      <c r="A858" s="65"/>
      <c r="B858" s="47"/>
      <c r="C858" s="47"/>
      <c r="D858" s="47"/>
      <c r="E858" s="47"/>
      <c r="F858" s="47"/>
      <c r="G858" s="47"/>
      <c r="H858" s="47"/>
      <c r="I858" s="47"/>
      <c r="J858" s="47"/>
    </row>
    <row r="859">
      <c r="A859" s="65"/>
      <c r="B859" s="47"/>
      <c r="C859" s="47"/>
      <c r="D859" s="47"/>
      <c r="E859" s="47"/>
      <c r="F859" s="47"/>
      <c r="G859" s="47"/>
      <c r="H859" s="47"/>
      <c r="I859" s="47"/>
      <c r="J859" s="47"/>
    </row>
    <row r="860">
      <c r="A860" s="65"/>
      <c r="B860" s="47"/>
      <c r="C860" s="47"/>
      <c r="D860" s="47"/>
      <c r="E860" s="47"/>
      <c r="F860" s="47"/>
      <c r="G860" s="47"/>
      <c r="H860" s="47"/>
      <c r="I860" s="47"/>
      <c r="J860" s="47"/>
    </row>
    <row r="861">
      <c r="A861" s="65"/>
      <c r="B861" s="47"/>
      <c r="C861" s="47"/>
      <c r="D861" s="47"/>
      <c r="E861" s="47"/>
      <c r="F861" s="47"/>
      <c r="G861" s="47"/>
      <c r="H861" s="47"/>
      <c r="I861" s="47"/>
      <c r="J861" s="47"/>
    </row>
    <row r="862">
      <c r="A862" s="65"/>
      <c r="B862" s="47"/>
      <c r="C862" s="47"/>
      <c r="D862" s="47"/>
      <c r="E862" s="47"/>
      <c r="F862" s="47"/>
      <c r="G862" s="47"/>
      <c r="H862" s="47"/>
      <c r="I862" s="47"/>
      <c r="J862" s="47"/>
    </row>
    <row r="863">
      <c r="A863" s="65"/>
      <c r="B863" s="47"/>
      <c r="C863" s="47"/>
      <c r="D863" s="47"/>
      <c r="E863" s="47"/>
      <c r="F863" s="47"/>
      <c r="G863" s="47"/>
      <c r="H863" s="47"/>
      <c r="I863" s="47"/>
      <c r="J863" s="47"/>
    </row>
    <row r="864">
      <c r="A864" s="65"/>
      <c r="B864" s="47"/>
      <c r="C864" s="47"/>
      <c r="D864" s="47"/>
      <c r="E864" s="47"/>
      <c r="F864" s="47"/>
      <c r="G864" s="47"/>
      <c r="H864" s="47"/>
      <c r="I864" s="47"/>
      <c r="J864" s="47"/>
    </row>
    <row r="865">
      <c r="A865" s="65"/>
      <c r="B865" s="47"/>
      <c r="C865" s="47"/>
      <c r="D865" s="47"/>
      <c r="E865" s="47"/>
      <c r="F865" s="47"/>
      <c r="G865" s="47"/>
      <c r="H865" s="47"/>
      <c r="I865" s="47"/>
      <c r="J865" s="47"/>
    </row>
    <row r="866">
      <c r="A866" s="65"/>
      <c r="B866" s="47"/>
      <c r="C866" s="47"/>
      <c r="D866" s="47"/>
      <c r="E866" s="47"/>
      <c r="F866" s="47"/>
      <c r="G866" s="47"/>
      <c r="H866" s="47"/>
      <c r="I866" s="47"/>
      <c r="J866" s="47"/>
    </row>
    <row r="867">
      <c r="A867" s="65"/>
      <c r="B867" s="47"/>
      <c r="C867" s="47"/>
      <c r="D867" s="47"/>
      <c r="E867" s="47"/>
      <c r="F867" s="47"/>
      <c r="G867" s="47"/>
      <c r="H867" s="47"/>
      <c r="I867" s="47"/>
      <c r="J867" s="47"/>
    </row>
    <row r="868">
      <c r="A868" s="65"/>
      <c r="B868" s="47"/>
      <c r="C868" s="47"/>
      <c r="D868" s="47"/>
      <c r="E868" s="47"/>
      <c r="F868" s="47"/>
      <c r="G868" s="47"/>
      <c r="H868" s="47"/>
      <c r="I868" s="47"/>
      <c r="J868" s="47"/>
    </row>
    <row r="869">
      <c r="A869" s="65"/>
      <c r="B869" s="47"/>
      <c r="C869" s="47"/>
      <c r="D869" s="47"/>
      <c r="E869" s="47"/>
      <c r="F869" s="47"/>
      <c r="G869" s="47"/>
      <c r="H869" s="47"/>
      <c r="I869" s="47"/>
      <c r="J869" s="47"/>
    </row>
    <row r="870">
      <c r="A870" s="65"/>
      <c r="B870" s="47"/>
      <c r="C870" s="47"/>
      <c r="D870" s="47"/>
      <c r="E870" s="47"/>
      <c r="F870" s="47"/>
      <c r="G870" s="47"/>
      <c r="H870" s="47"/>
      <c r="I870" s="47"/>
      <c r="J870" s="47"/>
    </row>
    <row r="871">
      <c r="A871" s="65"/>
      <c r="B871" s="47"/>
      <c r="C871" s="47"/>
      <c r="D871" s="47"/>
      <c r="E871" s="47"/>
      <c r="F871" s="47"/>
      <c r="G871" s="47"/>
      <c r="H871" s="47"/>
      <c r="I871" s="47"/>
      <c r="J871" s="47"/>
    </row>
    <row r="872">
      <c r="A872" s="65"/>
      <c r="B872" s="47"/>
      <c r="C872" s="47"/>
      <c r="D872" s="47"/>
      <c r="E872" s="47"/>
      <c r="F872" s="47"/>
      <c r="G872" s="47"/>
      <c r="H872" s="47"/>
      <c r="I872" s="47"/>
      <c r="J872" s="47"/>
    </row>
    <row r="873">
      <c r="A873" s="65"/>
      <c r="B873" s="47"/>
      <c r="C873" s="47"/>
      <c r="D873" s="47"/>
      <c r="E873" s="47"/>
      <c r="F873" s="47"/>
      <c r="G873" s="47"/>
      <c r="H873" s="47"/>
      <c r="I873" s="47"/>
      <c r="J873" s="47"/>
    </row>
    <row r="874">
      <c r="A874" s="65"/>
      <c r="B874" s="47"/>
      <c r="C874" s="47"/>
      <c r="D874" s="47"/>
      <c r="E874" s="47"/>
      <c r="F874" s="47"/>
      <c r="G874" s="47"/>
      <c r="H874" s="47"/>
      <c r="I874" s="47"/>
      <c r="J874" s="47"/>
    </row>
    <row r="875">
      <c r="A875" s="65"/>
      <c r="B875" s="47"/>
      <c r="C875" s="47"/>
      <c r="D875" s="47"/>
      <c r="E875" s="47"/>
      <c r="F875" s="47"/>
      <c r="G875" s="47"/>
      <c r="H875" s="47"/>
      <c r="I875" s="47"/>
      <c r="J875" s="47"/>
    </row>
    <row r="876">
      <c r="A876" s="65"/>
      <c r="B876" s="47"/>
      <c r="C876" s="47"/>
      <c r="D876" s="47"/>
      <c r="E876" s="47"/>
      <c r="F876" s="47"/>
      <c r="G876" s="47"/>
      <c r="H876" s="47"/>
      <c r="I876" s="47"/>
      <c r="J876" s="47"/>
    </row>
    <row r="877">
      <c r="A877" s="65"/>
      <c r="B877" s="47"/>
      <c r="C877" s="47"/>
      <c r="D877" s="47"/>
      <c r="E877" s="47"/>
      <c r="F877" s="47"/>
      <c r="G877" s="47"/>
      <c r="H877" s="47"/>
      <c r="I877" s="47"/>
      <c r="J877" s="47"/>
    </row>
    <row r="878">
      <c r="A878" s="65"/>
      <c r="B878" s="47"/>
      <c r="C878" s="47"/>
      <c r="D878" s="47"/>
      <c r="E878" s="47"/>
      <c r="F878" s="47"/>
      <c r="G878" s="47"/>
      <c r="H878" s="47"/>
      <c r="I878" s="47"/>
      <c r="J878" s="47"/>
    </row>
    <row r="879">
      <c r="A879" s="65"/>
      <c r="B879" s="47"/>
      <c r="C879" s="47"/>
      <c r="D879" s="47"/>
      <c r="E879" s="47"/>
      <c r="F879" s="47"/>
      <c r="G879" s="47"/>
      <c r="H879" s="47"/>
      <c r="I879" s="47"/>
      <c r="J879" s="47"/>
    </row>
    <row r="880">
      <c r="A880" s="65"/>
      <c r="B880" s="47"/>
      <c r="C880" s="47"/>
      <c r="D880" s="47"/>
      <c r="E880" s="47"/>
      <c r="F880" s="47"/>
      <c r="G880" s="47"/>
      <c r="H880" s="47"/>
      <c r="I880" s="47"/>
      <c r="J880" s="47"/>
    </row>
    <row r="881">
      <c r="A881" s="65"/>
      <c r="B881" s="47"/>
      <c r="C881" s="47"/>
      <c r="D881" s="47"/>
      <c r="E881" s="47"/>
      <c r="F881" s="47"/>
      <c r="G881" s="47"/>
      <c r="H881" s="47"/>
      <c r="I881" s="47"/>
      <c r="J881" s="47"/>
    </row>
    <row r="882">
      <c r="A882" s="65"/>
      <c r="B882" s="47"/>
      <c r="C882" s="47"/>
      <c r="D882" s="47"/>
      <c r="E882" s="47"/>
      <c r="F882" s="47"/>
      <c r="G882" s="47"/>
      <c r="H882" s="47"/>
      <c r="I882" s="47"/>
      <c r="J882" s="47"/>
    </row>
    <row r="883">
      <c r="A883" s="65"/>
      <c r="B883" s="47"/>
      <c r="C883" s="47"/>
      <c r="D883" s="47"/>
      <c r="E883" s="47"/>
      <c r="F883" s="47"/>
      <c r="G883" s="47"/>
      <c r="H883" s="47"/>
      <c r="I883" s="47"/>
      <c r="J883" s="47"/>
    </row>
    <row r="884">
      <c r="A884" s="65"/>
      <c r="B884" s="47"/>
      <c r="C884" s="47"/>
      <c r="D884" s="47"/>
      <c r="E884" s="47"/>
      <c r="F884" s="47"/>
      <c r="G884" s="47"/>
      <c r="H884" s="47"/>
      <c r="I884" s="47"/>
      <c r="J884" s="47"/>
    </row>
    <row r="885">
      <c r="A885" s="65"/>
      <c r="B885" s="47"/>
      <c r="C885" s="47"/>
      <c r="D885" s="47"/>
      <c r="E885" s="47"/>
      <c r="F885" s="47"/>
      <c r="G885" s="47"/>
      <c r="H885" s="47"/>
      <c r="I885" s="47"/>
      <c r="J885" s="47"/>
    </row>
    <row r="886">
      <c r="A886" s="65"/>
      <c r="B886" s="47"/>
      <c r="C886" s="47"/>
      <c r="D886" s="47"/>
      <c r="E886" s="47"/>
      <c r="F886" s="47"/>
      <c r="G886" s="47"/>
      <c r="H886" s="47"/>
      <c r="I886" s="47"/>
      <c r="J886" s="47"/>
    </row>
    <row r="887">
      <c r="A887" s="65"/>
      <c r="B887" s="47"/>
      <c r="C887" s="47"/>
      <c r="D887" s="47"/>
      <c r="E887" s="47"/>
      <c r="F887" s="47"/>
      <c r="G887" s="47"/>
      <c r="H887" s="47"/>
      <c r="I887" s="47"/>
      <c r="J887" s="47"/>
    </row>
    <row r="888">
      <c r="A888" s="65"/>
      <c r="B888" s="47"/>
      <c r="C888" s="47"/>
      <c r="D888" s="47"/>
      <c r="E888" s="47"/>
      <c r="F888" s="47"/>
      <c r="G888" s="47"/>
      <c r="H888" s="47"/>
      <c r="I888" s="47"/>
      <c r="J888" s="47"/>
    </row>
    <row r="889">
      <c r="A889" s="65"/>
      <c r="B889" s="47"/>
      <c r="C889" s="47"/>
      <c r="D889" s="47"/>
      <c r="E889" s="47"/>
      <c r="F889" s="47"/>
      <c r="G889" s="47"/>
      <c r="H889" s="47"/>
      <c r="I889" s="47"/>
      <c r="J889" s="47"/>
    </row>
    <row r="890">
      <c r="A890" s="65"/>
      <c r="B890" s="47"/>
      <c r="C890" s="47"/>
      <c r="D890" s="47"/>
      <c r="E890" s="47"/>
      <c r="F890" s="47"/>
      <c r="G890" s="47"/>
      <c r="H890" s="47"/>
      <c r="I890" s="47"/>
      <c r="J890" s="47"/>
    </row>
    <row r="891">
      <c r="A891" s="65"/>
      <c r="B891" s="47"/>
      <c r="C891" s="47"/>
      <c r="D891" s="47"/>
      <c r="E891" s="47"/>
      <c r="F891" s="47"/>
      <c r="G891" s="47"/>
      <c r="H891" s="47"/>
      <c r="I891" s="47"/>
      <c r="J891" s="47"/>
    </row>
    <row r="892">
      <c r="A892" s="65"/>
      <c r="B892" s="47"/>
      <c r="C892" s="47"/>
      <c r="D892" s="47"/>
      <c r="E892" s="47"/>
      <c r="F892" s="47"/>
      <c r="G892" s="47"/>
      <c r="H892" s="47"/>
      <c r="I892" s="47"/>
      <c r="J892" s="47"/>
    </row>
    <row r="893">
      <c r="A893" s="65"/>
      <c r="B893" s="47"/>
      <c r="C893" s="47"/>
      <c r="D893" s="47"/>
      <c r="E893" s="47"/>
      <c r="F893" s="47"/>
      <c r="G893" s="47"/>
      <c r="H893" s="47"/>
      <c r="I893" s="47"/>
      <c r="J893" s="47"/>
    </row>
    <row r="894">
      <c r="A894" s="65"/>
      <c r="B894" s="47"/>
      <c r="C894" s="47"/>
      <c r="D894" s="47"/>
      <c r="E894" s="47"/>
      <c r="F894" s="47"/>
      <c r="G894" s="47"/>
      <c r="H894" s="47"/>
      <c r="I894" s="47"/>
      <c r="J894" s="47"/>
    </row>
    <row r="895">
      <c r="A895" s="65"/>
      <c r="B895" s="47"/>
      <c r="C895" s="47"/>
      <c r="D895" s="47"/>
      <c r="E895" s="47"/>
      <c r="F895" s="47"/>
      <c r="G895" s="47"/>
      <c r="H895" s="47"/>
      <c r="I895" s="47"/>
      <c r="J895" s="47"/>
    </row>
    <row r="896">
      <c r="A896" s="65"/>
      <c r="B896" s="47"/>
      <c r="C896" s="47"/>
      <c r="D896" s="47"/>
      <c r="E896" s="47"/>
      <c r="F896" s="47"/>
      <c r="G896" s="47"/>
      <c r="H896" s="47"/>
      <c r="I896" s="47"/>
      <c r="J896" s="47"/>
    </row>
    <row r="897">
      <c r="A897" s="65"/>
      <c r="B897" s="47"/>
      <c r="C897" s="47"/>
      <c r="D897" s="47"/>
      <c r="E897" s="47"/>
      <c r="F897" s="47"/>
      <c r="G897" s="47"/>
      <c r="H897" s="47"/>
      <c r="I897" s="47"/>
      <c r="J897" s="47"/>
    </row>
    <row r="898">
      <c r="A898" s="65"/>
      <c r="B898" s="47"/>
      <c r="C898" s="47"/>
      <c r="D898" s="47"/>
      <c r="E898" s="47"/>
      <c r="F898" s="47"/>
      <c r="G898" s="47"/>
      <c r="H898" s="47"/>
      <c r="I898" s="47"/>
      <c r="J898" s="47"/>
    </row>
    <row r="899">
      <c r="A899" s="65"/>
      <c r="B899" s="47"/>
      <c r="C899" s="47"/>
      <c r="D899" s="47"/>
      <c r="E899" s="47"/>
      <c r="F899" s="47"/>
      <c r="G899" s="47"/>
      <c r="H899" s="47"/>
      <c r="I899" s="47"/>
      <c r="J899" s="47"/>
    </row>
    <row r="900">
      <c r="A900" s="65"/>
      <c r="B900" s="47"/>
      <c r="C900" s="47"/>
      <c r="D900" s="47"/>
      <c r="E900" s="47"/>
      <c r="F900" s="47"/>
      <c r="G900" s="47"/>
      <c r="H900" s="47"/>
      <c r="I900" s="47"/>
      <c r="J900" s="47"/>
    </row>
    <row r="901">
      <c r="A901" s="65"/>
      <c r="B901" s="47"/>
      <c r="C901" s="47"/>
      <c r="D901" s="47"/>
      <c r="E901" s="47"/>
      <c r="F901" s="47"/>
      <c r="G901" s="47"/>
      <c r="H901" s="47"/>
      <c r="I901" s="47"/>
      <c r="J901" s="47"/>
    </row>
    <row r="902">
      <c r="A902" s="65"/>
      <c r="B902" s="47"/>
      <c r="C902" s="47"/>
      <c r="D902" s="47"/>
      <c r="E902" s="47"/>
      <c r="F902" s="47"/>
      <c r="G902" s="47"/>
      <c r="H902" s="47"/>
      <c r="I902" s="47"/>
      <c r="J902" s="47"/>
    </row>
    <row r="903">
      <c r="A903" s="65"/>
      <c r="B903" s="47"/>
      <c r="C903" s="47"/>
      <c r="D903" s="47"/>
      <c r="E903" s="47"/>
      <c r="F903" s="47"/>
      <c r="G903" s="47"/>
      <c r="H903" s="47"/>
      <c r="I903" s="47"/>
      <c r="J903" s="47"/>
    </row>
    <row r="904">
      <c r="A904" s="65"/>
      <c r="B904" s="47"/>
      <c r="C904" s="47"/>
      <c r="D904" s="47"/>
      <c r="E904" s="47"/>
      <c r="F904" s="47"/>
      <c r="G904" s="47"/>
      <c r="H904" s="47"/>
      <c r="I904" s="47"/>
      <c r="J904" s="47"/>
    </row>
    <row r="905">
      <c r="A905" s="65"/>
      <c r="B905" s="47"/>
      <c r="C905" s="47"/>
      <c r="D905" s="47"/>
      <c r="E905" s="47"/>
      <c r="F905" s="47"/>
      <c r="G905" s="47"/>
      <c r="H905" s="47"/>
      <c r="I905" s="47"/>
      <c r="J905" s="47"/>
    </row>
    <row r="906">
      <c r="A906" s="65"/>
      <c r="B906" s="47"/>
      <c r="C906" s="47"/>
      <c r="D906" s="47"/>
      <c r="E906" s="47"/>
      <c r="F906" s="47"/>
      <c r="G906" s="47"/>
      <c r="H906" s="47"/>
      <c r="I906" s="47"/>
      <c r="J906" s="47"/>
    </row>
    <row r="907">
      <c r="A907" s="65"/>
      <c r="B907" s="47"/>
      <c r="C907" s="47"/>
      <c r="D907" s="47"/>
      <c r="E907" s="47"/>
      <c r="F907" s="47"/>
      <c r="G907" s="47"/>
      <c r="H907" s="47"/>
      <c r="I907" s="47"/>
      <c r="J907" s="47"/>
    </row>
    <row r="908">
      <c r="A908" s="65"/>
      <c r="B908" s="47"/>
      <c r="C908" s="47"/>
      <c r="D908" s="47"/>
      <c r="E908" s="47"/>
      <c r="F908" s="47"/>
      <c r="G908" s="47"/>
      <c r="H908" s="47"/>
      <c r="I908" s="47"/>
      <c r="J908" s="47"/>
    </row>
    <row r="909">
      <c r="A909" s="65"/>
      <c r="B909" s="47"/>
      <c r="C909" s="47"/>
      <c r="D909" s="47"/>
      <c r="E909" s="47"/>
      <c r="F909" s="47"/>
      <c r="G909" s="47"/>
      <c r="H909" s="47"/>
      <c r="I909" s="47"/>
      <c r="J909" s="47"/>
    </row>
    <row r="910">
      <c r="A910" s="65"/>
      <c r="B910" s="47"/>
      <c r="C910" s="47"/>
      <c r="D910" s="47"/>
      <c r="E910" s="47"/>
      <c r="F910" s="47"/>
      <c r="G910" s="47"/>
      <c r="H910" s="47"/>
      <c r="I910" s="47"/>
      <c r="J910" s="47"/>
    </row>
    <row r="911">
      <c r="A911" s="65"/>
      <c r="B911" s="47"/>
      <c r="C911" s="47"/>
      <c r="D911" s="47"/>
      <c r="E911" s="47"/>
      <c r="F911" s="47"/>
      <c r="G911" s="47"/>
      <c r="H911" s="47"/>
      <c r="I911" s="47"/>
      <c r="J911" s="47"/>
    </row>
    <row r="912">
      <c r="A912" s="65"/>
      <c r="B912" s="47"/>
      <c r="C912" s="47"/>
      <c r="D912" s="47"/>
      <c r="E912" s="47"/>
      <c r="F912" s="47"/>
      <c r="G912" s="47"/>
      <c r="H912" s="47"/>
      <c r="I912" s="47"/>
      <c r="J912" s="47"/>
    </row>
    <row r="913">
      <c r="A913" s="65"/>
      <c r="B913" s="47"/>
      <c r="C913" s="47"/>
      <c r="D913" s="47"/>
      <c r="E913" s="47"/>
      <c r="F913" s="47"/>
      <c r="G913" s="47"/>
      <c r="H913" s="47"/>
      <c r="I913" s="47"/>
      <c r="J913" s="47"/>
    </row>
    <row r="914">
      <c r="A914" s="65"/>
      <c r="B914" s="47"/>
      <c r="C914" s="47"/>
      <c r="D914" s="47"/>
      <c r="E914" s="47"/>
      <c r="F914" s="47"/>
      <c r="G914" s="47"/>
      <c r="H914" s="47"/>
      <c r="I914" s="47"/>
      <c r="J914" s="47"/>
    </row>
    <row r="915">
      <c r="A915" s="65"/>
      <c r="B915" s="47"/>
      <c r="C915" s="47"/>
      <c r="D915" s="47"/>
      <c r="E915" s="47"/>
      <c r="F915" s="47"/>
      <c r="G915" s="47"/>
      <c r="H915" s="47"/>
      <c r="I915" s="47"/>
      <c r="J915" s="47"/>
    </row>
    <row r="916">
      <c r="A916" s="65"/>
      <c r="B916" s="47"/>
      <c r="C916" s="47"/>
      <c r="D916" s="47"/>
      <c r="E916" s="47"/>
      <c r="F916" s="47"/>
      <c r="G916" s="47"/>
      <c r="H916" s="47"/>
      <c r="I916" s="47"/>
      <c r="J916" s="47"/>
    </row>
    <row r="917">
      <c r="A917" s="65"/>
      <c r="B917" s="47"/>
      <c r="C917" s="47"/>
      <c r="D917" s="47"/>
      <c r="E917" s="47"/>
      <c r="F917" s="47"/>
      <c r="G917" s="47"/>
      <c r="H917" s="47"/>
      <c r="I917" s="47"/>
      <c r="J917" s="47"/>
    </row>
    <row r="918">
      <c r="A918" s="65"/>
      <c r="B918" s="47"/>
      <c r="C918" s="47"/>
      <c r="D918" s="47"/>
      <c r="E918" s="47"/>
      <c r="F918" s="47"/>
      <c r="G918" s="47"/>
      <c r="H918" s="47"/>
      <c r="I918" s="47"/>
      <c r="J918" s="47"/>
    </row>
    <row r="919">
      <c r="A919" s="65"/>
      <c r="B919" s="47"/>
      <c r="C919" s="47"/>
      <c r="D919" s="47"/>
      <c r="E919" s="47"/>
      <c r="F919" s="47"/>
      <c r="G919" s="47"/>
      <c r="H919" s="47"/>
      <c r="I919" s="47"/>
      <c r="J919" s="47"/>
    </row>
    <row r="920">
      <c r="A920" s="65"/>
      <c r="B920" s="47"/>
      <c r="C920" s="47"/>
      <c r="D920" s="47"/>
      <c r="E920" s="47"/>
      <c r="F920" s="47"/>
      <c r="G920" s="47"/>
      <c r="H920" s="47"/>
      <c r="I920" s="47"/>
      <c r="J920" s="47"/>
    </row>
    <row r="921">
      <c r="A921" s="65"/>
      <c r="B921" s="47"/>
      <c r="C921" s="47"/>
      <c r="D921" s="47"/>
      <c r="E921" s="47"/>
      <c r="F921" s="47"/>
      <c r="G921" s="47"/>
      <c r="H921" s="47"/>
      <c r="I921" s="47"/>
      <c r="J921" s="47"/>
    </row>
    <row r="922">
      <c r="A922" s="65"/>
      <c r="B922" s="47"/>
      <c r="C922" s="47"/>
      <c r="D922" s="47"/>
      <c r="E922" s="47"/>
      <c r="F922" s="47"/>
      <c r="G922" s="47"/>
      <c r="H922" s="47"/>
      <c r="I922" s="47"/>
      <c r="J922" s="47"/>
    </row>
    <row r="923">
      <c r="A923" s="65"/>
      <c r="B923" s="47"/>
      <c r="C923" s="47"/>
      <c r="D923" s="47"/>
      <c r="E923" s="47"/>
      <c r="F923" s="47"/>
      <c r="G923" s="47"/>
      <c r="H923" s="47"/>
      <c r="I923" s="47"/>
      <c r="J923" s="47"/>
    </row>
    <row r="924">
      <c r="A924" s="65"/>
      <c r="B924" s="47"/>
      <c r="C924" s="47"/>
      <c r="D924" s="47"/>
      <c r="E924" s="47"/>
      <c r="F924" s="47"/>
      <c r="G924" s="47"/>
      <c r="H924" s="47"/>
      <c r="I924" s="47"/>
      <c r="J924" s="47"/>
    </row>
    <row r="925">
      <c r="A925" s="65"/>
      <c r="B925" s="47"/>
      <c r="C925" s="47"/>
      <c r="D925" s="47"/>
      <c r="E925" s="47"/>
      <c r="F925" s="47"/>
      <c r="G925" s="47"/>
      <c r="H925" s="47"/>
      <c r="I925" s="47"/>
      <c r="J925" s="47"/>
    </row>
    <row r="926">
      <c r="A926" s="65"/>
      <c r="B926" s="47"/>
      <c r="C926" s="47"/>
      <c r="D926" s="47"/>
      <c r="E926" s="47"/>
      <c r="F926" s="47"/>
      <c r="G926" s="47"/>
      <c r="H926" s="47"/>
      <c r="I926" s="47"/>
      <c r="J926" s="47"/>
    </row>
    <row r="927">
      <c r="A927" s="65"/>
      <c r="B927" s="47"/>
      <c r="C927" s="47"/>
      <c r="D927" s="47"/>
      <c r="E927" s="47"/>
      <c r="F927" s="47"/>
      <c r="G927" s="47"/>
      <c r="H927" s="47"/>
      <c r="I927" s="47"/>
      <c r="J927" s="47"/>
    </row>
    <row r="928">
      <c r="A928" s="65"/>
      <c r="B928" s="47"/>
      <c r="C928" s="47"/>
      <c r="D928" s="47"/>
      <c r="E928" s="47"/>
      <c r="F928" s="47"/>
      <c r="G928" s="47"/>
      <c r="H928" s="47"/>
      <c r="I928" s="47"/>
      <c r="J928" s="47"/>
    </row>
    <row r="929">
      <c r="A929" s="65"/>
      <c r="B929" s="47"/>
      <c r="C929" s="47"/>
      <c r="D929" s="47"/>
      <c r="E929" s="47"/>
      <c r="F929" s="47"/>
      <c r="G929" s="47"/>
      <c r="H929" s="47"/>
      <c r="I929" s="47"/>
      <c r="J929" s="47"/>
    </row>
    <row r="930">
      <c r="A930" s="65"/>
      <c r="B930" s="47"/>
      <c r="C930" s="47"/>
      <c r="D930" s="47"/>
      <c r="E930" s="47"/>
      <c r="F930" s="47"/>
      <c r="G930" s="47"/>
      <c r="H930" s="47"/>
      <c r="I930" s="47"/>
      <c r="J930" s="47"/>
    </row>
    <row r="931">
      <c r="A931" s="65"/>
      <c r="B931" s="47"/>
      <c r="C931" s="47"/>
      <c r="D931" s="47"/>
      <c r="E931" s="47"/>
      <c r="F931" s="47"/>
      <c r="G931" s="47"/>
      <c r="H931" s="47"/>
      <c r="I931" s="47"/>
      <c r="J931" s="47"/>
    </row>
    <row r="932">
      <c r="A932" s="65"/>
      <c r="B932" s="47"/>
      <c r="C932" s="47"/>
      <c r="D932" s="47"/>
      <c r="E932" s="47"/>
      <c r="F932" s="47"/>
      <c r="G932" s="47"/>
      <c r="H932" s="47"/>
      <c r="I932" s="47"/>
      <c r="J932" s="47"/>
    </row>
    <row r="933">
      <c r="A933" s="65"/>
      <c r="B933" s="47"/>
      <c r="C933" s="47"/>
      <c r="D933" s="47"/>
      <c r="E933" s="47"/>
      <c r="F933" s="47"/>
      <c r="G933" s="47"/>
      <c r="H933" s="47"/>
      <c r="I933" s="47"/>
      <c r="J933" s="47"/>
    </row>
    <row r="934">
      <c r="A934" s="65"/>
      <c r="B934" s="47"/>
      <c r="C934" s="47"/>
      <c r="D934" s="47"/>
      <c r="E934" s="47"/>
      <c r="F934" s="47"/>
      <c r="G934" s="47"/>
      <c r="H934" s="47"/>
      <c r="I934" s="47"/>
      <c r="J934" s="47"/>
    </row>
    <row r="935">
      <c r="A935" s="65"/>
      <c r="B935" s="47"/>
      <c r="C935" s="47"/>
      <c r="D935" s="47"/>
      <c r="E935" s="47"/>
      <c r="F935" s="47"/>
      <c r="G935" s="47"/>
      <c r="H935" s="47"/>
      <c r="I935" s="47"/>
      <c r="J935" s="47"/>
    </row>
    <row r="936">
      <c r="A936" s="65"/>
      <c r="B936" s="47"/>
      <c r="C936" s="47"/>
      <c r="D936" s="47"/>
      <c r="E936" s="47"/>
      <c r="F936" s="47"/>
      <c r="G936" s="47"/>
      <c r="H936" s="47"/>
      <c r="I936" s="47"/>
      <c r="J936" s="47"/>
    </row>
    <row r="937">
      <c r="A937" s="65"/>
      <c r="B937" s="47"/>
      <c r="C937" s="47"/>
      <c r="D937" s="47"/>
      <c r="E937" s="47"/>
      <c r="F937" s="47"/>
      <c r="G937" s="47"/>
      <c r="H937" s="47"/>
      <c r="I937" s="47"/>
      <c r="J937" s="47"/>
    </row>
    <row r="938">
      <c r="A938" s="65"/>
      <c r="B938" s="47"/>
      <c r="C938" s="47"/>
      <c r="D938" s="47"/>
      <c r="E938" s="47"/>
      <c r="F938" s="47"/>
      <c r="G938" s="47"/>
      <c r="H938" s="47"/>
      <c r="I938" s="47"/>
      <c r="J938" s="47"/>
    </row>
    <row r="939">
      <c r="A939" s="65"/>
      <c r="B939" s="47"/>
      <c r="C939" s="47"/>
      <c r="D939" s="47"/>
      <c r="E939" s="47"/>
      <c r="F939" s="47"/>
      <c r="G939" s="47"/>
      <c r="H939" s="47"/>
      <c r="I939" s="47"/>
      <c r="J939" s="47"/>
    </row>
    <row r="940">
      <c r="A940" s="65"/>
      <c r="B940" s="47"/>
      <c r="C940" s="47"/>
      <c r="D940" s="47"/>
      <c r="E940" s="47"/>
      <c r="F940" s="47"/>
      <c r="G940" s="47"/>
      <c r="H940" s="47"/>
      <c r="I940" s="47"/>
      <c r="J940" s="47"/>
    </row>
    <row r="941">
      <c r="A941" s="65"/>
      <c r="B941" s="47"/>
      <c r="C941" s="47"/>
      <c r="D941" s="47"/>
      <c r="E941" s="47"/>
      <c r="F941" s="47"/>
      <c r="G941" s="47"/>
      <c r="H941" s="47"/>
      <c r="I941" s="47"/>
      <c r="J941" s="47"/>
    </row>
    <row r="942">
      <c r="A942" s="65"/>
      <c r="B942" s="47"/>
      <c r="C942" s="47"/>
      <c r="D942" s="47"/>
      <c r="E942" s="47"/>
      <c r="F942" s="47"/>
      <c r="G942" s="47"/>
      <c r="H942" s="47"/>
      <c r="I942" s="47"/>
      <c r="J942" s="47"/>
    </row>
    <row r="943">
      <c r="A943" s="65"/>
      <c r="B943" s="47"/>
      <c r="C943" s="47"/>
      <c r="D943" s="47"/>
      <c r="E943" s="47"/>
      <c r="F943" s="47"/>
      <c r="G943" s="47"/>
      <c r="H943" s="47"/>
      <c r="I943" s="47"/>
      <c r="J943" s="47"/>
    </row>
    <row r="944">
      <c r="A944" s="65"/>
      <c r="B944" s="47"/>
      <c r="C944" s="47"/>
      <c r="D944" s="47"/>
      <c r="E944" s="47"/>
      <c r="F944" s="47"/>
      <c r="G944" s="47"/>
      <c r="H944" s="47"/>
      <c r="I944" s="47"/>
      <c r="J944" s="47"/>
    </row>
    <row r="945">
      <c r="A945" s="65"/>
      <c r="B945" s="47"/>
      <c r="C945" s="47"/>
      <c r="D945" s="47"/>
      <c r="E945" s="47"/>
      <c r="F945" s="47"/>
      <c r="G945" s="47"/>
      <c r="H945" s="47"/>
      <c r="I945" s="47"/>
      <c r="J945" s="47"/>
    </row>
    <row r="946">
      <c r="A946" s="65"/>
      <c r="B946" s="47"/>
      <c r="C946" s="47"/>
      <c r="D946" s="47"/>
      <c r="E946" s="47"/>
      <c r="F946" s="47"/>
      <c r="G946" s="47"/>
      <c r="H946" s="47"/>
      <c r="I946" s="47"/>
      <c r="J946" s="47"/>
    </row>
    <row r="947">
      <c r="A947" s="65"/>
      <c r="B947" s="47"/>
      <c r="C947" s="47"/>
      <c r="D947" s="47"/>
      <c r="E947" s="47"/>
      <c r="F947" s="47"/>
      <c r="G947" s="47"/>
      <c r="H947" s="47"/>
      <c r="I947" s="47"/>
      <c r="J947" s="47"/>
    </row>
    <row r="948">
      <c r="A948" s="65"/>
      <c r="B948" s="47"/>
      <c r="C948" s="47"/>
      <c r="D948" s="47"/>
      <c r="E948" s="47"/>
      <c r="F948" s="47"/>
      <c r="G948" s="47"/>
      <c r="H948" s="47"/>
      <c r="I948" s="47"/>
      <c r="J948" s="47"/>
    </row>
    <row r="949">
      <c r="A949" s="65"/>
      <c r="B949" s="47"/>
      <c r="C949" s="47"/>
      <c r="D949" s="47"/>
      <c r="E949" s="47"/>
      <c r="F949" s="47"/>
      <c r="G949" s="47"/>
      <c r="H949" s="47"/>
      <c r="I949" s="47"/>
      <c r="J949" s="47"/>
    </row>
    <row r="950">
      <c r="A950" s="65"/>
      <c r="B950" s="47"/>
      <c r="C950" s="47"/>
      <c r="D950" s="47"/>
      <c r="E950" s="47"/>
      <c r="F950" s="47"/>
      <c r="G950" s="47"/>
      <c r="H950" s="47"/>
      <c r="I950" s="47"/>
      <c r="J950" s="47"/>
    </row>
    <row r="951">
      <c r="A951" s="65"/>
      <c r="B951" s="47"/>
      <c r="C951" s="47"/>
      <c r="D951" s="47"/>
      <c r="E951" s="47"/>
      <c r="F951" s="47"/>
      <c r="G951" s="47"/>
      <c r="H951" s="47"/>
      <c r="I951" s="47"/>
      <c r="J951" s="47"/>
    </row>
    <row r="952">
      <c r="A952" s="65"/>
      <c r="B952" s="47"/>
      <c r="C952" s="47"/>
      <c r="D952" s="47"/>
      <c r="E952" s="47"/>
      <c r="F952" s="47"/>
      <c r="G952" s="47"/>
      <c r="H952" s="47"/>
      <c r="I952" s="47"/>
      <c r="J952" s="47"/>
    </row>
    <row r="953">
      <c r="A953" s="65"/>
      <c r="B953" s="47"/>
      <c r="C953" s="47"/>
      <c r="D953" s="47"/>
      <c r="E953" s="47"/>
      <c r="F953" s="47"/>
      <c r="G953" s="47"/>
      <c r="H953" s="47"/>
      <c r="I953" s="47"/>
      <c r="J953" s="47"/>
    </row>
    <row r="954">
      <c r="A954" s="65"/>
      <c r="B954" s="47"/>
      <c r="C954" s="47"/>
      <c r="D954" s="47"/>
      <c r="E954" s="47"/>
      <c r="F954" s="47"/>
      <c r="G954" s="47"/>
      <c r="H954" s="47"/>
      <c r="I954" s="47"/>
      <c r="J954" s="47"/>
    </row>
    <row r="955">
      <c r="A955" s="65"/>
      <c r="B955" s="47"/>
      <c r="C955" s="47"/>
      <c r="D955" s="47"/>
      <c r="E955" s="47"/>
      <c r="F955" s="47"/>
      <c r="G955" s="47"/>
      <c r="H955" s="47"/>
      <c r="I955" s="47"/>
      <c r="J955" s="47"/>
    </row>
    <row r="956">
      <c r="A956" s="65"/>
      <c r="B956" s="47"/>
      <c r="C956" s="47"/>
      <c r="D956" s="47"/>
      <c r="E956" s="47"/>
      <c r="F956" s="47"/>
      <c r="G956" s="47"/>
      <c r="H956" s="47"/>
      <c r="I956" s="47"/>
      <c r="J956" s="47"/>
    </row>
    <row r="957">
      <c r="A957" s="65"/>
      <c r="B957" s="47"/>
      <c r="C957" s="47"/>
      <c r="D957" s="47"/>
      <c r="E957" s="47"/>
      <c r="F957" s="47"/>
      <c r="G957" s="47"/>
      <c r="H957" s="47"/>
      <c r="I957" s="47"/>
      <c r="J957" s="47"/>
    </row>
    <row r="958">
      <c r="A958" s="65"/>
      <c r="B958" s="47"/>
      <c r="C958" s="47"/>
      <c r="D958" s="47"/>
      <c r="E958" s="47"/>
      <c r="F958" s="47"/>
      <c r="G958" s="47"/>
      <c r="H958" s="47"/>
      <c r="I958" s="47"/>
      <c r="J958" s="47"/>
    </row>
    <row r="959">
      <c r="A959" s="65"/>
      <c r="B959" s="47"/>
      <c r="C959" s="47"/>
      <c r="D959" s="47"/>
      <c r="E959" s="47"/>
      <c r="F959" s="47"/>
      <c r="G959" s="47"/>
      <c r="H959" s="47"/>
      <c r="I959" s="47"/>
      <c r="J959" s="47"/>
    </row>
    <row r="960">
      <c r="A960" s="65"/>
      <c r="B960" s="47"/>
      <c r="C960" s="47"/>
      <c r="D960" s="47"/>
      <c r="E960" s="47"/>
      <c r="F960" s="47"/>
      <c r="G960" s="47"/>
      <c r="H960" s="47"/>
      <c r="I960" s="47"/>
      <c r="J960" s="47"/>
    </row>
    <row r="961">
      <c r="A961" s="65"/>
      <c r="B961" s="47"/>
      <c r="C961" s="47"/>
      <c r="D961" s="47"/>
      <c r="E961" s="47"/>
      <c r="F961" s="47"/>
      <c r="G961" s="47"/>
      <c r="H961" s="47"/>
      <c r="I961" s="47"/>
      <c r="J961" s="47"/>
    </row>
    <row r="962">
      <c r="A962" s="65"/>
      <c r="B962" s="47"/>
      <c r="C962" s="47"/>
      <c r="D962" s="47"/>
      <c r="E962" s="47"/>
      <c r="F962" s="47"/>
      <c r="G962" s="47"/>
      <c r="H962" s="47"/>
      <c r="I962" s="47"/>
      <c r="J962" s="47"/>
    </row>
    <row r="963">
      <c r="A963" s="65"/>
      <c r="B963" s="47"/>
      <c r="C963" s="47"/>
      <c r="D963" s="47"/>
      <c r="E963" s="47"/>
      <c r="F963" s="47"/>
      <c r="G963" s="47"/>
      <c r="H963" s="47"/>
      <c r="I963" s="47"/>
      <c r="J963" s="47"/>
    </row>
    <row r="964">
      <c r="A964" s="65"/>
      <c r="B964" s="47"/>
      <c r="C964" s="47"/>
      <c r="D964" s="47"/>
      <c r="E964" s="47"/>
      <c r="F964" s="47"/>
      <c r="G964" s="47"/>
      <c r="H964" s="47"/>
      <c r="I964" s="47"/>
      <c r="J964" s="47"/>
    </row>
    <row r="965">
      <c r="A965" s="65"/>
      <c r="B965" s="47"/>
      <c r="C965" s="47"/>
      <c r="D965" s="47"/>
      <c r="E965" s="47"/>
      <c r="F965" s="47"/>
      <c r="G965" s="47"/>
      <c r="H965" s="47"/>
      <c r="I965" s="47"/>
      <c r="J965" s="47"/>
    </row>
    <row r="966">
      <c r="A966" s="65"/>
      <c r="B966" s="47"/>
      <c r="C966" s="47"/>
      <c r="D966" s="47"/>
      <c r="E966" s="47"/>
      <c r="F966" s="47"/>
      <c r="G966" s="47"/>
      <c r="H966" s="47"/>
      <c r="I966" s="47"/>
      <c r="J966" s="47"/>
    </row>
    <row r="967">
      <c r="A967" s="65"/>
      <c r="B967" s="47"/>
      <c r="C967" s="47"/>
      <c r="D967" s="47"/>
      <c r="E967" s="47"/>
      <c r="F967" s="47"/>
      <c r="G967" s="47"/>
      <c r="H967" s="47"/>
      <c r="I967" s="47"/>
      <c r="J967" s="47"/>
    </row>
    <row r="968">
      <c r="A968" s="65"/>
      <c r="B968" s="47"/>
      <c r="C968" s="47"/>
      <c r="D968" s="47"/>
      <c r="E968" s="47"/>
      <c r="F968" s="47"/>
      <c r="G968" s="47"/>
      <c r="H968" s="47"/>
      <c r="I968" s="47"/>
      <c r="J968" s="47"/>
    </row>
    <row r="969">
      <c r="A969" s="65"/>
      <c r="B969" s="47"/>
      <c r="C969" s="47"/>
      <c r="D969" s="47"/>
      <c r="E969" s="47"/>
      <c r="F969" s="47"/>
      <c r="G969" s="47"/>
      <c r="H969" s="47"/>
      <c r="I969" s="47"/>
      <c r="J969" s="47"/>
    </row>
    <row r="970">
      <c r="A970" s="65"/>
      <c r="B970" s="47"/>
      <c r="C970" s="47"/>
      <c r="D970" s="47"/>
      <c r="E970" s="47"/>
      <c r="F970" s="47"/>
      <c r="G970" s="47"/>
      <c r="H970" s="47"/>
      <c r="I970" s="47"/>
      <c r="J970" s="47"/>
    </row>
    <row r="971">
      <c r="A971" s="65"/>
      <c r="B971" s="47"/>
      <c r="C971" s="47"/>
      <c r="D971" s="47"/>
      <c r="E971" s="47"/>
      <c r="F971" s="47"/>
      <c r="G971" s="47"/>
      <c r="H971" s="47"/>
      <c r="I971" s="47"/>
      <c r="J971" s="47"/>
    </row>
    <row r="972">
      <c r="A972" s="65"/>
      <c r="B972" s="47"/>
      <c r="C972" s="47"/>
      <c r="D972" s="47"/>
      <c r="E972" s="47"/>
      <c r="F972" s="47"/>
      <c r="G972" s="47"/>
      <c r="H972" s="47"/>
      <c r="I972" s="47"/>
      <c r="J972" s="47"/>
    </row>
    <row r="973">
      <c r="A973" s="65"/>
      <c r="B973" s="47"/>
      <c r="C973" s="47"/>
      <c r="D973" s="47"/>
      <c r="E973" s="47"/>
      <c r="F973" s="47"/>
      <c r="G973" s="47"/>
      <c r="H973" s="47"/>
      <c r="I973" s="47"/>
      <c r="J973" s="47"/>
    </row>
    <row r="974">
      <c r="A974" s="65"/>
      <c r="B974" s="47"/>
      <c r="C974" s="47"/>
      <c r="D974" s="47"/>
      <c r="E974" s="47"/>
      <c r="F974" s="47"/>
      <c r="G974" s="47"/>
      <c r="H974" s="47"/>
      <c r="I974" s="47"/>
      <c r="J974" s="47"/>
    </row>
    <row r="975">
      <c r="A975" s="65"/>
      <c r="B975" s="47"/>
      <c r="C975" s="47"/>
      <c r="D975" s="47"/>
      <c r="E975" s="47"/>
      <c r="F975" s="47"/>
      <c r="G975" s="47"/>
      <c r="H975" s="47"/>
      <c r="I975" s="47"/>
      <c r="J975" s="47"/>
    </row>
    <row r="976">
      <c r="A976" s="65"/>
      <c r="B976" s="47"/>
      <c r="C976" s="47"/>
      <c r="D976" s="47"/>
      <c r="E976" s="47"/>
      <c r="F976" s="47"/>
      <c r="G976" s="47"/>
      <c r="H976" s="47"/>
      <c r="I976" s="47"/>
      <c r="J976" s="47"/>
    </row>
    <row r="977">
      <c r="A977" s="65"/>
      <c r="B977" s="47"/>
      <c r="C977" s="47"/>
      <c r="D977" s="47"/>
      <c r="E977" s="47"/>
      <c r="F977" s="47"/>
      <c r="G977" s="47"/>
      <c r="H977" s="47"/>
      <c r="I977" s="47"/>
      <c r="J977" s="47"/>
    </row>
    <row r="978">
      <c r="A978" s="65"/>
      <c r="B978" s="47"/>
      <c r="C978" s="47"/>
      <c r="D978" s="47"/>
      <c r="E978" s="47"/>
      <c r="F978" s="47"/>
      <c r="G978" s="47"/>
      <c r="H978" s="47"/>
      <c r="I978" s="47"/>
      <c r="J978" s="47"/>
    </row>
    <row r="979">
      <c r="A979" s="65"/>
      <c r="B979" s="47"/>
      <c r="C979" s="47"/>
      <c r="D979" s="47"/>
      <c r="E979" s="47"/>
      <c r="F979" s="47"/>
      <c r="G979" s="47"/>
      <c r="H979" s="47"/>
      <c r="I979" s="47"/>
      <c r="J979" s="47"/>
    </row>
    <row r="980">
      <c r="A980" s="65"/>
      <c r="B980" s="47"/>
      <c r="C980" s="47"/>
      <c r="D980" s="47"/>
      <c r="E980" s="47"/>
      <c r="F980" s="47"/>
      <c r="G980" s="47"/>
      <c r="H980" s="47"/>
      <c r="I980" s="47"/>
      <c r="J980" s="47"/>
    </row>
    <row r="981">
      <c r="A981" s="65"/>
      <c r="B981" s="47"/>
      <c r="C981" s="47"/>
      <c r="D981" s="47"/>
      <c r="E981" s="47"/>
      <c r="F981" s="47"/>
      <c r="G981" s="47"/>
      <c r="H981" s="47"/>
      <c r="I981" s="47"/>
      <c r="J981" s="47"/>
    </row>
    <row r="982">
      <c r="A982" s="65"/>
      <c r="B982" s="47"/>
      <c r="C982" s="47"/>
      <c r="D982" s="47"/>
      <c r="E982" s="47"/>
      <c r="F982" s="47"/>
      <c r="G982" s="47"/>
      <c r="H982" s="47"/>
      <c r="I982" s="47"/>
      <c r="J982" s="47"/>
    </row>
    <row r="983">
      <c r="A983" s="65"/>
      <c r="B983" s="47"/>
      <c r="C983" s="47"/>
      <c r="D983" s="47"/>
      <c r="E983" s="47"/>
      <c r="F983" s="47"/>
      <c r="G983" s="47"/>
      <c r="H983" s="47"/>
      <c r="I983" s="47"/>
      <c r="J983" s="47"/>
    </row>
    <row r="984">
      <c r="A984" s="65"/>
      <c r="B984" s="47"/>
      <c r="C984" s="47"/>
      <c r="D984" s="47"/>
      <c r="E984" s="47"/>
      <c r="F984" s="47"/>
      <c r="G984" s="47"/>
      <c r="H984" s="47"/>
      <c r="I984" s="47"/>
      <c r="J984" s="47"/>
    </row>
    <row r="985">
      <c r="A985" s="65"/>
      <c r="B985" s="47"/>
      <c r="C985" s="47"/>
      <c r="D985" s="47"/>
      <c r="E985" s="47"/>
      <c r="F985" s="47"/>
      <c r="G985" s="47"/>
      <c r="H985" s="47"/>
      <c r="I985" s="47"/>
      <c r="J985" s="47"/>
    </row>
    <row r="986">
      <c r="A986" s="65"/>
      <c r="B986" s="47"/>
      <c r="C986" s="47"/>
      <c r="D986" s="47"/>
      <c r="E986" s="47"/>
      <c r="F986" s="47"/>
      <c r="G986" s="47"/>
      <c r="H986" s="47"/>
      <c r="I986" s="47"/>
      <c r="J986" s="47"/>
    </row>
    <row r="987">
      <c r="A987" s="65"/>
      <c r="B987" s="47"/>
      <c r="C987" s="47"/>
      <c r="D987" s="47"/>
      <c r="E987" s="47"/>
      <c r="F987" s="47"/>
      <c r="G987" s="47"/>
      <c r="H987" s="47"/>
      <c r="I987" s="47"/>
      <c r="J987" s="47"/>
    </row>
    <row r="988">
      <c r="A988" s="65"/>
      <c r="B988" s="47"/>
      <c r="C988" s="47"/>
      <c r="D988" s="47"/>
      <c r="E988" s="47"/>
      <c r="F988" s="47"/>
      <c r="G988" s="47"/>
      <c r="H988" s="47"/>
      <c r="I988" s="47"/>
      <c r="J988" s="47"/>
    </row>
    <row r="989">
      <c r="A989" s="65"/>
      <c r="B989" s="47"/>
      <c r="C989" s="47"/>
      <c r="D989" s="47"/>
      <c r="E989" s="47"/>
      <c r="F989" s="47"/>
      <c r="G989" s="47"/>
      <c r="H989" s="47"/>
      <c r="I989" s="47"/>
      <c r="J989" s="47"/>
    </row>
    <row r="990">
      <c r="A990" s="65"/>
      <c r="B990" s="47"/>
      <c r="C990" s="47"/>
      <c r="D990" s="47"/>
      <c r="E990" s="47"/>
      <c r="F990" s="47"/>
      <c r="G990" s="47"/>
      <c r="H990" s="47"/>
      <c r="I990" s="47"/>
      <c r="J990" s="47"/>
    </row>
    <row r="991">
      <c r="A991" s="65"/>
      <c r="B991" s="47"/>
      <c r="C991" s="47"/>
      <c r="D991" s="47"/>
      <c r="E991" s="47"/>
      <c r="F991" s="47"/>
      <c r="G991" s="47"/>
      <c r="H991" s="47"/>
      <c r="I991" s="47"/>
      <c r="J991" s="47"/>
    </row>
    <row r="992">
      <c r="A992" s="65"/>
      <c r="B992" s="47"/>
      <c r="C992" s="47"/>
      <c r="D992" s="47"/>
      <c r="E992" s="47"/>
      <c r="F992" s="47"/>
      <c r="G992" s="47"/>
      <c r="H992" s="47"/>
      <c r="I992" s="47"/>
      <c r="J992" s="47"/>
    </row>
    <row r="993">
      <c r="A993" s="65"/>
      <c r="B993" s="47"/>
      <c r="C993" s="47"/>
      <c r="D993" s="47"/>
      <c r="E993" s="47"/>
      <c r="F993" s="47"/>
      <c r="G993" s="47"/>
      <c r="H993" s="47"/>
      <c r="I993" s="47"/>
      <c r="J993" s="47"/>
    </row>
    <row r="994">
      <c r="A994" s="65"/>
      <c r="B994" s="47"/>
      <c r="C994" s="47"/>
      <c r="D994" s="47"/>
      <c r="E994" s="47"/>
      <c r="F994" s="47"/>
      <c r="G994" s="47"/>
      <c r="H994" s="47"/>
      <c r="I994" s="47"/>
      <c r="J994" s="47"/>
    </row>
    <row r="995">
      <c r="A995" s="65"/>
      <c r="B995" s="47"/>
      <c r="C995" s="47"/>
      <c r="D995" s="47"/>
      <c r="E995" s="47"/>
      <c r="F995" s="47"/>
      <c r="G995" s="47"/>
      <c r="H995" s="47"/>
      <c r="I995" s="47"/>
      <c r="J995" s="47"/>
    </row>
    <row r="996">
      <c r="A996" s="65"/>
      <c r="B996" s="47"/>
      <c r="C996" s="47"/>
      <c r="D996" s="47"/>
      <c r="E996" s="47"/>
      <c r="F996" s="47"/>
      <c r="G996" s="47"/>
      <c r="H996" s="47"/>
      <c r="I996" s="47"/>
      <c r="J996" s="47"/>
    </row>
    <row r="997">
      <c r="A997" s="65"/>
      <c r="B997" s="47"/>
      <c r="C997" s="47"/>
      <c r="D997" s="47"/>
      <c r="E997" s="47"/>
      <c r="F997" s="47"/>
      <c r="G997" s="47"/>
      <c r="H997" s="47"/>
      <c r="I997" s="47"/>
      <c r="J997" s="47"/>
    </row>
    <row r="998">
      <c r="A998" s="65"/>
      <c r="B998" s="47"/>
      <c r="C998" s="47"/>
      <c r="D998" s="47"/>
      <c r="E998" s="47"/>
      <c r="F998" s="47"/>
      <c r="G998" s="47"/>
      <c r="H998" s="47"/>
      <c r="I998" s="47"/>
      <c r="J998" s="47"/>
    </row>
    <row r="999">
      <c r="A999" s="65"/>
      <c r="B999" s="47"/>
      <c r="C999" s="47"/>
      <c r="D999" s="47"/>
      <c r="E999" s="47"/>
      <c r="F999" s="47"/>
      <c r="G999" s="47"/>
      <c r="H999" s="47"/>
      <c r="I999" s="47"/>
      <c r="J999" s="47"/>
    </row>
    <row r="1000">
      <c r="A1000" s="65"/>
      <c r="B1000" s="47"/>
      <c r="C1000" s="47"/>
      <c r="D1000" s="47"/>
      <c r="E1000" s="47"/>
      <c r="F1000" s="47"/>
      <c r="G1000" s="47"/>
      <c r="H1000" s="47"/>
      <c r="I1000" s="47"/>
      <c r="J1000" s="47"/>
    </row>
    <row r="1001">
      <c r="A1001" s="65"/>
      <c r="B1001" s="47"/>
      <c r="C1001" s="47"/>
      <c r="D1001" s="47"/>
      <c r="E1001" s="47"/>
      <c r="F1001" s="47"/>
      <c r="G1001" s="47"/>
      <c r="H1001" s="47"/>
      <c r="I1001" s="47"/>
      <c r="J1001" s="47"/>
    </row>
    <row r="1002">
      <c r="A1002" s="65"/>
      <c r="B1002" s="47"/>
      <c r="C1002" s="47"/>
      <c r="D1002" s="47"/>
      <c r="E1002" s="47"/>
      <c r="F1002" s="47"/>
      <c r="G1002" s="47"/>
      <c r="H1002" s="47"/>
      <c r="I1002" s="47"/>
      <c r="J1002" s="47"/>
    </row>
    <row r="1003">
      <c r="A1003" s="65"/>
      <c r="B1003" s="47"/>
      <c r="C1003" s="47"/>
      <c r="D1003" s="47"/>
      <c r="E1003" s="47"/>
      <c r="F1003" s="47"/>
      <c r="G1003" s="47"/>
      <c r="H1003" s="47"/>
      <c r="I1003" s="47"/>
      <c r="J1003" s="47"/>
    </row>
    <row r="1004">
      <c r="A1004" s="65"/>
      <c r="B1004" s="47"/>
      <c r="C1004" s="47"/>
      <c r="D1004" s="47"/>
      <c r="E1004" s="47"/>
      <c r="F1004" s="47"/>
      <c r="G1004" s="47"/>
      <c r="H1004" s="47"/>
      <c r="I1004" s="47"/>
      <c r="J1004" s="47"/>
    </row>
    <row r="1005">
      <c r="A1005" s="65"/>
      <c r="B1005" s="47"/>
      <c r="C1005" s="47"/>
      <c r="D1005" s="47"/>
      <c r="E1005" s="47"/>
      <c r="F1005" s="47"/>
      <c r="G1005" s="47"/>
      <c r="H1005" s="47"/>
      <c r="I1005" s="47"/>
      <c r="J1005" s="47"/>
    </row>
  </sheetData>
  <mergeCells count="12">
    <mergeCell ref="L3:L11"/>
    <mergeCell ref="M3:M11"/>
    <mergeCell ref="N3:N11"/>
    <mergeCell ref="O3:O11"/>
    <mergeCell ref="A1:A2"/>
    <mergeCell ref="B1:B2"/>
    <mergeCell ref="C1:C2"/>
    <mergeCell ref="D1:D2"/>
    <mergeCell ref="E1:J1"/>
    <mergeCell ref="K1:P1"/>
    <mergeCell ref="K3:K11"/>
    <mergeCell ref="P3:P11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4" max="14" width="14.88"/>
  </cols>
  <sheetData>
    <row r="1">
      <c r="A1" s="191" t="s">
        <v>1889</v>
      </c>
      <c r="B1" s="21" t="s">
        <v>1890</v>
      </c>
      <c r="E1" s="21" t="s">
        <v>1891</v>
      </c>
      <c r="H1" s="21" t="s">
        <v>1892</v>
      </c>
      <c r="K1" s="21" t="s">
        <v>1893</v>
      </c>
      <c r="M1" s="22"/>
      <c r="N1" s="192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</row>
    <row r="2">
      <c r="B2" s="33" t="s">
        <v>1007</v>
      </c>
      <c r="C2" s="14" t="s">
        <v>1008</v>
      </c>
      <c r="D2" s="14" t="s">
        <v>1009</v>
      </c>
      <c r="E2" s="33" t="s">
        <v>1007</v>
      </c>
      <c r="F2" s="14" t="s">
        <v>1008</v>
      </c>
      <c r="G2" s="14" t="s">
        <v>1009</v>
      </c>
      <c r="H2" s="33" t="s">
        <v>1007</v>
      </c>
      <c r="I2" s="14" t="s">
        <v>1008</v>
      </c>
      <c r="J2" s="14" t="s">
        <v>1009</v>
      </c>
      <c r="K2" s="33" t="s">
        <v>1007</v>
      </c>
      <c r="L2" s="14" t="s">
        <v>1008</v>
      </c>
      <c r="M2" s="193" t="s">
        <v>1009</v>
      </c>
      <c r="N2" s="192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</row>
    <row r="3">
      <c r="A3" s="54">
        <v>4.0</v>
      </c>
      <c r="B3" s="33" t="str">
        <f t="shared" ref="B3:B4" si="5">DEC2HEX(HEX2DEC(B4)+16)</f>
        <v>BAD4E0</v>
      </c>
      <c r="C3" s="53" t="str">
        <f t="shared" ref="C3:D3" si="1">DEC2HEX(HEX2DEC(B3)+1)</f>
        <v>BAD4E1</v>
      </c>
      <c r="D3" s="53" t="str">
        <f t="shared" si="1"/>
        <v>BAD4E2</v>
      </c>
      <c r="E3" s="33" t="str">
        <f t="shared" ref="E3:E66" si="7">DEC2HEX(HEX2DEC(B3)-160)</f>
        <v>BAD440</v>
      </c>
      <c r="F3" s="194" t="str">
        <f t="shared" ref="F3:G3" si="2">DEC2HEX(HEX2DEC(E3)+1)</f>
        <v>BAD441</v>
      </c>
      <c r="G3" s="195" t="str">
        <f t="shared" si="2"/>
        <v>BAD442</v>
      </c>
      <c r="H3" s="45" t="str">
        <f t="shared" ref="H3:H66" si="9">DEC2HEX(HEX2DEC(B3)+864)</f>
        <v>BAD840</v>
      </c>
      <c r="I3" s="194" t="str">
        <f t="shared" ref="I3:J3" si="3">DEC2HEX(HEX2DEC(H3)+1)</f>
        <v>BAD841</v>
      </c>
      <c r="J3" s="195" t="str">
        <f t="shared" si="3"/>
        <v>BAD842</v>
      </c>
      <c r="K3" s="45" t="str">
        <f t="shared" ref="K3:K66" si="11">DEC2HEX(HEX2DEC(B3)+1024)</f>
        <v>BAD8E0</v>
      </c>
      <c r="L3" s="194" t="str">
        <f t="shared" ref="L3:M3" si="4">DEC2HEX(HEX2DEC(K3)+1)</f>
        <v>BAD8E1</v>
      </c>
      <c r="M3" s="195" t="str">
        <f t="shared" si="4"/>
        <v>BAD8E2</v>
      </c>
      <c r="N3" s="14"/>
    </row>
    <row r="4">
      <c r="A4" s="54">
        <v>8.0</v>
      </c>
      <c r="B4" s="33" t="str">
        <f t="shared" si="5"/>
        <v>BAD4D0</v>
      </c>
      <c r="C4" s="53" t="str">
        <f t="shared" ref="C4:D4" si="6">DEC2HEX(HEX2DEC(B4)+1)</f>
        <v>BAD4D1</v>
      </c>
      <c r="D4" s="53" t="str">
        <f t="shared" si="6"/>
        <v>BAD4D2</v>
      </c>
      <c r="E4" s="33" t="str">
        <f t="shared" si="7"/>
        <v>BAD430</v>
      </c>
      <c r="F4" s="194" t="str">
        <f t="shared" ref="F4:G4" si="8">DEC2HEX(HEX2DEC(E4)+1)</f>
        <v>BAD431</v>
      </c>
      <c r="G4" s="195" t="str">
        <f t="shared" si="8"/>
        <v>BAD432</v>
      </c>
      <c r="H4" s="45" t="str">
        <f t="shared" si="9"/>
        <v>BAD830</v>
      </c>
      <c r="I4" s="194" t="str">
        <f t="shared" ref="I4:J4" si="10">DEC2HEX(HEX2DEC(H4)+1)</f>
        <v>BAD831</v>
      </c>
      <c r="J4" s="195" t="str">
        <f t="shared" si="10"/>
        <v>BAD832</v>
      </c>
      <c r="K4" s="45" t="str">
        <f t="shared" si="11"/>
        <v>BAD8D0</v>
      </c>
      <c r="L4" s="194" t="str">
        <f t="shared" ref="L4:M4" si="12">DEC2HEX(HEX2DEC(K4)+1)</f>
        <v>BAD8D1</v>
      </c>
      <c r="M4" s="195" t="str">
        <f t="shared" si="12"/>
        <v>BAD8D2</v>
      </c>
      <c r="N4" s="14"/>
    </row>
    <row r="5">
      <c r="A5" s="54">
        <v>12.0</v>
      </c>
      <c r="B5" s="33" t="s">
        <v>1019</v>
      </c>
      <c r="C5" s="53" t="str">
        <f t="shared" ref="C5:D5" si="13">DEC2HEX(HEX2DEC(B5)+1)</f>
        <v>BAD4C1</v>
      </c>
      <c r="D5" s="53" t="str">
        <f t="shared" si="13"/>
        <v>BAD4C2</v>
      </c>
      <c r="E5" s="33" t="str">
        <f t="shared" si="7"/>
        <v>BAD420</v>
      </c>
      <c r="F5" s="194" t="str">
        <f t="shared" ref="F5:G5" si="14">DEC2HEX(HEX2DEC(E5)+1)</f>
        <v>BAD421</v>
      </c>
      <c r="G5" s="195" t="str">
        <f t="shared" si="14"/>
        <v>BAD422</v>
      </c>
      <c r="H5" s="45" t="str">
        <f t="shared" si="9"/>
        <v>BAD820</v>
      </c>
      <c r="I5" s="194" t="str">
        <f t="shared" ref="I5:J5" si="15">DEC2HEX(HEX2DEC(H5)+1)</f>
        <v>BAD821</v>
      </c>
      <c r="J5" s="195" t="str">
        <f t="shared" si="15"/>
        <v>BAD822</v>
      </c>
      <c r="K5" s="45" t="str">
        <f t="shared" si="11"/>
        <v>BAD8C0</v>
      </c>
      <c r="L5" s="194" t="str">
        <f t="shared" ref="L5:M5" si="16">DEC2HEX(HEX2DEC(K5)+1)</f>
        <v>BAD8C1</v>
      </c>
      <c r="M5" s="195" t="str">
        <f t="shared" si="16"/>
        <v>BAD8C2</v>
      </c>
      <c r="N5" s="14"/>
    </row>
    <row r="6">
      <c r="A6" s="54">
        <v>16.0</v>
      </c>
      <c r="B6" s="33" t="str">
        <f t="shared" ref="B6:B55" si="21">DEC2HEX(HEX2DEC(B7)+16)</f>
        <v>BAD4B0</v>
      </c>
      <c r="C6" s="53" t="str">
        <f t="shared" ref="C6:D6" si="17">DEC2HEX(HEX2DEC(B6)+1)</f>
        <v>BAD4B1</v>
      </c>
      <c r="D6" s="53" t="str">
        <f t="shared" si="17"/>
        <v>BAD4B2</v>
      </c>
      <c r="E6" s="33" t="str">
        <f t="shared" si="7"/>
        <v>BAD410</v>
      </c>
      <c r="F6" s="194" t="str">
        <f t="shared" ref="F6:G6" si="18">DEC2HEX(HEX2DEC(E6)+1)</f>
        <v>BAD411</v>
      </c>
      <c r="G6" s="195" t="str">
        <f t="shared" si="18"/>
        <v>BAD412</v>
      </c>
      <c r="H6" s="45" t="str">
        <f t="shared" si="9"/>
        <v>BAD810</v>
      </c>
      <c r="I6" s="194" t="str">
        <f t="shared" ref="I6:J6" si="19">DEC2HEX(HEX2DEC(H6)+1)</f>
        <v>BAD811</v>
      </c>
      <c r="J6" s="195" t="str">
        <f t="shared" si="19"/>
        <v>BAD812</v>
      </c>
      <c r="K6" s="45" t="str">
        <f t="shared" si="11"/>
        <v>BAD8B0</v>
      </c>
      <c r="L6" s="194" t="str">
        <f t="shared" ref="L6:M6" si="20">DEC2HEX(HEX2DEC(K6)+1)</f>
        <v>BAD8B1</v>
      </c>
      <c r="M6" s="195" t="str">
        <f t="shared" si="20"/>
        <v>BAD8B2</v>
      </c>
      <c r="N6" s="14"/>
    </row>
    <row r="7">
      <c r="A7" s="55">
        <v>20.0</v>
      </c>
      <c r="B7" s="33" t="str">
        <f t="shared" si="21"/>
        <v>BAD4A0</v>
      </c>
      <c r="C7" s="53" t="str">
        <f t="shared" ref="C7:D7" si="22">DEC2HEX(HEX2DEC(B7)+1)</f>
        <v>BAD4A1</v>
      </c>
      <c r="D7" s="53" t="str">
        <f t="shared" si="22"/>
        <v>BAD4A2</v>
      </c>
      <c r="E7" s="33" t="str">
        <f t="shared" si="7"/>
        <v>BAD400</v>
      </c>
      <c r="F7" s="194" t="str">
        <f t="shared" ref="F7:G7" si="23">DEC2HEX(HEX2DEC(E7)+1)</f>
        <v>BAD401</v>
      </c>
      <c r="G7" s="195" t="str">
        <f t="shared" si="23"/>
        <v>BAD402</v>
      </c>
      <c r="H7" s="45" t="str">
        <f t="shared" si="9"/>
        <v>BAD800</v>
      </c>
      <c r="I7" s="194" t="str">
        <f t="shared" ref="I7:J7" si="24">DEC2HEX(HEX2DEC(H7)+1)</f>
        <v>BAD801</v>
      </c>
      <c r="J7" s="195" t="str">
        <f t="shared" si="24"/>
        <v>BAD802</v>
      </c>
      <c r="K7" s="45" t="str">
        <f t="shared" si="11"/>
        <v>BAD8A0</v>
      </c>
      <c r="L7" s="194" t="str">
        <f t="shared" ref="L7:M7" si="25">DEC2HEX(HEX2DEC(K7)+1)</f>
        <v>BAD8A1</v>
      </c>
      <c r="M7" s="195" t="str">
        <f t="shared" si="25"/>
        <v>BAD8A2</v>
      </c>
      <c r="N7" s="14"/>
    </row>
    <row r="8">
      <c r="A8" s="55">
        <v>24.0</v>
      </c>
      <c r="B8" s="33" t="str">
        <f t="shared" si="21"/>
        <v>BAD490</v>
      </c>
      <c r="C8" s="53" t="str">
        <f t="shared" ref="C8:D8" si="26">DEC2HEX(HEX2DEC(B8)+1)</f>
        <v>BAD491</v>
      </c>
      <c r="D8" s="53" t="str">
        <f t="shared" si="26"/>
        <v>BAD492</v>
      </c>
      <c r="E8" s="33" t="str">
        <f t="shared" si="7"/>
        <v>BAD3F0</v>
      </c>
      <c r="F8" s="194" t="str">
        <f t="shared" ref="F8:G8" si="27">DEC2HEX(HEX2DEC(E8)+1)</f>
        <v>BAD3F1</v>
      </c>
      <c r="G8" s="195" t="str">
        <f t="shared" si="27"/>
        <v>BAD3F2</v>
      </c>
      <c r="H8" s="45" t="str">
        <f t="shared" si="9"/>
        <v>BAD7F0</v>
      </c>
      <c r="I8" s="194" t="str">
        <f t="shared" ref="I8:J8" si="28">DEC2HEX(HEX2DEC(H8)+1)</f>
        <v>BAD7F1</v>
      </c>
      <c r="J8" s="195" t="str">
        <f t="shared" si="28"/>
        <v>BAD7F2</v>
      </c>
      <c r="K8" s="45" t="str">
        <f t="shared" si="11"/>
        <v>BAD890</v>
      </c>
      <c r="L8" s="194" t="str">
        <f t="shared" ref="L8:M8" si="29">DEC2HEX(HEX2DEC(K8)+1)</f>
        <v>BAD891</v>
      </c>
      <c r="M8" s="195" t="str">
        <f t="shared" si="29"/>
        <v>BAD892</v>
      </c>
      <c r="N8" s="14"/>
    </row>
    <row r="9">
      <c r="A9" s="55">
        <v>28.0</v>
      </c>
      <c r="B9" s="33" t="str">
        <f t="shared" si="21"/>
        <v>BAD480</v>
      </c>
      <c r="C9" s="53" t="str">
        <f t="shared" ref="C9:D9" si="30">DEC2HEX(HEX2DEC(B9)+1)</f>
        <v>BAD481</v>
      </c>
      <c r="D9" s="53" t="str">
        <f t="shared" si="30"/>
        <v>BAD482</v>
      </c>
      <c r="E9" s="33" t="str">
        <f t="shared" si="7"/>
        <v>BAD3E0</v>
      </c>
      <c r="F9" s="194" t="str">
        <f t="shared" ref="F9:G9" si="31">DEC2HEX(HEX2DEC(E9)+1)</f>
        <v>BAD3E1</v>
      </c>
      <c r="G9" s="195" t="str">
        <f t="shared" si="31"/>
        <v>BAD3E2</v>
      </c>
      <c r="H9" s="45" t="str">
        <f t="shared" si="9"/>
        <v>BAD7E0</v>
      </c>
      <c r="I9" s="194" t="str">
        <f t="shared" ref="I9:J9" si="32">DEC2HEX(HEX2DEC(H9)+1)</f>
        <v>BAD7E1</v>
      </c>
      <c r="J9" s="195" t="str">
        <f t="shared" si="32"/>
        <v>BAD7E2</v>
      </c>
      <c r="K9" s="45" t="str">
        <f t="shared" si="11"/>
        <v>BAD880</v>
      </c>
      <c r="L9" s="194" t="str">
        <f t="shared" ref="L9:M9" si="33">DEC2HEX(HEX2DEC(K9)+1)</f>
        <v>BAD881</v>
      </c>
      <c r="M9" s="195" t="str">
        <f t="shared" si="33"/>
        <v>BAD882</v>
      </c>
      <c r="N9" s="14"/>
    </row>
    <row r="10">
      <c r="A10" s="55">
        <v>32.0</v>
      </c>
      <c r="B10" s="33" t="str">
        <f t="shared" si="21"/>
        <v>BAD470</v>
      </c>
      <c r="C10" s="53" t="str">
        <f t="shared" ref="C10:D10" si="34">DEC2HEX(HEX2DEC(B10)+1)</f>
        <v>BAD471</v>
      </c>
      <c r="D10" s="53" t="str">
        <f t="shared" si="34"/>
        <v>BAD472</v>
      </c>
      <c r="E10" s="33" t="str">
        <f t="shared" si="7"/>
        <v>BAD3D0</v>
      </c>
      <c r="F10" s="194" t="str">
        <f t="shared" ref="F10:G10" si="35">DEC2HEX(HEX2DEC(E10)+1)</f>
        <v>BAD3D1</v>
      </c>
      <c r="G10" s="195" t="str">
        <f t="shared" si="35"/>
        <v>BAD3D2</v>
      </c>
      <c r="H10" s="45" t="str">
        <f t="shared" si="9"/>
        <v>BAD7D0</v>
      </c>
      <c r="I10" s="194" t="str">
        <f t="shared" ref="I10:J10" si="36">DEC2HEX(HEX2DEC(H10)+1)</f>
        <v>BAD7D1</v>
      </c>
      <c r="J10" s="195" t="str">
        <f t="shared" si="36"/>
        <v>BAD7D2</v>
      </c>
      <c r="K10" s="45" t="str">
        <f t="shared" si="11"/>
        <v>BAD870</v>
      </c>
      <c r="L10" s="194" t="str">
        <f t="shared" ref="L10:M10" si="37">DEC2HEX(HEX2DEC(K10)+1)</f>
        <v>BAD871</v>
      </c>
      <c r="M10" s="195" t="str">
        <f t="shared" si="37"/>
        <v>BAD872</v>
      </c>
      <c r="N10" s="14"/>
    </row>
    <row r="11">
      <c r="A11" s="55">
        <v>36.0</v>
      </c>
      <c r="B11" s="33" t="str">
        <f t="shared" si="21"/>
        <v>BAD460</v>
      </c>
      <c r="C11" s="53" t="str">
        <f t="shared" ref="C11:D11" si="38">DEC2HEX(HEX2DEC(B11)+1)</f>
        <v>BAD461</v>
      </c>
      <c r="D11" s="53" t="str">
        <f t="shared" si="38"/>
        <v>BAD462</v>
      </c>
      <c r="E11" s="33" t="str">
        <f t="shared" si="7"/>
        <v>BAD3C0</v>
      </c>
      <c r="F11" s="194" t="str">
        <f t="shared" ref="F11:G11" si="39">DEC2HEX(HEX2DEC(E11)+1)</f>
        <v>BAD3C1</v>
      </c>
      <c r="G11" s="195" t="str">
        <f t="shared" si="39"/>
        <v>BAD3C2</v>
      </c>
      <c r="H11" s="45" t="str">
        <f t="shared" si="9"/>
        <v>BAD7C0</v>
      </c>
      <c r="I11" s="194" t="str">
        <f t="shared" ref="I11:J11" si="40">DEC2HEX(HEX2DEC(H11)+1)</f>
        <v>BAD7C1</v>
      </c>
      <c r="J11" s="195" t="str">
        <f t="shared" si="40"/>
        <v>BAD7C2</v>
      </c>
      <c r="K11" s="45" t="str">
        <f t="shared" si="11"/>
        <v>BAD860</v>
      </c>
      <c r="L11" s="194" t="str">
        <f t="shared" ref="L11:M11" si="41">DEC2HEX(HEX2DEC(K11)+1)</f>
        <v>BAD861</v>
      </c>
      <c r="M11" s="195" t="str">
        <f t="shared" si="41"/>
        <v>BAD862</v>
      </c>
      <c r="N11" s="14"/>
    </row>
    <row r="12">
      <c r="A12" s="55">
        <v>40.0</v>
      </c>
      <c r="B12" s="33" t="str">
        <f t="shared" si="21"/>
        <v>BAD450</v>
      </c>
      <c r="C12" s="53" t="str">
        <f t="shared" ref="C12:D12" si="42">DEC2HEX(HEX2DEC(B12)+1)</f>
        <v>BAD451</v>
      </c>
      <c r="D12" s="53" t="str">
        <f t="shared" si="42"/>
        <v>BAD452</v>
      </c>
      <c r="E12" s="33" t="str">
        <f t="shared" si="7"/>
        <v>BAD3B0</v>
      </c>
      <c r="F12" s="194" t="str">
        <f t="shared" ref="F12:G12" si="43">DEC2HEX(HEX2DEC(E12)+1)</f>
        <v>BAD3B1</v>
      </c>
      <c r="G12" s="195" t="str">
        <f t="shared" si="43"/>
        <v>BAD3B2</v>
      </c>
      <c r="H12" s="45" t="str">
        <f t="shared" si="9"/>
        <v>BAD7B0</v>
      </c>
      <c r="I12" s="194" t="str">
        <f t="shared" ref="I12:J12" si="44">DEC2HEX(HEX2DEC(H12)+1)</f>
        <v>BAD7B1</v>
      </c>
      <c r="J12" s="195" t="str">
        <f t="shared" si="44"/>
        <v>BAD7B2</v>
      </c>
      <c r="K12" s="45" t="str">
        <f t="shared" si="11"/>
        <v>BAD850</v>
      </c>
      <c r="L12" s="194" t="str">
        <f t="shared" ref="L12:M12" si="45">DEC2HEX(HEX2DEC(K12)+1)</f>
        <v>BAD851</v>
      </c>
      <c r="M12" s="195" t="str">
        <f t="shared" si="45"/>
        <v>BAD852</v>
      </c>
      <c r="N12" s="14"/>
    </row>
    <row r="13">
      <c r="A13" s="55">
        <v>44.0</v>
      </c>
      <c r="B13" s="33" t="str">
        <f t="shared" si="21"/>
        <v>BAD440</v>
      </c>
      <c r="C13" s="53" t="str">
        <f t="shared" ref="C13:D13" si="46">DEC2HEX(HEX2DEC(B13)+1)</f>
        <v>BAD441</v>
      </c>
      <c r="D13" s="53" t="str">
        <f t="shared" si="46"/>
        <v>BAD442</v>
      </c>
      <c r="E13" s="33" t="str">
        <f t="shared" si="7"/>
        <v>BAD3A0</v>
      </c>
      <c r="F13" s="194" t="str">
        <f t="shared" ref="F13:G13" si="47">DEC2HEX(HEX2DEC(E13)+1)</f>
        <v>BAD3A1</v>
      </c>
      <c r="G13" s="195" t="str">
        <f t="shared" si="47"/>
        <v>BAD3A2</v>
      </c>
      <c r="H13" s="45" t="str">
        <f t="shared" si="9"/>
        <v>BAD7A0</v>
      </c>
      <c r="I13" s="194" t="str">
        <f t="shared" ref="I13:J13" si="48">DEC2HEX(HEX2DEC(H13)+1)</f>
        <v>BAD7A1</v>
      </c>
      <c r="J13" s="195" t="str">
        <f t="shared" si="48"/>
        <v>BAD7A2</v>
      </c>
      <c r="K13" s="45" t="str">
        <f t="shared" si="11"/>
        <v>BAD840</v>
      </c>
      <c r="L13" s="194" t="str">
        <f t="shared" ref="L13:M13" si="49">DEC2HEX(HEX2DEC(K13)+1)</f>
        <v>BAD841</v>
      </c>
      <c r="M13" s="195" t="str">
        <f t="shared" si="49"/>
        <v>BAD842</v>
      </c>
      <c r="N13" s="14"/>
    </row>
    <row r="14">
      <c r="A14" s="55">
        <v>48.0</v>
      </c>
      <c r="B14" s="33" t="str">
        <f t="shared" si="21"/>
        <v>BAD430</v>
      </c>
      <c r="C14" s="53" t="str">
        <f t="shared" ref="C14:D14" si="50">DEC2HEX(HEX2DEC(B14)+1)</f>
        <v>BAD431</v>
      </c>
      <c r="D14" s="53" t="str">
        <f t="shared" si="50"/>
        <v>BAD432</v>
      </c>
      <c r="E14" s="33" t="str">
        <f t="shared" si="7"/>
        <v>BAD390</v>
      </c>
      <c r="F14" s="194" t="str">
        <f t="shared" ref="F14:G14" si="51">DEC2HEX(HEX2DEC(E14)+1)</f>
        <v>BAD391</v>
      </c>
      <c r="G14" s="195" t="str">
        <f t="shared" si="51"/>
        <v>BAD392</v>
      </c>
      <c r="H14" s="45" t="str">
        <f t="shared" si="9"/>
        <v>BAD790</v>
      </c>
      <c r="I14" s="194" t="str">
        <f t="shared" ref="I14:J14" si="52">DEC2HEX(HEX2DEC(H14)+1)</f>
        <v>BAD791</v>
      </c>
      <c r="J14" s="195" t="str">
        <f t="shared" si="52"/>
        <v>BAD792</v>
      </c>
      <c r="K14" s="45" t="str">
        <f t="shared" si="11"/>
        <v>BAD830</v>
      </c>
      <c r="L14" s="194" t="str">
        <f t="shared" ref="L14:M14" si="53">DEC2HEX(HEX2DEC(K14)+1)</f>
        <v>BAD831</v>
      </c>
      <c r="M14" s="195" t="str">
        <f t="shared" si="53"/>
        <v>BAD832</v>
      </c>
      <c r="N14" s="14"/>
    </row>
    <row r="15">
      <c r="A15" s="55">
        <v>52.0</v>
      </c>
      <c r="B15" s="33" t="str">
        <f t="shared" si="21"/>
        <v>BAD420</v>
      </c>
      <c r="C15" s="53" t="str">
        <f t="shared" ref="C15:D15" si="54">DEC2HEX(HEX2DEC(B15)+1)</f>
        <v>BAD421</v>
      </c>
      <c r="D15" s="53" t="str">
        <f t="shared" si="54"/>
        <v>BAD422</v>
      </c>
      <c r="E15" s="33" t="str">
        <f t="shared" si="7"/>
        <v>BAD380</v>
      </c>
      <c r="F15" s="194" t="str">
        <f t="shared" ref="F15:G15" si="55">DEC2HEX(HEX2DEC(E15)+1)</f>
        <v>BAD381</v>
      </c>
      <c r="G15" s="195" t="str">
        <f t="shared" si="55"/>
        <v>BAD382</v>
      </c>
      <c r="H15" s="45" t="str">
        <f t="shared" si="9"/>
        <v>BAD780</v>
      </c>
      <c r="I15" s="194" t="str">
        <f t="shared" ref="I15:J15" si="56">DEC2HEX(HEX2DEC(H15)+1)</f>
        <v>BAD781</v>
      </c>
      <c r="J15" s="195" t="str">
        <f t="shared" si="56"/>
        <v>BAD782</v>
      </c>
      <c r="K15" s="45" t="str">
        <f t="shared" si="11"/>
        <v>BAD820</v>
      </c>
      <c r="L15" s="194" t="str">
        <f t="shared" ref="L15:M15" si="57">DEC2HEX(HEX2DEC(K15)+1)</f>
        <v>BAD821</v>
      </c>
      <c r="M15" s="195" t="str">
        <f t="shared" si="57"/>
        <v>BAD822</v>
      </c>
      <c r="N15" s="14"/>
    </row>
    <row r="16">
      <c r="A16" s="55">
        <v>56.0</v>
      </c>
      <c r="B16" s="33" t="str">
        <f t="shared" si="21"/>
        <v>BAD410</v>
      </c>
      <c r="C16" s="53" t="str">
        <f t="shared" ref="C16:D16" si="58">DEC2HEX(HEX2DEC(B16)+1)</f>
        <v>BAD411</v>
      </c>
      <c r="D16" s="53" t="str">
        <f t="shared" si="58"/>
        <v>BAD412</v>
      </c>
      <c r="E16" s="33" t="str">
        <f t="shared" si="7"/>
        <v>BAD370</v>
      </c>
      <c r="F16" s="194" t="str">
        <f t="shared" ref="F16:G16" si="59">DEC2HEX(HEX2DEC(E16)+1)</f>
        <v>BAD371</v>
      </c>
      <c r="G16" s="195" t="str">
        <f t="shared" si="59"/>
        <v>BAD372</v>
      </c>
      <c r="H16" s="45" t="str">
        <f t="shared" si="9"/>
        <v>BAD770</v>
      </c>
      <c r="I16" s="194" t="str">
        <f t="shared" ref="I16:J16" si="60">DEC2HEX(HEX2DEC(H16)+1)</f>
        <v>BAD771</v>
      </c>
      <c r="J16" s="195" t="str">
        <f t="shared" si="60"/>
        <v>BAD772</v>
      </c>
      <c r="K16" s="45" t="str">
        <f t="shared" si="11"/>
        <v>BAD810</v>
      </c>
      <c r="L16" s="194" t="str">
        <f t="shared" ref="L16:M16" si="61">DEC2HEX(HEX2DEC(K16)+1)</f>
        <v>BAD811</v>
      </c>
      <c r="M16" s="195" t="str">
        <f t="shared" si="61"/>
        <v>BAD812</v>
      </c>
      <c r="N16" s="14"/>
    </row>
    <row r="17">
      <c r="A17" s="55">
        <v>60.0</v>
      </c>
      <c r="B17" s="33" t="str">
        <f t="shared" si="21"/>
        <v>BAD400</v>
      </c>
      <c r="C17" s="53" t="str">
        <f t="shared" ref="C17:D17" si="62">DEC2HEX(HEX2DEC(B17)+1)</f>
        <v>BAD401</v>
      </c>
      <c r="D17" s="53" t="str">
        <f t="shared" si="62"/>
        <v>BAD402</v>
      </c>
      <c r="E17" s="33" t="str">
        <f t="shared" si="7"/>
        <v>BAD360</v>
      </c>
      <c r="F17" s="194" t="str">
        <f t="shared" ref="F17:G17" si="63">DEC2HEX(HEX2DEC(E17)+1)</f>
        <v>BAD361</v>
      </c>
      <c r="G17" s="195" t="str">
        <f t="shared" si="63"/>
        <v>BAD362</v>
      </c>
      <c r="H17" s="45" t="str">
        <f t="shared" si="9"/>
        <v>BAD760</v>
      </c>
      <c r="I17" s="194" t="str">
        <f t="shared" ref="I17:J17" si="64">DEC2HEX(HEX2DEC(H17)+1)</f>
        <v>BAD761</v>
      </c>
      <c r="J17" s="195" t="str">
        <f t="shared" si="64"/>
        <v>BAD762</v>
      </c>
      <c r="K17" s="45" t="str">
        <f t="shared" si="11"/>
        <v>BAD800</v>
      </c>
      <c r="L17" s="194" t="str">
        <f t="shared" ref="L17:M17" si="65">DEC2HEX(HEX2DEC(K17)+1)</f>
        <v>BAD801</v>
      </c>
      <c r="M17" s="195" t="str">
        <f t="shared" si="65"/>
        <v>BAD802</v>
      </c>
      <c r="N17" s="14"/>
    </row>
    <row r="18">
      <c r="A18" s="55">
        <v>64.0</v>
      </c>
      <c r="B18" s="33" t="str">
        <f t="shared" si="21"/>
        <v>BAD3F0</v>
      </c>
      <c r="C18" s="53" t="str">
        <f t="shared" ref="C18:D18" si="66">DEC2HEX(HEX2DEC(B18)+1)</f>
        <v>BAD3F1</v>
      </c>
      <c r="D18" s="53" t="str">
        <f t="shared" si="66"/>
        <v>BAD3F2</v>
      </c>
      <c r="E18" s="33" t="str">
        <f t="shared" si="7"/>
        <v>BAD350</v>
      </c>
      <c r="F18" s="194" t="str">
        <f t="shared" ref="F18:G18" si="67">DEC2HEX(HEX2DEC(E18)+1)</f>
        <v>BAD351</v>
      </c>
      <c r="G18" s="195" t="str">
        <f t="shared" si="67"/>
        <v>BAD352</v>
      </c>
      <c r="H18" s="45" t="str">
        <f t="shared" si="9"/>
        <v>BAD750</v>
      </c>
      <c r="I18" s="194" t="str">
        <f t="shared" ref="I18:J18" si="68">DEC2HEX(HEX2DEC(H18)+1)</f>
        <v>BAD751</v>
      </c>
      <c r="J18" s="195" t="str">
        <f t="shared" si="68"/>
        <v>BAD752</v>
      </c>
      <c r="K18" s="45" t="str">
        <f t="shared" si="11"/>
        <v>BAD7F0</v>
      </c>
      <c r="L18" s="194" t="str">
        <f t="shared" ref="L18:M18" si="69">DEC2HEX(HEX2DEC(K18)+1)</f>
        <v>BAD7F1</v>
      </c>
      <c r="M18" s="195" t="str">
        <f t="shared" si="69"/>
        <v>BAD7F2</v>
      </c>
      <c r="N18" s="14"/>
    </row>
    <row r="19">
      <c r="A19" s="55">
        <v>68.0</v>
      </c>
      <c r="B19" s="33" t="str">
        <f t="shared" si="21"/>
        <v>BAD3E0</v>
      </c>
      <c r="C19" s="53" t="str">
        <f t="shared" ref="C19:D19" si="70">DEC2HEX(HEX2DEC(B19)+1)</f>
        <v>BAD3E1</v>
      </c>
      <c r="D19" s="53" t="str">
        <f t="shared" si="70"/>
        <v>BAD3E2</v>
      </c>
      <c r="E19" s="33" t="str">
        <f t="shared" si="7"/>
        <v>BAD340</v>
      </c>
      <c r="F19" s="194" t="str">
        <f t="shared" ref="F19:G19" si="71">DEC2HEX(HEX2DEC(E19)+1)</f>
        <v>BAD341</v>
      </c>
      <c r="G19" s="195" t="str">
        <f t="shared" si="71"/>
        <v>BAD342</v>
      </c>
      <c r="H19" s="45" t="str">
        <f t="shared" si="9"/>
        <v>BAD740</v>
      </c>
      <c r="I19" s="194" t="str">
        <f t="shared" ref="I19:J19" si="72">DEC2HEX(HEX2DEC(H19)+1)</f>
        <v>BAD741</v>
      </c>
      <c r="J19" s="195" t="str">
        <f t="shared" si="72"/>
        <v>BAD742</v>
      </c>
      <c r="K19" s="45" t="str">
        <f t="shared" si="11"/>
        <v>BAD7E0</v>
      </c>
      <c r="L19" s="194" t="str">
        <f t="shared" ref="L19:M19" si="73">DEC2HEX(HEX2DEC(K19)+1)</f>
        <v>BAD7E1</v>
      </c>
      <c r="M19" s="195" t="str">
        <f t="shared" si="73"/>
        <v>BAD7E2</v>
      </c>
      <c r="N19" s="14"/>
    </row>
    <row r="20">
      <c r="A20" s="55">
        <v>72.0</v>
      </c>
      <c r="B20" s="33" t="str">
        <f t="shared" si="21"/>
        <v>BAD3D0</v>
      </c>
      <c r="C20" s="53" t="str">
        <f t="shared" ref="C20:D20" si="74">DEC2HEX(HEX2DEC(B20)+1)</f>
        <v>BAD3D1</v>
      </c>
      <c r="D20" s="53" t="str">
        <f t="shared" si="74"/>
        <v>BAD3D2</v>
      </c>
      <c r="E20" s="33" t="str">
        <f t="shared" si="7"/>
        <v>BAD330</v>
      </c>
      <c r="F20" s="194" t="str">
        <f t="shared" ref="F20:G20" si="75">DEC2HEX(HEX2DEC(E20)+1)</f>
        <v>BAD331</v>
      </c>
      <c r="G20" s="195" t="str">
        <f t="shared" si="75"/>
        <v>BAD332</v>
      </c>
      <c r="H20" s="45" t="str">
        <f t="shared" si="9"/>
        <v>BAD730</v>
      </c>
      <c r="I20" s="194" t="str">
        <f t="shared" ref="I20:J20" si="76">DEC2HEX(HEX2DEC(H20)+1)</f>
        <v>BAD731</v>
      </c>
      <c r="J20" s="195" t="str">
        <f t="shared" si="76"/>
        <v>BAD732</v>
      </c>
      <c r="K20" s="45" t="str">
        <f t="shared" si="11"/>
        <v>BAD7D0</v>
      </c>
      <c r="L20" s="194" t="str">
        <f t="shared" ref="L20:M20" si="77">DEC2HEX(HEX2DEC(K20)+1)</f>
        <v>BAD7D1</v>
      </c>
      <c r="M20" s="195" t="str">
        <f t="shared" si="77"/>
        <v>BAD7D2</v>
      </c>
      <c r="N20" s="14"/>
    </row>
    <row r="21">
      <c r="A21" s="55">
        <v>76.0</v>
      </c>
      <c r="B21" s="33" t="str">
        <f t="shared" si="21"/>
        <v>BAD3C0</v>
      </c>
      <c r="C21" s="53" t="str">
        <f t="shared" ref="C21:D21" si="78">DEC2HEX(HEX2DEC(B21)+1)</f>
        <v>BAD3C1</v>
      </c>
      <c r="D21" s="53" t="str">
        <f t="shared" si="78"/>
        <v>BAD3C2</v>
      </c>
      <c r="E21" s="33" t="str">
        <f t="shared" si="7"/>
        <v>BAD320</v>
      </c>
      <c r="F21" s="194" t="str">
        <f t="shared" ref="F21:G21" si="79">DEC2HEX(HEX2DEC(E21)+1)</f>
        <v>BAD321</v>
      </c>
      <c r="G21" s="195" t="str">
        <f t="shared" si="79"/>
        <v>BAD322</v>
      </c>
      <c r="H21" s="45" t="str">
        <f t="shared" si="9"/>
        <v>BAD720</v>
      </c>
      <c r="I21" s="194" t="str">
        <f t="shared" ref="I21:J21" si="80">DEC2HEX(HEX2DEC(H21)+1)</f>
        <v>BAD721</v>
      </c>
      <c r="J21" s="195" t="str">
        <f t="shared" si="80"/>
        <v>BAD722</v>
      </c>
      <c r="K21" s="45" t="str">
        <f t="shared" si="11"/>
        <v>BAD7C0</v>
      </c>
      <c r="L21" s="194" t="str">
        <f t="shared" ref="L21:M21" si="81">DEC2HEX(HEX2DEC(K21)+1)</f>
        <v>BAD7C1</v>
      </c>
      <c r="M21" s="195" t="str">
        <f t="shared" si="81"/>
        <v>BAD7C2</v>
      </c>
      <c r="N21" s="14"/>
    </row>
    <row r="22">
      <c r="A22" s="55">
        <v>80.0</v>
      </c>
      <c r="B22" s="33" t="str">
        <f t="shared" si="21"/>
        <v>BAD3B0</v>
      </c>
      <c r="C22" s="53" t="str">
        <f t="shared" ref="C22:D22" si="82">DEC2HEX(HEX2DEC(B22)+1)</f>
        <v>BAD3B1</v>
      </c>
      <c r="D22" s="53" t="str">
        <f t="shared" si="82"/>
        <v>BAD3B2</v>
      </c>
      <c r="E22" s="33" t="str">
        <f t="shared" si="7"/>
        <v>BAD310</v>
      </c>
      <c r="F22" s="194" t="str">
        <f t="shared" ref="F22:G22" si="83">DEC2HEX(HEX2DEC(E22)+1)</f>
        <v>BAD311</v>
      </c>
      <c r="G22" s="195" t="str">
        <f t="shared" si="83"/>
        <v>BAD312</v>
      </c>
      <c r="H22" s="45" t="str">
        <f t="shared" si="9"/>
        <v>BAD710</v>
      </c>
      <c r="I22" s="194" t="str">
        <f t="shared" ref="I22:J22" si="84">DEC2HEX(HEX2DEC(H22)+1)</f>
        <v>BAD711</v>
      </c>
      <c r="J22" s="195" t="str">
        <f t="shared" si="84"/>
        <v>BAD712</v>
      </c>
      <c r="K22" s="45" t="str">
        <f t="shared" si="11"/>
        <v>BAD7B0</v>
      </c>
      <c r="L22" s="194" t="str">
        <f t="shared" ref="L22:M22" si="85">DEC2HEX(HEX2DEC(K22)+1)</f>
        <v>BAD7B1</v>
      </c>
      <c r="M22" s="195" t="str">
        <f t="shared" si="85"/>
        <v>BAD7B2</v>
      </c>
      <c r="N22" s="14"/>
    </row>
    <row r="23">
      <c r="A23" s="55">
        <v>84.0</v>
      </c>
      <c r="B23" s="33" t="str">
        <f t="shared" si="21"/>
        <v>BAD3A0</v>
      </c>
      <c r="C23" s="53" t="str">
        <f t="shared" ref="C23:D23" si="86">DEC2HEX(HEX2DEC(B23)+1)</f>
        <v>BAD3A1</v>
      </c>
      <c r="D23" s="53" t="str">
        <f t="shared" si="86"/>
        <v>BAD3A2</v>
      </c>
      <c r="E23" s="33" t="str">
        <f t="shared" si="7"/>
        <v>BAD300</v>
      </c>
      <c r="F23" s="194" t="str">
        <f t="shared" ref="F23:G23" si="87">DEC2HEX(HEX2DEC(E23)+1)</f>
        <v>BAD301</v>
      </c>
      <c r="G23" s="195" t="str">
        <f t="shared" si="87"/>
        <v>BAD302</v>
      </c>
      <c r="H23" s="45" t="str">
        <f t="shared" si="9"/>
        <v>BAD700</v>
      </c>
      <c r="I23" s="194" t="str">
        <f t="shared" ref="I23:J23" si="88">DEC2HEX(HEX2DEC(H23)+1)</f>
        <v>BAD701</v>
      </c>
      <c r="J23" s="195" t="str">
        <f t="shared" si="88"/>
        <v>BAD702</v>
      </c>
      <c r="K23" s="45" t="str">
        <f t="shared" si="11"/>
        <v>BAD7A0</v>
      </c>
      <c r="L23" s="194" t="str">
        <f t="shared" ref="L23:M23" si="89">DEC2HEX(HEX2DEC(K23)+1)</f>
        <v>BAD7A1</v>
      </c>
      <c r="M23" s="195" t="str">
        <f t="shared" si="89"/>
        <v>BAD7A2</v>
      </c>
      <c r="N23" s="14"/>
    </row>
    <row r="24">
      <c r="A24" s="55">
        <v>88.0</v>
      </c>
      <c r="B24" s="33" t="str">
        <f t="shared" si="21"/>
        <v>BAD390</v>
      </c>
      <c r="C24" s="53" t="str">
        <f t="shared" ref="C24:D24" si="90">DEC2HEX(HEX2DEC(B24)+1)</f>
        <v>BAD391</v>
      </c>
      <c r="D24" s="53" t="str">
        <f t="shared" si="90"/>
        <v>BAD392</v>
      </c>
      <c r="E24" s="33" t="str">
        <f t="shared" si="7"/>
        <v>BAD2F0</v>
      </c>
      <c r="F24" s="194" t="str">
        <f t="shared" ref="F24:G24" si="91">DEC2HEX(HEX2DEC(E24)+1)</f>
        <v>BAD2F1</v>
      </c>
      <c r="G24" s="195" t="str">
        <f t="shared" si="91"/>
        <v>BAD2F2</v>
      </c>
      <c r="H24" s="45" t="str">
        <f t="shared" si="9"/>
        <v>BAD6F0</v>
      </c>
      <c r="I24" s="194" t="str">
        <f t="shared" ref="I24:J24" si="92">DEC2HEX(HEX2DEC(H24)+1)</f>
        <v>BAD6F1</v>
      </c>
      <c r="J24" s="195" t="str">
        <f t="shared" si="92"/>
        <v>BAD6F2</v>
      </c>
      <c r="K24" s="45" t="str">
        <f t="shared" si="11"/>
        <v>BAD790</v>
      </c>
      <c r="L24" s="194" t="str">
        <f t="shared" ref="L24:M24" si="93">DEC2HEX(HEX2DEC(K24)+1)</f>
        <v>BAD791</v>
      </c>
      <c r="M24" s="195" t="str">
        <f t="shared" si="93"/>
        <v>BAD792</v>
      </c>
      <c r="N24" s="14"/>
    </row>
    <row r="25">
      <c r="A25" s="55">
        <v>92.0</v>
      </c>
      <c r="B25" s="33" t="str">
        <f t="shared" si="21"/>
        <v>BAD380</v>
      </c>
      <c r="C25" s="53" t="str">
        <f t="shared" ref="C25:D25" si="94">DEC2HEX(HEX2DEC(B25)+1)</f>
        <v>BAD381</v>
      </c>
      <c r="D25" s="53" t="str">
        <f t="shared" si="94"/>
        <v>BAD382</v>
      </c>
      <c r="E25" s="33" t="str">
        <f t="shared" si="7"/>
        <v>BAD2E0</v>
      </c>
      <c r="F25" s="194" t="str">
        <f t="shared" ref="F25:G25" si="95">DEC2HEX(HEX2DEC(E25)+1)</f>
        <v>BAD2E1</v>
      </c>
      <c r="G25" s="195" t="str">
        <f t="shared" si="95"/>
        <v>BAD2E2</v>
      </c>
      <c r="H25" s="45" t="str">
        <f t="shared" si="9"/>
        <v>BAD6E0</v>
      </c>
      <c r="I25" s="194" t="str">
        <f t="shared" ref="I25:J25" si="96">DEC2HEX(HEX2DEC(H25)+1)</f>
        <v>BAD6E1</v>
      </c>
      <c r="J25" s="195" t="str">
        <f t="shared" si="96"/>
        <v>BAD6E2</v>
      </c>
      <c r="K25" s="45" t="str">
        <f t="shared" si="11"/>
        <v>BAD780</v>
      </c>
      <c r="L25" s="194" t="str">
        <f t="shared" ref="L25:M25" si="97">DEC2HEX(HEX2DEC(K25)+1)</f>
        <v>BAD781</v>
      </c>
      <c r="M25" s="195" t="str">
        <f t="shared" si="97"/>
        <v>BAD782</v>
      </c>
      <c r="N25" s="14"/>
    </row>
    <row r="26">
      <c r="A26" s="55">
        <v>96.0</v>
      </c>
      <c r="B26" s="33" t="str">
        <f t="shared" si="21"/>
        <v>BAD370</v>
      </c>
      <c r="C26" s="53" t="str">
        <f t="shared" ref="C26:D26" si="98">DEC2HEX(HEX2DEC(B26)+1)</f>
        <v>BAD371</v>
      </c>
      <c r="D26" s="53" t="str">
        <f t="shared" si="98"/>
        <v>BAD372</v>
      </c>
      <c r="E26" s="33" t="str">
        <f t="shared" si="7"/>
        <v>BAD2D0</v>
      </c>
      <c r="F26" s="194" t="str">
        <f t="shared" ref="F26:G26" si="99">DEC2HEX(HEX2DEC(E26)+1)</f>
        <v>BAD2D1</v>
      </c>
      <c r="G26" s="195" t="str">
        <f t="shared" si="99"/>
        <v>BAD2D2</v>
      </c>
      <c r="H26" s="45" t="str">
        <f t="shared" si="9"/>
        <v>BAD6D0</v>
      </c>
      <c r="I26" s="194" t="str">
        <f t="shared" ref="I26:J26" si="100">DEC2HEX(HEX2DEC(H26)+1)</f>
        <v>BAD6D1</v>
      </c>
      <c r="J26" s="195" t="str">
        <f t="shared" si="100"/>
        <v>BAD6D2</v>
      </c>
      <c r="K26" s="45" t="str">
        <f t="shared" si="11"/>
        <v>BAD770</v>
      </c>
      <c r="L26" s="194" t="str">
        <f t="shared" ref="L26:M26" si="101">DEC2HEX(HEX2DEC(K26)+1)</f>
        <v>BAD771</v>
      </c>
      <c r="M26" s="195" t="str">
        <f t="shared" si="101"/>
        <v>BAD772</v>
      </c>
      <c r="N26" s="14"/>
    </row>
    <row r="27">
      <c r="A27" s="55">
        <v>100.0</v>
      </c>
      <c r="B27" s="33" t="str">
        <f t="shared" si="21"/>
        <v>BAD360</v>
      </c>
      <c r="C27" s="53" t="str">
        <f t="shared" ref="C27:D27" si="102">DEC2HEX(HEX2DEC(B27)+1)</f>
        <v>BAD361</v>
      </c>
      <c r="D27" s="53" t="str">
        <f t="shared" si="102"/>
        <v>BAD362</v>
      </c>
      <c r="E27" s="33" t="str">
        <f t="shared" si="7"/>
        <v>BAD2C0</v>
      </c>
      <c r="F27" s="194" t="str">
        <f t="shared" ref="F27:G27" si="103">DEC2HEX(HEX2DEC(E27)+1)</f>
        <v>BAD2C1</v>
      </c>
      <c r="G27" s="195" t="str">
        <f t="shared" si="103"/>
        <v>BAD2C2</v>
      </c>
      <c r="H27" s="45" t="str">
        <f t="shared" si="9"/>
        <v>BAD6C0</v>
      </c>
      <c r="I27" s="194" t="str">
        <f t="shared" ref="I27:J27" si="104">DEC2HEX(HEX2DEC(H27)+1)</f>
        <v>BAD6C1</v>
      </c>
      <c r="J27" s="195" t="str">
        <f t="shared" si="104"/>
        <v>BAD6C2</v>
      </c>
      <c r="K27" s="45" t="str">
        <f t="shared" si="11"/>
        <v>BAD760</v>
      </c>
      <c r="L27" s="194" t="str">
        <f t="shared" ref="L27:M27" si="105">DEC2HEX(HEX2DEC(K27)+1)</f>
        <v>BAD761</v>
      </c>
      <c r="M27" s="195" t="str">
        <f t="shared" si="105"/>
        <v>BAD762</v>
      </c>
      <c r="N27" s="14"/>
    </row>
    <row r="28">
      <c r="A28" s="55">
        <v>104.0</v>
      </c>
      <c r="B28" s="33" t="str">
        <f t="shared" si="21"/>
        <v>BAD350</v>
      </c>
      <c r="C28" s="53" t="str">
        <f t="shared" ref="C28:D28" si="106">DEC2HEX(HEX2DEC(B28)+1)</f>
        <v>BAD351</v>
      </c>
      <c r="D28" s="53" t="str">
        <f t="shared" si="106"/>
        <v>BAD352</v>
      </c>
      <c r="E28" s="33" t="str">
        <f t="shared" si="7"/>
        <v>BAD2B0</v>
      </c>
      <c r="F28" s="194" t="str">
        <f t="shared" ref="F28:G28" si="107">DEC2HEX(HEX2DEC(E28)+1)</f>
        <v>BAD2B1</v>
      </c>
      <c r="G28" s="195" t="str">
        <f t="shared" si="107"/>
        <v>BAD2B2</v>
      </c>
      <c r="H28" s="45" t="str">
        <f t="shared" si="9"/>
        <v>BAD6B0</v>
      </c>
      <c r="I28" s="194" t="str">
        <f t="shared" ref="I28:J28" si="108">DEC2HEX(HEX2DEC(H28)+1)</f>
        <v>BAD6B1</v>
      </c>
      <c r="J28" s="195" t="str">
        <f t="shared" si="108"/>
        <v>BAD6B2</v>
      </c>
      <c r="K28" s="45" t="str">
        <f t="shared" si="11"/>
        <v>BAD750</v>
      </c>
      <c r="L28" s="194" t="str">
        <f t="shared" ref="L28:M28" si="109">DEC2HEX(HEX2DEC(K28)+1)</f>
        <v>BAD751</v>
      </c>
      <c r="M28" s="195" t="str">
        <f t="shared" si="109"/>
        <v>BAD752</v>
      </c>
      <c r="N28" s="14"/>
    </row>
    <row r="29">
      <c r="A29" s="55">
        <v>108.0</v>
      </c>
      <c r="B29" s="33" t="str">
        <f t="shared" si="21"/>
        <v>BAD340</v>
      </c>
      <c r="C29" s="53" t="str">
        <f t="shared" ref="C29:D29" si="110">DEC2HEX(HEX2DEC(B29)+1)</f>
        <v>BAD341</v>
      </c>
      <c r="D29" s="53" t="str">
        <f t="shared" si="110"/>
        <v>BAD342</v>
      </c>
      <c r="E29" s="33" t="str">
        <f t="shared" si="7"/>
        <v>BAD2A0</v>
      </c>
      <c r="F29" s="194" t="str">
        <f t="shared" ref="F29:G29" si="111">DEC2HEX(HEX2DEC(E29)+1)</f>
        <v>BAD2A1</v>
      </c>
      <c r="G29" s="195" t="str">
        <f t="shared" si="111"/>
        <v>BAD2A2</v>
      </c>
      <c r="H29" s="45" t="str">
        <f t="shared" si="9"/>
        <v>BAD6A0</v>
      </c>
      <c r="I29" s="194" t="str">
        <f t="shared" ref="I29:J29" si="112">DEC2HEX(HEX2DEC(H29)+1)</f>
        <v>BAD6A1</v>
      </c>
      <c r="J29" s="195" t="str">
        <f t="shared" si="112"/>
        <v>BAD6A2</v>
      </c>
      <c r="K29" s="45" t="str">
        <f t="shared" si="11"/>
        <v>BAD740</v>
      </c>
      <c r="L29" s="194" t="str">
        <f t="shared" ref="L29:M29" si="113">DEC2HEX(HEX2DEC(K29)+1)</f>
        <v>BAD741</v>
      </c>
      <c r="M29" s="195" t="str">
        <f t="shared" si="113"/>
        <v>BAD742</v>
      </c>
      <c r="N29" s="14"/>
    </row>
    <row r="30">
      <c r="A30" s="55">
        <v>112.0</v>
      </c>
      <c r="B30" s="33" t="str">
        <f t="shared" si="21"/>
        <v>BAD330</v>
      </c>
      <c r="C30" s="53" t="str">
        <f t="shared" ref="C30:D30" si="114">DEC2HEX(HEX2DEC(B30)+1)</f>
        <v>BAD331</v>
      </c>
      <c r="D30" s="53" t="str">
        <f t="shared" si="114"/>
        <v>BAD332</v>
      </c>
      <c r="E30" s="33" t="str">
        <f t="shared" si="7"/>
        <v>BAD290</v>
      </c>
      <c r="F30" s="194" t="str">
        <f t="shared" ref="F30:G30" si="115">DEC2HEX(HEX2DEC(E30)+1)</f>
        <v>BAD291</v>
      </c>
      <c r="G30" s="195" t="str">
        <f t="shared" si="115"/>
        <v>BAD292</v>
      </c>
      <c r="H30" s="45" t="str">
        <f t="shared" si="9"/>
        <v>BAD690</v>
      </c>
      <c r="I30" s="194" t="str">
        <f t="shared" ref="I30:J30" si="116">DEC2HEX(HEX2DEC(H30)+1)</f>
        <v>BAD691</v>
      </c>
      <c r="J30" s="195" t="str">
        <f t="shared" si="116"/>
        <v>BAD692</v>
      </c>
      <c r="K30" s="45" t="str">
        <f t="shared" si="11"/>
        <v>BAD730</v>
      </c>
      <c r="L30" s="194" t="str">
        <f t="shared" ref="L30:M30" si="117">DEC2HEX(HEX2DEC(K30)+1)</f>
        <v>BAD731</v>
      </c>
      <c r="M30" s="195" t="str">
        <f t="shared" si="117"/>
        <v>BAD732</v>
      </c>
      <c r="N30" s="14"/>
    </row>
    <row r="31">
      <c r="A31" s="55">
        <v>116.0</v>
      </c>
      <c r="B31" s="33" t="str">
        <f t="shared" si="21"/>
        <v>BAD320</v>
      </c>
      <c r="C31" s="53" t="str">
        <f t="shared" ref="C31:D31" si="118">DEC2HEX(HEX2DEC(B31)+1)</f>
        <v>BAD321</v>
      </c>
      <c r="D31" s="53" t="str">
        <f t="shared" si="118"/>
        <v>BAD322</v>
      </c>
      <c r="E31" s="33" t="str">
        <f t="shared" si="7"/>
        <v>BAD280</v>
      </c>
      <c r="F31" s="194" t="str">
        <f t="shared" ref="F31:G31" si="119">DEC2HEX(HEX2DEC(E31)+1)</f>
        <v>BAD281</v>
      </c>
      <c r="G31" s="195" t="str">
        <f t="shared" si="119"/>
        <v>BAD282</v>
      </c>
      <c r="H31" s="45" t="str">
        <f t="shared" si="9"/>
        <v>BAD680</v>
      </c>
      <c r="I31" s="194" t="str">
        <f t="shared" ref="I31:J31" si="120">DEC2HEX(HEX2DEC(H31)+1)</f>
        <v>BAD681</v>
      </c>
      <c r="J31" s="195" t="str">
        <f t="shared" si="120"/>
        <v>BAD682</v>
      </c>
      <c r="K31" s="45" t="str">
        <f t="shared" si="11"/>
        <v>BAD720</v>
      </c>
      <c r="L31" s="194" t="str">
        <f t="shared" ref="L31:M31" si="121">DEC2HEX(HEX2DEC(K31)+1)</f>
        <v>BAD721</v>
      </c>
      <c r="M31" s="195" t="str">
        <f t="shared" si="121"/>
        <v>BAD722</v>
      </c>
      <c r="N31" s="14"/>
    </row>
    <row r="32">
      <c r="A32" s="55">
        <v>120.0</v>
      </c>
      <c r="B32" s="33" t="str">
        <f t="shared" si="21"/>
        <v>BAD310</v>
      </c>
      <c r="C32" s="53" t="str">
        <f t="shared" ref="C32:D32" si="122">DEC2HEX(HEX2DEC(B32)+1)</f>
        <v>BAD311</v>
      </c>
      <c r="D32" s="53" t="str">
        <f t="shared" si="122"/>
        <v>BAD312</v>
      </c>
      <c r="E32" s="33" t="str">
        <f t="shared" si="7"/>
        <v>BAD270</v>
      </c>
      <c r="F32" s="194" t="str">
        <f t="shared" ref="F32:G32" si="123">DEC2HEX(HEX2DEC(E32)+1)</f>
        <v>BAD271</v>
      </c>
      <c r="G32" s="195" t="str">
        <f t="shared" si="123"/>
        <v>BAD272</v>
      </c>
      <c r="H32" s="45" t="str">
        <f t="shared" si="9"/>
        <v>BAD670</v>
      </c>
      <c r="I32" s="194" t="str">
        <f t="shared" ref="I32:J32" si="124">DEC2HEX(HEX2DEC(H32)+1)</f>
        <v>BAD671</v>
      </c>
      <c r="J32" s="195" t="str">
        <f t="shared" si="124"/>
        <v>BAD672</v>
      </c>
      <c r="K32" s="45" t="str">
        <f t="shared" si="11"/>
        <v>BAD710</v>
      </c>
      <c r="L32" s="194" t="str">
        <f t="shared" ref="L32:M32" si="125">DEC2HEX(HEX2DEC(K32)+1)</f>
        <v>BAD711</v>
      </c>
      <c r="M32" s="195" t="str">
        <f t="shared" si="125"/>
        <v>BAD712</v>
      </c>
      <c r="N32" s="14"/>
    </row>
    <row r="33">
      <c r="A33" s="55">
        <v>124.0</v>
      </c>
      <c r="B33" s="33" t="str">
        <f t="shared" si="21"/>
        <v>BAD300</v>
      </c>
      <c r="C33" s="53" t="str">
        <f t="shared" ref="C33:D33" si="126">DEC2HEX(HEX2DEC(B33)+1)</f>
        <v>BAD301</v>
      </c>
      <c r="D33" s="53" t="str">
        <f t="shared" si="126"/>
        <v>BAD302</v>
      </c>
      <c r="E33" s="33" t="str">
        <f t="shared" si="7"/>
        <v>BAD260</v>
      </c>
      <c r="F33" s="194" t="str">
        <f t="shared" ref="F33:G33" si="127">DEC2HEX(HEX2DEC(E33)+1)</f>
        <v>BAD261</v>
      </c>
      <c r="G33" s="195" t="str">
        <f t="shared" si="127"/>
        <v>BAD262</v>
      </c>
      <c r="H33" s="45" t="str">
        <f t="shared" si="9"/>
        <v>BAD660</v>
      </c>
      <c r="I33" s="194" t="str">
        <f t="shared" ref="I33:J33" si="128">DEC2HEX(HEX2DEC(H33)+1)</f>
        <v>BAD661</v>
      </c>
      <c r="J33" s="195" t="str">
        <f t="shared" si="128"/>
        <v>BAD662</v>
      </c>
      <c r="K33" s="45" t="str">
        <f t="shared" si="11"/>
        <v>BAD700</v>
      </c>
      <c r="L33" s="194" t="str">
        <f t="shared" ref="L33:M33" si="129">DEC2HEX(HEX2DEC(K33)+1)</f>
        <v>BAD701</v>
      </c>
      <c r="M33" s="195" t="str">
        <f t="shared" si="129"/>
        <v>BAD702</v>
      </c>
      <c r="N33" s="14"/>
    </row>
    <row r="34">
      <c r="A34" s="55">
        <v>128.0</v>
      </c>
      <c r="B34" s="33" t="str">
        <f t="shared" si="21"/>
        <v>BAD2F0</v>
      </c>
      <c r="C34" s="53" t="str">
        <f t="shared" ref="C34:D34" si="130">DEC2HEX(HEX2DEC(B34)+1)</f>
        <v>BAD2F1</v>
      </c>
      <c r="D34" s="53" t="str">
        <f t="shared" si="130"/>
        <v>BAD2F2</v>
      </c>
      <c r="E34" s="33" t="str">
        <f t="shared" si="7"/>
        <v>BAD250</v>
      </c>
      <c r="F34" s="194" t="str">
        <f t="shared" ref="F34:G34" si="131">DEC2HEX(HEX2DEC(E34)+1)</f>
        <v>BAD251</v>
      </c>
      <c r="G34" s="195" t="str">
        <f t="shared" si="131"/>
        <v>BAD252</v>
      </c>
      <c r="H34" s="45" t="str">
        <f t="shared" si="9"/>
        <v>BAD650</v>
      </c>
      <c r="I34" s="194" t="str">
        <f t="shared" ref="I34:J34" si="132">DEC2HEX(HEX2DEC(H34)+1)</f>
        <v>BAD651</v>
      </c>
      <c r="J34" s="195" t="str">
        <f t="shared" si="132"/>
        <v>BAD652</v>
      </c>
      <c r="K34" s="45" t="str">
        <f t="shared" si="11"/>
        <v>BAD6F0</v>
      </c>
      <c r="L34" s="194" t="str">
        <f t="shared" ref="L34:M34" si="133">DEC2HEX(HEX2DEC(K34)+1)</f>
        <v>BAD6F1</v>
      </c>
      <c r="M34" s="195" t="str">
        <f t="shared" si="133"/>
        <v>BAD6F2</v>
      </c>
      <c r="N34" s="14"/>
    </row>
    <row r="35">
      <c r="A35" s="55">
        <v>132.0</v>
      </c>
      <c r="B35" s="33" t="str">
        <f t="shared" si="21"/>
        <v>BAD2E0</v>
      </c>
      <c r="C35" s="53" t="str">
        <f t="shared" ref="C35:D35" si="134">DEC2HEX(HEX2DEC(B35)+1)</f>
        <v>BAD2E1</v>
      </c>
      <c r="D35" s="53" t="str">
        <f t="shared" si="134"/>
        <v>BAD2E2</v>
      </c>
      <c r="E35" s="33" t="str">
        <f t="shared" si="7"/>
        <v>BAD240</v>
      </c>
      <c r="F35" s="194" t="str">
        <f t="shared" ref="F35:G35" si="135">DEC2HEX(HEX2DEC(E35)+1)</f>
        <v>BAD241</v>
      </c>
      <c r="G35" s="195" t="str">
        <f t="shared" si="135"/>
        <v>BAD242</v>
      </c>
      <c r="H35" s="45" t="str">
        <f t="shared" si="9"/>
        <v>BAD640</v>
      </c>
      <c r="I35" s="194" t="str">
        <f t="shared" ref="I35:J35" si="136">DEC2HEX(HEX2DEC(H35)+1)</f>
        <v>BAD641</v>
      </c>
      <c r="J35" s="195" t="str">
        <f t="shared" si="136"/>
        <v>BAD642</v>
      </c>
      <c r="K35" s="45" t="str">
        <f t="shared" si="11"/>
        <v>BAD6E0</v>
      </c>
      <c r="L35" s="194" t="str">
        <f t="shared" ref="L35:M35" si="137">DEC2HEX(HEX2DEC(K35)+1)</f>
        <v>BAD6E1</v>
      </c>
      <c r="M35" s="195" t="str">
        <f t="shared" si="137"/>
        <v>BAD6E2</v>
      </c>
      <c r="N35" s="14"/>
    </row>
    <row r="36">
      <c r="A36" s="55">
        <v>136.0</v>
      </c>
      <c r="B36" s="33" t="str">
        <f t="shared" si="21"/>
        <v>BAD2D0</v>
      </c>
      <c r="C36" s="53" t="str">
        <f t="shared" ref="C36:D36" si="138">DEC2HEX(HEX2DEC(B36)+1)</f>
        <v>BAD2D1</v>
      </c>
      <c r="D36" s="53" t="str">
        <f t="shared" si="138"/>
        <v>BAD2D2</v>
      </c>
      <c r="E36" s="33" t="str">
        <f t="shared" si="7"/>
        <v>BAD230</v>
      </c>
      <c r="F36" s="194" t="str">
        <f t="shared" ref="F36:G36" si="139">DEC2HEX(HEX2DEC(E36)+1)</f>
        <v>BAD231</v>
      </c>
      <c r="G36" s="195" t="str">
        <f t="shared" si="139"/>
        <v>BAD232</v>
      </c>
      <c r="H36" s="45" t="str">
        <f t="shared" si="9"/>
        <v>BAD630</v>
      </c>
      <c r="I36" s="194" t="str">
        <f t="shared" ref="I36:J36" si="140">DEC2HEX(HEX2DEC(H36)+1)</f>
        <v>BAD631</v>
      </c>
      <c r="J36" s="195" t="str">
        <f t="shared" si="140"/>
        <v>BAD632</v>
      </c>
      <c r="K36" s="45" t="str">
        <f t="shared" si="11"/>
        <v>BAD6D0</v>
      </c>
      <c r="L36" s="194" t="str">
        <f t="shared" ref="L36:M36" si="141">DEC2HEX(HEX2DEC(K36)+1)</f>
        <v>BAD6D1</v>
      </c>
      <c r="M36" s="195" t="str">
        <f t="shared" si="141"/>
        <v>BAD6D2</v>
      </c>
      <c r="N36" s="14"/>
    </row>
    <row r="37">
      <c r="A37" s="55">
        <v>140.0</v>
      </c>
      <c r="B37" s="33" t="str">
        <f t="shared" si="21"/>
        <v>BAD2C0</v>
      </c>
      <c r="C37" s="53" t="str">
        <f t="shared" ref="C37:D37" si="142">DEC2HEX(HEX2DEC(B37)+1)</f>
        <v>BAD2C1</v>
      </c>
      <c r="D37" s="53" t="str">
        <f t="shared" si="142"/>
        <v>BAD2C2</v>
      </c>
      <c r="E37" s="33" t="str">
        <f t="shared" si="7"/>
        <v>BAD220</v>
      </c>
      <c r="F37" s="194" t="str">
        <f t="shared" ref="F37:G37" si="143">DEC2HEX(HEX2DEC(E37)+1)</f>
        <v>BAD221</v>
      </c>
      <c r="G37" s="195" t="str">
        <f t="shared" si="143"/>
        <v>BAD222</v>
      </c>
      <c r="H37" s="45" t="str">
        <f t="shared" si="9"/>
        <v>BAD620</v>
      </c>
      <c r="I37" s="194" t="str">
        <f t="shared" ref="I37:J37" si="144">DEC2HEX(HEX2DEC(H37)+1)</f>
        <v>BAD621</v>
      </c>
      <c r="J37" s="195" t="str">
        <f t="shared" si="144"/>
        <v>BAD622</v>
      </c>
      <c r="K37" s="45" t="str">
        <f t="shared" si="11"/>
        <v>BAD6C0</v>
      </c>
      <c r="L37" s="194" t="str">
        <f t="shared" ref="L37:M37" si="145">DEC2HEX(HEX2DEC(K37)+1)</f>
        <v>BAD6C1</v>
      </c>
      <c r="M37" s="195" t="str">
        <f t="shared" si="145"/>
        <v>BAD6C2</v>
      </c>
      <c r="N37" s="14"/>
    </row>
    <row r="38">
      <c r="A38" s="55">
        <v>144.0</v>
      </c>
      <c r="B38" s="33" t="str">
        <f t="shared" si="21"/>
        <v>BAD2B0</v>
      </c>
      <c r="C38" s="53" t="str">
        <f t="shared" ref="C38:D38" si="146">DEC2HEX(HEX2DEC(B38)+1)</f>
        <v>BAD2B1</v>
      </c>
      <c r="D38" s="53" t="str">
        <f t="shared" si="146"/>
        <v>BAD2B2</v>
      </c>
      <c r="E38" s="33" t="str">
        <f t="shared" si="7"/>
        <v>BAD210</v>
      </c>
      <c r="F38" s="194" t="str">
        <f t="shared" ref="F38:G38" si="147">DEC2HEX(HEX2DEC(E38)+1)</f>
        <v>BAD211</v>
      </c>
      <c r="G38" s="195" t="str">
        <f t="shared" si="147"/>
        <v>BAD212</v>
      </c>
      <c r="H38" s="45" t="str">
        <f t="shared" si="9"/>
        <v>BAD610</v>
      </c>
      <c r="I38" s="194" t="str">
        <f t="shared" ref="I38:J38" si="148">DEC2HEX(HEX2DEC(H38)+1)</f>
        <v>BAD611</v>
      </c>
      <c r="J38" s="195" t="str">
        <f t="shared" si="148"/>
        <v>BAD612</v>
      </c>
      <c r="K38" s="45" t="str">
        <f t="shared" si="11"/>
        <v>BAD6B0</v>
      </c>
      <c r="L38" s="194" t="str">
        <f t="shared" ref="L38:M38" si="149">DEC2HEX(HEX2DEC(K38)+1)</f>
        <v>BAD6B1</v>
      </c>
      <c r="M38" s="195" t="str">
        <f t="shared" si="149"/>
        <v>BAD6B2</v>
      </c>
      <c r="N38" s="14"/>
    </row>
    <row r="39">
      <c r="A39" s="55">
        <v>148.0</v>
      </c>
      <c r="B39" s="33" t="str">
        <f t="shared" si="21"/>
        <v>BAD2A0</v>
      </c>
      <c r="C39" s="53" t="str">
        <f t="shared" ref="C39:D39" si="150">DEC2HEX(HEX2DEC(B39)+1)</f>
        <v>BAD2A1</v>
      </c>
      <c r="D39" s="53" t="str">
        <f t="shared" si="150"/>
        <v>BAD2A2</v>
      </c>
      <c r="E39" s="33" t="str">
        <f t="shared" si="7"/>
        <v>BAD200</v>
      </c>
      <c r="F39" s="194" t="str">
        <f t="shared" ref="F39:G39" si="151">DEC2HEX(HEX2DEC(E39)+1)</f>
        <v>BAD201</v>
      </c>
      <c r="G39" s="195" t="str">
        <f t="shared" si="151"/>
        <v>BAD202</v>
      </c>
      <c r="H39" s="45" t="str">
        <f t="shared" si="9"/>
        <v>BAD600</v>
      </c>
      <c r="I39" s="194" t="str">
        <f t="shared" ref="I39:J39" si="152">DEC2HEX(HEX2DEC(H39)+1)</f>
        <v>BAD601</v>
      </c>
      <c r="J39" s="195" t="str">
        <f t="shared" si="152"/>
        <v>BAD602</v>
      </c>
      <c r="K39" s="45" t="str">
        <f t="shared" si="11"/>
        <v>BAD6A0</v>
      </c>
      <c r="L39" s="194" t="str">
        <f t="shared" ref="L39:M39" si="153">DEC2HEX(HEX2DEC(K39)+1)</f>
        <v>BAD6A1</v>
      </c>
      <c r="M39" s="195" t="str">
        <f t="shared" si="153"/>
        <v>BAD6A2</v>
      </c>
      <c r="N39" s="14"/>
    </row>
    <row r="40">
      <c r="A40" s="55">
        <v>152.0</v>
      </c>
      <c r="B40" s="33" t="str">
        <f t="shared" si="21"/>
        <v>BAD290</v>
      </c>
      <c r="C40" s="53" t="str">
        <f t="shared" ref="C40:D40" si="154">DEC2HEX(HEX2DEC(B40)+1)</f>
        <v>BAD291</v>
      </c>
      <c r="D40" s="53" t="str">
        <f t="shared" si="154"/>
        <v>BAD292</v>
      </c>
      <c r="E40" s="33" t="str">
        <f t="shared" si="7"/>
        <v>BAD1F0</v>
      </c>
      <c r="F40" s="194" t="str">
        <f t="shared" ref="F40:G40" si="155">DEC2HEX(HEX2DEC(E40)+1)</f>
        <v>BAD1F1</v>
      </c>
      <c r="G40" s="195" t="str">
        <f t="shared" si="155"/>
        <v>BAD1F2</v>
      </c>
      <c r="H40" s="45" t="str">
        <f t="shared" si="9"/>
        <v>BAD5F0</v>
      </c>
      <c r="I40" s="194" t="str">
        <f t="shared" ref="I40:J40" si="156">DEC2HEX(HEX2DEC(H40)+1)</f>
        <v>BAD5F1</v>
      </c>
      <c r="J40" s="195" t="str">
        <f t="shared" si="156"/>
        <v>BAD5F2</v>
      </c>
      <c r="K40" s="45" t="str">
        <f t="shared" si="11"/>
        <v>BAD690</v>
      </c>
      <c r="L40" s="194" t="str">
        <f t="shared" ref="L40:M40" si="157">DEC2HEX(HEX2DEC(K40)+1)</f>
        <v>BAD691</v>
      </c>
      <c r="M40" s="195" t="str">
        <f t="shared" si="157"/>
        <v>BAD692</v>
      </c>
      <c r="N40" s="14"/>
    </row>
    <row r="41">
      <c r="A41" s="14">
        <v>156.0</v>
      </c>
      <c r="B41" s="33" t="str">
        <f t="shared" si="21"/>
        <v>BAD280</v>
      </c>
      <c r="C41" s="53" t="str">
        <f t="shared" ref="C41:D41" si="158">DEC2HEX(HEX2DEC(B41)+1)</f>
        <v>BAD281</v>
      </c>
      <c r="D41" s="53" t="str">
        <f t="shared" si="158"/>
        <v>BAD282</v>
      </c>
      <c r="E41" s="33" t="str">
        <f t="shared" si="7"/>
        <v>BAD1E0</v>
      </c>
      <c r="F41" s="194" t="str">
        <f t="shared" ref="F41:G41" si="159">DEC2HEX(HEX2DEC(E41)+1)</f>
        <v>BAD1E1</v>
      </c>
      <c r="G41" s="195" t="str">
        <f t="shared" si="159"/>
        <v>BAD1E2</v>
      </c>
      <c r="H41" s="45" t="str">
        <f t="shared" si="9"/>
        <v>BAD5E0</v>
      </c>
      <c r="I41" s="194" t="str">
        <f t="shared" ref="I41:J41" si="160">DEC2HEX(HEX2DEC(H41)+1)</f>
        <v>BAD5E1</v>
      </c>
      <c r="J41" s="195" t="str">
        <f t="shared" si="160"/>
        <v>BAD5E2</v>
      </c>
      <c r="K41" s="45" t="str">
        <f t="shared" si="11"/>
        <v>BAD680</v>
      </c>
      <c r="L41" s="194" t="str">
        <f t="shared" ref="L41:M41" si="161">DEC2HEX(HEX2DEC(K41)+1)</f>
        <v>BAD681</v>
      </c>
      <c r="M41" s="195" t="str">
        <f t="shared" si="161"/>
        <v>BAD682</v>
      </c>
      <c r="N41" s="14"/>
    </row>
    <row r="42">
      <c r="A42" s="14">
        <v>160.0</v>
      </c>
      <c r="B42" s="33" t="str">
        <f t="shared" si="21"/>
        <v>BAD270</v>
      </c>
      <c r="C42" s="53" t="str">
        <f t="shared" ref="C42:D42" si="162">DEC2HEX(HEX2DEC(B42)+1)</f>
        <v>BAD271</v>
      </c>
      <c r="D42" s="53" t="str">
        <f t="shared" si="162"/>
        <v>BAD272</v>
      </c>
      <c r="E42" s="33" t="str">
        <f t="shared" si="7"/>
        <v>BAD1D0</v>
      </c>
      <c r="F42" s="194" t="str">
        <f t="shared" ref="F42:G42" si="163">DEC2HEX(HEX2DEC(E42)+1)</f>
        <v>BAD1D1</v>
      </c>
      <c r="G42" s="195" t="str">
        <f t="shared" si="163"/>
        <v>BAD1D2</v>
      </c>
      <c r="H42" s="45" t="str">
        <f t="shared" si="9"/>
        <v>BAD5D0</v>
      </c>
      <c r="I42" s="194" t="str">
        <f t="shared" ref="I42:J42" si="164">DEC2HEX(HEX2DEC(H42)+1)</f>
        <v>BAD5D1</v>
      </c>
      <c r="J42" s="195" t="str">
        <f t="shared" si="164"/>
        <v>BAD5D2</v>
      </c>
      <c r="K42" s="45" t="str">
        <f t="shared" si="11"/>
        <v>BAD670</v>
      </c>
      <c r="L42" s="194" t="str">
        <f t="shared" ref="L42:M42" si="165">DEC2HEX(HEX2DEC(K42)+1)</f>
        <v>BAD671</v>
      </c>
      <c r="M42" s="195" t="str">
        <f t="shared" si="165"/>
        <v>BAD672</v>
      </c>
      <c r="N42" s="14"/>
    </row>
    <row r="43">
      <c r="A43" s="14">
        <v>164.0</v>
      </c>
      <c r="B43" s="33" t="str">
        <f t="shared" si="21"/>
        <v>BAD260</v>
      </c>
      <c r="C43" s="53" t="str">
        <f t="shared" ref="C43:D43" si="166">DEC2HEX(HEX2DEC(B43)+1)</f>
        <v>BAD261</v>
      </c>
      <c r="D43" s="53" t="str">
        <f t="shared" si="166"/>
        <v>BAD262</v>
      </c>
      <c r="E43" s="33" t="str">
        <f t="shared" si="7"/>
        <v>BAD1C0</v>
      </c>
      <c r="F43" s="194" t="str">
        <f t="shared" ref="F43:G43" si="167">DEC2HEX(HEX2DEC(E43)+1)</f>
        <v>BAD1C1</v>
      </c>
      <c r="G43" s="195" t="str">
        <f t="shared" si="167"/>
        <v>BAD1C2</v>
      </c>
      <c r="H43" s="45" t="str">
        <f t="shared" si="9"/>
        <v>BAD5C0</v>
      </c>
      <c r="I43" s="194" t="str">
        <f t="shared" ref="I43:J43" si="168">DEC2HEX(HEX2DEC(H43)+1)</f>
        <v>BAD5C1</v>
      </c>
      <c r="J43" s="195" t="str">
        <f t="shared" si="168"/>
        <v>BAD5C2</v>
      </c>
      <c r="K43" s="45" t="str">
        <f t="shared" si="11"/>
        <v>BAD660</v>
      </c>
      <c r="L43" s="194" t="str">
        <f t="shared" ref="L43:M43" si="169">DEC2HEX(HEX2DEC(K43)+1)</f>
        <v>BAD661</v>
      </c>
      <c r="M43" s="195" t="str">
        <f t="shared" si="169"/>
        <v>BAD662</v>
      </c>
      <c r="N43" s="14"/>
    </row>
    <row r="44">
      <c r="A44" s="14">
        <v>168.0</v>
      </c>
      <c r="B44" s="33" t="str">
        <f t="shared" si="21"/>
        <v>BAD250</v>
      </c>
      <c r="C44" s="53" t="str">
        <f t="shared" ref="C44:D44" si="170">DEC2HEX(HEX2DEC(B44)+1)</f>
        <v>BAD251</v>
      </c>
      <c r="D44" s="53" t="str">
        <f t="shared" si="170"/>
        <v>BAD252</v>
      </c>
      <c r="E44" s="33" t="str">
        <f t="shared" si="7"/>
        <v>BAD1B0</v>
      </c>
      <c r="F44" s="194" t="str">
        <f t="shared" ref="F44:G44" si="171">DEC2HEX(HEX2DEC(E44)+1)</f>
        <v>BAD1B1</v>
      </c>
      <c r="G44" s="195" t="str">
        <f t="shared" si="171"/>
        <v>BAD1B2</v>
      </c>
      <c r="H44" s="45" t="str">
        <f t="shared" si="9"/>
        <v>BAD5B0</v>
      </c>
      <c r="I44" s="194" t="str">
        <f t="shared" ref="I44:J44" si="172">DEC2HEX(HEX2DEC(H44)+1)</f>
        <v>BAD5B1</v>
      </c>
      <c r="J44" s="195" t="str">
        <f t="shared" si="172"/>
        <v>BAD5B2</v>
      </c>
      <c r="K44" s="45" t="str">
        <f t="shared" si="11"/>
        <v>BAD650</v>
      </c>
      <c r="L44" s="194" t="str">
        <f t="shared" ref="L44:M44" si="173">DEC2HEX(HEX2DEC(K44)+1)</f>
        <v>BAD651</v>
      </c>
      <c r="M44" s="195" t="str">
        <f t="shared" si="173"/>
        <v>BAD652</v>
      </c>
      <c r="N44" s="14"/>
    </row>
    <row r="45">
      <c r="A45" s="14">
        <v>172.0</v>
      </c>
      <c r="B45" s="33" t="str">
        <f t="shared" si="21"/>
        <v>BAD240</v>
      </c>
      <c r="C45" s="53" t="str">
        <f t="shared" ref="C45:D45" si="174">DEC2HEX(HEX2DEC(B45)+1)</f>
        <v>BAD241</v>
      </c>
      <c r="D45" s="53" t="str">
        <f t="shared" si="174"/>
        <v>BAD242</v>
      </c>
      <c r="E45" s="33" t="str">
        <f t="shared" si="7"/>
        <v>BAD1A0</v>
      </c>
      <c r="F45" s="194" t="str">
        <f t="shared" ref="F45:G45" si="175">DEC2HEX(HEX2DEC(E45)+1)</f>
        <v>BAD1A1</v>
      </c>
      <c r="G45" s="195" t="str">
        <f t="shared" si="175"/>
        <v>BAD1A2</v>
      </c>
      <c r="H45" s="45" t="str">
        <f t="shared" si="9"/>
        <v>BAD5A0</v>
      </c>
      <c r="I45" s="194" t="str">
        <f t="shared" ref="I45:J45" si="176">DEC2HEX(HEX2DEC(H45)+1)</f>
        <v>BAD5A1</v>
      </c>
      <c r="J45" s="195" t="str">
        <f t="shared" si="176"/>
        <v>BAD5A2</v>
      </c>
      <c r="K45" s="45" t="str">
        <f t="shared" si="11"/>
        <v>BAD640</v>
      </c>
      <c r="L45" s="194" t="str">
        <f t="shared" ref="L45:M45" si="177">DEC2HEX(HEX2DEC(K45)+1)</f>
        <v>BAD641</v>
      </c>
      <c r="M45" s="195" t="str">
        <f t="shared" si="177"/>
        <v>BAD642</v>
      </c>
      <c r="N45" s="14"/>
    </row>
    <row r="46">
      <c r="A46" s="14">
        <v>176.0</v>
      </c>
      <c r="B46" s="33" t="str">
        <f t="shared" si="21"/>
        <v>BAD230</v>
      </c>
      <c r="C46" s="53" t="str">
        <f t="shared" ref="C46:D46" si="178">DEC2HEX(HEX2DEC(B46)+1)</f>
        <v>BAD231</v>
      </c>
      <c r="D46" s="53" t="str">
        <f t="shared" si="178"/>
        <v>BAD232</v>
      </c>
      <c r="E46" s="33" t="str">
        <f t="shared" si="7"/>
        <v>BAD190</v>
      </c>
      <c r="F46" s="194" t="str">
        <f t="shared" ref="F46:G46" si="179">DEC2HEX(HEX2DEC(E46)+1)</f>
        <v>BAD191</v>
      </c>
      <c r="G46" s="195" t="str">
        <f t="shared" si="179"/>
        <v>BAD192</v>
      </c>
      <c r="H46" s="45" t="str">
        <f t="shared" si="9"/>
        <v>BAD590</v>
      </c>
      <c r="I46" s="194" t="str">
        <f t="shared" ref="I46:J46" si="180">DEC2HEX(HEX2DEC(H46)+1)</f>
        <v>BAD591</v>
      </c>
      <c r="J46" s="195" t="str">
        <f t="shared" si="180"/>
        <v>BAD592</v>
      </c>
      <c r="K46" s="45" t="str">
        <f t="shared" si="11"/>
        <v>BAD630</v>
      </c>
      <c r="L46" s="194" t="str">
        <f t="shared" ref="L46:M46" si="181">DEC2HEX(HEX2DEC(K46)+1)</f>
        <v>BAD631</v>
      </c>
      <c r="M46" s="195" t="str">
        <f t="shared" si="181"/>
        <v>BAD632</v>
      </c>
      <c r="N46" s="14"/>
    </row>
    <row r="47">
      <c r="A47" s="14">
        <v>180.0</v>
      </c>
      <c r="B47" s="33" t="str">
        <f t="shared" si="21"/>
        <v>BAD220</v>
      </c>
      <c r="C47" s="53" t="str">
        <f t="shared" ref="C47:D47" si="182">DEC2HEX(HEX2DEC(B47)+1)</f>
        <v>BAD221</v>
      </c>
      <c r="D47" s="53" t="str">
        <f t="shared" si="182"/>
        <v>BAD222</v>
      </c>
      <c r="E47" s="33" t="str">
        <f t="shared" si="7"/>
        <v>BAD180</v>
      </c>
      <c r="F47" s="194" t="str">
        <f t="shared" ref="F47:G47" si="183">DEC2HEX(HEX2DEC(E47)+1)</f>
        <v>BAD181</v>
      </c>
      <c r="G47" s="195" t="str">
        <f t="shared" si="183"/>
        <v>BAD182</v>
      </c>
      <c r="H47" s="45" t="str">
        <f t="shared" si="9"/>
        <v>BAD580</v>
      </c>
      <c r="I47" s="194" t="str">
        <f t="shared" ref="I47:J47" si="184">DEC2HEX(HEX2DEC(H47)+1)</f>
        <v>BAD581</v>
      </c>
      <c r="J47" s="195" t="str">
        <f t="shared" si="184"/>
        <v>BAD582</v>
      </c>
      <c r="K47" s="45" t="str">
        <f t="shared" si="11"/>
        <v>BAD620</v>
      </c>
      <c r="L47" s="194" t="str">
        <f t="shared" ref="L47:M47" si="185">DEC2HEX(HEX2DEC(K47)+1)</f>
        <v>BAD621</v>
      </c>
      <c r="M47" s="195" t="str">
        <f t="shared" si="185"/>
        <v>BAD622</v>
      </c>
      <c r="N47" s="14"/>
    </row>
    <row r="48">
      <c r="A48" s="14">
        <v>184.0</v>
      </c>
      <c r="B48" s="33" t="str">
        <f t="shared" si="21"/>
        <v>BAD210</v>
      </c>
      <c r="C48" s="53" t="str">
        <f t="shared" ref="C48:D48" si="186">DEC2HEX(HEX2DEC(B48)+1)</f>
        <v>BAD211</v>
      </c>
      <c r="D48" s="53" t="str">
        <f t="shared" si="186"/>
        <v>BAD212</v>
      </c>
      <c r="E48" s="33" t="str">
        <f t="shared" si="7"/>
        <v>BAD170</v>
      </c>
      <c r="F48" s="194" t="str">
        <f t="shared" ref="F48:G48" si="187">DEC2HEX(HEX2DEC(E48)+1)</f>
        <v>BAD171</v>
      </c>
      <c r="G48" s="195" t="str">
        <f t="shared" si="187"/>
        <v>BAD172</v>
      </c>
      <c r="H48" s="45" t="str">
        <f t="shared" si="9"/>
        <v>BAD570</v>
      </c>
      <c r="I48" s="194" t="str">
        <f t="shared" ref="I48:J48" si="188">DEC2HEX(HEX2DEC(H48)+1)</f>
        <v>BAD571</v>
      </c>
      <c r="J48" s="195" t="str">
        <f t="shared" si="188"/>
        <v>BAD572</v>
      </c>
      <c r="K48" s="45" t="str">
        <f t="shared" si="11"/>
        <v>BAD610</v>
      </c>
      <c r="L48" s="194" t="str">
        <f t="shared" ref="L48:M48" si="189">DEC2HEX(HEX2DEC(K48)+1)</f>
        <v>BAD611</v>
      </c>
      <c r="M48" s="195" t="str">
        <f t="shared" si="189"/>
        <v>BAD612</v>
      </c>
      <c r="N48" s="14"/>
    </row>
    <row r="49">
      <c r="A49" s="14">
        <v>188.0</v>
      </c>
      <c r="B49" s="33" t="str">
        <f t="shared" si="21"/>
        <v>BAD200</v>
      </c>
      <c r="C49" s="53" t="str">
        <f t="shared" ref="C49:D49" si="190">DEC2HEX(HEX2DEC(B49)+1)</f>
        <v>BAD201</v>
      </c>
      <c r="D49" s="53" t="str">
        <f t="shared" si="190"/>
        <v>BAD202</v>
      </c>
      <c r="E49" s="33" t="str">
        <f t="shared" si="7"/>
        <v>BAD160</v>
      </c>
      <c r="F49" s="194" t="str">
        <f t="shared" ref="F49:G49" si="191">DEC2HEX(HEX2DEC(E49)+1)</f>
        <v>BAD161</v>
      </c>
      <c r="G49" s="195" t="str">
        <f t="shared" si="191"/>
        <v>BAD162</v>
      </c>
      <c r="H49" s="45" t="str">
        <f t="shared" si="9"/>
        <v>BAD560</v>
      </c>
      <c r="I49" s="194" t="str">
        <f t="shared" ref="I49:J49" si="192">DEC2HEX(HEX2DEC(H49)+1)</f>
        <v>BAD561</v>
      </c>
      <c r="J49" s="195" t="str">
        <f t="shared" si="192"/>
        <v>BAD562</v>
      </c>
      <c r="K49" s="45" t="str">
        <f t="shared" si="11"/>
        <v>BAD600</v>
      </c>
      <c r="L49" s="194" t="str">
        <f t="shared" ref="L49:M49" si="193">DEC2HEX(HEX2DEC(K49)+1)</f>
        <v>BAD601</v>
      </c>
      <c r="M49" s="195" t="str">
        <f t="shared" si="193"/>
        <v>BAD602</v>
      </c>
      <c r="N49" s="14"/>
    </row>
    <row r="50">
      <c r="A50" s="14">
        <v>192.0</v>
      </c>
      <c r="B50" s="33" t="str">
        <f t="shared" si="21"/>
        <v>BAD1F0</v>
      </c>
      <c r="C50" s="53" t="str">
        <f t="shared" ref="C50:D50" si="194">DEC2HEX(HEX2DEC(B50)+1)</f>
        <v>BAD1F1</v>
      </c>
      <c r="D50" s="53" t="str">
        <f t="shared" si="194"/>
        <v>BAD1F2</v>
      </c>
      <c r="E50" s="33" t="str">
        <f t="shared" si="7"/>
        <v>BAD150</v>
      </c>
      <c r="F50" s="194" t="str">
        <f t="shared" ref="F50:G50" si="195">DEC2HEX(HEX2DEC(E50)+1)</f>
        <v>BAD151</v>
      </c>
      <c r="G50" s="195" t="str">
        <f t="shared" si="195"/>
        <v>BAD152</v>
      </c>
      <c r="H50" s="45" t="str">
        <f t="shared" si="9"/>
        <v>BAD550</v>
      </c>
      <c r="I50" s="194" t="str">
        <f t="shared" ref="I50:J50" si="196">DEC2HEX(HEX2DEC(H50)+1)</f>
        <v>BAD551</v>
      </c>
      <c r="J50" s="195" t="str">
        <f t="shared" si="196"/>
        <v>BAD552</v>
      </c>
      <c r="K50" s="45" t="str">
        <f t="shared" si="11"/>
        <v>BAD5F0</v>
      </c>
      <c r="L50" s="194" t="str">
        <f t="shared" ref="L50:M50" si="197">DEC2HEX(HEX2DEC(K50)+1)</f>
        <v>BAD5F1</v>
      </c>
      <c r="M50" s="195" t="str">
        <f t="shared" si="197"/>
        <v>BAD5F2</v>
      </c>
      <c r="N50" s="14"/>
    </row>
    <row r="51">
      <c r="A51" s="14">
        <v>196.0</v>
      </c>
      <c r="B51" s="33" t="str">
        <f t="shared" si="21"/>
        <v>BAD1E0</v>
      </c>
      <c r="C51" s="53" t="str">
        <f t="shared" ref="C51:D51" si="198">DEC2HEX(HEX2DEC(B51)+1)</f>
        <v>BAD1E1</v>
      </c>
      <c r="D51" s="53" t="str">
        <f t="shared" si="198"/>
        <v>BAD1E2</v>
      </c>
      <c r="E51" s="33" t="str">
        <f t="shared" si="7"/>
        <v>BAD140</v>
      </c>
      <c r="F51" s="194" t="str">
        <f t="shared" ref="F51:G51" si="199">DEC2HEX(HEX2DEC(E51)+1)</f>
        <v>BAD141</v>
      </c>
      <c r="G51" s="195" t="str">
        <f t="shared" si="199"/>
        <v>BAD142</v>
      </c>
      <c r="H51" s="45" t="str">
        <f t="shared" si="9"/>
        <v>BAD540</v>
      </c>
      <c r="I51" s="194" t="str">
        <f t="shared" ref="I51:J51" si="200">DEC2HEX(HEX2DEC(H51)+1)</f>
        <v>BAD541</v>
      </c>
      <c r="J51" s="195" t="str">
        <f t="shared" si="200"/>
        <v>BAD542</v>
      </c>
      <c r="K51" s="45" t="str">
        <f t="shared" si="11"/>
        <v>BAD5E0</v>
      </c>
      <c r="L51" s="194" t="str">
        <f t="shared" ref="L51:M51" si="201">DEC2HEX(HEX2DEC(K51)+1)</f>
        <v>BAD5E1</v>
      </c>
      <c r="M51" s="195" t="str">
        <f t="shared" si="201"/>
        <v>BAD5E2</v>
      </c>
      <c r="N51" s="14"/>
    </row>
    <row r="52">
      <c r="A52" s="14">
        <v>200.0</v>
      </c>
      <c r="B52" s="33" t="str">
        <f t="shared" si="21"/>
        <v>BAD1D0</v>
      </c>
      <c r="C52" s="53" t="str">
        <f t="shared" ref="C52:D52" si="202">DEC2HEX(HEX2DEC(B52)+1)</f>
        <v>BAD1D1</v>
      </c>
      <c r="D52" s="53" t="str">
        <f t="shared" si="202"/>
        <v>BAD1D2</v>
      </c>
      <c r="E52" s="33" t="str">
        <f t="shared" si="7"/>
        <v>BAD130</v>
      </c>
      <c r="F52" s="194" t="str">
        <f t="shared" ref="F52:G52" si="203">DEC2HEX(HEX2DEC(E52)+1)</f>
        <v>BAD131</v>
      </c>
      <c r="G52" s="195" t="str">
        <f t="shared" si="203"/>
        <v>BAD132</v>
      </c>
      <c r="H52" s="45" t="str">
        <f t="shared" si="9"/>
        <v>BAD530</v>
      </c>
      <c r="I52" s="194" t="str">
        <f t="shared" ref="I52:J52" si="204">DEC2HEX(HEX2DEC(H52)+1)</f>
        <v>BAD531</v>
      </c>
      <c r="J52" s="195" t="str">
        <f t="shared" si="204"/>
        <v>BAD532</v>
      </c>
      <c r="K52" s="45" t="str">
        <f t="shared" si="11"/>
        <v>BAD5D0</v>
      </c>
      <c r="L52" s="194" t="str">
        <f t="shared" ref="L52:M52" si="205">DEC2HEX(HEX2DEC(K52)+1)</f>
        <v>BAD5D1</v>
      </c>
      <c r="M52" s="195" t="str">
        <f t="shared" si="205"/>
        <v>BAD5D2</v>
      </c>
      <c r="N52" s="14"/>
    </row>
    <row r="53">
      <c r="A53" s="14">
        <v>204.0</v>
      </c>
      <c r="B53" s="33" t="str">
        <f t="shared" si="21"/>
        <v>BAD1C0</v>
      </c>
      <c r="C53" s="53" t="str">
        <f t="shared" ref="C53:D53" si="206">DEC2HEX(HEX2DEC(B53)+1)</f>
        <v>BAD1C1</v>
      </c>
      <c r="D53" s="53" t="str">
        <f t="shared" si="206"/>
        <v>BAD1C2</v>
      </c>
      <c r="E53" s="33" t="str">
        <f t="shared" si="7"/>
        <v>BAD120</v>
      </c>
      <c r="F53" s="194" t="str">
        <f t="shared" ref="F53:G53" si="207">DEC2HEX(HEX2DEC(E53)+1)</f>
        <v>BAD121</v>
      </c>
      <c r="G53" s="195" t="str">
        <f t="shared" si="207"/>
        <v>BAD122</v>
      </c>
      <c r="H53" s="45" t="str">
        <f t="shared" si="9"/>
        <v>BAD520</v>
      </c>
      <c r="I53" s="194" t="str">
        <f t="shared" ref="I53:J53" si="208">DEC2HEX(HEX2DEC(H53)+1)</f>
        <v>BAD521</v>
      </c>
      <c r="J53" s="195" t="str">
        <f t="shared" si="208"/>
        <v>BAD522</v>
      </c>
      <c r="K53" s="45" t="str">
        <f t="shared" si="11"/>
        <v>BAD5C0</v>
      </c>
      <c r="L53" s="194" t="str">
        <f t="shared" ref="L53:M53" si="209">DEC2HEX(HEX2DEC(K53)+1)</f>
        <v>BAD5C1</v>
      </c>
      <c r="M53" s="195" t="str">
        <f t="shared" si="209"/>
        <v>BAD5C2</v>
      </c>
      <c r="N53" s="14"/>
    </row>
    <row r="54">
      <c r="A54" s="14">
        <v>208.0</v>
      </c>
      <c r="B54" s="33" t="str">
        <f t="shared" si="21"/>
        <v>BAD1B0</v>
      </c>
      <c r="C54" s="53" t="str">
        <f t="shared" ref="C54:D54" si="210">DEC2HEX(HEX2DEC(B54)+1)</f>
        <v>BAD1B1</v>
      </c>
      <c r="D54" s="53" t="str">
        <f t="shared" si="210"/>
        <v>BAD1B2</v>
      </c>
      <c r="E54" s="33" t="str">
        <f t="shared" si="7"/>
        <v>BAD110</v>
      </c>
      <c r="F54" s="194" t="str">
        <f t="shared" ref="F54:G54" si="211">DEC2HEX(HEX2DEC(E54)+1)</f>
        <v>BAD111</v>
      </c>
      <c r="G54" s="195" t="str">
        <f t="shared" si="211"/>
        <v>BAD112</v>
      </c>
      <c r="H54" s="45" t="str">
        <f t="shared" si="9"/>
        <v>BAD510</v>
      </c>
      <c r="I54" s="194" t="str">
        <f t="shared" ref="I54:J54" si="212">DEC2HEX(HEX2DEC(H54)+1)</f>
        <v>BAD511</v>
      </c>
      <c r="J54" s="195" t="str">
        <f t="shared" si="212"/>
        <v>BAD512</v>
      </c>
      <c r="K54" s="45" t="str">
        <f t="shared" si="11"/>
        <v>BAD5B0</v>
      </c>
      <c r="L54" s="194" t="str">
        <f t="shared" ref="L54:M54" si="213">DEC2HEX(HEX2DEC(K54)+1)</f>
        <v>BAD5B1</v>
      </c>
      <c r="M54" s="195" t="str">
        <f t="shared" si="213"/>
        <v>BAD5B2</v>
      </c>
      <c r="N54" s="14"/>
    </row>
    <row r="55">
      <c r="A55" s="14">
        <v>212.0</v>
      </c>
      <c r="B55" s="33" t="str">
        <f t="shared" si="21"/>
        <v>BAD1A0</v>
      </c>
      <c r="C55" s="53" t="str">
        <f t="shared" ref="C55:D55" si="214">DEC2HEX(HEX2DEC(B55)+1)</f>
        <v>BAD1A1</v>
      </c>
      <c r="D55" s="53" t="str">
        <f t="shared" si="214"/>
        <v>BAD1A2</v>
      </c>
      <c r="E55" s="33" t="str">
        <f t="shared" si="7"/>
        <v>BAD100</v>
      </c>
      <c r="F55" s="194" t="str">
        <f t="shared" ref="F55:G55" si="215">DEC2HEX(HEX2DEC(E55)+1)</f>
        <v>BAD101</v>
      </c>
      <c r="G55" s="195" t="str">
        <f t="shared" si="215"/>
        <v>BAD102</v>
      </c>
      <c r="H55" s="45" t="str">
        <f t="shared" si="9"/>
        <v>BAD500</v>
      </c>
      <c r="I55" s="194" t="str">
        <f t="shared" ref="I55:J55" si="216">DEC2HEX(HEX2DEC(H55)+1)</f>
        <v>BAD501</v>
      </c>
      <c r="J55" s="195" t="str">
        <f t="shared" si="216"/>
        <v>BAD502</v>
      </c>
      <c r="K55" s="45" t="str">
        <f t="shared" si="11"/>
        <v>BAD5A0</v>
      </c>
      <c r="L55" s="194" t="str">
        <f t="shared" ref="L55:M55" si="217">DEC2HEX(HEX2DEC(K55)+1)</f>
        <v>BAD5A1</v>
      </c>
      <c r="M55" s="195" t="str">
        <f t="shared" si="217"/>
        <v>BAD5A2</v>
      </c>
      <c r="N55" s="14"/>
    </row>
    <row r="56">
      <c r="A56" s="14">
        <v>216.0</v>
      </c>
      <c r="B56" s="33" t="s">
        <v>1028</v>
      </c>
      <c r="C56" s="53" t="str">
        <f t="shared" ref="C56:D56" si="218">DEC2HEX(HEX2DEC(B56)+1)</f>
        <v>BAD191</v>
      </c>
      <c r="D56" s="53" t="str">
        <f t="shared" si="218"/>
        <v>BAD192</v>
      </c>
      <c r="E56" s="33" t="str">
        <f t="shared" si="7"/>
        <v>BAD0F0</v>
      </c>
      <c r="F56" s="194" t="str">
        <f t="shared" ref="F56:G56" si="219">DEC2HEX(HEX2DEC(E56)+1)</f>
        <v>BAD0F1</v>
      </c>
      <c r="G56" s="195" t="str">
        <f t="shared" si="219"/>
        <v>BAD0F2</v>
      </c>
      <c r="H56" s="45" t="str">
        <f t="shared" si="9"/>
        <v>BAD4F0</v>
      </c>
      <c r="I56" s="194" t="str">
        <f t="shared" ref="I56:J56" si="220">DEC2HEX(HEX2DEC(H56)+1)</f>
        <v>BAD4F1</v>
      </c>
      <c r="J56" s="195" t="str">
        <f t="shared" si="220"/>
        <v>BAD4F2</v>
      </c>
      <c r="K56" s="45" t="str">
        <f t="shared" si="11"/>
        <v>BAD590</v>
      </c>
      <c r="L56" s="194" t="str">
        <f t="shared" ref="L56:M56" si="221">DEC2HEX(HEX2DEC(K56)+1)</f>
        <v>BAD591</v>
      </c>
      <c r="M56" s="195" t="str">
        <f t="shared" si="221"/>
        <v>BAD592</v>
      </c>
      <c r="N56" s="14"/>
    </row>
    <row r="57">
      <c r="A57" s="14">
        <v>220.0</v>
      </c>
      <c r="B57" s="33" t="str">
        <f t="shared" ref="B57:B62" si="226">DEC2HEX(HEX2DEC(B56)-16)</f>
        <v>BAD180</v>
      </c>
      <c r="C57" s="53" t="str">
        <f t="shared" ref="C57:D57" si="222">DEC2HEX(HEX2DEC(B57)+1)</f>
        <v>BAD181</v>
      </c>
      <c r="D57" s="53" t="str">
        <f t="shared" si="222"/>
        <v>BAD182</v>
      </c>
      <c r="E57" s="33" t="str">
        <f t="shared" si="7"/>
        <v>BAD0E0</v>
      </c>
      <c r="F57" s="194" t="str">
        <f t="shared" ref="F57:G57" si="223">DEC2HEX(HEX2DEC(E57)+1)</f>
        <v>BAD0E1</v>
      </c>
      <c r="G57" s="195" t="str">
        <f t="shared" si="223"/>
        <v>BAD0E2</v>
      </c>
      <c r="H57" s="45" t="str">
        <f t="shared" si="9"/>
        <v>BAD4E0</v>
      </c>
      <c r="I57" s="194" t="str">
        <f t="shared" ref="I57:J57" si="224">DEC2HEX(HEX2DEC(H57)+1)</f>
        <v>BAD4E1</v>
      </c>
      <c r="J57" s="195" t="str">
        <f t="shared" si="224"/>
        <v>BAD4E2</v>
      </c>
      <c r="K57" s="45" t="str">
        <f t="shared" si="11"/>
        <v>BAD580</v>
      </c>
      <c r="L57" s="194" t="str">
        <f t="shared" ref="L57:M57" si="225">DEC2HEX(HEX2DEC(K57)+1)</f>
        <v>BAD581</v>
      </c>
      <c r="M57" s="195" t="str">
        <f t="shared" si="225"/>
        <v>BAD582</v>
      </c>
      <c r="N57" s="14"/>
    </row>
    <row r="58">
      <c r="A58" s="14">
        <v>224.0</v>
      </c>
      <c r="B58" s="33" t="str">
        <f t="shared" si="226"/>
        <v>BAD170</v>
      </c>
      <c r="C58" s="53" t="str">
        <f t="shared" ref="C58:D58" si="227">DEC2HEX(HEX2DEC(B58)+1)</f>
        <v>BAD171</v>
      </c>
      <c r="D58" s="53" t="str">
        <f t="shared" si="227"/>
        <v>BAD172</v>
      </c>
      <c r="E58" s="33" t="str">
        <f t="shared" si="7"/>
        <v>BAD0D0</v>
      </c>
      <c r="F58" s="194" t="str">
        <f t="shared" ref="F58:G58" si="228">DEC2HEX(HEX2DEC(E58)+1)</f>
        <v>BAD0D1</v>
      </c>
      <c r="G58" s="195" t="str">
        <f t="shared" si="228"/>
        <v>BAD0D2</v>
      </c>
      <c r="H58" s="45" t="str">
        <f t="shared" si="9"/>
        <v>BAD4D0</v>
      </c>
      <c r="I58" s="194" t="str">
        <f t="shared" ref="I58:J58" si="229">DEC2HEX(HEX2DEC(H58)+1)</f>
        <v>BAD4D1</v>
      </c>
      <c r="J58" s="195" t="str">
        <f t="shared" si="229"/>
        <v>BAD4D2</v>
      </c>
      <c r="K58" s="45" t="str">
        <f t="shared" si="11"/>
        <v>BAD570</v>
      </c>
      <c r="L58" s="194" t="str">
        <f t="shared" ref="L58:M58" si="230">DEC2HEX(HEX2DEC(K58)+1)</f>
        <v>BAD571</v>
      </c>
      <c r="M58" s="195" t="str">
        <f t="shared" si="230"/>
        <v>BAD572</v>
      </c>
      <c r="N58" s="14"/>
    </row>
    <row r="59">
      <c r="A59" s="14">
        <v>228.0</v>
      </c>
      <c r="B59" s="33" t="str">
        <f t="shared" si="226"/>
        <v>BAD160</v>
      </c>
      <c r="C59" s="53" t="str">
        <f t="shared" ref="C59:D59" si="231">DEC2HEX(HEX2DEC(B59)+1)</f>
        <v>BAD161</v>
      </c>
      <c r="D59" s="53" t="str">
        <f t="shared" si="231"/>
        <v>BAD162</v>
      </c>
      <c r="E59" s="33" t="str">
        <f t="shared" si="7"/>
        <v>BAD0C0</v>
      </c>
      <c r="F59" s="194" t="str">
        <f t="shared" ref="F59:G59" si="232">DEC2HEX(HEX2DEC(E59)+1)</f>
        <v>BAD0C1</v>
      </c>
      <c r="G59" s="195" t="str">
        <f t="shared" si="232"/>
        <v>BAD0C2</v>
      </c>
      <c r="H59" s="45" t="str">
        <f t="shared" si="9"/>
        <v>BAD4C0</v>
      </c>
      <c r="I59" s="194" t="str">
        <f t="shared" ref="I59:J59" si="233">DEC2HEX(HEX2DEC(H59)+1)</f>
        <v>BAD4C1</v>
      </c>
      <c r="J59" s="195" t="str">
        <f t="shared" si="233"/>
        <v>BAD4C2</v>
      </c>
      <c r="K59" s="45" t="str">
        <f t="shared" si="11"/>
        <v>BAD560</v>
      </c>
      <c r="L59" s="194" t="str">
        <f t="shared" ref="L59:M59" si="234">DEC2HEX(HEX2DEC(K59)+1)</f>
        <v>BAD561</v>
      </c>
      <c r="M59" s="195" t="str">
        <f t="shared" si="234"/>
        <v>BAD562</v>
      </c>
      <c r="N59" s="14"/>
    </row>
    <row r="60">
      <c r="A60" s="14">
        <v>232.0</v>
      </c>
      <c r="B60" s="33" t="str">
        <f t="shared" si="226"/>
        <v>BAD150</v>
      </c>
      <c r="C60" s="53" t="str">
        <f t="shared" ref="C60:D60" si="235">DEC2HEX(HEX2DEC(B60)+1)</f>
        <v>BAD151</v>
      </c>
      <c r="D60" s="53" t="str">
        <f t="shared" si="235"/>
        <v>BAD152</v>
      </c>
      <c r="E60" s="33" t="str">
        <f t="shared" si="7"/>
        <v>BAD0B0</v>
      </c>
      <c r="F60" s="194" t="str">
        <f t="shared" ref="F60:G60" si="236">DEC2HEX(HEX2DEC(E60)+1)</f>
        <v>BAD0B1</v>
      </c>
      <c r="G60" s="195" t="str">
        <f t="shared" si="236"/>
        <v>BAD0B2</v>
      </c>
      <c r="H60" s="45" t="str">
        <f t="shared" si="9"/>
        <v>BAD4B0</v>
      </c>
      <c r="I60" s="194" t="str">
        <f t="shared" ref="I60:J60" si="237">DEC2HEX(HEX2DEC(H60)+1)</f>
        <v>BAD4B1</v>
      </c>
      <c r="J60" s="195" t="str">
        <f t="shared" si="237"/>
        <v>BAD4B2</v>
      </c>
      <c r="K60" s="45" t="str">
        <f t="shared" si="11"/>
        <v>BAD550</v>
      </c>
      <c r="L60" s="194" t="str">
        <f t="shared" ref="L60:M60" si="238">DEC2HEX(HEX2DEC(K60)+1)</f>
        <v>BAD551</v>
      </c>
      <c r="M60" s="195" t="str">
        <f t="shared" si="238"/>
        <v>BAD552</v>
      </c>
      <c r="N60" s="14"/>
    </row>
    <row r="61">
      <c r="A61" s="14">
        <v>236.0</v>
      </c>
      <c r="B61" s="33" t="str">
        <f t="shared" si="226"/>
        <v>BAD140</v>
      </c>
      <c r="C61" s="53" t="str">
        <f t="shared" ref="C61:D61" si="239">DEC2HEX(HEX2DEC(B61)+1)</f>
        <v>BAD141</v>
      </c>
      <c r="D61" s="53" t="str">
        <f t="shared" si="239"/>
        <v>BAD142</v>
      </c>
      <c r="E61" s="33" t="str">
        <f t="shared" si="7"/>
        <v>BAD0A0</v>
      </c>
      <c r="F61" s="194" t="str">
        <f t="shared" ref="F61:G61" si="240">DEC2HEX(HEX2DEC(E61)+1)</f>
        <v>BAD0A1</v>
      </c>
      <c r="G61" s="195" t="str">
        <f t="shared" si="240"/>
        <v>BAD0A2</v>
      </c>
      <c r="H61" s="45" t="str">
        <f t="shared" si="9"/>
        <v>BAD4A0</v>
      </c>
      <c r="I61" s="194" t="str">
        <f t="shared" ref="I61:J61" si="241">DEC2HEX(HEX2DEC(H61)+1)</f>
        <v>BAD4A1</v>
      </c>
      <c r="J61" s="195" t="str">
        <f t="shared" si="241"/>
        <v>BAD4A2</v>
      </c>
      <c r="K61" s="45" t="str">
        <f t="shared" si="11"/>
        <v>BAD540</v>
      </c>
      <c r="L61" s="194" t="str">
        <f t="shared" ref="L61:M61" si="242">DEC2HEX(HEX2DEC(K61)+1)</f>
        <v>BAD541</v>
      </c>
      <c r="M61" s="195" t="str">
        <f t="shared" si="242"/>
        <v>BAD542</v>
      </c>
      <c r="N61" s="14"/>
    </row>
    <row r="62">
      <c r="A62" s="14">
        <v>240.0</v>
      </c>
      <c r="B62" s="33" t="str">
        <f t="shared" si="226"/>
        <v>BAD130</v>
      </c>
      <c r="C62" s="53" t="str">
        <f t="shared" ref="C62:D62" si="243">DEC2HEX(HEX2DEC(B62)+1)</f>
        <v>BAD131</v>
      </c>
      <c r="D62" s="53" t="str">
        <f t="shared" si="243"/>
        <v>BAD132</v>
      </c>
      <c r="E62" s="33" t="str">
        <f t="shared" si="7"/>
        <v>BAD090</v>
      </c>
      <c r="F62" s="194" t="str">
        <f t="shared" ref="F62:G62" si="244">DEC2HEX(HEX2DEC(E62)+1)</f>
        <v>BAD091</v>
      </c>
      <c r="G62" s="195" t="str">
        <f t="shared" si="244"/>
        <v>BAD092</v>
      </c>
      <c r="H62" s="45" t="str">
        <f t="shared" si="9"/>
        <v>BAD490</v>
      </c>
      <c r="I62" s="194" t="str">
        <f t="shared" ref="I62:J62" si="245">DEC2HEX(HEX2DEC(H62)+1)</f>
        <v>BAD491</v>
      </c>
      <c r="J62" s="195" t="str">
        <f t="shared" si="245"/>
        <v>BAD492</v>
      </c>
      <c r="K62" s="45" t="str">
        <f t="shared" si="11"/>
        <v>BAD530</v>
      </c>
      <c r="L62" s="194" t="str">
        <f t="shared" ref="L62:M62" si="246">DEC2HEX(HEX2DEC(K62)+1)</f>
        <v>BAD531</v>
      </c>
      <c r="M62" s="195" t="str">
        <f t="shared" si="246"/>
        <v>BAD532</v>
      </c>
      <c r="N62" s="14"/>
    </row>
    <row r="63">
      <c r="A63" s="14">
        <v>244.0</v>
      </c>
      <c r="B63" s="33" t="str">
        <f t="shared" ref="B63:B65" si="251">DEC2HEX(HEX2DEC(B64)+16)</f>
        <v>BAD520</v>
      </c>
      <c r="C63" s="53" t="str">
        <f t="shared" ref="C63:D63" si="247">DEC2HEX(HEX2DEC(B63)+1)</f>
        <v>BAD521</v>
      </c>
      <c r="D63" s="53" t="str">
        <f t="shared" si="247"/>
        <v>BAD522</v>
      </c>
      <c r="E63" s="33" t="str">
        <f t="shared" si="7"/>
        <v>BAD480</v>
      </c>
      <c r="F63" s="194" t="str">
        <f t="shared" ref="F63:G63" si="248">DEC2HEX(HEX2DEC(E63)+1)</f>
        <v>BAD481</v>
      </c>
      <c r="G63" s="195" t="str">
        <f t="shared" si="248"/>
        <v>BAD482</v>
      </c>
      <c r="H63" s="45" t="str">
        <f t="shared" si="9"/>
        <v>BAD880</v>
      </c>
      <c r="I63" s="194" t="str">
        <f t="shared" ref="I63:J63" si="249">DEC2HEX(HEX2DEC(H63)+1)</f>
        <v>BAD881</v>
      </c>
      <c r="J63" s="195" t="str">
        <f t="shared" si="249"/>
        <v>BAD882</v>
      </c>
      <c r="K63" s="45" t="str">
        <f t="shared" si="11"/>
        <v>BAD920</v>
      </c>
      <c r="L63" s="194" t="str">
        <f t="shared" ref="L63:M63" si="250">DEC2HEX(HEX2DEC(K63)+1)</f>
        <v>BAD921</v>
      </c>
      <c r="M63" s="195" t="str">
        <f t="shared" si="250"/>
        <v>BAD922</v>
      </c>
      <c r="N63" s="14"/>
    </row>
    <row r="64">
      <c r="A64" s="14">
        <v>248.0</v>
      </c>
      <c r="B64" s="33" t="str">
        <f t="shared" si="251"/>
        <v>BAD510</v>
      </c>
      <c r="C64" s="53" t="str">
        <f t="shared" ref="C64:D64" si="252">DEC2HEX(HEX2DEC(B64)+1)</f>
        <v>BAD511</v>
      </c>
      <c r="D64" s="53" t="str">
        <f t="shared" si="252"/>
        <v>BAD512</v>
      </c>
      <c r="E64" s="33" t="str">
        <f t="shared" si="7"/>
        <v>BAD470</v>
      </c>
      <c r="F64" s="194" t="str">
        <f t="shared" ref="F64:G64" si="253">DEC2HEX(HEX2DEC(E64)+1)</f>
        <v>BAD471</v>
      </c>
      <c r="G64" s="195" t="str">
        <f t="shared" si="253"/>
        <v>BAD472</v>
      </c>
      <c r="H64" s="45" t="str">
        <f t="shared" si="9"/>
        <v>BAD870</v>
      </c>
      <c r="I64" s="194" t="str">
        <f t="shared" ref="I64:J64" si="254">DEC2HEX(HEX2DEC(H64)+1)</f>
        <v>BAD871</v>
      </c>
      <c r="J64" s="195" t="str">
        <f t="shared" si="254"/>
        <v>BAD872</v>
      </c>
      <c r="K64" s="45" t="str">
        <f t="shared" si="11"/>
        <v>BAD910</v>
      </c>
      <c r="L64" s="194" t="str">
        <f t="shared" ref="L64:M64" si="255">DEC2HEX(HEX2DEC(K64)+1)</f>
        <v>BAD911</v>
      </c>
      <c r="M64" s="195" t="str">
        <f t="shared" si="255"/>
        <v>BAD912</v>
      </c>
      <c r="N64" s="14"/>
    </row>
    <row r="65">
      <c r="A65" s="14">
        <v>252.0</v>
      </c>
      <c r="B65" s="33" t="str">
        <f t="shared" si="251"/>
        <v>BAD500</v>
      </c>
      <c r="C65" s="53" t="str">
        <f t="shared" ref="C65:D65" si="256">DEC2HEX(HEX2DEC(B65)+1)</f>
        <v>BAD501</v>
      </c>
      <c r="D65" s="53" t="str">
        <f t="shared" si="256"/>
        <v>BAD502</v>
      </c>
      <c r="E65" s="33" t="str">
        <f t="shared" si="7"/>
        <v>BAD460</v>
      </c>
      <c r="F65" s="194" t="str">
        <f t="shared" ref="F65:G65" si="257">DEC2HEX(HEX2DEC(E65)+1)</f>
        <v>BAD461</v>
      </c>
      <c r="G65" s="195" t="str">
        <f t="shared" si="257"/>
        <v>BAD462</v>
      </c>
      <c r="H65" s="45" t="str">
        <f t="shared" si="9"/>
        <v>BAD860</v>
      </c>
      <c r="I65" s="194" t="str">
        <f t="shared" ref="I65:J65" si="258">DEC2HEX(HEX2DEC(H65)+1)</f>
        <v>BAD861</v>
      </c>
      <c r="J65" s="195" t="str">
        <f t="shared" si="258"/>
        <v>BAD862</v>
      </c>
      <c r="K65" s="45" t="str">
        <f t="shared" si="11"/>
        <v>BAD900</v>
      </c>
      <c r="L65" s="194" t="str">
        <f t="shared" ref="L65:M65" si="259">DEC2HEX(HEX2DEC(K65)+1)</f>
        <v>BAD901</v>
      </c>
      <c r="M65" s="195" t="str">
        <f t="shared" si="259"/>
        <v>BAD902</v>
      </c>
      <c r="N65" s="14"/>
    </row>
    <row r="66">
      <c r="A66" s="14">
        <v>256.0</v>
      </c>
      <c r="B66" s="33" t="s">
        <v>1035</v>
      </c>
      <c r="C66" s="53" t="str">
        <f t="shared" ref="C66:D66" si="260">DEC2HEX(HEX2DEC(B66)+1)</f>
        <v>BAD4F1</v>
      </c>
      <c r="D66" s="53" t="str">
        <f t="shared" si="260"/>
        <v>BAD4F2</v>
      </c>
      <c r="E66" s="33" t="str">
        <f t="shared" si="7"/>
        <v>BAD450</v>
      </c>
      <c r="F66" s="194" t="str">
        <f t="shared" ref="F66:G66" si="261">DEC2HEX(HEX2DEC(E66)+1)</f>
        <v>BAD451</v>
      </c>
      <c r="G66" s="195" t="str">
        <f t="shared" si="261"/>
        <v>BAD452</v>
      </c>
      <c r="H66" s="45" t="str">
        <f t="shared" si="9"/>
        <v>BAD850</v>
      </c>
      <c r="I66" s="194" t="str">
        <f t="shared" ref="I66:J66" si="262">DEC2HEX(HEX2DEC(H66)+1)</f>
        <v>BAD851</v>
      </c>
      <c r="J66" s="195" t="str">
        <f t="shared" si="262"/>
        <v>BAD852</v>
      </c>
      <c r="K66" s="45" t="str">
        <f t="shared" si="11"/>
        <v>BAD8F0</v>
      </c>
      <c r="L66" s="194" t="str">
        <f t="shared" ref="L66:M66" si="263">DEC2HEX(HEX2DEC(K66)+1)</f>
        <v>BAD8F1</v>
      </c>
      <c r="M66" s="195" t="str">
        <f t="shared" si="263"/>
        <v>BAD8F2</v>
      </c>
      <c r="N66" s="14"/>
    </row>
  </sheetData>
  <mergeCells count="5">
    <mergeCell ref="A1:A2"/>
    <mergeCell ref="B1:D1"/>
    <mergeCell ref="E1:G1"/>
    <mergeCell ref="H1:J1"/>
    <mergeCell ref="K1:M1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24.5"/>
  </cols>
  <sheetData>
    <row r="1">
      <c r="A1" s="14" t="s">
        <v>1894</v>
      </c>
      <c r="B1" s="14" t="s">
        <v>1895</v>
      </c>
      <c r="C1" s="14" t="s">
        <v>1896</v>
      </c>
      <c r="D1" s="64" t="s">
        <v>1897</v>
      </c>
      <c r="E1" s="64" t="s">
        <v>1898</v>
      </c>
      <c r="F1" s="64"/>
    </row>
    <row r="2">
      <c r="A2" s="14">
        <v>0.0</v>
      </c>
      <c r="B2" s="14" t="s">
        <v>1056</v>
      </c>
      <c r="C2" s="14" t="s">
        <v>1056</v>
      </c>
      <c r="D2" s="64" t="s">
        <v>1899</v>
      </c>
      <c r="E2" s="47">
        <f>5</f>
        <v>5</v>
      </c>
      <c r="F2" s="64"/>
    </row>
    <row r="3">
      <c r="A3" s="14">
        <v>1.0</v>
      </c>
      <c r="B3" s="14" t="s">
        <v>1056</v>
      </c>
      <c r="C3" s="14" t="s">
        <v>1056</v>
      </c>
      <c r="D3" s="64" t="s">
        <v>1900</v>
      </c>
      <c r="E3" s="64">
        <v>24.0</v>
      </c>
      <c r="F3" s="64"/>
    </row>
    <row r="4">
      <c r="A4" s="14">
        <v>2.0</v>
      </c>
      <c r="B4" s="14" t="s">
        <v>1056</v>
      </c>
      <c r="C4" s="14" t="s">
        <v>1056</v>
      </c>
      <c r="D4" s="47"/>
      <c r="E4" s="47"/>
      <c r="F4" s="47"/>
    </row>
    <row r="5">
      <c r="A5" s="14">
        <v>3.0</v>
      </c>
      <c r="B5" s="14" t="s">
        <v>1056</v>
      </c>
      <c r="C5" s="14" t="s">
        <v>1056</v>
      </c>
      <c r="D5" s="64" t="s">
        <v>1901</v>
      </c>
      <c r="E5" s="64">
        <v>35.0</v>
      </c>
      <c r="F5" s="64"/>
    </row>
    <row r="6">
      <c r="A6" s="14">
        <v>4.0</v>
      </c>
      <c r="B6" s="14" t="s">
        <v>1056</v>
      </c>
      <c r="C6" s="14" t="s">
        <v>1056</v>
      </c>
      <c r="D6" s="64" t="s">
        <v>1902</v>
      </c>
      <c r="E6" s="64">
        <v>34.0</v>
      </c>
      <c r="F6" s="64"/>
    </row>
    <row r="7">
      <c r="A7" s="14">
        <v>5.0</v>
      </c>
      <c r="B7" s="14" t="s">
        <v>1056</v>
      </c>
      <c r="C7" s="14" t="s">
        <v>1056</v>
      </c>
      <c r="D7" s="64" t="s">
        <v>1903</v>
      </c>
      <c r="E7" s="64">
        <v>14.0</v>
      </c>
      <c r="F7" s="64"/>
    </row>
    <row r="8">
      <c r="A8" s="14">
        <v>6.0</v>
      </c>
      <c r="B8" s="14" t="s">
        <v>1056</v>
      </c>
      <c r="C8" s="14" t="s">
        <v>1056</v>
      </c>
      <c r="D8" s="64" t="s">
        <v>1904</v>
      </c>
      <c r="E8" s="64">
        <v>5.0</v>
      </c>
      <c r="F8" s="64"/>
    </row>
    <row r="9">
      <c r="A9" s="14">
        <v>7.0</v>
      </c>
      <c r="B9" s="14" t="s">
        <v>1056</v>
      </c>
      <c r="C9" s="14" t="s">
        <v>1108</v>
      </c>
      <c r="D9" s="64" t="s">
        <v>1905</v>
      </c>
      <c r="E9" s="64">
        <v>24.0</v>
      </c>
      <c r="F9" s="64"/>
    </row>
    <row r="10">
      <c r="A10" s="14">
        <v>8.0</v>
      </c>
      <c r="B10" s="14" t="s">
        <v>1056</v>
      </c>
      <c r="C10" s="14" t="s">
        <v>1056</v>
      </c>
      <c r="D10" s="64" t="s">
        <v>1906</v>
      </c>
      <c r="E10" s="64">
        <v>2.0</v>
      </c>
      <c r="F10" s="64"/>
    </row>
    <row r="11">
      <c r="A11" s="14">
        <v>9.0</v>
      </c>
      <c r="B11" s="14" t="s">
        <v>1056</v>
      </c>
      <c r="C11" s="14" t="s">
        <v>1056</v>
      </c>
      <c r="D11" s="64" t="s">
        <v>1907</v>
      </c>
      <c r="E11" s="64">
        <v>35.0</v>
      </c>
      <c r="F11" s="64"/>
    </row>
    <row r="12">
      <c r="A12" s="14">
        <v>10.0</v>
      </c>
      <c r="B12" s="14" t="s">
        <v>1056</v>
      </c>
      <c r="C12" s="14" t="s">
        <v>1056</v>
      </c>
      <c r="D12" s="47"/>
      <c r="E12" s="47"/>
      <c r="F12" s="47"/>
    </row>
    <row r="13">
      <c r="A13" s="14">
        <v>11.0</v>
      </c>
      <c r="B13" s="14" t="s">
        <v>1056</v>
      </c>
      <c r="C13" s="14" t="s">
        <v>1108</v>
      </c>
      <c r="D13" s="64" t="s">
        <v>1908</v>
      </c>
      <c r="E13" s="64">
        <v>25.0</v>
      </c>
      <c r="F13" s="64"/>
    </row>
    <row r="14">
      <c r="A14" s="14">
        <v>12.0</v>
      </c>
      <c r="B14" s="14" t="s">
        <v>1056</v>
      </c>
      <c r="C14" s="14" t="s">
        <v>1056</v>
      </c>
      <c r="D14" s="64" t="s">
        <v>1909</v>
      </c>
      <c r="E14" s="64">
        <v>21.0</v>
      </c>
      <c r="F14" s="64"/>
    </row>
    <row r="15">
      <c r="A15" s="14">
        <v>13.0</v>
      </c>
      <c r="B15" s="14" t="s">
        <v>1056</v>
      </c>
      <c r="C15" s="14" t="s">
        <v>1056</v>
      </c>
      <c r="D15" s="64" t="s">
        <v>1910</v>
      </c>
      <c r="E15" s="64">
        <v>24.0</v>
      </c>
      <c r="F15" s="64"/>
    </row>
    <row r="16">
      <c r="A16" s="14">
        <v>14.0</v>
      </c>
      <c r="B16" s="14" t="s">
        <v>1056</v>
      </c>
      <c r="C16" s="14" t="s">
        <v>1108</v>
      </c>
      <c r="D16" s="64" t="s">
        <v>1911</v>
      </c>
      <c r="E16" s="64">
        <v>26.0</v>
      </c>
      <c r="F16" s="64"/>
    </row>
    <row r="17">
      <c r="A17" s="14">
        <v>15.0</v>
      </c>
      <c r="B17" s="14" t="s">
        <v>1108</v>
      </c>
      <c r="C17" s="14" t="s">
        <v>95</v>
      </c>
      <c r="D17" s="64" t="s">
        <v>1912</v>
      </c>
      <c r="E17" s="64">
        <v>23.0</v>
      </c>
      <c r="F17" s="64"/>
    </row>
    <row r="18">
      <c r="A18" s="14">
        <v>16.0</v>
      </c>
      <c r="B18" s="14" t="s">
        <v>1108</v>
      </c>
      <c r="C18" s="14" t="s">
        <v>95</v>
      </c>
      <c r="D18" s="64" t="s">
        <v>1913</v>
      </c>
      <c r="E18" s="64">
        <v>27.0</v>
      </c>
      <c r="F18" s="64"/>
    </row>
    <row r="19">
      <c r="A19" s="14">
        <v>17.0</v>
      </c>
      <c r="B19" s="14" t="s">
        <v>1056</v>
      </c>
      <c r="C19" s="14" t="s">
        <v>1056</v>
      </c>
      <c r="D19" s="64" t="s">
        <v>1914</v>
      </c>
      <c r="E19" s="64">
        <v>26.0</v>
      </c>
      <c r="F19" s="64"/>
    </row>
    <row r="20">
      <c r="A20" s="14">
        <v>18.0</v>
      </c>
      <c r="B20" s="14" t="s">
        <v>1056</v>
      </c>
      <c r="C20" s="14" t="s">
        <v>1056</v>
      </c>
      <c r="D20" s="64" t="s">
        <v>1915</v>
      </c>
      <c r="E20" s="64">
        <v>25.0</v>
      </c>
      <c r="F20" s="64"/>
    </row>
    <row r="21">
      <c r="A21" s="14">
        <v>19.0</v>
      </c>
      <c r="B21" s="14" t="s">
        <v>1056</v>
      </c>
      <c r="C21" s="14" t="s">
        <v>1056</v>
      </c>
      <c r="D21" s="64" t="s">
        <v>1916</v>
      </c>
      <c r="E21" s="64">
        <v>24.0</v>
      </c>
      <c r="F21" s="64"/>
    </row>
    <row r="22">
      <c r="A22" s="14">
        <v>20.0</v>
      </c>
      <c r="B22" s="14" t="s">
        <v>1108</v>
      </c>
      <c r="C22" s="14" t="s">
        <v>95</v>
      </c>
      <c r="D22" s="64" t="s">
        <v>1917</v>
      </c>
      <c r="E22" s="64">
        <v>25.0</v>
      </c>
      <c r="F22" s="64"/>
    </row>
    <row r="23">
      <c r="A23" s="14">
        <v>21.0</v>
      </c>
      <c r="B23" s="14" t="s">
        <v>1108</v>
      </c>
      <c r="C23" s="14" t="s">
        <v>95</v>
      </c>
      <c r="D23" s="47"/>
      <c r="E23" s="47"/>
      <c r="F23" s="47"/>
    </row>
    <row r="24">
      <c r="A24" s="14">
        <v>22.0</v>
      </c>
      <c r="B24" s="14" t="s">
        <v>1056</v>
      </c>
      <c r="C24" s="14" t="s">
        <v>1056</v>
      </c>
      <c r="D24" s="64" t="s">
        <v>1918</v>
      </c>
      <c r="E24" s="64">
        <v>21.0</v>
      </c>
      <c r="F24" s="64"/>
    </row>
    <row r="25">
      <c r="A25" s="14">
        <v>23.0</v>
      </c>
      <c r="B25" s="14" t="s">
        <v>1056</v>
      </c>
      <c r="C25" s="14" t="s">
        <v>1056</v>
      </c>
      <c r="D25" s="64" t="s">
        <v>1919</v>
      </c>
      <c r="E25" s="64">
        <v>16.0</v>
      </c>
      <c r="F25" s="64"/>
    </row>
    <row r="26">
      <c r="A26" s="14">
        <v>24.0</v>
      </c>
      <c r="B26" s="14" t="s">
        <v>1056</v>
      </c>
      <c r="C26" s="14" t="s">
        <v>1056</v>
      </c>
    </row>
    <row r="27">
      <c r="A27" s="196">
        <v>25.0</v>
      </c>
      <c r="B27" s="196" t="s">
        <v>1056</v>
      </c>
      <c r="C27" s="196" t="s">
        <v>1056</v>
      </c>
      <c r="D27" s="64" t="s">
        <v>1920</v>
      </c>
      <c r="E27" s="64">
        <v>14.0</v>
      </c>
      <c r="F27" s="64"/>
    </row>
    <row r="28">
      <c r="A28" s="14">
        <v>26.0</v>
      </c>
      <c r="B28" s="14" t="s">
        <v>1056</v>
      </c>
      <c r="C28" s="14" t="s">
        <v>1056</v>
      </c>
      <c r="D28" s="47"/>
      <c r="E28" s="47"/>
      <c r="F28" s="47"/>
    </row>
    <row r="29">
      <c r="A29" s="14">
        <v>27.0</v>
      </c>
      <c r="B29" s="14" t="s">
        <v>1056</v>
      </c>
      <c r="C29" s="14" t="s">
        <v>1056</v>
      </c>
      <c r="D29" s="64" t="s">
        <v>1921</v>
      </c>
      <c r="E29" s="64" t="s">
        <v>1922</v>
      </c>
      <c r="F29" s="64"/>
    </row>
    <row r="30">
      <c r="A30" s="14">
        <v>28.0</v>
      </c>
      <c r="B30" s="14" t="s">
        <v>1056</v>
      </c>
      <c r="C30" s="14" t="s">
        <v>1056</v>
      </c>
      <c r="D30" s="47"/>
      <c r="E30" s="47"/>
      <c r="F30" s="47"/>
    </row>
    <row r="31">
      <c r="A31" s="14">
        <v>29.0</v>
      </c>
      <c r="B31" s="14" t="s">
        <v>1056</v>
      </c>
      <c r="C31" s="14" t="s">
        <v>1056</v>
      </c>
      <c r="D31" s="47"/>
      <c r="E31" s="47"/>
    </row>
    <row r="32">
      <c r="A32" s="14">
        <v>30.0</v>
      </c>
      <c r="B32" s="14" t="s">
        <v>1056</v>
      </c>
      <c r="C32" s="14" t="s">
        <v>1056</v>
      </c>
      <c r="D32" s="47"/>
      <c r="E32" s="47"/>
    </row>
    <row r="33">
      <c r="A33" s="14">
        <v>31.0</v>
      </c>
      <c r="B33" s="14" t="s">
        <v>1056</v>
      </c>
      <c r="C33" s="14" t="s">
        <v>1056</v>
      </c>
    </row>
    <row r="34">
      <c r="A34" s="14">
        <v>32.0</v>
      </c>
      <c r="B34" s="14" t="s">
        <v>1056</v>
      </c>
      <c r="C34" s="14" t="s">
        <v>1056</v>
      </c>
    </row>
    <row r="35">
      <c r="A35" s="14">
        <v>33.0</v>
      </c>
      <c r="B35" s="14" t="s">
        <v>1056</v>
      </c>
      <c r="C35" s="14" t="s">
        <v>1056</v>
      </c>
    </row>
    <row r="36">
      <c r="A36" s="14">
        <v>34.0</v>
      </c>
      <c r="B36" s="14" t="s">
        <v>1056</v>
      </c>
      <c r="C36" s="14" t="s">
        <v>1056</v>
      </c>
    </row>
    <row r="37">
      <c r="A37" s="14">
        <v>35.0</v>
      </c>
      <c r="B37" s="14" t="s">
        <v>1056</v>
      </c>
      <c r="C37" s="14" t="s">
        <v>1056</v>
      </c>
    </row>
    <row r="38">
      <c r="A38" s="14">
        <v>36.0</v>
      </c>
      <c r="B38" s="14" t="s">
        <v>1056</v>
      </c>
      <c r="C38" s="14" t="s">
        <v>1056</v>
      </c>
    </row>
    <row r="39">
      <c r="A39" s="14">
        <v>37.0</v>
      </c>
      <c r="B39" s="14" t="s">
        <v>1056</v>
      </c>
      <c r="C39" s="14" t="s">
        <v>1056</v>
      </c>
    </row>
    <row r="40">
      <c r="A40" s="14">
        <v>38.0</v>
      </c>
      <c r="B40" s="14" t="s">
        <v>1056</v>
      </c>
      <c r="C40" s="14" t="s">
        <v>1056</v>
      </c>
    </row>
    <row r="41">
      <c r="A41" s="14">
        <v>39.0</v>
      </c>
      <c r="B41" s="14" t="s">
        <v>1108</v>
      </c>
      <c r="C41" s="14" t="s">
        <v>95</v>
      </c>
    </row>
    <row r="42">
      <c r="A42" s="14">
        <v>40.0</v>
      </c>
      <c r="B42" s="14" t="s">
        <v>1056</v>
      </c>
      <c r="C42" s="14" t="s">
        <v>1056</v>
      </c>
    </row>
    <row r="43">
      <c r="A43" s="14">
        <v>41.0</v>
      </c>
      <c r="B43" s="14" t="s">
        <v>1056</v>
      </c>
      <c r="C43" s="14" t="s">
        <v>1056</v>
      </c>
    </row>
    <row r="44">
      <c r="A44" s="14">
        <v>42.0</v>
      </c>
      <c r="B44" s="14" t="s">
        <v>1056</v>
      </c>
      <c r="C44" s="14" t="s">
        <v>1056</v>
      </c>
    </row>
    <row r="45">
      <c r="A45" s="14">
        <v>43.0</v>
      </c>
      <c r="B45" s="14" t="s">
        <v>1056</v>
      </c>
      <c r="C45" s="14" t="s">
        <v>1056</v>
      </c>
    </row>
    <row r="46">
      <c r="A46" s="14">
        <v>44.0</v>
      </c>
      <c r="B46" s="14" t="s">
        <v>1056</v>
      </c>
      <c r="C46" s="14" t="s">
        <v>1056</v>
      </c>
    </row>
    <row r="47">
      <c r="A47" s="14">
        <v>45.0</v>
      </c>
      <c r="B47" s="14" t="s">
        <v>1056</v>
      </c>
      <c r="C47" s="14" t="s">
        <v>1056</v>
      </c>
    </row>
    <row r="48">
      <c r="A48" s="14">
        <v>46.0</v>
      </c>
      <c r="B48" s="14" t="s">
        <v>1056</v>
      </c>
      <c r="C48" s="14" t="s">
        <v>1108</v>
      </c>
    </row>
    <row r="49">
      <c r="A49" s="14">
        <v>47.0</v>
      </c>
      <c r="B49" s="14" t="s">
        <v>1108</v>
      </c>
      <c r="C49" s="14" t="s">
        <v>95</v>
      </c>
    </row>
    <row r="50">
      <c r="A50" s="14">
        <v>48.0</v>
      </c>
      <c r="B50" s="14" t="s">
        <v>1108</v>
      </c>
      <c r="C50" s="14" t="s">
        <v>95</v>
      </c>
    </row>
    <row r="51">
      <c r="A51" s="14">
        <v>49.0</v>
      </c>
      <c r="B51" s="14" t="s">
        <v>1108</v>
      </c>
      <c r="C51" s="14" t="s">
        <v>95</v>
      </c>
    </row>
  </sheetData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4" max="4" width="20.25"/>
  </cols>
  <sheetData>
    <row r="1">
      <c r="A1" s="14" t="s">
        <v>1923</v>
      </c>
      <c r="B1" s="14" t="s">
        <v>1357</v>
      </c>
      <c r="C1" s="14" t="s">
        <v>1924</v>
      </c>
      <c r="D1" s="14" t="s">
        <v>5</v>
      </c>
    </row>
    <row r="2">
      <c r="A2" s="14">
        <v>0.0</v>
      </c>
      <c r="B2" s="14" t="s">
        <v>95</v>
      </c>
      <c r="C2" s="14" t="s">
        <v>95</v>
      </c>
    </row>
    <row r="3">
      <c r="A3" s="14">
        <v>1.0</v>
      </c>
      <c r="B3" s="14" t="s">
        <v>95</v>
      </c>
      <c r="C3" s="14" t="s">
        <v>95</v>
      </c>
    </row>
    <row r="4">
      <c r="A4" s="14">
        <v>2.0</v>
      </c>
      <c r="B4" s="14" t="s">
        <v>95</v>
      </c>
      <c r="C4" s="14" t="s">
        <v>95</v>
      </c>
    </row>
    <row r="5">
      <c r="A5" s="14">
        <v>3.0</v>
      </c>
      <c r="B5" s="14" t="s">
        <v>95</v>
      </c>
      <c r="C5" s="14" t="s">
        <v>95</v>
      </c>
    </row>
    <row r="6">
      <c r="A6" s="14">
        <v>4.0</v>
      </c>
      <c r="B6" s="14" t="s">
        <v>95</v>
      </c>
      <c r="C6" s="14" t="s">
        <v>95</v>
      </c>
    </row>
    <row r="7">
      <c r="A7" s="14">
        <v>5.0</v>
      </c>
      <c r="B7" s="14" t="s">
        <v>95</v>
      </c>
      <c r="C7" s="14" t="s">
        <v>95</v>
      </c>
    </row>
    <row r="8">
      <c r="A8" s="35">
        <v>6.0</v>
      </c>
      <c r="B8" s="35" t="s">
        <v>1400</v>
      </c>
      <c r="C8" s="35" t="s">
        <v>1925</v>
      </c>
    </row>
    <row r="9">
      <c r="A9" s="14">
        <v>7.0</v>
      </c>
      <c r="B9" s="14" t="s">
        <v>792</v>
      </c>
      <c r="C9" t="str">
        <f t="shared" ref="C9:C257" si="1">DEC2HEX(HEX2DEC(C8)+1)</f>
        <v>C1587F</v>
      </c>
    </row>
    <row r="10">
      <c r="A10" s="35">
        <v>8.0</v>
      </c>
      <c r="B10" s="197" t="s">
        <v>1426</v>
      </c>
      <c r="C10" s="39" t="str">
        <f t="shared" si="1"/>
        <v>C15880</v>
      </c>
    </row>
    <row r="11">
      <c r="A11" s="14">
        <v>9.0</v>
      </c>
      <c r="B11" s="103" t="s">
        <v>1428</v>
      </c>
      <c r="C11" t="str">
        <f t="shared" si="1"/>
        <v>C15881</v>
      </c>
    </row>
    <row r="12">
      <c r="A12" s="35">
        <v>10.0</v>
      </c>
      <c r="B12" s="197" t="s">
        <v>829</v>
      </c>
      <c r="C12" s="39" t="str">
        <f t="shared" si="1"/>
        <v>C15882</v>
      </c>
    </row>
    <row r="13">
      <c r="A13" s="14">
        <v>11.0</v>
      </c>
      <c r="B13" s="103" t="s">
        <v>842</v>
      </c>
      <c r="C13" t="str">
        <f t="shared" si="1"/>
        <v>C15883</v>
      </c>
    </row>
    <row r="14">
      <c r="A14" s="35">
        <v>12.0</v>
      </c>
      <c r="B14" s="197" t="s">
        <v>1432</v>
      </c>
      <c r="C14" s="39" t="str">
        <f t="shared" si="1"/>
        <v>C15884</v>
      </c>
    </row>
    <row r="15">
      <c r="A15" s="14">
        <v>13.0</v>
      </c>
      <c r="B15" s="103" t="s">
        <v>820</v>
      </c>
      <c r="C15" t="str">
        <f t="shared" si="1"/>
        <v>C15885</v>
      </c>
    </row>
    <row r="16">
      <c r="A16" s="35">
        <v>14.0</v>
      </c>
      <c r="B16" s="197" t="s">
        <v>862</v>
      </c>
      <c r="C16" s="39" t="str">
        <f t="shared" si="1"/>
        <v>C15886</v>
      </c>
    </row>
    <row r="17">
      <c r="A17" s="14">
        <v>15.0</v>
      </c>
      <c r="B17" s="103" t="s">
        <v>1437</v>
      </c>
      <c r="C17" t="str">
        <f t="shared" si="1"/>
        <v>C15887</v>
      </c>
    </row>
    <row r="18">
      <c r="A18" s="35">
        <v>16.0</v>
      </c>
      <c r="B18" s="197" t="s">
        <v>1439</v>
      </c>
      <c r="C18" s="39" t="str">
        <f t="shared" si="1"/>
        <v>C15888</v>
      </c>
    </row>
    <row r="19">
      <c r="A19" s="14">
        <v>17.0</v>
      </c>
      <c r="B19" s="14" t="s">
        <v>1443</v>
      </c>
      <c r="C19" t="str">
        <f t="shared" si="1"/>
        <v>C15889</v>
      </c>
    </row>
    <row r="20">
      <c r="A20" s="35">
        <v>18.0</v>
      </c>
      <c r="B20" s="198" t="s">
        <v>799</v>
      </c>
      <c r="C20" s="39" t="str">
        <f t="shared" si="1"/>
        <v>C1588A</v>
      </c>
    </row>
    <row r="21">
      <c r="A21" s="14">
        <v>19.0</v>
      </c>
      <c r="B21" s="199" t="s">
        <v>816</v>
      </c>
      <c r="C21" t="str">
        <f t="shared" si="1"/>
        <v>C1588B</v>
      </c>
    </row>
    <row r="22">
      <c r="A22" s="35">
        <v>20.0</v>
      </c>
      <c r="B22" s="35" t="s">
        <v>828</v>
      </c>
      <c r="C22" s="39" t="str">
        <f t="shared" si="1"/>
        <v>C1588C</v>
      </c>
    </row>
    <row r="23">
      <c r="A23" s="14">
        <v>21.0</v>
      </c>
      <c r="B23" s="14" t="s">
        <v>1466</v>
      </c>
      <c r="C23" t="str">
        <f t="shared" si="1"/>
        <v>C1588D</v>
      </c>
    </row>
    <row r="24">
      <c r="A24" s="35">
        <v>22.0</v>
      </c>
      <c r="B24" s="197" t="s">
        <v>1475</v>
      </c>
      <c r="C24" s="39" t="str">
        <f t="shared" si="1"/>
        <v>C1588E</v>
      </c>
    </row>
    <row r="25">
      <c r="A25" s="14">
        <v>23.0</v>
      </c>
      <c r="B25" s="103" t="s">
        <v>1477</v>
      </c>
      <c r="C25" t="str">
        <f t="shared" si="1"/>
        <v>C1588F</v>
      </c>
    </row>
    <row r="26">
      <c r="A26" s="35">
        <v>24.0</v>
      </c>
      <c r="B26" s="197" t="s">
        <v>840</v>
      </c>
      <c r="C26" s="39" t="str">
        <f t="shared" si="1"/>
        <v>C15890</v>
      </c>
    </row>
    <row r="27">
      <c r="A27" s="14">
        <v>25.0</v>
      </c>
      <c r="B27" s="103" t="s">
        <v>1481</v>
      </c>
      <c r="C27" t="str">
        <f t="shared" si="1"/>
        <v>C15891</v>
      </c>
    </row>
    <row r="28">
      <c r="A28" s="35">
        <v>26.0</v>
      </c>
      <c r="B28" s="197" t="s">
        <v>822</v>
      </c>
      <c r="C28" s="39" t="str">
        <f t="shared" si="1"/>
        <v>C15892</v>
      </c>
    </row>
    <row r="29">
      <c r="A29" s="14">
        <v>27.0</v>
      </c>
      <c r="B29" s="103" t="s">
        <v>854</v>
      </c>
      <c r="C29" t="str">
        <f t="shared" si="1"/>
        <v>C15893</v>
      </c>
    </row>
    <row r="30">
      <c r="A30" s="35">
        <v>28.0</v>
      </c>
      <c r="B30" s="197" t="s">
        <v>823</v>
      </c>
      <c r="C30" s="39" t="str">
        <f t="shared" si="1"/>
        <v>C15894</v>
      </c>
    </row>
    <row r="31">
      <c r="A31" s="14">
        <v>29.0</v>
      </c>
      <c r="B31" s="103" t="s">
        <v>817</v>
      </c>
      <c r="C31" t="str">
        <f t="shared" si="1"/>
        <v>C15895</v>
      </c>
    </row>
    <row r="32">
      <c r="A32" s="35">
        <v>30.0</v>
      </c>
      <c r="B32" s="197" t="s">
        <v>786</v>
      </c>
      <c r="C32" s="39" t="str">
        <f t="shared" si="1"/>
        <v>C15896</v>
      </c>
    </row>
    <row r="33">
      <c r="A33" s="14">
        <v>31.0</v>
      </c>
      <c r="B33" s="103" t="s">
        <v>827</v>
      </c>
      <c r="C33" t="str">
        <f t="shared" si="1"/>
        <v>C15897</v>
      </c>
    </row>
    <row r="34">
      <c r="A34" s="35">
        <v>32.0</v>
      </c>
      <c r="B34" s="197" t="s">
        <v>1500</v>
      </c>
      <c r="C34" s="39" t="str">
        <f t="shared" si="1"/>
        <v>C15898</v>
      </c>
    </row>
    <row r="35">
      <c r="A35" s="14">
        <v>33.0</v>
      </c>
      <c r="B35" s="103" t="s">
        <v>807</v>
      </c>
      <c r="C35" t="str">
        <f t="shared" si="1"/>
        <v>C15899</v>
      </c>
    </row>
    <row r="36">
      <c r="A36" s="35">
        <v>34.0</v>
      </c>
      <c r="B36" s="197" t="s">
        <v>833</v>
      </c>
      <c r="C36" s="39" t="str">
        <f t="shared" si="1"/>
        <v>C1589A</v>
      </c>
    </row>
    <row r="37">
      <c r="A37" s="14">
        <v>35.0</v>
      </c>
      <c r="B37" s="103" t="s">
        <v>1504</v>
      </c>
      <c r="C37" t="str">
        <f t="shared" si="1"/>
        <v>C1589B</v>
      </c>
    </row>
    <row r="38">
      <c r="A38" s="35">
        <v>36.0</v>
      </c>
      <c r="B38" s="197" t="s">
        <v>784</v>
      </c>
      <c r="C38" s="39" t="str">
        <f t="shared" si="1"/>
        <v>C1589C</v>
      </c>
    </row>
    <row r="39">
      <c r="A39" s="14">
        <v>37.0</v>
      </c>
      <c r="B39" s="103" t="s">
        <v>1507</v>
      </c>
      <c r="C39" t="str">
        <f t="shared" si="1"/>
        <v>C1589D</v>
      </c>
    </row>
    <row r="40">
      <c r="A40" s="35">
        <v>38.0</v>
      </c>
      <c r="B40" s="197" t="s">
        <v>856</v>
      </c>
      <c r="C40" s="39" t="str">
        <f t="shared" si="1"/>
        <v>C1589E</v>
      </c>
    </row>
    <row r="41">
      <c r="A41" s="14">
        <v>39.0</v>
      </c>
      <c r="B41" s="103" t="s">
        <v>821</v>
      </c>
      <c r="C41" t="str">
        <f t="shared" si="1"/>
        <v>C1589F</v>
      </c>
    </row>
    <row r="42">
      <c r="A42" s="35">
        <v>40.0</v>
      </c>
      <c r="B42" s="197" t="s">
        <v>1511</v>
      </c>
      <c r="C42" s="39" t="str">
        <f t="shared" si="1"/>
        <v>C158A0</v>
      </c>
    </row>
    <row r="43">
      <c r="A43" s="14">
        <v>41.0</v>
      </c>
      <c r="B43" s="103" t="s">
        <v>814</v>
      </c>
      <c r="C43" t="str">
        <f t="shared" si="1"/>
        <v>C158A1</v>
      </c>
    </row>
    <row r="44">
      <c r="A44" s="35">
        <v>42.0</v>
      </c>
      <c r="B44" s="197" t="s">
        <v>858</v>
      </c>
      <c r="C44" s="39" t="str">
        <f t="shared" si="1"/>
        <v>C158A2</v>
      </c>
    </row>
    <row r="45">
      <c r="A45" s="14">
        <v>43.0</v>
      </c>
      <c r="B45" s="103" t="s">
        <v>858</v>
      </c>
      <c r="C45" t="str">
        <f t="shared" si="1"/>
        <v>C158A3</v>
      </c>
      <c r="D45" s="14" t="s">
        <v>1926</v>
      </c>
    </row>
    <row r="46">
      <c r="A46" s="35">
        <v>44.0</v>
      </c>
      <c r="B46" s="197" t="s">
        <v>847</v>
      </c>
      <c r="C46" s="39" t="str">
        <f t="shared" si="1"/>
        <v>C158A4</v>
      </c>
    </row>
    <row r="47">
      <c r="A47" s="14">
        <v>45.0</v>
      </c>
      <c r="B47" s="103" t="s">
        <v>801</v>
      </c>
      <c r="C47" t="str">
        <f t="shared" si="1"/>
        <v>C158A5</v>
      </c>
    </row>
    <row r="48">
      <c r="A48" s="35">
        <v>46.0</v>
      </c>
      <c r="B48" s="197" t="s">
        <v>1517</v>
      </c>
      <c r="C48" s="39" t="str">
        <f t="shared" si="1"/>
        <v>C158A6</v>
      </c>
    </row>
    <row r="49">
      <c r="A49" s="14">
        <v>47.0</v>
      </c>
      <c r="B49" s="103" t="s">
        <v>824</v>
      </c>
      <c r="C49" t="str">
        <f t="shared" si="1"/>
        <v>C158A7</v>
      </c>
    </row>
    <row r="50">
      <c r="A50" s="35">
        <v>48.0</v>
      </c>
      <c r="B50" s="197" t="s">
        <v>850</v>
      </c>
      <c r="C50" s="39" t="str">
        <f t="shared" si="1"/>
        <v>C158A8</v>
      </c>
    </row>
    <row r="51">
      <c r="A51" s="14">
        <v>49.0</v>
      </c>
      <c r="B51" s="103" t="s">
        <v>1521</v>
      </c>
      <c r="C51" t="str">
        <f t="shared" si="1"/>
        <v>C158A9</v>
      </c>
    </row>
    <row r="52">
      <c r="A52" s="35">
        <v>50.0</v>
      </c>
      <c r="B52" s="197" t="s">
        <v>831</v>
      </c>
      <c r="C52" s="39" t="str">
        <f t="shared" si="1"/>
        <v>C158AA</v>
      </c>
    </row>
    <row r="53">
      <c r="A53" s="14">
        <v>51.0</v>
      </c>
      <c r="B53" s="103" t="s">
        <v>863</v>
      </c>
      <c r="C53" t="str">
        <f t="shared" si="1"/>
        <v>C158AB</v>
      </c>
    </row>
    <row r="54">
      <c r="A54" s="35">
        <v>52.0</v>
      </c>
      <c r="B54" s="197" t="s">
        <v>795</v>
      </c>
      <c r="C54" s="39" t="str">
        <f t="shared" si="1"/>
        <v>C158AC</v>
      </c>
    </row>
    <row r="55">
      <c r="A55" s="14">
        <v>53.0</v>
      </c>
      <c r="B55" s="103" t="s">
        <v>848</v>
      </c>
      <c r="C55" t="str">
        <f t="shared" si="1"/>
        <v>C158AD</v>
      </c>
    </row>
    <row r="56">
      <c r="A56" s="35">
        <v>54.0</v>
      </c>
      <c r="B56" s="197" t="s">
        <v>855</v>
      </c>
      <c r="C56" s="39" t="str">
        <f t="shared" si="1"/>
        <v>C158AE</v>
      </c>
    </row>
    <row r="57">
      <c r="A57" s="14">
        <v>55.0</v>
      </c>
      <c r="B57" s="103" t="s">
        <v>1528</v>
      </c>
      <c r="C57" t="str">
        <f t="shared" si="1"/>
        <v>C158AF</v>
      </c>
    </row>
    <row r="58">
      <c r="A58" s="35">
        <v>56.0</v>
      </c>
      <c r="B58" s="197" t="s">
        <v>803</v>
      </c>
      <c r="C58" s="39" t="str">
        <f t="shared" si="1"/>
        <v>C158B0</v>
      </c>
    </row>
    <row r="59">
      <c r="A59" s="14">
        <v>57.0</v>
      </c>
      <c r="B59" s="103" t="s">
        <v>865</v>
      </c>
      <c r="C59" t="str">
        <f t="shared" si="1"/>
        <v>C158B1</v>
      </c>
    </row>
    <row r="60">
      <c r="A60" s="35">
        <v>58.0</v>
      </c>
      <c r="B60" s="197" t="s">
        <v>794</v>
      </c>
      <c r="C60" s="39" t="str">
        <f t="shared" si="1"/>
        <v>C158B2</v>
      </c>
    </row>
    <row r="61">
      <c r="A61" s="14">
        <v>59.0</v>
      </c>
      <c r="B61" s="103" t="s">
        <v>866</v>
      </c>
      <c r="C61" t="str">
        <f t="shared" si="1"/>
        <v>C158B3</v>
      </c>
    </row>
    <row r="62">
      <c r="A62" s="35">
        <v>60.0</v>
      </c>
      <c r="B62" s="197" t="s">
        <v>1534</v>
      </c>
      <c r="C62" s="39" t="str">
        <f t="shared" si="1"/>
        <v>C158B4</v>
      </c>
    </row>
    <row r="63">
      <c r="A63" s="14">
        <v>61.0</v>
      </c>
      <c r="B63" s="103" t="s">
        <v>859</v>
      </c>
      <c r="C63" t="str">
        <f t="shared" si="1"/>
        <v>C158B5</v>
      </c>
    </row>
    <row r="64">
      <c r="A64" s="35">
        <v>62.0</v>
      </c>
      <c r="B64" s="197" t="s">
        <v>1537</v>
      </c>
      <c r="C64" s="39" t="str">
        <f t="shared" si="1"/>
        <v>C158B6</v>
      </c>
    </row>
    <row r="65">
      <c r="A65" s="14">
        <v>63.0</v>
      </c>
      <c r="B65" s="103" t="s">
        <v>808</v>
      </c>
      <c r="C65" t="str">
        <f t="shared" si="1"/>
        <v>C158B7</v>
      </c>
    </row>
    <row r="66">
      <c r="A66" s="35">
        <v>64.0</v>
      </c>
      <c r="B66" s="197" t="s">
        <v>1540</v>
      </c>
      <c r="C66" s="39" t="str">
        <f t="shared" si="1"/>
        <v>C158B8</v>
      </c>
    </row>
    <row r="67">
      <c r="A67" s="14">
        <v>65.0</v>
      </c>
      <c r="B67" s="103" t="s">
        <v>1542</v>
      </c>
      <c r="C67" t="str">
        <f t="shared" si="1"/>
        <v>C158B9</v>
      </c>
    </row>
    <row r="68">
      <c r="A68" s="35">
        <v>66.0</v>
      </c>
      <c r="B68" s="197" t="s">
        <v>810</v>
      </c>
      <c r="C68" s="39" t="str">
        <f t="shared" si="1"/>
        <v>C158BA</v>
      </c>
    </row>
    <row r="69">
      <c r="A69" s="14">
        <v>67.0</v>
      </c>
      <c r="B69" s="103" t="s">
        <v>869</v>
      </c>
      <c r="C69" t="str">
        <f t="shared" si="1"/>
        <v>C158BB</v>
      </c>
    </row>
    <row r="70">
      <c r="A70" s="35">
        <v>68.0</v>
      </c>
      <c r="B70" s="197" t="s">
        <v>791</v>
      </c>
      <c r="C70" s="39" t="str">
        <f t="shared" si="1"/>
        <v>C158BC</v>
      </c>
    </row>
    <row r="71">
      <c r="A71" s="14">
        <v>69.0</v>
      </c>
      <c r="B71" s="103" t="s">
        <v>806</v>
      </c>
      <c r="C71" t="str">
        <f t="shared" si="1"/>
        <v>C158BD</v>
      </c>
    </row>
    <row r="72">
      <c r="A72" s="35">
        <v>70.0</v>
      </c>
      <c r="B72" s="197" t="s">
        <v>1548</v>
      </c>
      <c r="C72" s="39" t="str">
        <f t="shared" si="1"/>
        <v>C158BE</v>
      </c>
    </row>
    <row r="73">
      <c r="A73" s="14">
        <v>71.0</v>
      </c>
      <c r="B73" s="103" t="s">
        <v>870</v>
      </c>
      <c r="C73" t="str">
        <f t="shared" si="1"/>
        <v>C158BF</v>
      </c>
    </row>
    <row r="74">
      <c r="A74" s="35">
        <v>72.0</v>
      </c>
      <c r="B74" s="197" t="s">
        <v>787</v>
      </c>
      <c r="C74" s="39" t="str">
        <f t="shared" si="1"/>
        <v>C158C0</v>
      </c>
    </row>
    <row r="75">
      <c r="A75" s="14">
        <v>73.0</v>
      </c>
      <c r="B75" s="103" t="s">
        <v>839</v>
      </c>
      <c r="C75" t="str">
        <f t="shared" si="1"/>
        <v>C158C1</v>
      </c>
    </row>
    <row r="76">
      <c r="A76" s="35">
        <v>74.0</v>
      </c>
      <c r="B76" s="197" t="s">
        <v>1553</v>
      </c>
      <c r="C76" s="39" t="str">
        <f t="shared" si="1"/>
        <v>C158C2</v>
      </c>
    </row>
    <row r="77">
      <c r="A77" s="14">
        <v>75.0</v>
      </c>
      <c r="B77" s="103" t="s">
        <v>849</v>
      </c>
      <c r="C77" t="str">
        <f t="shared" si="1"/>
        <v>C158C3</v>
      </c>
    </row>
    <row r="78">
      <c r="A78" s="35">
        <v>76.0</v>
      </c>
      <c r="B78" s="197" t="s">
        <v>812</v>
      </c>
      <c r="C78" s="39" t="str">
        <f t="shared" si="1"/>
        <v>C158C4</v>
      </c>
    </row>
    <row r="79">
      <c r="A79" s="14">
        <v>77.0</v>
      </c>
      <c r="B79" s="103" t="s">
        <v>874</v>
      </c>
      <c r="C79" t="str">
        <f t="shared" si="1"/>
        <v>C158C5</v>
      </c>
    </row>
    <row r="80">
      <c r="A80" s="35">
        <v>78.0</v>
      </c>
      <c r="B80" s="197" t="s">
        <v>1559</v>
      </c>
      <c r="C80" s="39" t="str">
        <f t="shared" si="1"/>
        <v>C158C6</v>
      </c>
    </row>
    <row r="81">
      <c r="A81" s="14">
        <v>79.0</v>
      </c>
      <c r="B81" s="103" t="s">
        <v>872</v>
      </c>
      <c r="C81" t="str">
        <f t="shared" si="1"/>
        <v>C158C7</v>
      </c>
    </row>
    <row r="82">
      <c r="A82" s="35">
        <v>80.0</v>
      </c>
      <c r="B82" s="197" t="s">
        <v>1562</v>
      </c>
      <c r="C82" s="39" t="str">
        <f t="shared" si="1"/>
        <v>C158C8</v>
      </c>
    </row>
    <row r="83">
      <c r="A83" s="14">
        <v>81.0</v>
      </c>
      <c r="B83" s="103" t="s">
        <v>837</v>
      </c>
      <c r="C83" t="str">
        <f t="shared" si="1"/>
        <v>C158C9</v>
      </c>
    </row>
    <row r="84">
      <c r="A84" s="35">
        <v>82.0</v>
      </c>
      <c r="B84" s="197" t="s">
        <v>1565</v>
      </c>
      <c r="C84" s="39" t="str">
        <f t="shared" si="1"/>
        <v>C158CA</v>
      </c>
    </row>
    <row r="85">
      <c r="A85" s="14">
        <v>83.0</v>
      </c>
      <c r="B85" s="103" t="s">
        <v>798</v>
      </c>
      <c r="C85" t="str">
        <f t="shared" si="1"/>
        <v>C158CB</v>
      </c>
    </row>
    <row r="86">
      <c r="A86" s="14">
        <v>84.0</v>
      </c>
      <c r="C86" t="str">
        <f t="shared" si="1"/>
        <v>C158CC</v>
      </c>
    </row>
    <row r="87">
      <c r="A87" s="14">
        <v>85.0</v>
      </c>
      <c r="C87" t="str">
        <f t="shared" si="1"/>
        <v>C158CD</v>
      </c>
    </row>
    <row r="88">
      <c r="A88" s="14">
        <v>86.0</v>
      </c>
      <c r="C88" t="str">
        <f t="shared" si="1"/>
        <v>C158CE</v>
      </c>
    </row>
    <row r="89">
      <c r="A89" s="14">
        <v>87.0</v>
      </c>
      <c r="C89" t="str">
        <f t="shared" si="1"/>
        <v>C158CF</v>
      </c>
    </row>
    <row r="90">
      <c r="A90" s="14">
        <v>88.0</v>
      </c>
      <c r="C90" t="str">
        <f t="shared" si="1"/>
        <v>C158D0</v>
      </c>
    </row>
    <row r="91">
      <c r="A91" s="14">
        <v>89.0</v>
      </c>
      <c r="C91" t="str">
        <f t="shared" si="1"/>
        <v>C158D1</v>
      </c>
    </row>
    <row r="92">
      <c r="A92" s="14">
        <v>90.0</v>
      </c>
      <c r="C92" t="str">
        <f t="shared" si="1"/>
        <v>C158D2</v>
      </c>
    </row>
    <row r="93">
      <c r="A93" s="14">
        <v>91.0</v>
      </c>
      <c r="C93" t="str">
        <f t="shared" si="1"/>
        <v>C158D3</v>
      </c>
    </row>
    <row r="94">
      <c r="A94" s="14">
        <v>92.0</v>
      </c>
      <c r="C94" t="str">
        <f t="shared" si="1"/>
        <v>C158D4</v>
      </c>
    </row>
    <row r="95">
      <c r="A95" s="14">
        <v>93.0</v>
      </c>
      <c r="C95" t="str">
        <f t="shared" si="1"/>
        <v>C158D5</v>
      </c>
    </row>
    <row r="96">
      <c r="A96" s="14">
        <v>94.0</v>
      </c>
      <c r="C96" t="str">
        <f t="shared" si="1"/>
        <v>C158D6</v>
      </c>
    </row>
    <row r="97">
      <c r="A97" s="14">
        <v>95.0</v>
      </c>
      <c r="C97" t="str">
        <f t="shared" si="1"/>
        <v>C158D7</v>
      </c>
    </row>
    <row r="98">
      <c r="A98" s="14">
        <v>96.0</v>
      </c>
      <c r="C98" t="str">
        <f t="shared" si="1"/>
        <v>C158D8</v>
      </c>
    </row>
    <row r="99">
      <c r="A99" s="14">
        <v>97.0</v>
      </c>
      <c r="C99" t="str">
        <f t="shared" si="1"/>
        <v>C158D9</v>
      </c>
    </row>
    <row r="100">
      <c r="A100" s="14">
        <v>98.0</v>
      </c>
      <c r="C100" t="str">
        <f t="shared" si="1"/>
        <v>C158DA</v>
      </c>
    </row>
    <row r="101">
      <c r="A101" s="14">
        <v>99.0</v>
      </c>
      <c r="C101" t="str">
        <f t="shared" si="1"/>
        <v>C158DB</v>
      </c>
    </row>
    <row r="102">
      <c r="A102" s="14">
        <v>100.0</v>
      </c>
      <c r="C102" t="str">
        <f t="shared" si="1"/>
        <v>C158DC</v>
      </c>
    </row>
    <row r="103">
      <c r="A103" s="14">
        <v>101.0</v>
      </c>
      <c r="C103" t="str">
        <f t="shared" si="1"/>
        <v>C158DD</v>
      </c>
    </row>
    <row r="104">
      <c r="A104" s="14">
        <v>102.0</v>
      </c>
      <c r="C104" t="str">
        <f t="shared" si="1"/>
        <v>C158DE</v>
      </c>
    </row>
    <row r="105">
      <c r="A105" s="14">
        <v>103.0</v>
      </c>
      <c r="C105" t="str">
        <f t="shared" si="1"/>
        <v>C158DF</v>
      </c>
    </row>
    <row r="106">
      <c r="A106" s="14">
        <v>104.0</v>
      </c>
      <c r="C106" t="str">
        <f t="shared" si="1"/>
        <v>C158E0</v>
      </c>
    </row>
    <row r="107">
      <c r="A107" s="14">
        <v>105.0</v>
      </c>
      <c r="C107" t="str">
        <f t="shared" si="1"/>
        <v>C158E1</v>
      </c>
    </row>
    <row r="108">
      <c r="A108" s="14">
        <v>106.0</v>
      </c>
      <c r="C108" t="str">
        <f t="shared" si="1"/>
        <v>C158E2</v>
      </c>
    </row>
    <row r="109">
      <c r="A109" s="14">
        <v>107.0</v>
      </c>
      <c r="C109" t="str">
        <f t="shared" si="1"/>
        <v>C158E3</v>
      </c>
    </row>
    <row r="110">
      <c r="A110" s="14">
        <v>108.0</v>
      </c>
      <c r="C110" t="str">
        <f t="shared" si="1"/>
        <v>C158E4</v>
      </c>
    </row>
    <row r="111">
      <c r="A111" s="14">
        <v>109.0</v>
      </c>
      <c r="C111" t="str">
        <f t="shared" si="1"/>
        <v>C158E5</v>
      </c>
    </row>
    <row r="112">
      <c r="A112" s="14">
        <v>110.0</v>
      </c>
      <c r="C112" t="str">
        <f t="shared" si="1"/>
        <v>C158E6</v>
      </c>
    </row>
    <row r="113">
      <c r="A113" s="14">
        <v>111.0</v>
      </c>
      <c r="C113" t="str">
        <f t="shared" si="1"/>
        <v>C158E7</v>
      </c>
    </row>
    <row r="114">
      <c r="A114" s="14">
        <v>112.0</v>
      </c>
      <c r="C114" t="str">
        <f t="shared" si="1"/>
        <v>C158E8</v>
      </c>
    </row>
    <row r="115">
      <c r="A115" s="14">
        <v>113.0</v>
      </c>
      <c r="C115" t="str">
        <f t="shared" si="1"/>
        <v>C158E9</v>
      </c>
    </row>
    <row r="116">
      <c r="A116" s="14">
        <v>114.0</v>
      </c>
      <c r="C116" t="str">
        <f t="shared" si="1"/>
        <v>C158EA</v>
      </c>
    </row>
    <row r="117">
      <c r="A117" s="14">
        <v>115.0</v>
      </c>
      <c r="C117" t="str">
        <f t="shared" si="1"/>
        <v>C158EB</v>
      </c>
    </row>
    <row r="118">
      <c r="A118" s="14">
        <v>116.0</v>
      </c>
      <c r="C118" t="str">
        <f t="shared" si="1"/>
        <v>C158EC</v>
      </c>
    </row>
    <row r="119">
      <c r="A119" s="14">
        <v>117.0</v>
      </c>
      <c r="C119" t="str">
        <f t="shared" si="1"/>
        <v>C158ED</v>
      </c>
    </row>
    <row r="120">
      <c r="A120" s="14">
        <v>118.0</v>
      </c>
      <c r="C120" t="str">
        <f t="shared" si="1"/>
        <v>C158EE</v>
      </c>
    </row>
    <row r="121">
      <c r="A121" s="14">
        <v>119.0</v>
      </c>
      <c r="C121" t="str">
        <f t="shared" si="1"/>
        <v>C158EF</v>
      </c>
    </row>
    <row r="122">
      <c r="A122" s="14">
        <v>120.0</v>
      </c>
      <c r="C122" t="str">
        <f t="shared" si="1"/>
        <v>C158F0</v>
      </c>
    </row>
    <row r="123">
      <c r="A123" s="14">
        <v>121.0</v>
      </c>
      <c r="C123" t="str">
        <f t="shared" si="1"/>
        <v>C158F1</v>
      </c>
    </row>
    <row r="124">
      <c r="A124" s="14">
        <v>122.0</v>
      </c>
      <c r="C124" t="str">
        <f t="shared" si="1"/>
        <v>C158F2</v>
      </c>
    </row>
    <row r="125">
      <c r="A125" s="14">
        <v>123.0</v>
      </c>
      <c r="C125" t="str">
        <f t="shared" si="1"/>
        <v>C158F3</v>
      </c>
    </row>
    <row r="126">
      <c r="A126" s="14">
        <v>124.0</v>
      </c>
      <c r="C126" t="str">
        <f t="shared" si="1"/>
        <v>C158F4</v>
      </c>
    </row>
    <row r="127">
      <c r="A127" s="14">
        <v>125.0</v>
      </c>
      <c r="C127" t="str">
        <f t="shared" si="1"/>
        <v>C158F5</v>
      </c>
    </row>
    <row r="128">
      <c r="A128" s="14">
        <v>126.0</v>
      </c>
      <c r="C128" t="str">
        <f t="shared" si="1"/>
        <v>C158F6</v>
      </c>
    </row>
    <row r="129">
      <c r="A129" s="14">
        <v>127.0</v>
      </c>
      <c r="C129" t="str">
        <f t="shared" si="1"/>
        <v>C158F7</v>
      </c>
    </row>
    <row r="130">
      <c r="A130" s="14">
        <v>128.0</v>
      </c>
      <c r="C130" t="str">
        <f t="shared" si="1"/>
        <v>C158F8</v>
      </c>
    </row>
    <row r="131">
      <c r="A131" s="14">
        <v>129.0</v>
      </c>
      <c r="C131" t="str">
        <f t="shared" si="1"/>
        <v>C158F9</v>
      </c>
    </row>
    <row r="132">
      <c r="A132" s="14">
        <v>130.0</v>
      </c>
      <c r="C132" t="str">
        <f t="shared" si="1"/>
        <v>C158FA</v>
      </c>
    </row>
    <row r="133">
      <c r="A133" s="14">
        <v>131.0</v>
      </c>
      <c r="C133" t="str">
        <f t="shared" si="1"/>
        <v>C158FB</v>
      </c>
    </row>
    <row r="134">
      <c r="A134" s="14">
        <v>132.0</v>
      </c>
      <c r="C134" t="str">
        <f t="shared" si="1"/>
        <v>C158FC</v>
      </c>
    </row>
    <row r="135">
      <c r="A135" s="14">
        <v>133.0</v>
      </c>
      <c r="C135" t="str">
        <f t="shared" si="1"/>
        <v>C158FD</v>
      </c>
    </row>
    <row r="136">
      <c r="A136" s="14">
        <v>134.0</v>
      </c>
      <c r="C136" t="str">
        <f t="shared" si="1"/>
        <v>C158FE</v>
      </c>
    </row>
    <row r="137">
      <c r="A137" s="14">
        <v>135.0</v>
      </c>
      <c r="C137" t="str">
        <f t="shared" si="1"/>
        <v>C158FF</v>
      </c>
    </row>
    <row r="138">
      <c r="A138" s="14">
        <v>136.0</v>
      </c>
      <c r="C138" t="str">
        <f t="shared" si="1"/>
        <v>C15900</v>
      </c>
    </row>
    <row r="139">
      <c r="A139" s="14">
        <v>137.0</v>
      </c>
      <c r="C139" t="str">
        <f t="shared" si="1"/>
        <v>C15901</v>
      </c>
    </row>
    <row r="140">
      <c r="A140" s="14">
        <v>138.0</v>
      </c>
      <c r="C140" t="str">
        <f t="shared" si="1"/>
        <v>C15902</v>
      </c>
    </row>
    <row r="141">
      <c r="A141" s="14">
        <v>139.0</v>
      </c>
      <c r="C141" t="str">
        <f t="shared" si="1"/>
        <v>C15903</v>
      </c>
    </row>
    <row r="142">
      <c r="A142" s="14">
        <v>140.0</v>
      </c>
      <c r="C142" t="str">
        <f t="shared" si="1"/>
        <v>C15904</v>
      </c>
    </row>
    <row r="143">
      <c r="A143" s="14">
        <v>141.0</v>
      </c>
      <c r="C143" t="str">
        <f t="shared" si="1"/>
        <v>C15905</v>
      </c>
    </row>
    <row r="144">
      <c r="A144" s="14">
        <v>142.0</v>
      </c>
      <c r="C144" t="str">
        <f t="shared" si="1"/>
        <v>C15906</v>
      </c>
    </row>
    <row r="145">
      <c r="A145" s="14">
        <v>143.0</v>
      </c>
      <c r="C145" t="str">
        <f t="shared" si="1"/>
        <v>C15907</v>
      </c>
    </row>
    <row r="146">
      <c r="A146" s="14">
        <v>144.0</v>
      </c>
      <c r="C146" t="str">
        <f t="shared" si="1"/>
        <v>C15908</v>
      </c>
    </row>
    <row r="147">
      <c r="A147" s="14">
        <v>145.0</v>
      </c>
      <c r="C147" t="str">
        <f t="shared" si="1"/>
        <v>C15909</v>
      </c>
    </row>
    <row r="148">
      <c r="A148" s="14">
        <v>146.0</v>
      </c>
      <c r="C148" t="str">
        <f t="shared" si="1"/>
        <v>C1590A</v>
      </c>
    </row>
    <row r="149">
      <c r="A149" s="14">
        <v>147.0</v>
      </c>
      <c r="C149" t="str">
        <f t="shared" si="1"/>
        <v>C1590B</v>
      </c>
    </row>
    <row r="150">
      <c r="A150" s="14">
        <v>148.0</v>
      </c>
      <c r="C150" t="str">
        <f t="shared" si="1"/>
        <v>C1590C</v>
      </c>
    </row>
    <row r="151">
      <c r="A151" s="14">
        <v>149.0</v>
      </c>
      <c r="C151" t="str">
        <f t="shared" si="1"/>
        <v>C1590D</v>
      </c>
    </row>
    <row r="152">
      <c r="A152" s="14">
        <v>150.0</v>
      </c>
      <c r="C152" t="str">
        <f t="shared" si="1"/>
        <v>C1590E</v>
      </c>
    </row>
    <row r="153">
      <c r="A153" s="14">
        <v>151.0</v>
      </c>
      <c r="C153" t="str">
        <f t="shared" si="1"/>
        <v>C1590F</v>
      </c>
    </row>
    <row r="154">
      <c r="A154" s="14">
        <v>152.0</v>
      </c>
      <c r="B154" s="14"/>
      <c r="C154" t="str">
        <f t="shared" si="1"/>
        <v>C15910</v>
      </c>
    </row>
    <row r="155">
      <c r="A155" s="14">
        <v>153.0</v>
      </c>
      <c r="B155" s="14"/>
      <c r="C155" t="str">
        <f t="shared" si="1"/>
        <v>C15911</v>
      </c>
    </row>
    <row r="156">
      <c r="A156" s="14">
        <v>154.0</v>
      </c>
      <c r="B156" s="14"/>
      <c r="C156" t="str">
        <f t="shared" si="1"/>
        <v>C15912</v>
      </c>
    </row>
    <row r="157">
      <c r="A157" s="14">
        <v>155.0</v>
      </c>
      <c r="B157" s="14"/>
      <c r="C157" t="str">
        <f t="shared" si="1"/>
        <v>C15913</v>
      </c>
    </row>
    <row r="158">
      <c r="A158" s="14">
        <v>156.0</v>
      </c>
      <c r="B158" s="14"/>
      <c r="C158" t="str">
        <f t="shared" si="1"/>
        <v>C15914</v>
      </c>
    </row>
    <row r="159">
      <c r="A159" s="14">
        <v>157.0</v>
      </c>
      <c r="B159" s="14"/>
      <c r="C159" t="str">
        <f t="shared" si="1"/>
        <v>C15915</v>
      </c>
    </row>
    <row r="160">
      <c r="A160" s="14">
        <v>158.0</v>
      </c>
      <c r="B160" s="14"/>
      <c r="C160" t="str">
        <f t="shared" si="1"/>
        <v>C15916</v>
      </c>
    </row>
    <row r="161">
      <c r="A161" s="14">
        <v>159.0</v>
      </c>
      <c r="B161" s="14"/>
      <c r="C161" t="str">
        <f t="shared" si="1"/>
        <v>C15917</v>
      </c>
    </row>
    <row r="162">
      <c r="A162" s="14">
        <v>160.0</v>
      </c>
      <c r="B162" s="14"/>
      <c r="C162" t="str">
        <f t="shared" si="1"/>
        <v>C15918</v>
      </c>
    </row>
    <row r="163">
      <c r="A163" s="14">
        <v>161.0</v>
      </c>
      <c r="B163" s="14"/>
      <c r="C163" t="str">
        <f t="shared" si="1"/>
        <v>C15919</v>
      </c>
    </row>
    <row r="164">
      <c r="A164" s="14">
        <v>162.0</v>
      </c>
      <c r="B164" s="14"/>
      <c r="C164" t="str">
        <f t="shared" si="1"/>
        <v>C1591A</v>
      </c>
    </row>
    <row r="165">
      <c r="A165" s="14">
        <v>163.0</v>
      </c>
      <c r="B165" s="14"/>
      <c r="C165" t="str">
        <f t="shared" si="1"/>
        <v>C1591B</v>
      </c>
    </row>
    <row r="166">
      <c r="A166" s="14">
        <v>164.0</v>
      </c>
      <c r="B166" s="14"/>
      <c r="C166" t="str">
        <f t="shared" si="1"/>
        <v>C1591C</v>
      </c>
    </row>
    <row r="167">
      <c r="A167" s="14">
        <v>165.0</v>
      </c>
      <c r="B167" s="14"/>
      <c r="C167" t="str">
        <f t="shared" si="1"/>
        <v>C1591D</v>
      </c>
    </row>
    <row r="168">
      <c r="A168" s="14">
        <v>166.0</v>
      </c>
      <c r="B168" s="14"/>
      <c r="C168" t="str">
        <f t="shared" si="1"/>
        <v>C1591E</v>
      </c>
    </row>
    <row r="169">
      <c r="A169" s="14">
        <v>167.0</v>
      </c>
      <c r="B169" s="14"/>
      <c r="C169" t="str">
        <f t="shared" si="1"/>
        <v>C1591F</v>
      </c>
    </row>
    <row r="170">
      <c r="A170" s="14">
        <v>168.0</v>
      </c>
      <c r="B170" s="14"/>
      <c r="C170" t="str">
        <f t="shared" si="1"/>
        <v>C15920</v>
      </c>
    </row>
    <row r="171">
      <c r="A171" s="14">
        <v>169.0</v>
      </c>
      <c r="B171" s="14"/>
      <c r="C171" t="str">
        <f t="shared" si="1"/>
        <v>C15921</v>
      </c>
    </row>
    <row r="172">
      <c r="A172" s="14">
        <v>170.0</v>
      </c>
      <c r="B172" s="14"/>
      <c r="C172" t="str">
        <f t="shared" si="1"/>
        <v>C15922</v>
      </c>
    </row>
    <row r="173">
      <c r="A173" s="14">
        <v>171.0</v>
      </c>
      <c r="B173" s="14" t="s">
        <v>1927</v>
      </c>
      <c r="C173" t="str">
        <f t="shared" si="1"/>
        <v>C15923</v>
      </c>
    </row>
    <row r="174">
      <c r="A174" s="14">
        <v>172.0</v>
      </c>
      <c r="B174" s="14" t="s">
        <v>1928</v>
      </c>
      <c r="C174" t="str">
        <f t="shared" si="1"/>
        <v>C15924</v>
      </c>
    </row>
    <row r="175">
      <c r="A175" s="14">
        <v>173.0</v>
      </c>
      <c r="B175" s="14" t="s">
        <v>1929</v>
      </c>
      <c r="C175" t="str">
        <f t="shared" si="1"/>
        <v>C15925</v>
      </c>
    </row>
    <row r="176">
      <c r="A176" s="14">
        <v>174.0</v>
      </c>
      <c r="B176" s="14" t="s">
        <v>1930</v>
      </c>
      <c r="C176" t="str">
        <f t="shared" si="1"/>
        <v>C15926</v>
      </c>
    </row>
    <row r="177">
      <c r="A177" s="14">
        <v>175.0</v>
      </c>
      <c r="B177" s="14" t="s">
        <v>1931</v>
      </c>
      <c r="C177" t="str">
        <f t="shared" si="1"/>
        <v>C15927</v>
      </c>
    </row>
    <row r="178">
      <c r="A178" s="14">
        <v>176.0</v>
      </c>
      <c r="B178" s="14" t="s">
        <v>1932</v>
      </c>
      <c r="C178" t="str">
        <f t="shared" si="1"/>
        <v>C15928</v>
      </c>
    </row>
    <row r="179">
      <c r="A179" s="14">
        <v>177.0</v>
      </c>
      <c r="B179" s="14" t="s">
        <v>1933</v>
      </c>
      <c r="C179" t="str">
        <f t="shared" si="1"/>
        <v>C15929</v>
      </c>
    </row>
    <row r="180">
      <c r="A180" s="14">
        <v>178.0</v>
      </c>
      <c r="B180" s="14" t="s">
        <v>1934</v>
      </c>
      <c r="C180" t="str">
        <f t="shared" si="1"/>
        <v>C1592A</v>
      </c>
    </row>
    <row r="181">
      <c r="A181" s="14">
        <v>179.0</v>
      </c>
      <c r="B181" s="14" t="s">
        <v>1935</v>
      </c>
      <c r="C181" t="str">
        <f t="shared" si="1"/>
        <v>C1592B</v>
      </c>
    </row>
    <row r="182">
      <c r="A182" s="14">
        <v>180.0</v>
      </c>
      <c r="B182" s="14" t="s">
        <v>1936</v>
      </c>
      <c r="C182" t="str">
        <f t="shared" si="1"/>
        <v>C1592C</v>
      </c>
    </row>
    <row r="183">
      <c r="A183" s="14">
        <v>181.0</v>
      </c>
      <c r="B183" s="14" t="s">
        <v>1937</v>
      </c>
      <c r="C183" t="str">
        <f t="shared" si="1"/>
        <v>C1592D</v>
      </c>
    </row>
    <row r="184">
      <c r="A184" s="14">
        <v>182.0</v>
      </c>
      <c r="B184" s="14" t="s">
        <v>1938</v>
      </c>
      <c r="C184" t="str">
        <f t="shared" si="1"/>
        <v>C1592E</v>
      </c>
    </row>
    <row r="185">
      <c r="A185" s="14">
        <v>183.0</v>
      </c>
      <c r="B185" s="14" t="s">
        <v>1939</v>
      </c>
      <c r="C185" t="str">
        <f t="shared" si="1"/>
        <v>C1592F</v>
      </c>
    </row>
    <row r="186">
      <c r="A186" s="14">
        <v>184.0</v>
      </c>
      <c r="B186" s="14" t="s">
        <v>1940</v>
      </c>
      <c r="C186" t="str">
        <f t="shared" si="1"/>
        <v>C15930</v>
      </c>
    </row>
    <row r="187">
      <c r="A187" s="14">
        <v>185.0</v>
      </c>
      <c r="B187" s="14" t="s">
        <v>1941</v>
      </c>
      <c r="C187" t="str">
        <f t="shared" si="1"/>
        <v>C15931</v>
      </c>
    </row>
    <row r="188">
      <c r="A188" s="14">
        <v>186.0</v>
      </c>
      <c r="B188" s="14" t="s">
        <v>1942</v>
      </c>
      <c r="C188" t="str">
        <f t="shared" si="1"/>
        <v>C15932</v>
      </c>
    </row>
    <row r="189">
      <c r="A189" s="14">
        <v>187.0</v>
      </c>
      <c r="B189" s="14" t="s">
        <v>1943</v>
      </c>
      <c r="C189" t="str">
        <f t="shared" si="1"/>
        <v>C15933</v>
      </c>
    </row>
    <row r="190">
      <c r="A190" s="14">
        <v>188.0</v>
      </c>
      <c r="B190" s="14" t="s">
        <v>1944</v>
      </c>
      <c r="C190" t="str">
        <f t="shared" si="1"/>
        <v>C15934</v>
      </c>
    </row>
    <row r="191">
      <c r="A191" s="14">
        <v>189.0</v>
      </c>
      <c r="B191" s="14" t="s">
        <v>1945</v>
      </c>
      <c r="C191" t="str">
        <f t="shared" si="1"/>
        <v>C15935</v>
      </c>
    </row>
    <row r="192">
      <c r="A192" s="14">
        <v>190.0</v>
      </c>
      <c r="B192" s="14" t="s">
        <v>1946</v>
      </c>
      <c r="C192" t="str">
        <f t="shared" si="1"/>
        <v>C15936</v>
      </c>
    </row>
    <row r="193">
      <c r="A193" s="14">
        <v>191.0</v>
      </c>
      <c r="B193" s="14" t="s">
        <v>1947</v>
      </c>
      <c r="C193" t="str">
        <f t="shared" si="1"/>
        <v>C15937</v>
      </c>
    </row>
    <row r="194">
      <c r="A194" s="14">
        <v>192.0</v>
      </c>
      <c r="B194" s="14" t="s">
        <v>1948</v>
      </c>
      <c r="C194" t="str">
        <f t="shared" si="1"/>
        <v>C15938</v>
      </c>
    </row>
    <row r="195">
      <c r="A195" s="14">
        <v>193.0</v>
      </c>
      <c r="B195" s="14" t="s">
        <v>1949</v>
      </c>
      <c r="C195" t="str">
        <f t="shared" si="1"/>
        <v>C15939</v>
      </c>
    </row>
    <row r="196">
      <c r="A196" s="14">
        <v>194.0</v>
      </c>
      <c r="B196" s="14" t="s">
        <v>1950</v>
      </c>
      <c r="C196" t="str">
        <f t="shared" si="1"/>
        <v>C1593A</v>
      </c>
    </row>
    <row r="197">
      <c r="A197" s="14">
        <v>195.0</v>
      </c>
      <c r="B197" s="14" t="s">
        <v>1951</v>
      </c>
      <c r="C197" t="str">
        <f t="shared" si="1"/>
        <v>C1593B</v>
      </c>
    </row>
    <row r="198">
      <c r="A198" s="14">
        <v>196.0</v>
      </c>
      <c r="B198" s="14" t="s">
        <v>1952</v>
      </c>
      <c r="C198" t="str">
        <f t="shared" si="1"/>
        <v>C1593C</v>
      </c>
    </row>
    <row r="199">
      <c r="A199" s="14">
        <v>197.0</v>
      </c>
      <c r="B199" s="14" t="s">
        <v>1953</v>
      </c>
      <c r="C199" t="str">
        <f t="shared" si="1"/>
        <v>C1593D</v>
      </c>
    </row>
    <row r="200">
      <c r="A200" s="14">
        <v>198.0</v>
      </c>
      <c r="B200" s="14" t="s">
        <v>1954</v>
      </c>
      <c r="C200" t="str">
        <f t="shared" si="1"/>
        <v>C1593E</v>
      </c>
    </row>
    <row r="201">
      <c r="A201" s="14">
        <v>199.0</v>
      </c>
      <c r="B201" s="14" t="s">
        <v>1955</v>
      </c>
      <c r="C201" t="str">
        <f t="shared" si="1"/>
        <v>C1593F</v>
      </c>
    </row>
    <row r="202">
      <c r="A202" s="14">
        <v>200.0</v>
      </c>
      <c r="B202" s="14" t="s">
        <v>1956</v>
      </c>
      <c r="C202" t="str">
        <f t="shared" si="1"/>
        <v>C15940</v>
      </c>
    </row>
    <row r="203">
      <c r="A203" s="14">
        <v>201.0</v>
      </c>
      <c r="B203" s="14" t="s">
        <v>1957</v>
      </c>
      <c r="C203" t="str">
        <f t="shared" si="1"/>
        <v>C15941</v>
      </c>
    </row>
    <row r="204">
      <c r="A204" s="14">
        <v>202.0</v>
      </c>
      <c r="B204" s="14" t="s">
        <v>1958</v>
      </c>
      <c r="C204" t="str">
        <f t="shared" si="1"/>
        <v>C15942</v>
      </c>
    </row>
    <row r="205">
      <c r="A205" s="14">
        <v>203.0</v>
      </c>
      <c r="B205" s="14" t="s">
        <v>1959</v>
      </c>
      <c r="C205" t="str">
        <f t="shared" si="1"/>
        <v>C15943</v>
      </c>
    </row>
    <row r="206">
      <c r="A206" s="14">
        <v>204.0</v>
      </c>
      <c r="B206" s="14" t="s">
        <v>1960</v>
      </c>
      <c r="C206" t="str">
        <f t="shared" si="1"/>
        <v>C15944</v>
      </c>
    </row>
    <row r="207">
      <c r="A207" s="14">
        <v>205.0</v>
      </c>
      <c r="B207" s="14" t="s">
        <v>1961</v>
      </c>
      <c r="C207" t="str">
        <f t="shared" si="1"/>
        <v>C15945</v>
      </c>
    </row>
    <row r="208">
      <c r="A208" s="14">
        <v>206.0</v>
      </c>
      <c r="B208" s="14" t="s">
        <v>1962</v>
      </c>
      <c r="C208" t="str">
        <f t="shared" si="1"/>
        <v>C15946</v>
      </c>
    </row>
    <row r="209">
      <c r="A209" s="14">
        <v>207.0</v>
      </c>
      <c r="B209" s="14" t="s">
        <v>1963</v>
      </c>
      <c r="C209" t="str">
        <f t="shared" si="1"/>
        <v>C15947</v>
      </c>
    </row>
    <row r="210">
      <c r="A210" s="14">
        <v>208.0</v>
      </c>
      <c r="B210" s="14" t="s">
        <v>1964</v>
      </c>
      <c r="C210" t="str">
        <f t="shared" si="1"/>
        <v>C15948</v>
      </c>
    </row>
    <row r="211">
      <c r="A211" s="14">
        <v>209.0</v>
      </c>
      <c r="B211" s="14" t="s">
        <v>1965</v>
      </c>
      <c r="C211" t="str">
        <f t="shared" si="1"/>
        <v>C15949</v>
      </c>
    </row>
    <row r="212">
      <c r="A212" s="14">
        <v>210.0</v>
      </c>
      <c r="B212" s="14" t="s">
        <v>1966</v>
      </c>
      <c r="C212" t="str">
        <f t="shared" si="1"/>
        <v>C1594A</v>
      </c>
    </row>
    <row r="213">
      <c r="A213" s="14">
        <v>211.0</v>
      </c>
      <c r="B213" s="14" t="s">
        <v>1967</v>
      </c>
      <c r="C213" t="str">
        <f t="shared" si="1"/>
        <v>C1594B</v>
      </c>
    </row>
    <row r="214">
      <c r="A214" s="14">
        <v>212.0</v>
      </c>
      <c r="B214" s="14" t="s">
        <v>1968</v>
      </c>
      <c r="C214" t="str">
        <f t="shared" si="1"/>
        <v>C1594C</v>
      </c>
    </row>
    <row r="215">
      <c r="A215" s="14">
        <v>213.0</v>
      </c>
      <c r="B215" s="14" t="s">
        <v>1969</v>
      </c>
      <c r="C215" t="str">
        <f t="shared" si="1"/>
        <v>C1594D</v>
      </c>
    </row>
    <row r="216">
      <c r="A216" s="14">
        <v>214.0</v>
      </c>
      <c r="B216" s="14" t="s">
        <v>1970</v>
      </c>
      <c r="C216" t="str">
        <f t="shared" si="1"/>
        <v>C1594E</v>
      </c>
    </row>
    <row r="217">
      <c r="A217" s="14">
        <v>215.0</v>
      </c>
      <c r="B217" s="14" t="s">
        <v>1971</v>
      </c>
      <c r="C217" t="str">
        <f t="shared" si="1"/>
        <v>C1594F</v>
      </c>
    </row>
    <row r="218">
      <c r="A218" s="14">
        <v>216.0</v>
      </c>
      <c r="B218" s="14" t="s">
        <v>1972</v>
      </c>
      <c r="C218" t="str">
        <f t="shared" si="1"/>
        <v>C15950</v>
      </c>
    </row>
    <row r="219">
      <c r="A219" s="14">
        <v>217.0</v>
      </c>
      <c r="B219" s="14" t="s">
        <v>1973</v>
      </c>
      <c r="C219" t="str">
        <f t="shared" si="1"/>
        <v>C15951</v>
      </c>
    </row>
    <row r="220">
      <c r="A220" s="14">
        <v>218.0</v>
      </c>
      <c r="B220" s="14" t="s">
        <v>1974</v>
      </c>
      <c r="C220" t="str">
        <f t="shared" si="1"/>
        <v>C15952</v>
      </c>
    </row>
    <row r="221">
      <c r="A221" s="14">
        <v>219.0</v>
      </c>
      <c r="B221" s="14" t="s">
        <v>1975</v>
      </c>
      <c r="C221" t="str">
        <f t="shared" si="1"/>
        <v>C15953</v>
      </c>
    </row>
    <row r="222">
      <c r="A222" s="14">
        <v>220.0</v>
      </c>
      <c r="B222" s="14" t="s">
        <v>1976</v>
      </c>
      <c r="C222" t="str">
        <f t="shared" si="1"/>
        <v>C15954</v>
      </c>
    </row>
    <row r="223">
      <c r="A223" s="14">
        <v>221.0</v>
      </c>
      <c r="B223" s="14" t="s">
        <v>1977</v>
      </c>
      <c r="C223" t="str">
        <f t="shared" si="1"/>
        <v>C15955</v>
      </c>
    </row>
    <row r="224">
      <c r="A224" s="14">
        <v>222.0</v>
      </c>
      <c r="B224" s="14" t="s">
        <v>1978</v>
      </c>
      <c r="C224" t="str">
        <f t="shared" si="1"/>
        <v>C15956</v>
      </c>
    </row>
    <row r="225">
      <c r="A225" s="14">
        <v>223.0</v>
      </c>
      <c r="B225" s="14" t="s">
        <v>1979</v>
      </c>
      <c r="C225" t="str">
        <f t="shared" si="1"/>
        <v>C15957</v>
      </c>
    </row>
    <row r="226">
      <c r="A226" s="14">
        <v>224.0</v>
      </c>
      <c r="B226" s="14" t="s">
        <v>1980</v>
      </c>
      <c r="C226" t="str">
        <f t="shared" si="1"/>
        <v>C15958</v>
      </c>
    </row>
    <row r="227">
      <c r="A227" s="14">
        <v>225.0</v>
      </c>
      <c r="B227" s="14" t="s">
        <v>1981</v>
      </c>
      <c r="C227" t="str">
        <f t="shared" si="1"/>
        <v>C15959</v>
      </c>
    </row>
    <row r="228">
      <c r="A228" s="14">
        <v>226.0</v>
      </c>
      <c r="B228" s="14" t="s">
        <v>1982</v>
      </c>
      <c r="C228" t="str">
        <f t="shared" si="1"/>
        <v>C1595A</v>
      </c>
    </row>
    <row r="229">
      <c r="A229" s="14">
        <v>227.0</v>
      </c>
      <c r="B229" s="14" t="s">
        <v>1983</v>
      </c>
      <c r="C229" t="str">
        <f t="shared" si="1"/>
        <v>C1595B</v>
      </c>
    </row>
    <row r="230">
      <c r="A230" s="14">
        <v>228.0</v>
      </c>
      <c r="B230" s="14" t="s">
        <v>1984</v>
      </c>
      <c r="C230" t="str">
        <f t="shared" si="1"/>
        <v>C1595C</v>
      </c>
    </row>
    <row r="231">
      <c r="A231" s="14">
        <v>229.0</v>
      </c>
      <c r="B231" s="14" t="s">
        <v>1985</v>
      </c>
      <c r="C231" t="str">
        <f t="shared" si="1"/>
        <v>C1595D</v>
      </c>
    </row>
    <row r="232">
      <c r="A232" s="14">
        <v>230.0</v>
      </c>
      <c r="B232" s="14" t="s">
        <v>1986</v>
      </c>
      <c r="C232" t="str">
        <f t="shared" si="1"/>
        <v>C1595E</v>
      </c>
    </row>
    <row r="233">
      <c r="A233" s="14">
        <v>231.0</v>
      </c>
      <c r="B233" s="14" t="s">
        <v>1987</v>
      </c>
      <c r="C233" t="str">
        <f t="shared" si="1"/>
        <v>C1595F</v>
      </c>
    </row>
    <row r="234">
      <c r="A234" s="14">
        <v>232.0</v>
      </c>
      <c r="B234" s="14" t="s">
        <v>1988</v>
      </c>
      <c r="C234" t="str">
        <f t="shared" si="1"/>
        <v>C15960</v>
      </c>
    </row>
    <row r="235">
      <c r="A235" s="14">
        <v>233.0</v>
      </c>
      <c r="B235" s="14" t="s">
        <v>1989</v>
      </c>
      <c r="C235" t="str">
        <f t="shared" si="1"/>
        <v>C15961</v>
      </c>
    </row>
    <row r="236">
      <c r="A236" s="14">
        <v>234.0</v>
      </c>
      <c r="B236" s="14" t="s">
        <v>1990</v>
      </c>
      <c r="C236" t="str">
        <f t="shared" si="1"/>
        <v>C15962</v>
      </c>
    </row>
    <row r="237">
      <c r="A237" s="14">
        <v>235.0</v>
      </c>
      <c r="B237" s="14" t="s">
        <v>1991</v>
      </c>
      <c r="C237" t="str">
        <f t="shared" si="1"/>
        <v>C15963</v>
      </c>
    </row>
    <row r="238">
      <c r="A238" s="14">
        <v>236.0</v>
      </c>
      <c r="B238" s="14" t="s">
        <v>1992</v>
      </c>
      <c r="C238" t="str">
        <f t="shared" si="1"/>
        <v>C15964</v>
      </c>
    </row>
    <row r="239">
      <c r="A239" s="14">
        <v>237.0</v>
      </c>
      <c r="B239" s="14" t="s">
        <v>1993</v>
      </c>
      <c r="C239" t="str">
        <f t="shared" si="1"/>
        <v>C15965</v>
      </c>
    </row>
    <row r="240">
      <c r="A240" s="14">
        <v>238.0</v>
      </c>
      <c r="B240" s="14" t="s">
        <v>1994</v>
      </c>
      <c r="C240" t="str">
        <f t="shared" si="1"/>
        <v>C15966</v>
      </c>
    </row>
    <row r="241">
      <c r="A241" s="14">
        <v>239.0</v>
      </c>
      <c r="B241" s="14" t="s">
        <v>1995</v>
      </c>
      <c r="C241" t="str">
        <f t="shared" si="1"/>
        <v>C15967</v>
      </c>
    </row>
    <row r="242">
      <c r="A242" s="14">
        <v>240.0</v>
      </c>
      <c r="B242" s="14" t="s">
        <v>1996</v>
      </c>
      <c r="C242" t="str">
        <f t="shared" si="1"/>
        <v>C15968</v>
      </c>
    </row>
    <row r="243">
      <c r="A243" s="14">
        <v>241.0</v>
      </c>
      <c r="B243" s="14" t="s">
        <v>1997</v>
      </c>
      <c r="C243" t="str">
        <f t="shared" si="1"/>
        <v>C15969</v>
      </c>
    </row>
    <row r="244">
      <c r="A244" s="14">
        <v>242.0</v>
      </c>
      <c r="B244" s="14" t="s">
        <v>1998</v>
      </c>
      <c r="C244" t="str">
        <f t="shared" si="1"/>
        <v>C1596A</v>
      </c>
    </row>
    <row r="245">
      <c r="A245" s="14">
        <v>243.0</v>
      </c>
      <c r="B245" s="14" t="s">
        <v>1999</v>
      </c>
      <c r="C245" t="str">
        <f t="shared" si="1"/>
        <v>C1596B</v>
      </c>
    </row>
    <row r="246">
      <c r="A246" s="14">
        <v>244.0</v>
      </c>
      <c r="B246" s="14" t="s">
        <v>2000</v>
      </c>
      <c r="C246" t="str">
        <f t="shared" si="1"/>
        <v>C1596C</v>
      </c>
    </row>
    <row r="247">
      <c r="A247" s="14">
        <v>245.0</v>
      </c>
      <c r="B247" s="14" t="s">
        <v>2001</v>
      </c>
      <c r="C247" t="str">
        <f t="shared" si="1"/>
        <v>C1596D</v>
      </c>
    </row>
    <row r="248">
      <c r="A248" s="14">
        <v>246.0</v>
      </c>
      <c r="B248" s="14" t="s">
        <v>2002</v>
      </c>
      <c r="C248" t="str">
        <f t="shared" si="1"/>
        <v>C1596E</v>
      </c>
    </row>
    <row r="249">
      <c r="A249" s="14">
        <v>247.0</v>
      </c>
      <c r="B249" s="14" t="s">
        <v>2003</v>
      </c>
      <c r="C249" t="str">
        <f t="shared" si="1"/>
        <v>C1596F</v>
      </c>
    </row>
    <row r="250">
      <c r="A250" s="14">
        <v>248.0</v>
      </c>
      <c r="B250" s="14" t="s">
        <v>2004</v>
      </c>
      <c r="C250" t="str">
        <f t="shared" si="1"/>
        <v>C15970</v>
      </c>
    </row>
    <row r="251">
      <c r="A251" s="14">
        <v>249.0</v>
      </c>
      <c r="B251" s="14" t="s">
        <v>2005</v>
      </c>
      <c r="C251" t="str">
        <f t="shared" si="1"/>
        <v>C15971</v>
      </c>
    </row>
    <row r="252">
      <c r="A252" s="14">
        <v>250.0</v>
      </c>
      <c r="B252" s="14" t="s">
        <v>2006</v>
      </c>
      <c r="C252" t="str">
        <f t="shared" si="1"/>
        <v>C15972</v>
      </c>
    </row>
    <row r="253">
      <c r="A253" s="14">
        <v>251.0</v>
      </c>
      <c r="B253" s="14" t="s">
        <v>2007</v>
      </c>
      <c r="C253" t="str">
        <f t="shared" si="1"/>
        <v>C15973</v>
      </c>
    </row>
    <row r="254">
      <c r="A254" s="14">
        <v>252.0</v>
      </c>
      <c r="B254" s="14" t="s">
        <v>2008</v>
      </c>
      <c r="C254" t="str">
        <f t="shared" si="1"/>
        <v>C15974</v>
      </c>
    </row>
    <row r="255">
      <c r="A255" s="14">
        <v>253.0</v>
      </c>
      <c r="B255" s="14" t="s">
        <v>2009</v>
      </c>
      <c r="C255" t="str">
        <f t="shared" si="1"/>
        <v>C15975</v>
      </c>
    </row>
    <row r="256">
      <c r="A256" s="14">
        <v>254.0</v>
      </c>
      <c r="B256" s="14" t="s">
        <v>2010</v>
      </c>
      <c r="C256" t="str">
        <f t="shared" si="1"/>
        <v>C15976</v>
      </c>
    </row>
    <row r="257">
      <c r="A257" s="14">
        <v>255.0</v>
      </c>
      <c r="B257" s="14" t="s">
        <v>2011</v>
      </c>
      <c r="C257" t="str">
        <f t="shared" si="1"/>
        <v>C15977</v>
      </c>
    </row>
    <row r="258">
      <c r="A258" s="14"/>
    </row>
    <row r="259">
      <c r="A259" s="14"/>
    </row>
  </sheetData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3.63"/>
    <col customWidth="1" min="4" max="4" width="63.63"/>
    <col customWidth="1" min="5" max="5" width="42.25"/>
    <col customWidth="1" min="6" max="6" width="43.63"/>
  </cols>
  <sheetData>
    <row r="1">
      <c r="A1" s="8" t="s">
        <v>0</v>
      </c>
      <c r="B1" s="8" t="s">
        <v>1040</v>
      </c>
      <c r="C1" s="8" t="s">
        <v>2012</v>
      </c>
      <c r="D1" s="8" t="s">
        <v>2013</v>
      </c>
      <c r="E1" s="8" t="s">
        <v>2014</v>
      </c>
      <c r="F1" s="8" t="s">
        <v>5</v>
      </c>
    </row>
    <row r="2">
      <c r="A2" s="8" t="s">
        <v>2015</v>
      </c>
      <c r="B2" s="8" t="s">
        <v>2016</v>
      </c>
      <c r="C2" s="8" t="s">
        <v>2017</v>
      </c>
      <c r="D2" s="8" t="s">
        <v>2018</v>
      </c>
      <c r="E2" s="13"/>
      <c r="F2" s="13"/>
    </row>
    <row r="3">
      <c r="A3" s="8" t="s">
        <v>2019</v>
      </c>
      <c r="B3" s="8" t="s">
        <v>2020</v>
      </c>
      <c r="C3" s="8">
        <v>2.0</v>
      </c>
      <c r="E3" s="8"/>
      <c r="F3" s="8" t="s">
        <v>2021</v>
      </c>
    </row>
    <row r="4">
      <c r="A4" s="8" t="s">
        <v>2022</v>
      </c>
      <c r="B4" s="8" t="s">
        <v>2023</v>
      </c>
      <c r="C4" s="8">
        <v>2.0</v>
      </c>
      <c r="E4" s="8" t="s">
        <v>2024</v>
      </c>
      <c r="F4" s="8" t="s">
        <v>2025</v>
      </c>
    </row>
    <row r="5">
      <c r="A5" s="8" t="s">
        <v>2026</v>
      </c>
      <c r="B5" s="8" t="s">
        <v>2027</v>
      </c>
      <c r="C5" s="8">
        <v>4.0</v>
      </c>
      <c r="D5" s="8" t="s">
        <v>2028</v>
      </c>
      <c r="E5" s="8" t="s">
        <v>2029</v>
      </c>
      <c r="F5" s="13"/>
    </row>
    <row r="6">
      <c r="A6" s="8" t="s">
        <v>2030</v>
      </c>
      <c r="B6" s="8" t="s">
        <v>2031</v>
      </c>
      <c r="C6" s="8">
        <v>6.0</v>
      </c>
      <c r="D6" s="8" t="s">
        <v>2032</v>
      </c>
      <c r="E6" s="8" t="s">
        <v>2033</v>
      </c>
      <c r="F6" s="13"/>
    </row>
    <row r="7">
      <c r="A7" s="8" t="s">
        <v>2034</v>
      </c>
      <c r="B7" s="8" t="s">
        <v>2035</v>
      </c>
      <c r="C7" s="8">
        <v>2.0</v>
      </c>
      <c r="D7" s="8"/>
      <c r="E7" s="8" t="s">
        <v>2036</v>
      </c>
      <c r="F7" s="13"/>
    </row>
    <row r="8">
      <c r="A8" s="8" t="s">
        <v>2037</v>
      </c>
      <c r="B8" s="8" t="s">
        <v>2038</v>
      </c>
      <c r="C8" s="8">
        <v>4.0</v>
      </c>
      <c r="D8" s="8" t="s">
        <v>2028</v>
      </c>
      <c r="E8" s="8" t="s">
        <v>2029</v>
      </c>
      <c r="F8" s="13"/>
    </row>
    <row r="9">
      <c r="A9" s="8" t="s">
        <v>2039</v>
      </c>
      <c r="B9" s="8" t="s">
        <v>2040</v>
      </c>
      <c r="C9" s="8">
        <v>6.0</v>
      </c>
      <c r="D9" s="8" t="s">
        <v>2032</v>
      </c>
      <c r="E9" s="8" t="s">
        <v>2041</v>
      </c>
      <c r="F9" s="13"/>
    </row>
    <row r="10">
      <c r="A10" s="8" t="s">
        <v>2042</v>
      </c>
      <c r="B10" s="8" t="s">
        <v>2043</v>
      </c>
      <c r="C10" s="8" t="s">
        <v>2044</v>
      </c>
      <c r="D10" s="8" t="s">
        <v>2045</v>
      </c>
      <c r="E10" s="8" t="s">
        <v>2046</v>
      </c>
      <c r="F10" s="13"/>
    </row>
    <row r="11">
      <c r="A11" s="8" t="s">
        <v>2047</v>
      </c>
      <c r="B11" s="8" t="s">
        <v>2048</v>
      </c>
      <c r="C11" s="8" t="s">
        <v>2049</v>
      </c>
      <c r="D11" s="8" t="s">
        <v>2050</v>
      </c>
      <c r="E11" s="8" t="s">
        <v>2051</v>
      </c>
      <c r="F11" s="13"/>
    </row>
    <row r="12">
      <c r="A12" s="13"/>
      <c r="B12" s="8" t="s">
        <v>2052</v>
      </c>
      <c r="C12" s="8" t="s">
        <v>2053</v>
      </c>
      <c r="D12" s="8" t="s">
        <v>2054</v>
      </c>
      <c r="E12" s="8" t="s">
        <v>2055</v>
      </c>
      <c r="F12" s="13"/>
    </row>
    <row r="13">
      <c r="A13" s="13"/>
      <c r="B13" s="8" t="s">
        <v>2056</v>
      </c>
      <c r="C13" s="8">
        <v>2.0</v>
      </c>
      <c r="D13" s="8" t="s">
        <v>2057</v>
      </c>
      <c r="E13" s="8" t="s">
        <v>2058</v>
      </c>
      <c r="F13" s="13"/>
    </row>
    <row r="14">
      <c r="A14" s="13"/>
      <c r="B14" s="8" t="s">
        <v>2059</v>
      </c>
      <c r="C14" s="8">
        <v>2.0</v>
      </c>
      <c r="D14" s="8" t="s">
        <v>2060</v>
      </c>
      <c r="E14" s="8" t="s">
        <v>2058</v>
      </c>
      <c r="F14" s="13"/>
    </row>
    <row r="15">
      <c r="A15" s="13"/>
      <c r="B15" s="8" t="s">
        <v>2061</v>
      </c>
      <c r="C15" s="8">
        <v>2.0</v>
      </c>
      <c r="D15" s="8" t="s">
        <v>2062</v>
      </c>
      <c r="E15" s="8" t="s">
        <v>2063</v>
      </c>
      <c r="F15" s="13"/>
    </row>
    <row r="16">
      <c r="A16" s="13"/>
      <c r="B16" s="8" t="s">
        <v>2064</v>
      </c>
      <c r="C16" s="8">
        <v>2.0</v>
      </c>
      <c r="D16" s="8" t="s">
        <v>2065</v>
      </c>
      <c r="E16" s="8" t="s">
        <v>2063</v>
      </c>
      <c r="F16" s="13"/>
    </row>
    <row r="17">
      <c r="A17" s="13"/>
      <c r="B17" s="8" t="s">
        <v>2066</v>
      </c>
      <c r="C17" s="8">
        <v>2.0</v>
      </c>
      <c r="D17" s="8" t="s">
        <v>2067</v>
      </c>
      <c r="E17" s="8" t="s">
        <v>2063</v>
      </c>
      <c r="F17" s="13"/>
    </row>
    <row r="18">
      <c r="A18" s="13"/>
      <c r="B18" s="8" t="s">
        <v>2068</v>
      </c>
      <c r="C18" s="8">
        <v>2.0</v>
      </c>
      <c r="D18" s="8" t="s">
        <v>2069</v>
      </c>
      <c r="E18" s="8" t="s">
        <v>2063</v>
      </c>
      <c r="F18" s="13"/>
    </row>
    <row r="19">
      <c r="A19" s="13"/>
      <c r="B19" s="8" t="s">
        <v>2070</v>
      </c>
      <c r="C19" s="8">
        <v>2.0</v>
      </c>
      <c r="D19" s="8" t="s">
        <v>2071</v>
      </c>
      <c r="E19" s="8" t="s">
        <v>2063</v>
      </c>
      <c r="F19" s="13"/>
    </row>
    <row r="20">
      <c r="A20" s="13"/>
      <c r="B20" s="8" t="s">
        <v>2072</v>
      </c>
      <c r="C20" s="8">
        <v>2.0</v>
      </c>
      <c r="D20" s="8" t="s">
        <v>2073</v>
      </c>
      <c r="E20" s="8" t="s">
        <v>2063</v>
      </c>
      <c r="F20" s="13"/>
    </row>
    <row r="21">
      <c r="A21" s="13"/>
      <c r="B21" s="8" t="s">
        <v>2074</v>
      </c>
      <c r="C21" s="8">
        <v>4.0</v>
      </c>
      <c r="D21" s="8" t="s">
        <v>2075</v>
      </c>
      <c r="E21" s="200" t="s">
        <v>2076</v>
      </c>
      <c r="F21" s="13"/>
    </row>
    <row r="22">
      <c r="A22" s="13"/>
      <c r="B22" s="8" t="s">
        <v>2077</v>
      </c>
      <c r="C22" s="8">
        <v>4.0</v>
      </c>
      <c r="D22" s="8" t="s">
        <v>2078</v>
      </c>
      <c r="E22" s="8" t="s">
        <v>2079</v>
      </c>
      <c r="F22" s="13"/>
    </row>
    <row r="23">
      <c r="A23" s="13"/>
      <c r="B23" s="8" t="s">
        <v>2080</v>
      </c>
      <c r="C23" s="8">
        <v>2.0</v>
      </c>
      <c r="D23" s="8" t="s">
        <v>2081</v>
      </c>
      <c r="E23" s="8" t="s">
        <v>2082</v>
      </c>
      <c r="F23" s="13"/>
    </row>
    <row r="24">
      <c r="A24" s="13"/>
      <c r="B24" s="8" t="s">
        <v>2083</v>
      </c>
      <c r="C24" s="8">
        <v>2.0</v>
      </c>
      <c r="D24" s="8" t="s">
        <v>2084</v>
      </c>
      <c r="E24" s="8" t="s">
        <v>2085</v>
      </c>
      <c r="F24" s="13"/>
    </row>
    <row r="25">
      <c r="A25" s="13"/>
      <c r="B25" s="8" t="s">
        <v>2086</v>
      </c>
      <c r="C25" s="8">
        <v>4.0</v>
      </c>
      <c r="D25" s="8" t="s">
        <v>2087</v>
      </c>
      <c r="E25" s="8" t="s">
        <v>2088</v>
      </c>
      <c r="F25" s="13"/>
    </row>
    <row r="26">
      <c r="A26" s="13"/>
      <c r="B26" s="8" t="s">
        <v>2089</v>
      </c>
      <c r="C26" s="8">
        <v>6.0</v>
      </c>
      <c r="D26" s="8" t="s">
        <v>2090</v>
      </c>
      <c r="E26" s="8" t="s">
        <v>2091</v>
      </c>
      <c r="F26" s="13"/>
    </row>
    <row r="27">
      <c r="A27" s="13"/>
      <c r="B27" s="8" t="s">
        <v>2092</v>
      </c>
      <c r="C27" s="13"/>
      <c r="D27" s="13"/>
      <c r="E27" s="13"/>
      <c r="F27" s="13"/>
    </row>
    <row r="28">
      <c r="A28" s="8" t="s">
        <v>2093</v>
      </c>
      <c r="B28" s="8" t="s">
        <v>2094</v>
      </c>
      <c r="C28" s="8" t="s">
        <v>2095</v>
      </c>
      <c r="D28" s="8" t="s">
        <v>2096</v>
      </c>
      <c r="E28" s="13"/>
      <c r="F28" s="13"/>
    </row>
    <row r="29">
      <c r="A29" s="8" t="s">
        <v>2097</v>
      </c>
      <c r="B29" s="8" t="s">
        <v>2098</v>
      </c>
      <c r="C29" s="8">
        <v>2.0</v>
      </c>
      <c r="D29" s="8" t="s">
        <v>2099</v>
      </c>
      <c r="E29" s="13"/>
      <c r="F29" s="13"/>
    </row>
    <row r="30">
      <c r="A30" s="8" t="s">
        <v>2100</v>
      </c>
      <c r="B30" s="8" t="s">
        <v>2101</v>
      </c>
      <c r="C30" s="8">
        <v>4.0</v>
      </c>
      <c r="D30" s="8" t="s">
        <v>2058</v>
      </c>
      <c r="E30" s="8" t="s">
        <v>2102</v>
      </c>
      <c r="F30" s="13"/>
    </row>
    <row r="31">
      <c r="A31" s="8" t="s">
        <v>2103</v>
      </c>
      <c r="B31" s="8" t="s">
        <v>2104</v>
      </c>
      <c r="C31" s="8">
        <v>4.0</v>
      </c>
      <c r="D31" s="8" t="s">
        <v>2058</v>
      </c>
      <c r="E31" s="8" t="s">
        <v>2102</v>
      </c>
      <c r="F31" s="13"/>
    </row>
    <row r="32">
      <c r="A32" s="8" t="s">
        <v>2105</v>
      </c>
      <c r="B32" s="8" t="s">
        <v>2106</v>
      </c>
      <c r="C32" s="8">
        <v>4.0</v>
      </c>
      <c r="D32" s="8" t="s">
        <v>2063</v>
      </c>
      <c r="E32" s="8" t="s">
        <v>2107</v>
      </c>
      <c r="F32" s="13"/>
    </row>
    <row r="33">
      <c r="A33" s="8" t="s">
        <v>2108</v>
      </c>
      <c r="B33" s="8" t="s">
        <v>2109</v>
      </c>
      <c r="C33" s="8">
        <v>4.0</v>
      </c>
      <c r="D33" s="8" t="s">
        <v>2063</v>
      </c>
      <c r="E33" s="8" t="s">
        <v>2107</v>
      </c>
      <c r="F33" s="13"/>
    </row>
    <row r="34">
      <c r="A34" s="8" t="s">
        <v>2110</v>
      </c>
      <c r="B34" s="8" t="s">
        <v>2111</v>
      </c>
      <c r="C34" s="8">
        <v>4.0</v>
      </c>
      <c r="D34" s="8" t="s">
        <v>2063</v>
      </c>
      <c r="E34" s="8" t="s">
        <v>2107</v>
      </c>
      <c r="F34" s="13"/>
    </row>
    <row r="35">
      <c r="A35" s="8" t="s">
        <v>2112</v>
      </c>
      <c r="B35" s="8" t="s">
        <v>2113</v>
      </c>
      <c r="C35" s="8">
        <v>2.0</v>
      </c>
      <c r="D35" s="8" t="s">
        <v>2114</v>
      </c>
      <c r="E35" s="8"/>
      <c r="F35" s="13"/>
    </row>
    <row r="36">
      <c r="A36" s="8" t="s">
        <v>2115</v>
      </c>
      <c r="B36" s="8" t="s">
        <v>2116</v>
      </c>
      <c r="C36" s="8">
        <v>2.0</v>
      </c>
      <c r="D36" s="8" t="s">
        <v>2114</v>
      </c>
      <c r="E36" s="13"/>
      <c r="F36" s="13"/>
    </row>
    <row r="37">
      <c r="A37" s="8" t="s">
        <v>2117</v>
      </c>
      <c r="B37" s="8" t="s">
        <v>2118</v>
      </c>
      <c r="C37" s="8">
        <v>2.0</v>
      </c>
      <c r="D37" s="8" t="s">
        <v>2119</v>
      </c>
      <c r="E37" s="13"/>
      <c r="F37" s="13"/>
    </row>
    <row r="38">
      <c r="A38" s="8" t="s">
        <v>2120</v>
      </c>
      <c r="B38" s="8" t="s">
        <v>2121</v>
      </c>
      <c r="C38" s="8">
        <v>4.0</v>
      </c>
      <c r="D38" s="8" t="s">
        <v>2122</v>
      </c>
      <c r="E38" s="8" t="s">
        <v>2123</v>
      </c>
      <c r="F38" s="13"/>
    </row>
    <row r="39">
      <c r="A39" s="8" t="s">
        <v>2124</v>
      </c>
      <c r="B39" s="8" t="s">
        <v>2125</v>
      </c>
      <c r="C39" s="8">
        <v>2.0</v>
      </c>
      <c r="D39" s="8" t="s">
        <v>2114</v>
      </c>
      <c r="E39" s="13"/>
      <c r="F39" s="13"/>
    </row>
    <row r="40">
      <c r="A40" s="8" t="s">
        <v>2126</v>
      </c>
      <c r="B40" s="8" t="s">
        <v>2127</v>
      </c>
      <c r="C40" s="8">
        <v>4.0</v>
      </c>
      <c r="D40" s="8" t="s">
        <v>2128</v>
      </c>
      <c r="E40" s="8" t="s">
        <v>2129</v>
      </c>
      <c r="F40" s="13"/>
    </row>
    <row r="41">
      <c r="A41" s="8" t="s">
        <v>2130</v>
      </c>
      <c r="B41" s="8" t="s">
        <v>2131</v>
      </c>
      <c r="C41" s="8">
        <v>2.0</v>
      </c>
      <c r="D41" s="13"/>
      <c r="E41" s="8" t="s">
        <v>2036</v>
      </c>
      <c r="F41" s="13"/>
    </row>
    <row r="42">
      <c r="A42" s="8" t="s">
        <v>2132</v>
      </c>
      <c r="B42" s="8" t="s">
        <v>2133</v>
      </c>
      <c r="C42" s="8">
        <v>4.0</v>
      </c>
      <c r="D42" s="8" t="s">
        <v>2134</v>
      </c>
      <c r="E42" s="8" t="s">
        <v>2135</v>
      </c>
      <c r="F42" s="13"/>
    </row>
    <row r="43">
      <c r="A43" s="8" t="s">
        <v>2136</v>
      </c>
      <c r="B43" s="8" t="s">
        <v>2137</v>
      </c>
      <c r="C43" s="8">
        <v>4.0</v>
      </c>
      <c r="D43" s="8" t="s">
        <v>2134</v>
      </c>
      <c r="E43" s="8" t="s">
        <v>2135</v>
      </c>
      <c r="F43" s="13"/>
    </row>
    <row r="44">
      <c r="A44" s="8" t="s">
        <v>2138</v>
      </c>
      <c r="B44" s="8" t="s">
        <v>2139</v>
      </c>
      <c r="C44" s="8">
        <v>6.0</v>
      </c>
      <c r="D44" s="8" t="s">
        <v>2140</v>
      </c>
      <c r="E44" s="8" t="s">
        <v>2141</v>
      </c>
      <c r="F44" s="13"/>
    </row>
    <row r="45">
      <c r="A45" s="8" t="s">
        <v>2142</v>
      </c>
      <c r="B45" s="8" t="s">
        <v>2143</v>
      </c>
      <c r="C45" s="8">
        <v>6.0</v>
      </c>
      <c r="D45" s="8" t="s">
        <v>2140</v>
      </c>
      <c r="E45" s="8" t="s">
        <v>2141</v>
      </c>
      <c r="F45" s="13"/>
    </row>
    <row r="46">
      <c r="A46" s="8" t="s">
        <v>2144</v>
      </c>
      <c r="B46" s="8" t="s">
        <v>2145</v>
      </c>
      <c r="C46" s="8">
        <v>10.0</v>
      </c>
      <c r="D46" s="8" t="s">
        <v>2146</v>
      </c>
      <c r="E46" s="13"/>
      <c r="F46" s="8" t="s">
        <v>2147</v>
      </c>
    </row>
    <row r="47">
      <c r="A47" s="8" t="s">
        <v>2148</v>
      </c>
      <c r="B47" s="8" t="s">
        <v>2149</v>
      </c>
      <c r="C47" s="8">
        <v>2.0</v>
      </c>
      <c r="D47" s="8" t="s">
        <v>2150</v>
      </c>
      <c r="E47" s="13"/>
      <c r="F47" s="13"/>
    </row>
    <row r="48">
      <c r="A48" s="8" t="s">
        <v>2151</v>
      </c>
      <c r="B48" s="8" t="s">
        <v>2152</v>
      </c>
      <c r="C48" s="8">
        <v>2.0</v>
      </c>
      <c r="D48" s="8" t="s">
        <v>2036</v>
      </c>
      <c r="E48" s="13"/>
      <c r="F48" s="8" t="s">
        <v>2153</v>
      </c>
    </row>
    <row r="49">
      <c r="A49" s="8" t="s">
        <v>2154</v>
      </c>
      <c r="B49" s="8" t="s">
        <v>2155</v>
      </c>
      <c r="C49" s="8">
        <v>2.0</v>
      </c>
      <c r="D49" s="8" t="s">
        <v>2156</v>
      </c>
      <c r="E49" s="13"/>
      <c r="F49" s="13"/>
    </row>
    <row r="50">
      <c r="A50" s="8" t="s">
        <v>2157</v>
      </c>
      <c r="B50" s="8" t="s">
        <v>2158</v>
      </c>
      <c r="C50" s="8">
        <v>2.0</v>
      </c>
      <c r="D50" s="8" t="s">
        <v>2156</v>
      </c>
      <c r="E50" s="13"/>
      <c r="F50" s="13"/>
    </row>
    <row r="51">
      <c r="A51" s="8" t="s">
        <v>2159</v>
      </c>
      <c r="B51" s="8" t="s">
        <v>2160</v>
      </c>
      <c r="C51" s="8">
        <v>4.0</v>
      </c>
      <c r="D51" s="8" t="s">
        <v>2161</v>
      </c>
      <c r="E51" s="8" t="s">
        <v>2162</v>
      </c>
      <c r="F51" s="13"/>
    </row>
    <row r="52">
      <c r="A52" s="8" t="s">
        <v>2163</v>
      </c>
      <c r="B52" s="8" t="s">
        <v>2164</v>
      </c>
      <c r="C52" s="8">
        <v>4.0</v>
      </c>
      <c r="D52" s="8" t="s">
        <v>2161</v>
      </c>
      <c r="E52" s="8" t="s">
        <v>2162</v>
      </c>
      <c r="F52" s="13"/>
    </row>
    <row r="53">
      <c r="A53" s="8" t="s">
        <v>2165</v>
      </c>
      <c r="B53" s="8" t="s">
        <v>2166</v>
      </c>
      <c r="C53" s="8">
        <v>4.0</v>
      </c>
      <c r="D53" s="8" t="s">
        <v>2161</v>
      </c>
      <c r="E53" s="8" t="s">
        <v>2162</v>
      </c>
      <c r="F53" s="13"/>
    </row>
    <row r="54">
      <c r="A54" s="8" t="s">
        <v>2167</v>
      </c>
      <c r="B54" s="8" t="s">
        <v>2168</v>
      </c>
      <c r="C54" s="8">
        <v>4.0</v>
      </c>
      <c r="D54" s="8" t="s">
        <v>2169</v>
      </c>
      <c r="E54" s="8" t="s">
        <v>2170</v>
      </c>
      <c r="F54" s="13"/>
    </row>
    <row r="55">
      <c r="A55" s="8" t="s">
        <v>2171</v>
      </c>
      <c r="B55" s="8" t="s">
        <v>2172</v>
      </c>
      <c r="C55" s="8">
        <v>4.0</v>
      </c>
      <c r="D55" s="8" t="s">
        <v>2169</v>
      </c>
      <c r="E55" s="8" t="s">
        <v>2170</v>
      </c>
      <c r="F55" s="13"/>
    </row>
    <row r="56">
      <c r="A56" s="8" t="s">
        <v>2173</v>
      </c>
      <c r="B56" s="8" t="s">
        <v>2174</v>
      </c>
      <c r="C56" s="8">
        <v>4.0</v>
      </c>
      <c r="D56" s="8" t="s">
        <v>2169</v>
      </c>
      <c r="E56" s="8" t="s">
        <v>2170</v>
      </c>
      <c r="F56" s="13"/>
    </row>
    <row r="57">
      <c r="A57" s="8" t="s">
        <v>2175</v>
      </c>
      <c r="B57" s="8" t="s">
        <v>2176</v>
      </c>
      <c r="C57" s="8">
        <v>2.0</v>
      </c>
      <c r="D57" s="8" t="s">
        <v>2114</v>
      </c>
      <c r="E57" s="8"/>
      <c r="F57" s="13"/>
    </row>
    <row r="58">
      <c r="A58" s="8" t="s">
        <v>2177</v>
      </c>
      <c r="B58" s="8" t="s">
        <v>2178</v>
      </c>
      <c r="C58" s="8">
        <v>6.0</v>
      </c>
      <c r="D58" s="8" t="s">
        <v>2179</v>
      </c>
      <c r="E58" s="13"/>
      <c r="F58" s="13"/>
    </row>
    <row r="59">
      <c r="A59" s="8" t="s">
        <v>2180</v>
      </c>
      <c r="B59" s="8" t="s">
        <v>2181</v>
      </c>
      <c r="C59" s="8">
        <v>6.0</v>
      </c>
      <c r="D59" s="8" t="s">
        <v>2179</v>
      </c>
      <c r="E59" s="8"/>
      <c r="F59" s="13"/>
    </row>
    <row r="60">
      <c r="A60" s="8" t="s">
        <v>2182</v>
      </c>
      <c r="B60" s="8" t="s">
        <v>2183</v>
      </c>
      <c r="C60" s="8">
        <v>4.0</v>
      </c>
      <c r="D60" s="8"/>
      <c r="E60" s="8"/>
      <c r="F60" s="13"/>
    </row>
    <row r="61">
      <c r="A61" s="8" t="s">
        <v>2184</v>
      </c>
      <c r="B61" s="8" t="s">
        <v>2185</v>
      </c>
      <c r="C61" s="8">
        <v>4.0</v>
      </c>
      <c r="D61" s="8"/>
      <c r="E61" s="8"/>
      <c r="F61" s="13"/>
    </row>
    <row r="62">
      <c r="A62" s="8" t="s">
        <v>2186</v>
      </c>
      <c r="B62" s="8" t="s">
        <v>2187</v>
      </c>
      <c r="C62" s="8">
        <v>4.0</v>
      </c>
      <c r="D62" s="8"/>
      <c r="E62" s="8"/>
      <c r="F62" s="13"/>
    </row>
    <row r="63">
      <c r="A63" s="8" t="s">
        <v>2188</v>
      </c>
      <c r="B63" s="8" t="s">
        <v>2189</v>
      </c>
      <c r="C63" s="8">
        <v>2.0</v>
      </c>
      <c r="D63" s="8"/>
      <c r="E63" s="8"/>
      <c r="F63" s="13"/>
    </row>
    <row r="64">
      <c r="A64" s="8" t="s">
        <v>2190</v>
      </c>
      <c r="B64" s="8" t="s">
        <v>2191</v>
      </c>
      <c r="C64" s="8">
        <v>2.0</v>
      </c>
      <c r="D64" s="8"/>
      <c r="E64" s="8"/>
      <c r="F64" s="13"/>
    </row>
    <row r="65">
      <c r="A65" s="8" t="s">
        <v>2192</v>
      </c>
      <c r="B65" s="8" t="s">
        <v>2193</v>
      </c>
      <c r="C65" s="8">
        <v>4.0</v>
      </c>
      <c r="D65" s="8" t="s">
        <v>2194</v>
      </c>
      <c r="E65" s="8" t="s">
        <v>2195</v>
      </c>
      <c r="F65" s="13"/>
    </row>
    <row r="66">
      <c r="A66" s="8" t="s">
        <v>2196</v>
      </c>
      <c r="B66" s="8" t="s">
        <v>2197</v>
      </c>
      <c r="C66" s="8">
        <v>2.0</v>
      </c>
      <c r="D66" s="8" t="s">
        <v>2198</v>
      </c>
      <c r="E66" s="13"/>
      <c r="F66" s="13"/>
    </row>
    <row r="67">
      <c r="A67" s="8" t="s">
        <v>2199</v>
      </c>
      <c r="B67" s="8" t="s">
        <v>2200</v>
      </c>
      <c r="C67" s="8">
        <v>4.0</v>
      </c>
      <c r="D67" s="8" t="s">
        <v>2201</v>
      </c>
      <c r="E67" s="13"/>
      <c r="F67" s="13"/>
    </row>
    <row r="68">
      <c r="A68" s="8" t="s">
        <v>2202</v>
      </c>
      <c r="B68" s="8" t="s">
        <v>2203</v>
      </c>
      <c r="C68" s="8">
        <v>2.0</v>
      </c>
      <c r="D68" s="8" t="s">
        <v>2099</v>
      </c>
      <c r="E68" s="13"/>
      <c r="F68" s="13"/>
    </row>
    <row r="69">
      <c r="A69" s="8" t="s">
        <v>2204</v>
      </c>
      <c r="B69" s="8" t="s">
        <v>2205</v>
      </c>
      <c r="C69" s="8">
        <v>2.0</v>
      </c>
      <c r="D69" s="8" t="s">
        <v>2206</v>
      </c>
      <c r="E69" s="13"/>
      <c r="F69" s="13"/>
    </row>
    <row r="70">
      <c r="A70" s="8" t="s">
        <v>2207</v>
      </c>
      <c r="B70" s="8" t="s">
        <v>2208</v>
      </c>
      <c r="C70" s="8">
        <v>2.0</v>
      </c>
      <c r="D70" s="8" t="s">
        <v>2209</v>
      </c>
      <c r="E70" s="13"/>
      <c r="F70" s="8" t="s">
        <v>2210</v>
      </c>
    </row>
    <row r="71">
      <c r="A71" s="8" t="s">
        <v>2211</v>
      </c>
      <c r="B71" s="8" t="s">
        <v>2212</v>
      </c>
      <c r="C71" s="8">
        <v>4.0</v>
      </c>
      <c r="D71" s="8" t="s">
        <v>2213</v>
      </c>
      <c r="E71" s="13"/>
      <c r="F71" s="13"/>
    </row>
    <row r="72">
      <c r="A72" s="8" t="s">
        <v>2214</v>
      </c>
      <c r="B72" s="8" t="s">
        <v>2215</v>
      </c>
      <c r="C72" s="8">
        <v>4.0</v>
      </c>
      <c r="D72" s="8" t="s">
        <v>2216</v>
      </c>
      <c r="E72" s="8" t="s">
        <v>2217</v>
      </c>
      <c r="F72" s="13"/>
    </row>
    <row r="73">
      <c r="A73" s="8" t="s">
        <v>2218</v>
      </c>
      <c r="B73" s="8" t="s">
        <v>2219</v>
      </c>
      <c r="C73" s="8">
        <v>4.0</v>
      </c>
      <c r="D73" s="8" t="s">
        <v>2220</v>
      </c>
      <c r="E73" s="13"/>
      <c r="F73" s="13"/>
    </row>
    <row r="74">
      <c r="A74" s="8" t="s">
        <v>2221</v>
      </c>
      <c r="B74" s="8" t="s">
        <v>2222</v>
      </c>
      <c r="C74" s="8">
        <v>8.0</v>
      </c>
      <c r="D74" s="8" t="s">
        <v>2223</v>
      </c>
      <c r="E74" s="13"/>
      <c r="F74" s="13"/>
    </row>
    <row r="75">
      <c r="A75" s="8" t="s">
        <v>2224</v>
      </c>
      <c r="B75" s="8" t="s">
        <v>2225</v>
      </c>
      <c r="C75" s="8">
        <v>6.0</v>
      </c>
      <c r="D75" s="8" t="s">
        <v>2226</v>
      </c>
      <c r="E75" s="13"/>
      <c r="F75" s="13"/>
    </row>
    <row r="76">
      <c r="A76" s="8" t="s">
        <v>2227</v>
      </c>
      <c r="B76" s="8" t="s">
        <v>2228</v>
      </c>
      <c r="C76" s="8">
        <v>4.0</v>
      </c>
      <c r="D76" s="8" t="s">
        <v>2229</v>
      </c>
      <c r="E76" s="8" t="s">
        <v>2230</v>
      </c>
      <c r="F76" s="13"/>
    </row>
    <row r="77">
      <c r="A77" s="8" t="s">
        <v>2231</v>
      </c>
      <c r="B77" s="8" t="s">
        <v>2232</v>
      </c>
      <c r="C77" s="8">
        <v>4.0</v>
      </c>
      <c r="D77" s="8" t="s">
        <v>2233</v>
      </c>
      <c r="E77" s="13"/>
      <c r="F77" s="13"/>
    </row>
    <row r="78">
      <c r="A78" s="8" t="s">
        <v>2234</v>
      </c>
      <c r="B78" s="8" t="s">
        <v>2235</v>
      </c>
      <c r="C78" s="8">
        <v>8.0</v>
      </c>
      <c r="D78" s="8" t="s">
        <v>2223</v>
      </c>
      <c r="E78" s="13"/>
      <c r="F78" s="13"/>
    </row>
    <row r="79">
      <c r="A79" s="8" t="s">
        <v>2236</v>
      </c>
      <c r="B79" s="8" t="s">
        <v>2237</v>
      </c>
      <c r="C79" s="8">
        <v>4.0</v>
      </c>
      <c r="D79" s="8" t="s">
        <v>2238</v>
      </c>
      <c r="E79" s="13"/>
      <c r="F79" s="13"/>
    </row>
    <row r="80">
      <c r="A80" s="8" t="s">
        <v>2239</v>
      </c>
      <c r="B80" s="8" t="s">
        <v>2240</v>
      </c>
      <c r="C80" s="8">
        <v>2.0</v>
      </c>
      <c r="D80" s="8" t="s">
        <v>2241</v>
      </c>
      <c r="E80" s="8"/>
      <c r="F80" s="8" t="s">
        <v>2242</v>
      </c>
    </row>
    <row r="81">
      <c r="A81" s="8" t="s">
        <v>2243</v>
      </c>
      <c r="B81" s="8" t="s">
        <v>2244</v>
      </c>
      <c r="C81" s="8">
        <v>8.0</v>
      </c>
      <c r="D81" s="8" t="s">
        <v>2245</v>
      </c>
      <c r="E81" s="8" t="s">
        <v>2246</v>
      </c>
      <c r="F81" s="13"/>
    </row>
    <row r="82">
      <c r="A82" s="8" t="s">
        <v>2247</v>
      </c>
      <c r="B82" s="8" t="s">
        <v>2248</v>
      </c>
      <c r="C82" s="8">
        <v>4.0</v>
      </c>
      <c r="D82" s="8" t="s">
        <v>2249</v>
      </c>
      <c r="E82" s="8" t="s">
        <v>2250</v>
      </c>
      <c r="F82" s="13"/>
    </row>
    <row r="83">
      <c r="A83" s="8" t="s">
        <v>2251</v>
      </c>
      <c r="B83" s="8" t="s">
        <v>2252</v>
      </c>
      <c r="C83" s="8">
        <v>4.0</v>
      </c>
      <c r="D83" s="8" t="s">
        <v>2253</v>
      </c>
      <c r="E83" s="8" t="s">
        <v>2254</v>
      </c>
      <c r="F83" s="13"/>
    </row>
    <row r="84">
      <c r="A84" s="8" t="s">
        <v>2255</v>
      </c>
      <c r="B84" s="8" t="s">
        <v>2256</v>
      </c>
      <c r="C84" s="8">
        <v>2.0</v>
      </c>
      <c r="D84" s="8" t="s">
        <v>2114</v>
      </c>
      <c r="E84" s="13"/>
      <c r="F84" s="13"/>
    </row>
    <row r="85">
      <c r="A85" s="8" t="s">
        <v>2257</v>
      </c>
      <c r="B85" s="8" t="s">
        <v>2258</v>
      </c>
      <c r="C85" s="8">
        <v>4.0</v>
      </c>
      <c r="D85" s="8" t="s">
        <v>2259</v>
      </c>
      <c r="E85" s="8" t="s">
        <v>2260</v>
      </c>
      <c r="F85" s="13"/>
    </row>
    <row r="86">
      <c r="A86" s="8" t="s">
        <v>2261</v>
      </c>
      <c r="B86" s="8" t="s">
        <v>2262</v>
      </c>
      <c r="C86" s="8">
        <v>2.0</v>
      </c>
      <c r="D86" s="8" t="s">
        <v>2036</v>
      </c>
      <c r="E86" s="13"/>
      <c r="F86" s="13"/>
    </row>
    <row r="87">
      <c r="A87" s="8" t="s">
        <v>2263</v>
      </c>
      <c r="B87" s="8" t="s">
        <v>2264</v>
      </c>
      <c r="C87" s="8">
        <v>2.0</v>
      </c>
      <c r="D87" s="201" t="s">
        <v>2036</v>
      </c>
      <c r="E87" s="13"/>
      <c r="F87" s="13"/>
    </row>
    <row r="88">
      <c r="A88" s="8" t="s">
        <v>2265</v>
      </c>
      <c r="B88" s="8" t="s">
        <v>2266</v>
      </c>
      <c r="C88" s="8">
        <v>2.0</v>
      </c>
      <c r="D88" s="8" t="s">
        <v>2267</v>
      </c>
      <c r="E88" s="13"/>
      <c r="F88" s="13"/>
    </row>
    <row r="89">
      <c r="A89" s="8" t="s">
        <v>2268</v>
      </c>
      <c r="B89" s="8" t="s">
        <v>2269</v>
      </c>
      <c r="C89" s="8">
        <v>2.0</v>
      </c>
      <c r="D89" s="8" t="s">
        <v>2036</v>
      </c>
      <c r="E89" s="13"/>
      <c r="F89" s="13"/>
    </row>
    <row r="90">
      <c r="A90" s="8" t="s">
        <v>2270</v>
      </c>
      <c r="B90" s="8" t="s">
        <v>2271</v>
      </c>
      <c r="C90" s="8">
        <v>2.0</v>
      </c>
      <c r="D90" s="201" t="s">
        <v>2036</v>
      </c>
      <c r="E90" s="13"/>
      <c r="F90" s="13"/>
    </row>
    <row r="91">
      <c r="A91" s="8" t="s">
        <v>2272</v>
      </c>
      <c r="B91" s="8" t="s">
        <v>2273</v>
      </c>
      <c r="C91" s="8">
        <v>2.0</v>
      </c>
      <c r="D91" s="8" t="s">
        <v>2274</v>
      </c>
      <c r="E91" s="13"/>
      <c r="F91" s="13"/>
    </row>
    <row r="92">
      <c r="A92" s="8" t="s">
        <v>2275</v>
      </c>
      <c r="B92" s="8" t="s">
        <v>2276</v>
      </c>
      <c r="C92" s="8">
        <v>2.0</v>
      </c>
      <c r="D92" s="8" t="s">
        <v>2277</v>
      </c>
      <c r="E92" s="13"/>
      <c r="F92" s="13"/>
    </row>
    <row r="93">
      <c r="A93" s="8" t="s">
        <v>2278</v>
      </c>
      <c r="B93" s="8" t="s">
        <v>2279</v>
      </c>
      <c r="C93" s="8">
        <v>2.0</v>
      </c>
      <c r="D93" s="13"/>
      <c r="E93" s="8" t="s">
        <v>2036</v>
      </c>
      <c r="F93" s="13"/>
    </row>
    <row r="94">
      <c r="A94" s="8" t="s">
        <v>2280</v>
      </c>
      <c r="B94" s="8" t="s">
        <v>2281</v>
      </c>
      <c r="C94" s="8">
        <v>4.0</v>
      </c>
      <c r="D94" s="8" t="s">
        <v>2282</v>
      </c>
      <c r="E94" s="8" t="s">
        <v>2283</v>
      </c>
      <c r="F94" s="13"/>
    </row>
    <row r="95">
      <c r="A95" s="8" t="s">
        <v>2284</v>
      </c>
      <c r="B95" s="8" t="s">
        <v>2285</v>
      </c>
      <c r="C95" s="8">
        <v>4.0</v>
      </c>
      <c r="D95" s="8" t="s">
        <v>2286</v>
      </c>
      <c r="E95" s="8" t="s">
        <v>2287</v>
      </c>
      <c r="F95" s="13"/>
    </row>
    <row r="96">
      <c r="A96" s="8" t="s">
        <v>2288</v>
      </c>
      <c r="B96" s="8" t="s">
        <v>2289</v>
      </c>
      <c r="C96" s="8">
        <v>2.0</v>
      </c>
      <c r="D96" s="8" t="s">
        <v>2114</v>
      </c>
      <c r="E96" s="13"/>
      <c r="F96" s="13"/>
    </row>
    <row r="97">
      <c r="A97" s="8" t="s">
        <v>2290</v>
      </c>
      <c r="B97" s="8" t="s">
        <v>2291</v>
      </c>
      <c r="C97" s="8">
        <v>4.0</v>
      </c>
      <c r="D97" s="8" t="s">
        <v>2292</v>
      </c>
      <c r="E97" s="8" t="s">
        <v>2293</v>
      </c>
      <c r="F97" s="13"/>
    </row>
    <row r="98">
      <c r="A98" s="8" t="s">
        <v>2294</v>
      </c>
      <c r="B98" s="8" t="s">
        <v>2295</v>
      </c>
      <c r="C98" s="8">
        <v>2.0</v>
      </c>
      <c r="D98" s="8"/>
      <c r="E98" s="8"/>
      <c r="F98" s="8" t="s">
        <v>2296</v>
      </c>
    </row>
    <row r="99">
      <c r="A99" s="8" t="s">
        <v>2297</v>
      </c>
      <c r="B99" s="8" t="s">
        <v>2298</v>
      </c>
      <c r="C99" s="8">
        <v>8.0</v>
      </c>
      <c r="D99" s="8" t="s">
        <v>2299</v>
      </c>
      <c r="E99" s="13"/>
      <c r="F99" s="13"/>
    </row>
    <row r="100">
      <c r="A100" s="8" t="s">
        <v>2300</v>
      </c>
      <c r="B100" s="8" t="s">
        <v>2301</v>
      </c>
      <c r="C100" s="8">
        <v>4.0</v>
      </c>
      <c r="D100" s="8" t="s">
        <v>2302</v>
      </c>
      <c r="E100" s="8"/>
      <c r="F100" s="13"/>
    </row>
    <row r="101">
      <c r="A101" s="8" t="s">
        <v>2303</v>
      </c>
      <c r="B101" s="8" t="s">
        <v>2304</v>
      </c>
      <c r="C101" s="8">
        <v>8.0</v>
      </c>
      <c r="D101" s="8" t="s">
        <v>2305</v>
      </c>
      <c r="E101" s="8" t="s">
        <v>2306</v>
      </c>
      <c r="F101" s="8" t="s">
        <v>2307</v>
      </c>
    </row>
    <row r="102">
      <c r="A102" s="8" t="s">
        <v>2308</v>
      </c>
      <c r="B102" s="8" t="s">
        <v>2309</v>
      </c>
      <c r="C102" s="8">
        <v>4.0</v>
      </c>
      <c r="D102" s="8" t="s">
        <v>2302</v>
      </c>
      <c r="E102" s="8"/>
      <c r="F102" s="13"/>
    </row>
    <row r="103">
      <c r="A103" s="8" t="s">
        <v>2310</v>
      </c>
      <c r="B103" s="8" t="s">
        <v>2311</v>
      </c>
      <c r="C103" s="8">
        <v>4.0</v>
      </c>
      <c r="D103" s="8" t="s">
        <v>2312</v>
      </c>
      <c r="E103" s="8" t="s">
        <v>2313</v>
      </c>
      <c r="F103" s="13"/>
    </row>
    <row r="104">
      <c r="A104" s="8" t="s">
        <v>2314</v>
      </c>
      <c r="B104" s="8" t="s">
        <v>2315</v>
      </c>
      <c r="C104" s="8">
        <v>10.0</v>
      </c>
      <c r="D104" s="8" t="s">
        <v>2316</v>
      </c>
      <c r="E104" s="13"/>
      <c r="F104" s="13"/>
    </row>
    <row r="105">
      <c r="A105" s="8" t="s">
        <v>2317</v>
      </c>
      <c r="B105" s="8" t="s">
        <v>2318</v>
      </c>
      <c r="C105" s="8">
        <v>6.0</v>
      </c>
      <c r="D105" s="8" t="s">
        <v>2319</v>
      </c>
      <c r="E105" s="13"/>
      <c r="F105" s="13"/>
    </row>
    <row r="106">
      <c r="A106" s="8" t="s">
        <v>2320</v>
      </c>
      <c r="B106" s="8" t="s">
        <v>2321</v>
      </c>
      <c r="C106" s="8">
        <v>6.0</v>
      </c>
      <c r="D106" s="8" t="s">
        <v>2319</v>
      </c>
      <c r="E106" s="13"/>
      <c r="F106" s="13"/>
    </row>
    <row r="107">
      <c r="A107" s="8" t="s">
        <v>2322</v>
      </c>
      <c r="B107" s="8" t="s">
        <v>2323</v>
      </c>
      <c r="C107" s="8">
        <v>6.0</v>
      </c>
      <c r="D107" s="8" t="s">
        <v>2324</v>
      </c>
      <c r="E107" s="13"/>
      <c r="F107" s="13"/>
    </row>
    <row r="108">
      <c r="A108" s="8" t="s">
        <v>2325</v>
      </c>
      <c r="B108" s="8" t="s">
        <v>2326</v>
      </c>
      <c r="C108" s="8">
        <v>12.0</v>
      </c>
      <c r="D108" s="8" t="s">
        <v>2327</v>
      </c>
      <c r="E108" s="13"/>
      <c r="F108" s="8" t="s">
        <v>2328</v>
      </c>
    </row>
    <row r="109">
      <c r="A109" s="8" t="s">
        <v>2329</v>
      </c>
      <c r="B109" s="8" t="s">
        <v>2330</v>
      </c>
      <c r="C109" s="8">
        <v>2.0</v>
      </c>
      <c r="D109" s="13"/>
      <c r="E109" s="8" t="s">
        <v>2036</v>
      </c>
      <c r="F109" s="13"/>
    </row>
    <row r="110">
      <c r="A110" s="8" t="s">
        <v>2331</v>
      </c>
      <c r="B110" s="8" t="s">
        <v>2332</v>
      </c>
      <c r="C110" s="8">
        <v>6.0</v>
      </c>
      <c r="D110" s="8" t="s">
        <v>2333</v>
      </c>
      <c r="E110" s="8" t="s">
        <v>2334</v>
      </c>
      <c r="F110" s="13"/>
    </row>
    <row r="111">
      <c r="A111" s="8" t="s">
        <v>2335</v>
      </c>
      <c r="B111" s="8" t="s">
        <v>2336</v>
      </c>
      <c r="C111" s="8">
        <v>2.0</v>
      </c>
      <c r="D111" s="13"/>
      <c r="E111" s="8" t="s">
        <v>2036</v>
      </c>
      <c r="F111" s="13"/>
    </row>
    <row r="112">
      <c r="A112" s="8" t="s">
        <v>2337</v>
      </c>
      <c r="B112" s="8" t="s">
        <v>2338</v>
      </c>
      <c r="C112" s="8">
        <v>2.0</v>
      </c>
      <c r="D112" s="8" t="s">
        <v>2198</v>
      </c>
      <c r="E112" s="13"/>
      <c r="F112" s="13"/>
    </row>
    <row r="113">
      <c r="A113" s="8" t="s">
        <v>2339</v>
      </c>
      <c r="B113" s="8" t="s">
        <v>2340</v>
      </c>
      <c r="C113" s="8">
        <v>4.0</v>
      </c>
      <c r="D113" s="8" t="s">
        <v>2341</v>
      </c>
      <c r="E113" s="8" t="s">
        <v>2342</v>
      </c>
      <c r="F113" s="13"/>
    </row>
    <row r="114">
      <c r="A114" s="8" t="s">
        <v>2343</v>
      </c>
      <c r="B114" s="8" t="s">
        <v>2344</v>
      </c>
      <c r="C114" s="8">
        <v>2.0</v>
      </c>
      <c r="D114" s="8" t="s">
        <v>2345</v>
      </c>
      <c r="E114" s="13"/>
      <c r="F114" s="8" t="s">
        <v>2346</v>
      </c>
    </row>
    <row r="115">
      <c r="A115" s="8" t="s">
        <v>2347</v>
      </c>
      <c r="B115" s="8" t="s">
        <v>2348</v>
      </c>
      <c r="C115" s="8">
        <v>8.0</v>
      </c>
      <c r="D115" s="8" t="s">
        <v>2349</v>
      </c>
      <c r="E115" s="201" t="s">
        <v>2350</v>
      </c>
      <c r="F115" s="13"/>
    </row>
    <row r="116">
      <c r="A116" s="8" t="s">
        <v>2351</v>
      </c>
      <c r="B116" s="8" t="s">
        <v>2352</v>
      </c>
      <c r="C116" s="8">
        <v>10.0</v>
      </c>
      <c r="D116" s="8" t="s">
        <v>2353</v>
      </c>
      <c r="E116" s="13"/>
      <c r="F116" s="13"/>
    </row>
    <row r="117">
      <c r="A117" s="8" t="s">
        <v>2354</v>
      </c>
      <c r="B117" s="8" t="s">
        <v>2355</v>
      </c>
      <c r="C117" s="8">
        <v>4.0</v>
      </c>
      <c r="D117" s="8" t="s">
        <v>2356</v>
      </c>
      <c r="E117" s="13"/>
      <c r="F117" s="13"/>
    </row>
    <row r="118">
      <c r="A118" s="8" t="s">
        <v>2357</v>
      </c>
      <c r="B118" s="8" t="s">
        <v>2358</v>
      </c>
      <c r="C118" s="8">
        <v>6.0</v>
      </c>
      <c r="D118" s="8" t="s">
        <v>2359</v>
      </c>
      <c r="E118" s="8" t="s">
        <v>2360</v>
      </c>
      <c r="F118" s="13"/>
    </row>
    <row r="119">
      <c r="A119" s="8" t="s">
        <v>2361</v>
      </c>
      <c r="B119" s="8" t="s">
        <v>2362</v>
      </c>
      <c r="C119" s="8">
        <v>2.0</v>
      </c>
      <c r="D119" s="13"/>
      <c r="E119" s="8" t="s">
        <v>2036</v>
      </c>
      <c r="F119" s="13"/>
    </row>
    <row r="120">
      <c r="A120" s="8" t="s">
        <v>2363</v>
      </c>
      <c r="B120" s="8" t="s">
        <v>2364</v>
      </c>
      <c r="C120" s="13"/>
      <c r="D120" s="13"/>
      <c r="E120" s="13"/>
      <c r="F120" s="8" t="s">
        <v>2365</v>
      </c>
    </row>
  </sheetData>
  <drawing r:id="rId2"/>
  <legacyDrawing r:id="rId3"/>
  <tableParts count="1">
    <tablePart r:id="rId5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6" max="6" width="22.5"/>
  </cols>
  <sheetData>
    <row r="1">
      <c r="A1" s="8" t="s">
        <v>0</v>
      </c>
      <c r="B1" s="8" t="s">
        <v>1040</v>
      </c>
      <c r="C1" s="8" t="s">
        <v>2366</v>
      </c>
      <c r="G1" s="14" t="s">
        <v>2367</v>
      </c>
      <c r="H1" s="14" t="s">
        <v>2368</v>
      </c>
      <c r="I1" s="14" t="s">
        <v>2369</v>
      </c>
      <c r="J1" s="14" t="s">
        <v>2370</v>
      </c>
    </row>
    <row r="2">
      <c r="A2" s="8">
        <v>0.0</v>
      </c>
      <c r="B2" s="13" t="s">
        <v>834</v>
      </c>
      <c r="C2" s="8" t="s">
        <v>2371</v>
      </c>
      <c r="E2" s="14" t="s">
        <v>2372</v>
      </c>
      <c r="F2" s="14" t="s">
        <v>2373</v>
      </c>
      <c r="G2" s="14" t="s">
        <v>2374</v>
      </c>
      <c r="H2" s="14" t="s">
        <v>2375</v>
      </c>
      <c r="I2" s="14" t="s">
        <v>2376</v>
      </c>
      <c r="J2" s="14" t="s">
        <v>2377</v>
      </c>
      <c r="K2" t="str">
        <f t="shared" ref="K2:K17" si="1">DEC2HEX(HEX2DEC(H2)+HEX2DEC(I2)+HEX2DEC(J2))</f>
        <v>833E4</v>
      </c>
    </row>
    <row r="3">
      <c r="A3" s="8">
        <v>1.0</v>
      </c>
      <c r="B3" s="13" t="s">
        <v>853</v>
      </c>
      <c r="C3" s="8" t="s">
        <v>2371</v>
      </c>
      <c r="E3" s="196" t="s">
        <v>2378</v>
      </c>
      <c r="F3" s="196" t="s">
        <v>2379</v>
      </c>
      <c r="G3" s="196" t="s">
        <v>2380</v>
      </c>
      <c r="H3" s="196" t="s">
        <v>2381</v>
      </c>
      <c r="I3" s="196" t="s">
        <v>2382</v>
      </c>
      <c r="J3" s="196" t="s">
        <v>2383</v>
      </c>
      <c r="K3" s="79" t="str">
        <f t="shared" si="1"/>
        <v>639A8</v>
      </c>
    </row>
    <row r="4">
      <c r="A4" s="8">
        <v>2.0</v>
      </c>
      <c r="B4" s="13" t="s">
        <v>793</v>
      </c>
      <c r="C4" s="8" t="s">
        <v>2371</v>
      </c>
      <c r="E4" s="196" t="s">
        <v>2384</v>
      </c>
      <c r="F4" s="196" t="s">
        <v>2385</v>
      </c>
      <c r="G4" s="196" t="s">
        <v>2386</v>
      </c>
      <c r="H4" s="196" t="s">
        <v>2387</v>
      </c>
      <c r="I4" s="196" t="s">
        <v>2388</v>
      </c>
      <c r="J4" s="196" t="s">
        <v>2389</v>
      </c>
      <c r="K4" s="79" t="str">
        <f t="shared" si="1"/>
        <v>75F38</v>
      </c>
    </row>
    <row r="5">
      <c r="A5" s="8">
        <v>3.0</v>
      </c>
      <c r="B5" s="13" t="s">
        <v>804</v>
      </c>
      <c r="C5" s="8" t="s">
        <v>2371</v>
      </c>
      <c r="E5" s="14" t="s">
        <v>2390</v>
      </c>
      <c r="F5" s="14" t="s">
        <v>2391</v>
      </c>
      <c r="G5" s="14" t="s">
        <v>2392</v>
      </c>
      <c r="H5" s="14" t="s">
        <v>2387</v>
      </c>
      <c r="I5" s="14" t="s">
        <v>2393</v>
      </c>
      <c r="J5" s="14" t="s">
        <v>2394</v>
      </c>
      <c r="K5" t="str">
        <f t="shared" si="1"/>
        <v>7FE84</v>
      </c>
    </row>
    <row r="6">
      <c r="A6" s="8">
        <v>4.0</v>
      </c>
      <c r="B6" s="13" t="s">
        <v>788</v>
      </c>
      <c r="C6" s="8" t="s">
        <v>2395</v>
      </c>
      <c r="E6" s="14" t="s">
        <v>2396</v>
      </c>
      <c r="F6" s="14" t="s">
        <v>2397</v>
      </c>
      <c r="G6" s="14" t="s">
        <v>2398</v>
      </c>
      <c r="H6" s="14" t="s">
        <v>2387</v>
      </c>
      <c r="I6" s="14" t="s">
        <v>2399</v>
      </c>
      <c r="J6" s="14" t="s">
        <v>2400</v>
      </c>
      <c r="K6" t="str">
        <f t="shared" si="1"/>
        <v>73224</v>
      </c>
    </row>
    <row r="7">
      <c r="A7" s="8">
        <v>5.0</v>
      </c>
      <c r="B7" s="13" t="s">
        <v>845</v>
      </c>
      <c r="C7" s="8" t="s">
        <v>2395</v>
      </c>
      <c r="E7" s="196" t="s">
        <v>2401</v>
      </c>
      <c r="F7" s="196" t="s">
        <v>2402</v>
      </c>
      <c r="G7" s="196" t="s">
        <v>2403</v>
      </c>
      <c r="H7" s="196" t="s">
        <v>2404</v>
      </c>
      <c r="I7" s="196" t="s">
        <v>2405</v>
      </c>
      <c r="J7" s="196" t="s">
        <v>2406</v>
      </c>
      <c r="K7" s="79" t="str">
        <f t="shared" si="1"/>
        <v>62010</v>
      </c>
    </row>
    <row r="8">
      <c r="A8" s="8">
        <v>6.0</v>
      </c>
      <c r="B8" s="13" t="s">
        <v>1390</v>
      </c>
      <c r="C8" s="8" t="s">
        <v>2395</v>
      </c>
      <c r="E8" s="14" t="s">
        <v>2407</v>
      </c>
      <c r="F8" s="14" t="s">
        <v>2408</v>
      </c>
      <c r="G8" s="14" t="s">
        <v>2409</v>
      </c>
      <c r="H8" s="14" t="s">
        <v>2404</v>
      </c>
      <c r="I8" s="14" t="s">
        <v>2410</v>
      </c>
      <c r="J8" s="14" t="s">
        <v>2411</v>
      </c>
      <c r="K8" t="str">
        <f t="shared" si="1"/>
        <v>614F0</v>
      </c>
    </row>
    <row r="9">
      <c r="A9" s="8">
        <v>7.0</v>
      </c>
      <c r="B9" s="13" t="s">
        <v>819</v>
      </c>
      <c r="C9" s="8" t="s">
        <v>2412</v>
      </c>
      <c r="E9" s="14" t="s">
        <v>2413</v>
      </c>
      <c r="F9" s="14" t="s">
        <v>2414</v>
      </c>
      <c r="G9" s="14" t="s">
        <v>2415</v>
      </c>
      <c r="H9" s="14" t="s">
        <v>2404</v>
      </c>
      <c r="I9" s="14" t="s">
        <v>2416</v>
      </c>
      <c r="J9" s="14" t="s">
        <v>2417</v>
      </c>
      <c r="K9" t="str">
        <f t="shared" si="1"/>
        <v>68FC4</v>
      </c>
    </row>
    <row r="10">
      <c r="A10" s="8">
        <v>8.0</v>
      </c>
      <c r="B10" s="13" t="s">
        <v>796</v>
      </c>
      <c r="C10" s="8" t="s">
        <v>2418</v>
      </c>
      <c r="E10" s="196" t="s">
        <v>2419</v>
      </c>
      <c r="F10" s="196" t="s">
        <v>2420</v>
      </c>
      <c r="G10" s="196" t="s">
        <v>2421</v>
      </c>
      <c r="H10" s="196" t="s">
        <v>2422</v>
      </c>
      <c r="I10" s="196" t="s">
        <v>2423</v>
      </c>
      <c r="J10" s="196" t="s">
        <v>2424</v>
      </c>
      <c r="K10" s="79" t="str">
        <f t="shared" si="1"/>
        <v>7B6A8</v>
      </c>
    </row>
    <row r="11">
      <c r="A11" s="8">
        <v>9.0</v>
      </c>
      <c r="B11" s="13" t="s">
        <v>1397</v>
      </c>
      <c r="C11" s="8" t="s">
        <v>2418</v>
      </c>
      <c r="E11" s="14" t="s">
        <v>2425</v>
      </c>
      <c r="F11" s="14" t="s">
        <v>2426</v>
      </c>
      <c r="G11" s="14" t="s">
        <v>2427</v>
      </c>
      <c r="H11" s="14" t="s">
        <v>2422</v>
      </c>
      <c r="I11" s="14" t="s">
        <v>2428</v>
      </c>
      <c r="J11" s="14" t="s">
        <v>2429</v>
      </c>
      <c r="K11" t="str">
        <f t="shared" si="1"/>
        <v>7D928</v>
      </c>
    </row>
    <row r="12">
      <c r="A12" s="8">
        <v>10.0</v>
      </c>
      <c r="B12" s="13" t="s">
        <v>815</v>
      </c>
      <c r="C12" s="8" t="s">
        <v>2418</v>
      </c>
      <c r="E12" s="196" t="s">
        <v>2430</v>
      </c>
      <c r="F12" s="196" t="s">
        <v>2431</v>
      </c>
      <c r="G12" s="196" t="s">
        <v>2432</v>
      </c>
      <c r="H12" s="196" t="s">
        <v>2433</v>
      </c>
      <c r="I12" s="196" t="s">
        <v>2434</v>
      </c>
      <c r="J12" s="196" t="s">
        <v>2435</v>
      </c>
      <c r="K12" s="79" t="str">
        <f t="shared" si="1"/>
        <v>7E91C</v>
      </c>
    </row>
    <row r="13">
      <c r="A13" s="8">
        <v>11.0</v>
      </c>
      <c r="B13" s="13" t="s">
        <v>1400</v>
      </c>
      <c r="C13" s="8" t="s">
        <v>2436</v>
      </c>
      <c r="E13" s="202" t="s">
        <v>2437</v>
      </c>
      <c r="F13" s="202" t="s">
        <v>2438</v>
      </c>
      <c r="G13" s="202" t="s">
        <v>2439</v>
      </c>
      <c r="H13" s="202" t="s">
        <v>2440</v>
      </c>
      <c r="I13" s="202" t="s">
        <v>2441</v>
      </c>
      <c r="J13" s="202" t="s">
        <v>2442</v>
      </c>
      <c r="K13" s="203" t="str">
        <f t="shared" si="1"/>
        <v>87868</v>
      </c>
    </row>
    <row r="14">
      <c r="A14" s="8">
        <v>12.0</v>
      </c>
      <c r="B14" s="13" t="s">
        <v>792</v>
      </c>
      <c r="C14" s="8" t="s">
        <v>2436</v>
      </c>
      <c r="E14" s="14" t="s">
        <v>2443</v>
      </c>
      <c r="F14" s="14" t="s">
        <v>2444</v>
      </c>
      <c r="G14" s="14" t="s">
        <v>2445</v>
      </c>
      <c r="H14" s="14" t="s">
        <v>2446</v>
      </c>
      <c r="I14" s="14" t="s">
        <v>2447</v>
      </c>
      <c r="J14" s="14" t="s">
        <v>2132</v>
      </c>
      <c r="K14" t="str">
        <f t="shared" si="1"/>
        <v>81CB4</v>
      </c>
    </row>
    <row r="15">
      <c r="A15" s="8">
        <v>13.0</v>
      </c>
      <c r="B15" s="13" t="s">
        <v>830</v>
      </c>
      <c r="C15" s="8" t="s">
        <v>2418</v>
      </c>
      <c r="E15" s="67" t="s">
        <v>2448</v>
      </c>
      <c r="F15" s="67" t="s">
        <v>2449</v>
      </c>
      <c r="G15" s="67" t="s">
        <v>2445</v>
      </c>
      <c r="H15" s="67" t="s">
        <v>2446</v>
      </c>
      <c r="I15" s="67" t="s">
        <v>2450</v>
      </c>
      <c r="J15" s="67" t="s">
        <v>2451</v>
      </c>
      <c r="K15" s="69" t="str">
        <f t="shared" si="1"/>
        <v>885CC</v>
      </c>
    </row>
    <row r="16">
      <c r="A16" s="8">
        <v>14.0</v>
      </c>
      <c r="B16" s="13" t="s">
        <v>860</v>
      </c>
      <c r="C16" s="8" t="s">
        <v>2418</v>
      </c>
      <c r="E16" s="14" t="s">
        <v>2452</v>
      </c>
      <c r="F16" s="14" t="s">
        <v>2453</v>
      </c>
      <c r="G16" s="14" t="s">
        <v>2454</v>
      </c>
      <c r="H16" s="14" t="s">
        <v>2455</v>
      </c>
      <c r="I16" s="14" t="s">
        <v>2456</v>
      </c>
      <c r="J16" s="14" t="s">
        <v>2457</v>
      </c>
      <c r="K16" t="str">
        <f t="shared" si="1"/>
        <v>8F390</v>
      </c>
    </row>
    <row r="17">
      <c r="A17" s="8">
        <v>15.0</v>
      </c>
      <c r="B17" s="13" t="s">
        <v>1409</v>
      </c>
      <c r="C17" s="8" t="s">
        <v>2458</v>
      </c>
      <c r="E17" s="67" t="s">
        <v>2459</v>
      </c>
      <c r="F17" s="67" t="s">
        <v>2460</v>
      </c>
      <c r="G17" s="67" t="s">
        <v>2461</v>
      </c>
      <c r="H17" s="67" t="s">
        <v>2455</v>
      </c>
      <c r="I17" s="67" t="s">
        <v>2462</v>
      </c>
      <c r="J17" s="67" t="s">
        <v>2463</v>
      </c>
      <c r="K17" s="69" t="str">
        <f t="shared" si="1"/>
        <v>8DC7C</v>
      </c>
    </row>
    <row r="18">
      <c r="A18" s="8">
        <v>16.0</v>
      </c>
      <c r="B18" s="13" t="s">
        <v>846</v>
      </c>
      <c r="C18" s="8" t="s">
        <v>2458</v>
      </c>
      <c r="E18" s="14" t="s">
        <v>2464</v>
      </c>
      <c r="F18" s="14"/>
      <c r="H18" s="14" t="s">
        <v>2465</v>
      </c>
      <c r="I18" s="14" t="s">
        <v>2466</v>
      </c>
      <c r="L18" s="14" t="s">
        <v>2467</v>
      </c>
      <c r="M18" s="14" t="s">
        <v>2468</v>
      </c>
      <c r="N18" s="14" t="s">
        <v>2469</v>
      </c>
    </row>
    <row r="19">
      <c r="A19" s="8">
        <v>17.0</v>
      </c>
      <c r="B19" s="13" t="s">
        <v>1414</v>
      </c>
      <c r="C19" s="8" t="s">
        <v>2458</v>
      </c>
    </row>
    <row r="20">
      <c r="A20" s="8">
        <v>18.0</v>
      </c>
      <c r="B20" s="13" t="s">
        <v>835</v>
      </c>
      <c r="C20" s="8" t="s">
        <v>2458</v>
      </c>
    </row>
    <row r="21">
      <c r="A21" s="8">
        <v>19.0</v>
      </c>
      <c r="B21" s="13" t="s">
        <v>868</v>
      </c>
      <c r="C21" s="8" t="s">
        <v>2458</v>
      </c>
    </row>
    <row r="22">
      <c r="A22" s="8">
        <v>20.0</v>
      </c>
      <c r="B22" s="13" t="s">
        <v>1421</v>
      </c>
      <c r="C22" s="8" t="s">
        <v>2458</v>
      </c>
    </row>
    <row r="23">
      <c r="A23" s="8">
        <v>21.0</v>
      </c>
      <c r="B23" s="13" t="s">
        <v>825</v>
      </c>
      <c r="C23" s="8" t="s">
        <v>2458</v>
      </c>
    </row>
    <row r="24">
      <c r="A24" s="8">
        <v>22.0</v>
      </c>
      <c r="B24" s="13" t="s">
        <v>778</v>
      </c>
      <c r="C24" s="8" t="s">
        <v>2470</v>
      </c>
    </row>
    <row r="25">
      <c r="A25" s="8">
        <v>23.0</v>
      </c>
      <c r="B25" s="13" t="s">
        <v>1426</v>
      </c>
      <c r="C25" s="8" t="s">
        <v>2470</v>
      </c>
    </row>
    <row r="26">
      <c r="A26" s="8">
        <v>24.0</v>
      </c>
      <c r="B26" s="13" t="s">
        <v>1428</v>
      </c>
      <c r="C26" s="8" t="s">
        <v>2470</v>
      </c>
    </row>
    <row r="27">
      <c r="A27" s="8">
        <v>25.0</v>
      </c>
      <c r="B27" s="13" t="s">
        <v>829</v>
      </c>
      <c r="C27" s="8" t="s">
        <v>2470</v>
      </c>
    </row>
    <row r="28">
      <c r="A28" s="8">
        <v>26.0</v>
      </c>
      <c r="B28" s="13" t="s">
        <v>842</v>
      </c>
      <c r="C28" s="8" t="s">
        <v>2470</v>
      </c>
    </row>
    <row r="29">
      <c r="A29" s="8">
        <v>27.0</v>
      </c>
      <c r="B29" s="13" t="s">
        <v>1432</v>
      </c>
      <c r="C29" s="8" t="s">
        <v>2470</v>
      </c>
    </row>
    <row r="30">
      <c r="A30" s="8">
        <v>28.0</v>
      </c>
      <c r="B30" s="13" t="s">
        <v>820</v>
      </c>
      <c r="C30" s="8" t="s">
        <v>2470</v>
      </c>
    </row>
    <row r="31">
      <c r="A31" s="8">
        <v>29.0</v>
      </c>
      <c r="B31" s="13" t="s">
        <v>862</v>
      </c>
      <c r="C31" s="8" t="s">
        <v>2470</v>
      </c>
    </row>
    <row r="32">
      <c r="A32" s="8">
        <v>30.0</v>
      </c>
      <c r="B32" s="13" t="s">
        <v>1437</v>
      </c>
      <c r="C32" s="8" t="s">
        <v>2470</v>
      </c>
    </row>
    <row r="33">
      <c r="A33" s="8">
        <v>31.0</v>
      </c>
      <c r="B33" s="13" t="s">
        <v>1439</v>
      </c>
      <c r="C33" s="8" t="s">
        <v>2470</v>
      </c>
    </row>
    <row r="34">
      <c r="A34" s="8">
        <v>32.0</v>
      </c>
      <c r="B34" s="13" t="s">
        <v>1441</v>
      </c>
      <c r="C34" s="8" t="s">
        <v>2470</v>
      </c>
    </row>
    <row r="35">
      <c r="A35" s="8">
        <v>33.0</v>
      </c>
      <c r="B35" s="13" t="s">
        <v>1443</v>
      </c>
      <c r="C35" s="8" t="s">
        <v>2470</v>
      </c>
    </row>
    <row r="36">
      <c r="A36" s="8">
        <v>34.0</v>
      </c>
      <c r="B36" s="13" t="s">
        <v>783</v>
      </c>
      <c r="C36" s="8" t="s">
        <v>2470</v>
      </c>
    </row>
    <row r="37">
      <c r="A37" s="8">
        <v>35.0</v>
      </c>
      <c r="B37" s="13" t="s">
        <v>799</v>
      </c>
      <c r="C37" s="8" t="s">
        <v>2470</v>
      </c>
    </row>
    <row r="38">
      <c r="A38" s="8">
        <v>36.0</v>
      </c>
      <c r="B38" s="13" t="s">
        <v>816</v>
      </c>
      <c r="C38" s="8" t="s">
        <v>2470</v>
      </c>
    </row>
    <row r="39">
      <c r="A39" s="8">
        <v>37.0</v>
      </c>
      <c r="B39" s="13" t="s">
        <v>836</v>
      </c>
      <c r="C39" s="8" t="s">
        <v>2470</v>
      </c>
    </row>
    <row r="40">
      <c r="A40" s="8">
        <v>38.0</v>
      </c>
      <c r="B40" s="13" t="s">
        <v>782</v>
      </c>
      <c r="C40" s="8" t="s">
        <v>2471</v>
      </c>
    </row>
    <row r="41">
      <c r="A41" s="8">
        <v>39.0</v>
      </c>
      <c r="B41" s="13" t="s">
        <v>843</v>
      </c>
      <c r="C41" s="8" t="s">
        <v>2471</v>
      </c>
    </row>
    <row r="42">
      <c r="A42" s="8">
        <v>40.0</v>
      </c>
      <c r="B42" s="13" t="s">
        <v>780</v>
      </c>
      <c r="C42" s="8" t="s">
        <v>2471</v>
      </c>
    </row>
    <row r="43">
      <c r="A43" s="8">
        <v>41.0</v>
      </c>
      <c r="B43" s="13" t="s">
        <v>805</v>
      </c>
      <c r="C43" s="8" t="s">
        <v>2471</v>
      </c>
    </row>
    <row r="44">
      <c r="A44" s="8">
        <v>42.0</v>
      </c>
      <c r="B44" s="13" t="s">
        <v>1453</v>
      </c>
      <c r="C44" s="8" t="s">
        <v>2471</v>
      </c>
    </row>
    <row r="45">
      <c r="A45" s="8">
        <v>43.0</v>
      </c>
      <c r="B45" s="13" t="s">
        <v>851</v>
      </c>
      <c r="C45" s="8" t="s">
        <v>2471</v>
      </c>
    </row>
    <row r="46">
      <c r="A46" s="8">
        <v>44.0</v>
      </c>
      <c r="B46" s="13" t="s">
        <v>841</v>
      </c>
      <c r="C46" s="8" t="s">
        <v>2471</v>
      </c>
    </row>
    <row r="47">
      <c r="A47" s="8">
        <v>45.0</v>
      </c>
      <c r="B47" s="13" t="s">
        <v>1457</v>
      </c>
      <c r="C47" s="8" t="s">
        <v>2471</v>
      </c>
    </row>
    <row r="48">
      <c r="A48" s="8">
        <v>46.0</v>
      </c>
      <c r="B48" s="13" t="s">
        <v>1459</v>
      </c>
      <c r="C48" s="8" t="s">
        <v>2471</v>
      </c>
    </row>
    <row r="49">
      <c r="A49" s="8">
        <v>47.0</v>
      </c>
      <c r="B49" s="13" t="s">
        <v>1461</v>
      </c>
      <c r="C49" s="8" t="s">
        <v>2471</v>
      </c>
    </row>
    <row r="50">
      <c r="A50" s="8">
        <v>48.0</v>
      </c>
      <c r="B50" s="13" t="s">
        <v>1463</v>
      </c>
      <c r="C50" s="8" t="s">
        <v>2471</v>
      </c>
    </row>
    <row r="51">
      <c r="A51" s="8">
        <v>49.0</v>
      </c>
      <c r="B51" s="13" t="s">
        <v>828</v>
      </c>
      <c r="C51" s="8" t="s">
        <v>2471</v>
      </c>
    </row>
    <row r="52">
      <c r="A52" s="8">
        <v>50.0</v>
      </c>
      <c r="B52" s="13" t="s">
        <v>1466</v>
      </c>
      <c r="C52" s="8" t="s">
        <v>2471</v>
      </c>
    </row>
    <row r="53">
      <c r="A53" s="8">
        <v>51.0</v>
      </c>
      <c r="B53" s="13" t="s">
        <v>1468</v>
      </c>
      <c r="C53" s="8" t="s">
        <v>2471</v>
      </c>
    </row>
    <row r="54">
      <c r="A54" s="8">
        <v>52.0</v>
      </c>
      <c r="B54" s="13" t="s">
        <v>779</v>
      </c>
      <c r="C54" s="8" t="s">
        <v>2471</v>
      </c>
    </row>
    <row r="55">
      <c r="A55" s="8">
        <v>53.0</v>
      </c>
      <c r="B55" s="13" t="s">
        <v>1471</v>
      </c>
      <c r="C55" s="8" t="s">
        <v>2471</v>
      </c>
    </row>
    <row r="56">
      <c r="A56" s="8">
        <v>54.0</v>
      </c>
      <c r="B56" s="13" t="s">
        <v>789</v>
      </c>
      <c r="C56" s="8" t="s">
        <v>2471</v>
      </c>
    </row>
    <row r="57">
      <c r="A57" s="8">
        <v>55.0</v>
      </c>
      <c r="B57" s="13" t="s">
        <v>861</v>
      </c>
      <c r="C57" s="8" t="s">
        <v>2471</v>
      </c>
    </row>
    <row r="58">
      <c r="A58" s="8">
        <v>56.0</v>
      </c>
      <c r="B58" s="13" t="s">
        <v>1475</v>
      </c>
      <c r="C58" s="8" t="s">
        <v>2471</v>
      </c>
    </row>
    <row r="59">
      <c r="A59" s="8">
        <v>57.0</v>
      </c>
      <c r="B59" s="13" t="s">
        <v>1477</v>
      </c>
      <c r="C59" s="8" t="s">
        <v>2471</v>
      </c>
    </row>
    <row r="60">
      <c r="A60" s="8">
        <v>58.0</v>
      </c>
      <c r="B60" s="13" t="s">
        <v>840</v>
      </c>
      <c r="C60" s="8" t="s">
        <v>2471</v>
      </c>
    </row>
    <row r="61">
      <c r="A61" s="8">
        <v>59.0</v>
      </c>
      <c r="B61" s="13" t="s">
        <v>1481</v>
      </c>
      <c r="C61" s="8" t="s">
        <v>2471</v>
      </c>
    </row>
    <row r="62">
      <c r="A62" s="8">
        <v>60.0</v>
      </c>
      <c r="B62" s="13" t="s">
        <v>822</v>
      </c>
      <c r="C62" s="8" t="s">
        <v>2471</v>
      </c>
    </row>
    <row r="63">
      <c r="A63" s="8">
        <v>61.0</v>
      </c>
      <c r="B63" s="13" t="s">
        <v>854</v>
      </c>
      <c r="C63" s="8" t="s">
        <v>2471</v>
      </c>
    </row>
    <row r="64">
      <c r="A64" s="8">
        <v>62.0</v>
      </c>
      <c r="B64" s="13" t="s">
        <v>832</v>
      </c>
      <c r="C64" s="8" t="s">
        <v>2471</v>
      </c>
    </row>
    <row r="65">
      <c r="A65" s="8">
        <v>63.0</v>
      </c>
      <c r="B65" s="13" t="s">
        <v>781</v>
      </c>
      <c r="C65" s="8" t="s">
        <v>2471</v>
      </c>
    </row>
    <row r="66">
      <c r="A66" s="8">
        <v>64.0</v>
      </c>
      <c r="B66" s="13" t="s">
        <v>813</v>
      </c>
      <c r="C66" s="8" t="s">
        <v>2471</v>
      </c>
    </row>
    <row r="67">
      <c r="A67" s="8">
        <v>65.0</v>
      </c>
      <c r="B67" s="13" t="s">
        <v>802</v>
      </c>
      <c r="C67" s="8" t="s">
        <v>2471</v>
      </c>
    </row>
    <row r="68">
      <c r="A68" s="8">
        <v>66.0</v>
      </c>
      <c r="B68" s="13" t="s">
        <v>1489</v>
      </c>
      <c r="C68" s="8" t="s">
        <v>2471</v>
      </c>
    </row>
    <row r="69">
      <c r="A69" s="8">
        <v>67.0</v>
      </c>
      <c r="B69" s="13" t="s">
        <v>1491</v>
      </c>
      <c r="C69" s="8" t="s">
        <v>2471</v>
      </c>
    </row>
    <row r="70">
      <c r="A70" s="8">
        <v>68.0</v>
      </c>
      <c r="B70" s="13" t="s">
        <v>852</v>
      </c>
      <c r="C70" s="8" t="s">
        <v>2471</v>
      </c>
    </row>
    <row r="71">
      <c r="A71" s="8">
        <v>69.0</v>
      </c>
      <c r="B71" s="13" t="s">
        <v>1494</v>
      </c>
      <c r="C71" s="8" t="s">
        <v>2471</v>
      </c>
    </row>
    <row r="72">
      <c r="A72" s="8">
        <v>70.0</v>
      </c>
      <c r="B72" s="13" t="s">
        <v>823</v>
      </c>
      <c r="C72" s="8" t="s">
        <v>2471</v>
      </c>
    </row>
    <row r="73">
      <c r="A73" s="8">
        <v>71.0</v>
      </c>
      <c r="B73" s="13" t="s">
        <v>817</v>
      </c>
      <c r="C73" s="8" t="s">
        <v>2472</v>
      </c>
    </row>
    <row r="74">
      <c r="A74" s="8">
        <v>72.0</v>
      </c>
      <c r="B74" s="13" t="s">
        <v>786</v>
      </c>
      <c r="C74" s="8" t="s">
        <v>2472</v>
      </c>
    </row>
    <row r="75">
      <c r="A75" s="8">
        <v>73.0</v>
      </c>
      <c r="B75" s="13" t="s">
        <v>827</v>
      </c>
      <c r="C75" s="8" t="s">
        <v>2472</v>
      </c>
    </row>
    <row r="76">
      <c r="A76" s="8">
        <v>74.0</v>
      </c>
      <c r="B76" s="13" t="s">
        <v>1500</v>
      </c>
      <c r="C76" s="8" t="s">
        <v>2472</v>
      </c>
    </row>
    <row r="77">
      <c r="A77" s="8">
        <v>75.0</v>
      </c>
      <c r="B77" s="13" t="s">
        <v>807</v>
      </c>
      <c r="C77" s="8" t="s">
        <v>2472</v>
      </c>
    </row>
    <row r="78">
      <c r="A78" s="8">
        <v>76.0</v>
      </c>
      <c r="B78" s="13" t="s">
        <v>833</v>
      </c>
      <c r="C78" s="8" t="s">
        <v>2472</v>
      </c>
    </row>
    <row r="79">
      <c r="A79" s="8">
        <v>77.0</v>
      </c>
      <c r="B79" s="13" t="s">
        <v>1504</v>
      </c>
      <c r="C79" s="8" t="s">
        <v>2472</v>
      </c>
    </row>
    <row r="80">
      <c r="A80" s="8">
        <v>78.0</v>
      </c>
      <c r="B80" s="13" t="s">
        <v>784</v>
      </c>
      <c r="C80" s="8" t="s">
        <v>2472</v>
      </c>
    </row>
    <row r="81">
      <c r="A81" s="8">
        <v>79.0</v>
      </c>
      <c r="B81" s="13" t="s">
        <v>1507</v>
      </c>
      <c r="C81" s="8" t="s">
        <v>2472</v>
      </c>
    </row>
    <row r="82">
      <c r="A82" s="8">
        <v>80.0</v>
      </c>
      <c r="B82" s="13" t="s">
        <v>856</v>
      </c>
      <c r="C82" s="8" t="s">
        <v>2472</v>
      </c>
    </row>
    <row r="83">
      <c r="A83" s="8">
        <v>81.0</v>
      </c>
      <c r="B83" s="13" t="s">
        <v>821</v>
      </c>
      <c r="C83" s="8" t="s">
        <v>2472</v>
      </c>
    </row>
    <row r="84">
      <c r="A84" s="8">
        <v>82.0</v>
      </c>
      <c r="B84" s="13" t="s">
        <v>1511</v>
      </c>
      <c r="C84" s="8" t="s">
        <v>2472</v>
      </c>
    </row>
    <row r="85">
      <c r="A85" s="8">
        <v>83.0</v>
      </c>
      <c r="B85" s="13" t="s">
        <v>814</v>
      </c>
      <c r="C85" s="8" t="s">
        <v>2472</v>
      </c>
    </row>
    <row r="86">
      <c r="A86" s="8">
        <v>84.0</v>
      </c>
      <c r="B86" s="13" t="s">
        <v>858</v>
      </c>
      <c r="C86" s="8" t="s">
        <v>2472</v>
      </c>
    </row>
    <row r="87">
      <c r="A87" s="8">
        <v>85.0</v>
      </c>
      <c r="B87" s="13" t="s">
        <v>847</v>
      </c>
      <c r="C87" s="8" t="s">
        <v>2472</v>
      </c>
    </row>
    <row r="88">
      <c r="A88" s="8">
        <v>86.0</v>
      </c>
      <c r="B88" s="13" t="s">
        <v>801</v>
      </c>
      <c r="C88" s="8" t="s">
        <v>2472</v>
      </c>
    </row>
    <row r="89">
      <c r="A89" s="8">
        <v>87.0</v>
      </c>
      <c r="B89" s="13" t="s">
        <v>1517</v>
      </c>
      <c r="C89" s="8" t="s">
        <v>2472</v>
      </c>
    </row>
    <row r="90">
      <c r="A90" s="8">
        <v>88.0</v>
      </c>
      <c r="B90" s="13" t="s">
        <v>824</v>
      </c>
      <c r="C90" s="8" t="s">
        <v>2472</v>
      </c>
    </row>
    <row r="91">
      <c r="A91" s="8">
        <v>89.0</v>
      </c>
      <c r="B91" s="13" t="s">
        <v>850</v>
      </c>
      <c r="C91" s="8" t="s">
        <v>2472</v>
      </c>
    </row>
    <row r="92">
      <c r="A92" s="8">
        <v>90.0</v>
      </c>
      <c r="B92" s="13" t="s">
        <v>1521</v>
      </c>
      <c r="C92" s="8" t="s">
        <v>2472</v>
      </c>
    </row>
    <row r="93">
      <c r="A93" s="8">
        <v>91.0</v>
      </c>
      <c r="B93" s="13" t="s">
        <v>831</v>
      </c>
      <c r="C93" s="8" t="s">
        <v>2472</v>
      </c>
    </row>
    <row r="94">
      <c r="A94" s="8">
        <v>92.0</v>
      </c>
      <c r="B94" s="13" t="s">
        <v>863</v>
      </c>
      <c r="C94" s="8" t="s">
        <v>2472</v>
      </c>
    </row>
    <row r="95">
      <c r="A95" s="8">
        <v>93.0</v>
      </c>
      <c r="B95" s="13" t="s">
        <v>795</v>
      </c>
      <c r="C95" s="8" t="s">
        <v>2472</v>
      </c>
    </row>
    <row r="96">
      <c r="A96" s="8">
        <v>94.0</v>
      </c>
      <c r="B96" s="13" t="s">
        <v>848</v>
      </c>
      <c r="C96" s="8" t="s">
        <v>2472</v>
      </c>
    </row>
    <row r="97">
      <c r="A97" s="8">
        <v>95.0</v>
      </c>
      <c r="B97" s="13" t="s">
        <v>855</v>
      </c>
      <c r="C97" s="8" t="s">
        <v>2472</v>
      </c>
    </row>
    <row r="98">
      <c r="A98" s="8">
        <v>96.0</v>
      </c>
      <c r="B98" s="13" t="s">
        <v>1528</v>
      </c>
      <c r="C98" s="8" t="s">
        <v>2472</v>
      </c>
    </row>
    <row r="99">
      <c r="A99" s="8">
        <v>97.0</v>
      </c>
      <c r="B99" s="13" t="s">
        <v>803</v>
      </c>
      <c r="C99" s="8" t="s">
        <v>2472</v>
      </c>
    </row>
    <row r="100">
      <c r="A100" s="8">
        <v>98.0</v>
      </c>
      <c r="B100" s="13" t="s">
        <v>865</v>
      </c>
      <c r="C100" s="8" t="s">
        <v>2472</v>
      </c>
    </row>
    <row r="101">
      <c r="A101" s="8">
        <v>99.0</v>
      </c>
      <c r="B101" s="13" t="s">
        <v>794</v>
      </c>
      <c r="C101" s="8" t="s">
        <v>2472</v>
      </c>
    </row>
    <row r="102">
      <c r="A102" s="8">
        <v>100.0</v>
      </c>
      <c r="B102" s="13" t="s">
        <v>866</v>
      </c>
      <c r="C102" s="8" t="s">
        <v>2472</v>
      </c>
    </row>
    <row r="103">
      <c r="A103" s="8">
        <v>101.0</v>
      </c>
      <c r="B103" s="13" t="s">
        <v>1534</v>
      </c>
      <c r="C103" s="8" t="s">
        <v>2472</v>
      </c>
    </row>
    <row r="104">
      <c r="A104" s="8">
        <v>102.0</v>
      </c>
      <c r="B104" s="13" t="s">
        <v>859</v>
      </c>
      <c r="C104" s="8" t="s">
        <v>2472</v>
      </c>
    </row>
    <row r="105">
      <c r="A105" s="8">
        <v>103.0</v>
      </c>
      <c r="B105" s="13" t="s">
        <v>1537</v>
      </c>
      <c r="C105" s="8" t="s">
        <v>2472</v>
      </c>
    </row>
    <row r="106">
      <c r="A106" s="8">
        <v>104.0</v>
      </c>
      <c r="B106" s="13" t="s">
        <v>808</v>
      </c>
      <c r="C106" s="8" t="s">
        <v>2472</v>
      </c>
    </row>
    <row r="107">
      <c r="A107" s="8">
        <v>105.0</v>
      </c>
      <c r="B107" s="13" t="s">
        <v>1540</v>
      </c>
      <c r="C107" s="8" t="s">
        <v>2472</v>
      </c>
    </row>
    <row r="108">
      <c r="A108" s="8">
        <v>106.0</v>
      </c>
      <c r="B108" s="13" t="s">
        <v>1542</v>
      </c>
      <c r="C108" s="8" t="s">
        <v>2472</v>
      </c>
    </row>
    <row r="109">
      <c r="A109" s="8">
        <v>107.0</v>
      </c>
      <c r="B109" s="13" t="s">
        <v>810</v>
      </c>
      <c r="C109" s="8" t="s">
        <v>2472</v>
      </c>
    </row>
    <row r="110">
      <c r="A110" s="8">
        <v>108.0</v>
      </c>
      <c r="B110" s="13" t="s">
        <v>869</v>
      </c>
      <c r="C110" s="8" t="s">
        <v>2472</v>
      </c>
    </row>
    <row r="111">
      <c r="A111" s="8">
        <v>109.0</v>
      </c>
      <c r="B111" s="13" t="s">
        <v>791</v>
      </c>
      <c r="C111" s="8" t="s">
        <v>2472</v>
      </c>
    </row>
    <row r="112">
      <c r="A112" s="8">
        <v>110.0</v>
      </c>
      <c r="B112" s="13" t="s">
        <v>806</v>
      </c>
      <c r="C112" s="8" t="s">
        <v>2472</v>
      </c>
    </row>
    <row r="113">
      <c r="A113" s="8">
        <v>111.0</v>
      </c>
      <c r="B113" s="13" t="s">
        <v>1548</v>
      </c>
      <c r="C113" s="8" t="s">
        <v>2472</v>
      </c>
    </row>
    <row r="114">
      <c r="A114" s="8">
        <v>112.0</v>
      </c>
      <c r="B114" s="13" t="s">
        <v>870</v>
      </c>
      <c r="C114" s="8" t="s">
        <v>2472</v>
      </c>
    </row>
    <row r="115">
      <c r="A115" s="8">
        <v>113.0</v>
      </c>
      <c r="B115" s="13" t="s">
        <v>787</v>
      </c>
      <c r="C115" s="8" t="s">
        <v>2472</v>
      </c>
    </row>
    <row r="116">
      <c r="A116" s="8">
        <v>114.0</v>
      </c>
      <c r="B116" s="13" t="s">
        <v>839</v>
      </c>
      <c r="C116" s="8" t="s">
        <v>2472</v>
      </c>
    </row>
    <row r="117">
      <c r="A117" s="8">
        <v>115.0</v>
      </c>
      <c r="B117" s="13" t="s">
        <v>1553</v>
      </c>
      <c r="C117" s="8" t="s">
        <v>2473</v>
      </c>
    </row>
    <row r="118">
      <c r="A118" s="8">
        <v>116.0</v>
      </c>
      <c r="B118" s="13" t="s">
        <v>849</v>
      </c>
      <c r="C118" s="8" t="s">
        <v>2473</v>
      </c>
    </row>
    <row r="119">
      <c r="A119" s="8">
        <v>117.0</v>
      </c>
      <c r="B119" s="13" t="s">
        <v>812</v>
      </c>
      <c r="C119" s="8" t="s">
        <v>2473</v>
      </c>
    </row>
    <row r="120">
      <c r="A120" s="8">
        <v>118.0</v>
      </c>
      <c r="B120" s="13" t="s">
        <v>874</v>
      </c>
      <c r="C120" s="8" t="s">
        <v>2473</v>
      </c>
    </row>
    <row r="121">
      <c r="A121" s="8">
        <v>119.0</v>
      </c>
      <c r="B121" s="13" t="s">
        <v>1559</v>
      </c>
      <c r="C121" s="8" t="s">
        <v>2473</v>
      </c>
    </row>
    <row r="122">
      <c r="A122" s="8">
        <v>120.0</v>
      </c>
      <c r="B122" s="13" t="s">
        <v>872</v>
      </c>
      <c r="C122" s="8" t="s">
        <v>2473</v>
      </c>
    </row>
    <row r="123">
      <c r="A123" s="8">
        <v>121.0</v>
      </c>
      <c r="B123" s="13" t="s">
        <v>1562</v>
      </c>
      <c r="C123" s="8" t="s">
        <v>2471</v>
      </c>
    </row>
    <row r="124">
      <c r="A124" s="8">
        <v>122.0</v>
      </c>
      <c r="B124" s="13" t="s">
        <v>837</v>
      </c>
      <c r="C124" s="8" t="s">
        <v>2471</v>
      </c>
    </row>
    <row r="125">
      <c r="A125" s="8">
        <v>123.0</v>
      </c>
      <c r="B125" s="13" t="s">
        <v>1565</v>
      </c>
      <c r="C125" s="8" t="s">
        <v>2473</v>
      </c>
    </row>
    <row r="126">
      <c r="A126" s="8">
        <v>124.0</v>
      </c>
      <c r="B126" s="13" t="s">
        <v>798</v>
      </c>
      <c r="C126" s="8" t="s">
        <v>2473</v>
      </c>
    </row>
    <row r="127">
      <c r="A127" s="8">
        <v>125.0</v>
      </c>
      <c r="B127" s="13" t="s">
        <v>797</v>
      </c>
      <c r="C127" s="8" t="s">
        <v>2472</v>
      </c>
    </row>
    <row r="128">
      <c r="A128" s="8">
        <v>126.0</v>
      </c>
      <c r="B128" s="13" t="s">
        <v>785</v>
      </c>
      <c r="C128" s="8" t="s">
        <v>2472</v>
      </c>
    </row>
    <row r="129">
      <c r="A129" s="8">
        <v>127.0</v>
      </c>
      <c r="B129" s="13" t="s">
        <v>809</v>
      </c>
      <c r="C129" s="8" t="s">
        <v>2472</v>
      </c>
    </row>
  </sheetData>
  <drawing r:id="rId1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4" t="s">
        <v>2474</v>
      </c>
      <c r="B1" s="14" t="s">
        <v>2475</v>
      </c>
      <c r="C1" s="14" t="s">
        <v>2476</v>
      </c>
      <c r="D1" s="14" t="s">
        <v>2477</v>
      </c>
      <c r="E1" s="14" t="s">
        <v>2478</v>
      </c>
      <c r="F1" s="14" t="s">
        <v>2479</v>
      </c>
      <c r="G1" s="14" t="s">
        <v>2480</v>
      </c>
      <c r="H1" s="14" t="s">
        <v>2481</v>
      </c>
      <c r="I1" s="14" t="s">
        <v>2482</v>
      </c>
      <c r="J1" s="14" t="s">
        <v>2483</v>
      </c>
      <c r="K1" s="14" t="s">
        <v>2484</v>
      </c>
    </row>
    <row r="2">
      <c r="A2" s="14">
        <v>0.0</v>
      </c>
      <c r="B2" s="14" t="s">
        <v>2485</v>
      </c>
      <c r="C2" s="14" t="s">
        <v>2486</v>
      </c>
      <c r="D2" s="14" t="s">
        <v>2487</v>
      </c>
      <c r="E2" s="14" t="s">
        <v>2488</v>
      </c>
      <c r="F2" s="14" t="s">
        <v>2489</v>
      </c>
      <c r="G2" s="14" t="s">
        <v>2490</v>
      </c>
      <c r="H2" s="14" t="s">
        <v>2491</v>
      </c>
      <c r="I2" s="14" t="s">
        <v>2492</v>
      </c>
      <c r="J2" s="14" t="s">
        <v>2493</v>
      </c>
      <c r="K2" s="14" t="s">
        <v>2494</v>
      </c>
    </row>
    <row r="3">
      <c r="A3" s="14">
        <v>1.0</v>
      </c>
      <c r="B3" t="str">
        <f t="shared" ref="B3:K3" si="1">DEC2HEX(HEX2DEC(B2)+1)</f>
        <v>AE02E1</v>
      </c>
      <c r="C3" t="str">
        <f t="shared" si="1"/>
        <v>AE02E3</v>
      </c>
      <c r="D3" t="str">
        <f t="shared" si="1"/>
        <v>AE02E5</v>
      </c>
      <c r="E3" t="str">
        <f t="shared" si="1"/>
        <v>AE02E7</v>
      </c>
      <c r="F3" t="str">
        <f t="shared" si="1"/>
        <v>AE02E9</v>
      </c>
      <c r="G3" t="str">
        <f t="shared" si="1"/>
        <v>AE02FB</v>
      </c>
      <c r="H3" t="str">
        <f t="shared" si="1"/>
        <v>AE02FD</v>
      </c>
      <c r="I3" t="str">
        <f t="shared" si="1"/>
        <v>AE02FF</v>
      </c>
      <c r="J3" t="str">
        <f t="shared" si="1"/>
        <v>AE0301</v>
      </c>
      <c r="K3" t="str">
        <f t="shared" si="1"/>
        <v>AE02DB</v>
      </c>
    </row>
    <row r="4">
      <c r="A4" s="14">
        <v>2.0</v>
      </c>
      <c r="B4" t="str">
        <f t="shared" ref="B4:K4" si="2">DEC2HEX(HEX2DEC(B3)+1)</f>
        <v>AE02E2</v>
      </c>
      <c r="C4" t="str">
        <f t="shared" si="2"/>
        <v>AE02E4</v>
      </c>
      <c r="D4" t="str">
        <f t="shared" si="2"/>
        <v>AE02E6</v>
      </c>
      <c r="E4" t="str">
        <f t="shared" si="2"/>
        <v>AE02E8</v>
      </c>
      <c r="F4" t="str">
        <f t="shared" si="2"/>
        <v>AE02EA</v>
      </c>
      <c r="G4" t="str">
        <f t="shared" si="2"/>
        <v>AE02FC</v>
      </c>
      <c r="H4" t="str">
        <f t="shared" si="2"/>
        <v>AE02FE</v>
      </c>
      <c r="I4" t="str">
        <f t="shared" si="2"/>
        <v>AE0300</v>
      </c>
      <c r="J4" t="str">
        <f t="shared" si="2"/>
        <v>AE0302</v>
      </c>
      <c r="K4" t="str">
        <f t="shared" si="2"/>
        <v>AE02DC</v>
      </c>
    </row>
    <row r="5">
      <c r="A5" s="14">
        <v>3.0</v>
      </c>
      <c r="B5" t="str">
        <f t="shared" ref="B5:K5" si="3">DEC2HEX(HEX2DEC(B4)+1)</f>
        <v>AE02E3</v>
      </c>
      <c r="C5" t="str">
        <f t="shared" si="3"/>
        <v>AE02E5</v>
      </c>
      <c r="D5" t="str">
        <f t="shared" si="3"/>
        <v>AE02E7</v>
      </c>
      <c r="E5" t="str">
        <f t="shared" si="3"/>
        <v>AE02E9</v>
      </c>
      <c r="F5" t="str">
        <f t="shared" si="3"/>
        <v>AE02EB</v>
      </c>
      <c r="G5" t="str">
        <f t="shared" si="3"/>
        <v>AE02FD</v>
      </c>
      <c r="H5" t="str">
        <f t="shared" si="3"/>
        <v>AE02FF</v>
      </c>
      <c r="I5" t="str">
        <f t="shared" si="3"/>
        <v>AE0301</v>
      </c>
      <c r="J5" t="str">
        <f t="shared" si="3"/>
        <v>AE0303</v>
      </c>
      <c r="K5" t="str">
        <f t="shared" si="3"/>
        <v>AE02DD</v>
      </c>
    </row>
    <row r="6">
      <c r="A6" s="14">
        <v>4.0</v>
      </c>
      <c r="B6" t="str">
        <f t="shared" ref="B6:K6" si="4">DEC2HEX(HEX2DEC(B5)+1)</f>
        <v>AE02E4</v>
      </c>
      <c r="C6" t="str">
        <f t="shared" si="4"/>
        <v>AE02E6</v>
      </c>
      <c r="D6" t="str">
        <f t="shared" si="4"/>
        <v>AE02E8</v>
      </c>
      <c r="E6" t="str">
        <f t="shared" si="4"/>
        <v>AE02EA</v>
      </c>
      <c r="F6" t="str">
        <f t="shared" si="4"/>
        <v>AE02EC</v>
      </c>
      <c r="G6" t="str">
        <f t="shared" si="4"/>
        <v>AE02FE</v>
      </c>
      <c r="H6" t="str">
        <f t="shared" si="4"/>
        <v>AE0300</v>
      </c>
      <c r="I6" t="str">
        <f t="shared" si="4"/>
        <v>AE0302</v>
      </c>
      <c r="J6" t="str">
        <f t="shared" si="4"/>
        <v>AE0304</v>
      </c>
      <c r="K6" t="str">
        <f t="shared" si="4"/>
        <v>AE02DE</v>
      </c>
    </row>
    <row r="7">
      <c r="A7" s="14">
        <v>5.0</v>
      </c>
      <c r="B7" t="str">
        <f t="shared" ref="B7:K7" si="5">DEC2HEX(HEX2DEC(B6)+1)</f>
        <v>AE02E5</v>
      </c>
      <c r="C7" t="str">
        <f t="shared" si="5"/>
        <v>AE02E7</v>
      </c>
      <c r="D7" t="str">
        <f t="shared" si="5"/>
        <v>AE02E9</v>
      </c>
      <c r="E7" t="str">
        <f t="shared" si="5"/>
        <v>AE02EB</v>
      </c>
      <c r="F7" t="str">
        <f t="shared" si="5"/>
        <v>AE02ED</v>
      </c>
      <c r="G7" t="str">
        <f t="shared" si="5"/>
        <v>AE02FF</v>
      </c>
      <c r="H7" t="str">
        <f t="shared" si="5"/>
        <v>AE0301</v>
      </c>
      <c r="I7" t="str">
        <f t="shared" si="5"/>
        <v>AE0303</v>
      </c>
      <c r="J7" t="str">
        <f t="shared" si="5"/>
        <v>AE0305</v>
      </c>
      <c r="K7" t="str">
        <f t="shared" si="5"/>
        <v>AE02DF</v>
      </c>
    </row>
    <row r="8">
      <c r="A8" s="14">
        <v>6.0</v>
      </c>
      <c r="B8" t="str">
        <f t="shared" ref="B8:K8" si="6">DEC2HEX(HEX2DEC(B7)+1)</f>
        <v>AE02E6</v>
      </c>
      <c r="C8" t="str">
        <f t="shared" si="6"/>
        <v>AE02E8</v>
      </c>
      <c r="D8" t="str">
        <f t="shared" si="6"/>
        <v>AE02EA</v>
      </c>
      <c r="E8" t="str">
        <f t="shared" si="6"/>
        <v>AE02EC</v>
      </c>
      <c r="F8" t="str">
        <f t="shared" si="6"/>
        <v>AE02EE</v>
      </c>
      <c r="G8" t="str">
        <f t="shared" si="6"/>
        <v>AE0300</v>
      </c>
      <c r="H8" t="str">
        <f t="shared" si="6"/>
        <v>AE0302</v>
      </c>
      <c r="I8" t="str">
        <f t="shared" si="6"/>
        <v>AE0304</v>
      </c>
      <c r="J8" t="str">
        <f t="shared" si="6"/>
        <v>AE0306</v>
      </c>
      <c r="K8" t="str">
        <f t="shared" si="6"/>
        <v>AE02E0</v>
      </c>
    </row>
    <row r="9">
      <c r="A9" s="14">
        <v>7.0</v>
      </c>
      <c r="B9" t="str">
        <f t="shared" ref="B9:K9" si="7">DEC2HEX(HEX2DEC(B8)+1)</f>
        <v>AE02E7</v>
      </c>
      <c r="C9" t="str">
        <f t="shared" si="7"/>
        <v>AE02E9</v>
      </c>
      <c r="D9" t="str">
        <f t="shared" si="7"/>
        <v>AE02EB</v>
      </c>
      <c r="E9" t="str">
        <f t="shared" si="7"/>
        <v>AE02ED</v>
      </c>
      <c r="F9" t="str">
        <f t="shared" si="7"/>
        <v>AE02EF</v>
      </c>
      <c r="G9" t="str">
        <f t="shared" si="7"/>
        <v>AE0301</v>
      </c>
      <c r="H9" t="str">
        <f t="shared" si="7"/>
        <v>AE0303</v>
      </c>
      <c r="I9" t="str">
        <f t="shared" si="7"/>
        <v>AE0305</v>
      </c>
      <c r="J9" t="str">
        <f t="shared" si="7"/>
        <v>AE0307</v>
      </c>
      <c r="K9" t="str">
        <f t="shared" si="7"/>
        <v>AE02E1</v>
      </c>
    </row>
    <row r="10">
      <c r="A10" s="14">
        <v>8.0</v>
      </c>
      <c r="B10" t="str">
        <f t="shared" ref="B10:K10" si="8">DEC2HEX(HEX2DEC(B9)+1)</f>
        <v>AE02E8</v>
      </c>
      <c r="C10" t="str">
        <f t="shared" si="8"/>
        <v>AE02EA</v>
      </c>
      <c r="D10" t="str">
        <f t="shared" si="8"/>
        <v>AE02EC</v>
      </c>
      <c r="E10" t="str">
        <f t="shared" si="8"/>
        <v>AE02EE</v>
      </c>
      <c r="F10" t="str">
        <f t="shared" si="8"/>
        <v>AE02F0</v>
      </c>
      <c r="G10" t="str">
        <f t="shared" si="8"/>
        <v>AE0302</v>
      </c>
      <c r="H10" t="str">
        <f t="shared" si="8"/>
        <v>AE0304</v>
      </c>
      <c r="I10" t="str">
        <f t="shared" si="8"/>
        <v>AE0306</v>
      </c>
      <c r="J10" t="str">
        <f t="shared" si="8"/>
        <v>AE0308</v>
      </c>
      <c r="K10" t="str">
        <f t="shared" si="8"/>
        <v>AE02E2</v>
      </c>
    </row>
    <row r="11">
      <c r="A11" s="14">
        <v>9.0</v>
      </c>
      <c r="B11" t="str">
        <f t="shared" ref="B11:K11" si="9">DEC2HEX(HEX2DEC(B10)+1)</f>
        <v>AE02E9</v>
      </c>
      <c r="C11" t="str">
        <f t="shared" si="9"/>
        <v>AE02EB</v>
      </c>
      <c r="D11" t="str">
        <f t="shared" si="9"/>
        <v>AE02ED</v>
      </c>
      <c r="E11" t="str">
        <f t="shared" si="9"/>
        <v>AE02EF</v>
      </c>
      <c r="F11" t="str">
        <f t="shared" si="9"/>
        <v>AE02F1</v>
      </c>
      <c r="G11" t="str">
        <f t="shared" si="9"/>
        <v>AE0303</v>
      </c>
      <c r="H11" t="str">
        <f t="shared" si="9"/>
        <v>AE0305</v>
      </c>
      <c r="I11" t="str">
        <f t="shared" si="9"/>
        <v>AE0307</v>
      </c>
      <c r="J11" t="str">
        <f t="shared" si="9"/>
        <v>AE0309</v>
      </c>
      <c r="K11" t="str">
        <f t="shared" si="9"/>
        <v>AE02E3</v>
      </c>
    </row>
    <row r="12">
      <c r="A12" s="14">
        <v>10.0</v>
      </c>
      <c r="B12" t="str">
        <f t="shared" ref="B12:K12" si="10">DEC2HEX(HEX2DEC(B11)+1)</f>
        <v>AE02EA</v>
      </c>
      <c r="C12" t="str">
        <f t="shared" si="10"/>
        <v>AE02EC</v>
      </c>
      <c r="D12" t="str">
        <f t="shared" si="10"/>
        <v>AE02EE</v>
      </c>
      <c r="E12" t="str">
        <f t="shared" si="10"/>
        <v>AE02F0</v>
      </c>
      <c r="F12" t="str">
        <f t="shared" si="10"/>
        <v>AE02F2</v>
      </c>
      <c r="G12" t="str">
        <f t="shared" si="10"/>
        <v>AE0304</v>
      </c>
      <c r="H12" t="str">
        <f t="shared" si="10"/>
        <v>AE0306</v>
      </c>
      <c r="I12" t="str">
        <f t="shared" si="10"/>
        <v>AE0308</v>
      </c>
      <c r="J12" t="str">
        <f t="shared" si="10"/>
        <v>AE030A</v>
      </c>
      <c r="K12" t="str">
        <f t="shared" si="10"/>
        <v>AE02E4</v>
      </c>
    </row>
    <row r="13">
      <c r="A13" s="14">
        <v>11.0</v>
      </c>
      <c r="B13" t="str">
        <f t="shared" ref="B13:K13" si="11">DEC2HEX(HEX2DEC(B12)+1)</f>
        <v>AE02EB</v>
      </c>
      <c r="C13" t="str">
        <f t="shared" si="11"/>
        <v>AE02ED</v>
      </c>
      <c r="D13" t="str">
        <f t="shared" si="11"/>
        <v>AE02EF</v>
      </c>
      <c r="E13" t="str">
        <f t="shared" si="11"/>
        <v>AE02F1</v>
      </c>
      <c r="F13" t="str">
        <f t="shared" si="11"/>
        <v>AE02F3</v>
      </c>
      <c r="G13" t="str">
        <f t="shared" si="11"/>
        <v>AE0305</v>
      </c>
      <c r="H13" t="str">
        <f t="shared" si="11"/>
        <v>AE0307</v>
      </c>
      <c r="I13" t="str">
        <f t="shared" si="11"/>
        <v>AE0309</v>
      </c>
      <c r="J13" t="str">
        <f t="shared" si="11"/>
        <v>AE030B</v>
      </c>
      <c r="K13" t="str">
        <f t="shared" si="11"/>
        <v>AE02E5</v>
      </c>
    </row>
    <row r="14">
      <c r="A14" s="14">
        <v>12.0</v>
      </c>
      <c r="B14" t="str">
        <f t="shared" ref="B14:K14" si="12">DEC2HEX(HEX2DEC(B13)+1)</f>
        <v>AE02EC</v>
      </c>
      <c r="C14" t="str">
        <f t="shared" si="12"/>
        <v>AE02EE</v>
      </c>
      <c r="D14" t="str">
        <f t="shared" si="12"/>
        <v>AE02F0</v>
      </c>
      <c r="E14" t="str">
        <f t="shared" si="12"/>
        <v>AE02F2</v>
      </c>
      <c r="F14" t="str">
        <f t="shared" si="12"/>
        <v>AE02F4</v>
      </c>
      <c r="G14" t="str">
        <f t="shared" si="12"/>
        <v>AE0306</v>
      </c>
      <c r="H14" t="str">
        <f t="shared" si="12"/>
        <v>AE0308</v>
      </c>
      <c r="I14" t="str">
        <f t="shared" si="12"/>
        <v>AE030A</v>
      </c>
      <c r="J14" t="str">
        <f t="shared" si="12"/>
        <v>AE030C</v>
      </c>
      <c r="K14" t="str">
        <f t="shared" si="12"/>
        <v>AE02E6</v>
      </c>
    </row>
    <row r="15">
      <c r="A15" s="14">
        <v>13.0</v>
      </c>
      <c r="B15" t="str">
        <f t="shared" ref="B15:K15" si="13">DEC2HEX(HEX2DEC(B14)+1)</f>
        <v>AE02ED</v>
      </c>
      <c r="C15" t="str">
        <f t="shared" si="13"/>
        <v>AE02EF</v>
      </c>
      <c r="D15" t="str">
        <f t="shared" si="13"/>
        <v>AE02F1</v>
      </c>
      <c r="E15" t="str">
        <f t="shared" si="13"/>
        <v>AE02F3</v>
      </c>
      <c r="F15" t="str">
        <f t="shared" si="13"/>
        <v>AE02F5</v>
      </c>
      <c r="G15" t="str">
        <f t="shared" si="13"/>
        <v>AE0307</v>
      </c>
      <c r="H15" t="str">
        <f t="shared" si="13"/>
        <v>AE0309</v>
      </c>
      <c r="I15" t="str">
        <f t="shared" si="13"/>
        <v>AE030B</v>
      </c>
      <c r="J15" t="str">
        <f t="shared" si="13"/>
        <v>AE030D</v>
      </c>
      <c r="K15" t="str">
        <f t="shared" si="13"/>
        <v>AE02E7</v>
      </c>
    </row>
    <row r="16">
      <c r="A16" s="14">
        <v>14.0</v>
      </c>
      <c r="B16" t="str">
        <f t="shared" ref="B16:K16" si="14">DEC2HEX(HEX2DEC(B15)+1)</f>
        <v>AE02EE</v>
      </c>
      <c r="C16" t="str">
        <f t="shared" si="14"/>
        <v>AE02F0</v>
      </c>
      <c r="D16" t="str">
        <f t="shared" si="14"/>
        <v>AE02F2</v>
      </c>
      <c r="E16" t="str">
        <f t="shared" si="14"/>
        <v>AE02F4</v>
      </c>
      <c r="F16" t="str">
        <f t="shared" si="14"/>
        <v>AE02F6</v>
      </c>
      <c r="G16" t="str">
        <f t="shared" si="14"/>
        <v>AE0308</v>
      </c>
      <c r="H16" t="str">
        <f t="shared" si="14"/>
        <v>AE030A</v>
      </c>
      <c r="I16" t="str">
        <f t="shared" si="14"/>
        <v>AE030C</v>
      </c>
      <c r="J16" t="str">
        <f t="shared" si="14"/>
        <v>AE030E</v>
      </c>
      <c r="K16" t="str">
        <f t="shared" si="14"/>
        <v>AE02E8</v>
      </c>
    </row>
    <row r="17">
      <c r="A17" s="14">
        <v>15.0</v>
      </c>
      <c r="B17" t="str">
        <f t="shared" ref="B17:K17" si="15">DEC2HEX(HEX2DEC(B16)+1)</f>
        <v>AE02EF</v>
      </c>
      <c r="C17" t="str">
        <f t="shared" si="15"/>
        <v>AE02F1</v>
      </c>
      <c r="D17" t="str">
        <f t="shared" si="15"/>
        <v>AE02F3</v>
      </c>
      <c r="E17" t="str">
        <f t="shared" si="15"/>
        <v>AE02F5</v>
      </c>
      <c r="F17" t="str">
        <f t="shared" si="15"/>
        <v>AE02F7</v>
      </c>
      <c r="G17" t="str">
        <f t="shared" si="15"/>
        <v>AE0309</v>
      </c>
      <c r="H17" t="str">
        <f t="shared" si="15"/>
        <v>AE030B</v>
      </c>
      <c r="I17" t="str">
        <f t="shared" si="15"/>
        <v>AE030D</v>
      </c>
      <c r="J17" t="str">
        <f t="shared" si="15"/>
        <v>AE030F</v>
      </c>
      <c r="K17" t="str">
        <f t="shared" si="15"/>
        <v>AE02E9</v>
      </c>
    </row>
    <row r="18">
      <c r="A18" s="14">
        <v>16.0</v>
      </c>
      <c r="B18" t="str">
        <f t="shared" ref="B18:K18" si="16">DEC2HEX(HEX2DEC(B17)+1)</f>
        <v>AE02F0</v>
      </c>
      <c r="C18" t="str">
        <f t="shared" si="16"/>
        <v>AE02F2</v>
      </c>
      <c r="D18" t="str">
        <f t="shared" si="16"/>
        <v>AE02F4</v>
      </c>
      <c r="E18" t="str">
        <f t="shared" si="16"/>
        <v>AE02F6</v>
      </c>
      <c r="F18" t="str">
        <f t="shared" si="16"/>
        <v>AE02F8</v>
      </c>
      <c r="G18" t="str">
        <f t="shared" si="16"/>
        <v>AE030A</v>
      </c>
      <c r="H18" t="str">
        <f t="shared" si="16"/>
        <v>AE030C</v>
      </c>
      <c r="I18" t="str">
        <f t="shared" si="16"/>
        <v>AE030E</v>
      </c>
      <c r="J18" t="str">
        <f t="shared" si="16"/>
        <v>AE0310</v>
      </c>
      <c r="K18" t="str">
        <f t="shared" si="16"/>
        <v>AE02EA</v>
      </c>
    </row>
    <row r="19">
      <c r="A19" s="14">
        <v>17.0</v>
      </c>
      <c r="B19" t="str">
        <f t="shared" ref="B19:K19" si="17">DEC2HEX(HEX2DEC(B18)+1)</f>
        <v>AE02F1</v>
      </c>
      <c r="C19" t="str">
        <f t="shared" si="17"/>
        <v>AE02F3</v>
      </c>
      <c r="D19" t="str">
        <f t="shared" si="17"/>
        <v>AE02F5</v>
      </c>
      <c r="E19" t="str">
        <f t="shared" si="17"/>
        <v>AE02F7</v>
      </c>
      <c r="F19" t="str">
        <f t="shared" si="17"/>
        <v>AE02F9</v>
      </c>
      <c r="G19" t="str">
        <f t="shared" si="17"/>
        <v>AE030B</v>
      </c>
      <c r="H19" t="str">
        <f t="shared" si="17"/>
        <v>AE030D</v>
      </c>
      <c r="I19" t="str">
        <f t="shared" si="17"/>
        <v>AE030F</v>
      </c>
      <c r="J19" t="str">
        <f t="shared" si="17"/>
        <v>AE0311</v>
      </c>
      <c r="K19" t="str">
        <f t="shared" si="17"/>
        <v>AE02EB</v>
      </c>
    </row>
    <row r="20">
      <c r="A20" s="14">
        <v>18.0</v>
      </c>
      <c r="B20" t="str">
        <f t="shared" ref="B20:K20" si="18">DEC2HEX(HEX2DEC(B19)+1)</f>
        <v>AE02F2</v>
      </c>
      <c r="C20" t="str">
        <f t="shared" si="18"/>
        <v>AE02F4</v>
      </c>
      <c r="D20" t="str">
        <f t="shared" si="18"/>
        <v>AE02F6</v>
      </c>
      <c r="E20" t="str">
        <f t="shared" si="18"/>
        <v>AE02F8</v>
      </c>
      <c r="F20" t="str">
        <f t="shared" si="18"/>
        <v>AE02FA</v>
      </c>
      <c r="G20" t="str">
        <f t="shared" si="18"/>
        <v>AE030C</v>
      </c>
      <c r="H20" t="str">
        <f t="shared" si="18"/>
        <v>AE030E</v>
      </c>
      <c r="I20" t="str">
        <f t="shared" si="18"/>
        <v>AE0310</v>
      </c>
      <c r="J20" t="str">
        <f t="shared" si="18"/>
        <v>AE0312</v>
      </c>
      <c r="K20" t="str">
        <f t="shared" si="18"/>
        <v>AE02EC</v>
      </c>
    </row>
    <row r="21">
      <c r="A21" s="14">
        <v>19.0</v>
      </c>
      <c r="B21" t="str">
        <f t="shared" ref="B21:K21" si="19">DEC2HEX(HEX2DEC(B20)+1)</f>
        <v>AE02F3</v>
      </c>
      <c r="C21" t="str">
        <f t="shared" si="19"/>
        <v>AE02F5</v>
      </c>
      <c r="D21" t="str">
        <f t="shared" si="19"/>
        <v>AE02F7</v>
      </c>
      <c r="E21" t="str">
        <f t="shared" si="19"/>
        <v>AE02F9</v>
      </c>
      <c r="F21" t="str">
        <f t="shared" si="19"/>
        <v>AE02FB</v>
      </c>
      <c r="G21" t="str">
        <f t="shared" si="19"/>
        <v>AE030D</v>
      </c>
      <c r="H21" t="str">
        <f t="shared" si="19"/>
        <v>AE030F</v>
      </c>
      <c r="I21" t="str">
        <f t="shared" si="19"/>
        <v>AE0311</v>
      </c>
      <c r="J21" t="str">
        <f t="shared" si="19"/>
        <v>AE0313</v>
      </c>
      <c r="K21" t="str">
        <f t="shared" si="19"/>
        <v>AE02ED</v>
      </c>
    </row>
    <row r="22">
      <c r="A22" s="14">
        <v>20.0</v>
      </c>
      <c r="B22" t="str">
        <f t="shared" ref="B22:K22" si="20">DEC2HEX(HEX2DEC(B21)+1)</f>
        <v>AE02F4</v>
      </c>
      <c r="C22" t="str">
        <f t="shared" si="20"/>
        <v>AE02F6</v>
      </c>
      <c r="D22" t="str">
        <f t="shared" si="20"/>
        <v>AE02F8</v>
      </c>
      <c r="E22" t="str">
        <f t="shared" si="20"/>
        <v>AE02FA</v>
      </c>
      <c r="F22" t="str">
        <f t="shared" si="20"/>
        <v>AE02FC</v>
      </c>
      <c r="G22" t="str">
        <f t="shared" si="20"/>
        <v>AE030E</v>
      </c>
      <c r="H22" t="str">
        <f t="shared" si="20"/>
        <v>AE0310</v>
      </c>
      <c r="I22" t="str">
        <f t="shared" si="20"/>
        <v>AE0312</v>
      </c>
      <c r="J22" t="str">
        <f t="shared" si="20"/>
        <v>AE0314</v>
      </c>
      <c r="K22" t="str">
        <f t="shared" si="20"/>
        <v>AE02EE</v>
      </c>
    </row>
    <row r="23">
      <c r="A23" s="14">
        <v>21.0</v>
      </c>
      <c r="B23" t="str">
        <f t="shared" ref="B23:K23" si="21">DEC2HEX(HEX2DEC(B22)+1)</f>
        <v>AE02F5</v>
      </c>
      <c r="C23" t="str">
        <f t="shared" si="21"/>
        <v>AE02F7</v>
      </c>
      <c r="D23" t="str">
        <f t="shared" si="21"/>
        <v>AE02F9</v>
      </c>
      <c r="E23" t="str">
        <f t="shared" si="21"/>
        <v>AE02FB</v>
      </c>
      <c r="F23" t="str">
        <f t="shared" si="21"/>
        <v>AE02FD</v>
      </c>
      <c r="G23" t="str">
        <f t="shared" si="21"/>
        <v>AE030F</v>
      </c>
      <c r="H23" t="str">
        <f t="shared" si="21"/>
        <v>AE0311</v>
      </c>
      <c r="I23" t="str">
        <f t="shared" si="21"/>
        <v>AE0313</v>
      </c>
      <c r="J23" t="str">
        <f t="shared" si="21"/>
        <v>AE0315</v>
      </c>
      <c r="K23" t="str">
        <f t="shared" si="21"/>
        <v>AE02EF</v>
      </c>
    </row>
    <row r="24">
      <c r="A24" s="14">
        <v>22.0</v>
      </c>
      <c r="B24" t="str">
        <f t="shared" ref="B24:K24" si="22">DEC2HEX(HEX2DEC(B23)+1)</f>
        <v>AE02F6</v>
      </c>
      <c r="C24" t="str">
        <f t="shared" si="22"/>
        <v>AE02F8</v>
      </c>
      <c r="D24" t="str">
        <f t="shared" si="22"/>
        <v>AE02FA</v>
      </c>
      <c r="E24" t="str">
        <f t="shared" si="22"/>
        <v>AE02FC</v>
      </c>
      <c r="F24" t="str">
        <f t="shared" si="22"/>
        <v>AE02FE</v>
      </c>
      <c r="G24" t="str">
        <f t="shared" si="22"/>
        <v>AE0310</v>
      </c>
      <c r="H24" t="str">
        <f t="shared" si="22"/>
        <v>AE0312</v>
      </c>
      <c r="I24" t="str">
        <f t="shared" si="22"/>
        <v>AE0314</v>
      </c>
      <c r="J24" t="str">
        <f t="shared" si="22"/>
        <v>AE0316</v>
      </c>
      <c r="K24" t="str">
        <f t="shared" si="22"/>
        <v>AE02F0</v>
      </c>
    </row>
    <row r="25">
      <c r="A25" s="14">
        <v>23.0</v>
      </c>
      <c r="B25" t="str">
        <f t="shared" ref="B25:K25" si="23">DEC2HEX(HEX2DEC(B24)+1)</f>
        <v>AE02F7</v>
      </c>
      <c r="C25" t="str">
        <f t="shared" si="23"/>
        <v>AE02F9</v>
      </c>
      <c r="D25" t="str">
        <f t="shared" si="23"/>
        <v>AE02FB</v>
      </c>
      <c r="E25" t="str">
        <f t="shared" si="23"/>
        <v>AE02FD</v>
      </c>
      <c r="F25" t="str">
        <f t="shared" si="23"/>
        <v>AE02FF</v>
      </c>
      <c r="G25" t="str">
        <f t="shared" si="23"/>
        <v>AE0311</v>
      </c>
      <c r="H25" t="str">
        <f t="shared" si="23"/>
        <v>AE0313</v>
      </c>
      <c r="I25" t="str">
        <f t="shared" si="23"/>
        <v>AE0315</v>
      </c>
      <c r="J25" t="str">
        <f t="shared" si="23"/>
        <v>AE0317</v>
      </c>
      <c r="K25" t="str">
        <f t="shared" si="23"/>
        <v>AE02F1</v>
      </c>
    </row>
    <row r="26">
      <c r="A26" s="14">
        <v>24.0</v>
      </c>
      <c r="B26" t="str">
        <f t="shared" ref="B26:K26" si="24">DEC2HEX(HEX2DEC(B25)+1)</f>
        <v>AE02F8</v>
      </c>
      <c r="C26" t="str">
        <f t="shared" si="24"/>
        <v>AE02FA</v>
      </c>
      <c r="D26" t="str">
        <f t="shared" si="24"/>
        <v>AE02FC</v>
      </c>
      <c r="E26" t="str">
        <f t="shared" si="24"/>
        <v>AE02FE</v>
      </c>
      <c r="F26" t="str">
        <f t="shared" si="24"/>
        <v>AE0300</v>
      </c>
      <c r="G26" t="str">
        <f t="shared" si="24"/>
        <v>AE0312</v>
      </c>
      <c r="H26" t="str">
        <f t="shared" si="24"/>
        <v>AE0314</v>
      </c>
      <c r="I26" t="str">
        <f t="shared" si="24"/>
        <v>AE0316</v>
      </c>
      <c r="J26" t="str">
        <f t="shared" si="24"/>
        <v>AE0318</v>
      </c>
      <c r="K26" t="str">
        <f t="shared" si="24"/>
        <v>AE02F2</v>
      </c>
    </row>
    <row r="27">
      <c r="A27" s="14">
        <v>25.0</v>
      </c>
      <c r="B27" t="str">
        <f t="shared" ref="B27:K27" si="25">DEC2HEX(HEX2DEC(B26)+1)</f>
        <v>AE02F9</v>
      </c>
      <c r="C27" t="str">
        <f t="shared" si="25"/>
        <v>AE02FB</v>
      </c>
      <c r="D27" t="str">
        <f t="shared" si="25"/>
        <v>AE02FD</v>
      </c>
      <c r="E27" t="str">
        <f t="shared" si="25"/>
        <v>AE02FF</v>
      </c>
      <c r="F27" t="str">
        <f t="shared" si="25"/>
        <v>AE0301</v>
      </c>
      <c r="G27" t="str">
        <f t="shared" si="25"/>
        <v>AE0313</v>
      </c>
      <c r="H27" t="str">
        <f t="shared" si="25"/>
        <v>AE0315</v>
      </c>
      <c r="I27" t="str">
        <f t="shared" si="25"/>
        <v>AE0317</v>
      </c>
      <c r="J27" t="str">
        <f t="shared" si="25"/>
        <v>AE0319</v>
      </c>
      <c r="K27" t="str">
        <f t="shared" si="25"/>
        <v>AE02F3</v>
      </c>
    </row>
    <row r="28">
      <c r="A28" s="14">
        <v>26.0</v>
      </c>
      <c r="B28" t="str">
        <f t="shared" ref="B28:K28" si="26">DEC2HEX(HEX2DEC(B27)+1)</f>
        <v>AE02FA</v>
      </c>
      <c r="C28" t="str">
        <f t="shared" si="26"/>
        <v>AE02FC</v>
      </c>
      <c r="D28" t="str">
        <f t="shared" si="26"/>
        <v>AE02FE</v>
      </c>
      <c r="E28" t="str">
        <f t="shared" si="26"/>
        <v>AE0300</v>
      </c>
      <c r="F28" t="str">
        <f t="shared" si="26"/>
        <v>AE0302</v>
      </c>
      <c r="G28" t="str">
        <f t="shared" si="26"/>
        <v>AE0314</v>
      </c>
      <c r="H28" t="str">
        <f t="shared" si="26"/>
        <v>AE0316</v>
      </c>
      <c r="I28" t="str">
        <f t="shared" si="26"/>
        <v>AE0318</v>
      </c>
      <c r="J28" t="str">
        <f t="shared" si="26"/>
        <v>AE031A</v>
      </c>
      <c r="K28" t="str">
        <f t="shared" si="26"/>
        <v>AE02F4</v>
      </c>
    </row>
    <row r="29">
      <c r="A29" s="14">
        <v>27.0</v>
      </c>
      <c r="B29" t="str">
        <f t="shared" ref="B29:K29" si="27">DEC2HEX(HEX2DEC(B28)+1)</f>
        <v>AE02FB</v>
      </c>
      <c r="C29" t="str">
        <f t="shared" si="27"/>
        <v>AE02FD</v>
      </c>
      <c r="D29" t="str">
        <f t="shared" si="27"/>
        <v>AE02FF</v>
      </c>
      <c r="E29" t="str">
        <f t="shared" si="27"/>
        <v>AE0301</v>
      </c>
      <c r="F29" t="str">
        <f t="shared" si="27"/>
        <v>AE0303</v>
      </c>
      <c r="G29" t="str">
        <f t="shared" si="27"/>
        <v>AE0315</v>
      </c>
      <c r="H29" t="str">
        <f t="shared" si="27"/>
        <v>AE0317</v>
      </c>
      <c r="I29" t="str">
        <f t="shared" si="27"/>
        <v>AE0319</v>
      </c>
      <c r="J29" t="str">
        <f t="shared" si="27"/>
        <v>AE031B</v>
      </c>
      <c r="K29" t="str">
        <f t="shared" si="27"/>
        <v>AE02F5</v>
      </c>
    </row>
    <row r="30">
      <c r="A30" s="14">
        <v>28.0</v>
      </c>
      <c r="B30" t="str">
        <f t="shared" ref="B30:K30" si="28">DEC2HEX(HEX2DEC(B29)+1)</f>
        <v>AE02FC</v>
      </c>
      <c r="C30" t="str">
        <f t="shared" si="28"/>
        <v>AE02FE</v>
      </c>
      <c r="D30" t="str">
        <f t="shared" si="28"/>
        <v>AE0300</v>
      </c>
      <c r="E30" t="str">
        <f t="shared" si="28"/>
        <v>AE0302</v>
      </c>
      <c r="F30" t="str">
        <f t="shared" si="28"/>
        <v>AE0304</v>
      </c>
      <c r="G30" t="str">
        <f t="shared" si="28"/>
        <v>AE0316</v>
      </c>
      <c r="H30" t="str">
        <f t="shared" si="28"/>
        <v>AE0318</v>
      </c>
      <c r="I30" t="str">
        <f t="shared" si="28"/>
        <v>AE031A</v>
      </c>
      <c r="J30" t="str">
        <f t="shared" si="28"/>
        <v>AE031C</v>
      </c>
      <c r="K30" t="str">
        <f t="shared" si="28"/>
        <v>AE02F6</v>
      </c>
    </row>
    <row r="31">
      <c r="A31" s="14">
        <v>29.0</v>
      </c>
      <c r="B31" t="str">
        <f t="shared" ref="B31:K31" si="29">DEC2HEX(HEX2DEC(B30)+1)</f>
        <v>AE02FD</v>
      </c>
      <c r="C31" t="str">
        <f t="shared" si="29"/>
        <v>AE02FF</v>
      </c>
      <c r="D31" t="str">
        <f t="shared" si="29"/>
        <v>AE0301</v>
      </c>
      <c r="E31" t="str">
        <f t="shared" si="29"/>
        <v>AE0303</v>
      </c>
      <c r="F31" t="str">
        <f t="shared" si="29"/>
        <v>AE0305</v>
      </c>
      <c r="G31" t="str">
        <f t="shared" si="29"/>
        <v>AE0317</v>
      </c>
      <c r="H31" t="str">
        <f t="shared" si="29"/>
        <v>AE0319</v>
      </c>
      <c r="I31" t="str">
        <f t="shared" si="29"/>
        <v>AE031B</v>
      </c>
      <c r="J31" t="str">
        <f t="shared" si="29"/>
        <v>AE031D</v>
      </c>
      <c r="K31" t="str">
        <f t="shared" si="29"/>
        <v>AE02F7</v>
      </c>
    </row>
    <row r="32">
      <c r="A32" s="14">
        <v>30.0</v>
      </c>
      <c r="B32" t="str">
        <f t="shared" ref="B32:K32" si="30">DEC2HEX(HEX2DEC(B31)+1)</f>
        <v>AE02FE</v>
      </c>
      <c r="C32" t="str">
        <f t="shared" si="30"/>
        <v>AE0300</v>
      </c>
      <c r="D32" t="str">
        <f t="shared" si="30"/>
        <v>AE0302</v>
      </c>
      <c r="E32" t="str">
        <f t="shared" si="30"/>
        <v>AE0304</v>
      </c>
      <c r="F32" t="str">
        <f t="shared" si="30"/>
        <v>AE0306</v>
      </c>
      <c r="G32" t="str">
        <f t="shared" si="30"/>
        <v>AE0318</v>
      </c>
      <c r="H32" t="str">
        <f t="shared" si="30"/>
        <v>AE031A</v>
      </c>
      <c r="I32" t="str">
        <f t="shared" si="30"/>
        <v>AE031C</v>
      </c>
      <c r="J32" t="str">
        <f t="shared" si="30"/>
        <v>AE031E</v>
      </c>
      <c r="K32" t="str">
        <f t="shared" si="30"/>
        <v>AE02F8</v>
      </c>
    </row>
    <row r="33">
      <c r="A33" s="14">
        <v>31.0</v>
      </c>
      <c r="B33" t="str">
        <f t="shared" ref="B33:K33" si="31">DEC2HEX(HEX2DEC(B32)+1)</f>
        <v>AE02FF</v>
      </c>
      <c r="C33" t="str">
        <f t="shared" si="31"/>
        <v>AE0301</v>
      </c>
      <c r="D33" t="str">
        <f t="shared" si="31"/>
        <v>AE0303</v>
      </c>
      <c r="E33" t="str">
        <f t="shared" si="31"/>
        <v>AE0305</v>
      </c>
      <c r="F33" t="str">
        <f t="shared" si="31"/>
        <v>AE0307</v>
      </c>
      <c r="G33" t="str">
        <f t="shared" si="31"/>
        <v>AE0319</v>
      </c>
      <c r="H33" t="str">
        <f t="shared" si="31"/>
        <v>AE031B</v>
      </c>
      <c r="I33" t="str">
        <f t="shared" si="31"/>
        <v>AE031D</v>
      </c>
      <c r="J33" t="str">
        <f t="shared" si="31"/>
        <v>AE031F</v>
      </c>
      <c r="K33" t="str">
        <f t="shared" si="31"/>
        <v>AE02F9</v>
      </c>
    </row>
    <row r="34">
      <c r="A34" s="14">
        <v>32.0</v>
      </c>
      <c r="B34" t="str">
        <f t="shared" ref="B34:K34" si="32">DEC2HEX(HEX2DEC(B33)+1)</f>
        <v>AE0300</v>
      </c>
      <c r="C34" t="str">
        <f t="shared" si="32"/>
        <v>AE0302</v>
      </c>
      <c r="D34" t="str">
        <f t="shared" si="32"/>
        <v>AE0304</v>
      </c>
      <c r="E34" t="str">
        <f t="shared" si="32"/>
        <v>AE0306</v>
      </c>
      <c r="F34" t="str">
        <f t="shared" si="32"/>
        <v>AE0308</v>
      </c>
      <c r="G34" t="str">
        <f t="shared" si="32"/>
        <v>AE031A</v>
      </c>
      <c r="H34" t="str">
        <f t="shared" si="32"/>
        <v>AE031C</v>
      </c>
      <c r="I34" t="str">
        <f t="shared" si="32"/>
        <v>AE031E</v>
      </c>
      <c r="J34" t="str">
        <f t="shared" si="32"/>
        <v>AE0320</v>
      </c>
      <c r="K34" t="str">
        <f t="shared" si="32"/>
        <v>AE02FA</v>
      </c>
    </row>
    <row r="35">
      <c r="A35" s="14">
        <v>33.0</v>
      </c>
      <c r="B35" t="str">
        <f t="shared" ref="B35:K35" si="33">DEC2HEX(HEX2DEC(B34)+1)</f>
        <v>AE0301</v>
      </c>
      <c r="C35" t="str">
        <f t="shared" si="33"/>
        <v>AE0303</v>
      </c>
      <c r="D35" t="str">
        <f t="shared" si="33"/>
        <v>AE0305</v>
      </c>
      <c r="E35" t="str">
        <f t="shared" si="33"/>
        <v>AE0307</v>
      </c>
      <c r="F35" t="str">
        <f t="shared" si="33"/>
        <v>AE0309</v>
      </c>
      <c r="G35" t="str">
        <f t="shared" si="33"/>
        <v>AE031B</v>
      </c>
      <c r="H35" t="str">
        <f t="shared" si="33"/>
        <v>AE031D</v>
      </c>
      <c r="I35" t="str">
        <f t="shared" si="33"/>
        <v>AE031F</v>
      </c>
      <c r="J35" t="str">
        <f t="shared" si="33"/>
        <v>AE0321</v>
      </c>
      <c r="K35" t="str">
        <f t="shared" si="33"/>
        <v>AE02FB</v>
      </c>
    </row>
    <row r="36">
      <c r="A36" s="14">
        <v>34.0</v>
      </c>
      <c r="B36" t="str">
        <f t="shared" ref="B36:K36" si="34">DEC2HEX(HEX2DEC(B35)+1)</f>
        <v>AE0302</v>
      </c>
      <c r="C36" t="str">
        <f t="shared" si="34"/>
        <v>AE0304</v>
      </c>
      <c r="D36" t="str">
        <f t="shared" si="34"/>
        <v>AE0306</v>
      </c>
      <c r="E36" t="str">
        <f t="shared" si="34"/>
        <v>AE0308</v>
      </c>
      <c r="F36" t="str">
        <f t="shared" si="34"/>
        <v>AE030A</v>
      </c>
      <c r="G36" t="str">
        <f t="shared" si="34"/>
        <v>AE031C</v>
      </c>
      <c r="H36" t="str">
        <f t="shared" si="34"/>
        <v>AE031E</v>
      </c>
      <c r="I36" t="str">
        <f t="shared" si="34"/>
        <v>AE0320</v>
      </c>
      <c r="J36" t="str">
        <f t="shared" si="34"/>
        <v>AE0322</v>
      </c>
      <c r="K36" t="str">
        <f t="shared" si="34"/>
        <v>AE02FC</v>
      </c>
    </row>
    <row r="37">
      <c r="A37" s="14">
        <v>35.0</v>
      </c>
      <c r="B37" t="str">
        <f t="shared" ref="B37:K37" si="35">DEC2HEX(HEX2DEC(B36)+1)</f>
        <v>AE0303</v>
      </c>
      <c r="C37" t="str">
        <f t="shared" si="35"/>
        <v>AE0305</v>
      </c>
      <c r="D37" t="str">
        <f t="shared" si="35"/>
        <v>AE0307</v>
      </c>
      <c r="E37" t="str">
        <f t="shared" si="35"/>
        <v>AE0309</v>
      </c>
      <c r="F37" t="str">
        <f t="shared" si="35"/>
        <v>AE030B</v>
      </c>
      <c r="G37" t="str">
        <f t="shared" si="35"/>
        <v>AE031D</v>
      </c>
      <c r="H37" t="str">
        <f t="shared" si="35"/>
        <v>AE031F</v>
      </c>
      <c r="I37" t="str">
        <f t="shared" si="35"/>
        <v>AE0321</v>
      </c>
      <c r="J37" t="str">
        <f t="shared" si="35"/>
        <v>AE0323</v>
      </c>
      <c r="K37" t="str">
        <f t="shared" si="35"/>
        <v>AE02FD</v>
      </c>
    </row>
    <row r="38">
      <c r="A38" s="14">
        <v>36.0</v>
      </c>
      <c r="B38" t="str">
        <f t="shared" ref="B38:K38" si="36">DEC2HEX(HEX2DEC(B37)+1)</f>
        <v>AE0304</v>
      </c>
      <c r="C38" t="str">
        <f t="shared" si="36"/>
        <v>AE0306</v>
      </c>
      <c r="D38" t="str">
        <f t="shared" si="36"/>
        <v>AE0308</v>
      </c>
      <c r="E38" t="str">
        <f t="shared" si="36"/>
        <v>AE030A</v>
      </c>
      <c r="F38" t="str">
        <f t="shared" si="36"/>
        <v>AE030C</v>
      </c>
      <c r="G38" t="str">
        <f t="shared" si="36"/>
        <v>AE031E</v>
      </c>
      <c r="H38" t="str">
        <f t="shared" si="36"/>
        <v>AE0320</v>
      </c>
      <c r="I38" t="str">
        <f t="shared" si="36"/>
        <v>AE0322</v>
      </c>
      <c r="J38" t="str">
        <f t="shared" si="36"/>
        <v>AE0324</v>
      </c>
      <c r="K38" t="str">
        <f t="shared" si="36"/>
        <v>AE02FE</v>
      </c>
    </row>
    <row r="39">
      <c r="A39" s="14">
        <v>37.0</v>
      </c>
      <c r="B39" t="str">
        <f t="shared" ref="B39:K39" si="37">DEC2HEX(HEX2DEC(B38)+1)</f>
        <v>AE0305</v>
      </c>
      <c r="C39" t="str">
        <f t="shared" si="37"/>
        <v>AE0307</v>
      </c>
      <c r="D39" t="str">
        <f t="shared" si="37"/>
        <v>AE0309</v>
      </c>
      <c r="E39" t="str">
        <f t="shared" si="37"/>
        <v>AE030B</v>
      </c>
      <c r="F39" t="str">
        <f t="shared" si="37"/>
        <v>AE030D</v>
      </c>
      <c r="G39" t="str">
        <f t="shared" si="37"/>
        <v>AE031F</v>
      </c>
      <c r="H39" t="str">
        <f t="shared" si="37"/>
        <v>AE0321</v>
      </c>
      <c r="I39" t="str">
        <f t="shared" si="37"/>
        <v>AE0323</v>
      </c>
      <c r="J39" t="str">
        <f t="shared" si="37"/>
        <v>AE0325</v>
      </c>
      <c r="K39" t="str">
        <f t="shared" si="37"/>
        <v>AE02FF</v>
      </c>
    </row>
    <row r="40">
      <c r="A40" s="14">
        <v>38.0</v>
      </c>
      <c r="B40" t="str">
        <f t="shared" ref="B40:K40" si="38">DEC2HEX(HEX2DEC(B39)+1)</f>
        <v>AE0306</v>
      </c>
      <c r="C40" t="str">
        <f t="shared" si="38"/>
        <v>AE0308</v>
      </c>
      <c r="D40" t="str">
        <f t="shared" si="38"/>
        <v>AE030A</v>
      </c>
      <c r="E40" t="str">
        <f t="shared" si="38"/>
        <v>AE030C</v>
      </c>
      <c r="F40" t="str">
        <f t="shared" si="38"/>
        <v>AE030E</v>
      </c>
      <c r="G40" t="str">
        <f t="shared" si="38"/>
        <v>AE0320</v>
      </c>
      <c r="H40" t="str">
        <f t="shared" si="38"/>
        <v>AE0322</v>
      </c>
      <c r="I40" t="str">
        <f t="shared" si="38"/>
        <v>AE0324</v>
      </c>
      <c r="J40" t="str">
        <f t="shared" si="38"/>
        <v>AE0326</v>
      </c>
      <c r="K40" t="str">
        <f t="shared" si="38"/>
        <v>AE0300</v>
      </c>
    </row>
    <row r="41">
      <c r="A41" s="14">
        <v>39.0</v>
      </c>
      <c r="B41" t="str">
        <f t="shared" ref="B41:K41" si="39">DEC2HEX(HEX2DEC(B40)+1)</f>
        <v>AE0307</v>
      </c>
      <c r="C41" t="str">
        <f t="shared" si="39"/>
        <v>AE0309</v>
      </c>
      <c r="D41" t="str">
        <f t="shared" si="39"/>
        <v>AE030B</v>
      </c>
      <c r="E41" t="str">
        <f t="shared" si="39"/>
        <v>AE030D</v>
      </c>
      <c r="F41" t="str">
        <f t="shared" si="39"/>
        <v>AE030F</v>
      </c>
      <c r="G41" t="str">
        <f t="shared" si="39"/>
        <v>AE0321</v>
      </c>
      <c r="H41" t="str">
        <f t="shared" si="39"/>
        <v>AE0323</v>
      </c>
      <c r="I41" t="str">
        <f t="shared" si="39"/>
        <v>AE0325</v>
      </c>
      <c r="J41" t="str">
        <f t="shared" si="39"/>
        <v>AE0327</v>
      </c>
      <c r="K41" t="str">
        <f t="shared" si="39"/>
        <v>AE0301</v>
      </c>
    </row>
    <row r="42">
      <c r="A42" s="14">
        <v>40.0</v>
      </c>
      <c r="B42" t="str">
        <f t="shared" ref="B42:K42" si="40">DEC2HEX(HEX2DEC(B41)+1)</f>
        <v>AE0308</v>
      </c>
      <c r="C42" t="str">
        <f t="shared" si="40"/>
        <v>AE030A</v>
      </c>
      <c r="D42" t="str">
        <f t="shared" si="40"/>
        <v>AE030C</v>
      </c>
      <c r="E42" t="str">
        <f t="shared" si="40"/>
        <v>AE030E</v>
      </c>
      <c r="F42" t="str">
        <f t="shared" si="40"/>
        <v>AE0310</v>
      </c>
      <c r="G42" t="str">
        <f t="shared" si="40"/>
        <v>AE0322</v>
      </c>
      <c r="H42" t="str">
        <f t="shared" si="40"/>
        <v>AE0324</v>
      </c>
      <c r="I42" t="str">
        <f t="shared" si="40"/>
        <v>AE0326</v>
      </c>
      <c r="J42" t="str">
        <f t="shared" si="40"/>
        <v>AE0328</v>
      </c>
      <c r="K42" t="str">
        <f t="shared" si="40"/>
        <v>AE0302</v>
      </c>
    </row>
    <row r="43">
      <c r="A43" s="14">
        <v>41.0</v>
      </c>
      <c r="B43" t="str">
        <f t="shared" ref="B43:K43" si="41">DEC2HEX(HEX2DEC(B42)+1)</f>
        <v>AE0309</v>
      </c>
      <c r="C43" t="str">
        <f t="shared" si="41"/>
        <v>AE030B</v>
      </c>
      <c r="D43" t="str">
        <f t="shared" si="41"/>
        <v>AE030D</v>
      </c>
      <c r="E43" t="str">
        <f t="shared" si="41"/>
        <v>AE030F</v>
      </c>
      <c r="F43" t="str">
        <f t="shared" si="41"/>
        <v>AE0311</v>
      </c>
      <c r="G43" t="str">
        <f t="shared" si="41"/>
        <v>AE0323</v>
      </c>
      <c r="H43" t="str">
        <f t="shared" si="41"/>
        <v>AE0325</v>
      </c>
      <c r="I43" t="str">
        <f t="shared" si="41"/>
        <v>AE0327</v>
      </c>
      <c r="J43" t="str">
        <f t="shared" si="41"/>
        <v>AE0329</v>
      </c>
      <c r="K43" t="str">
        <f t="shared" si="41"/>
        <v>AE0303</v>
      </c>
    </row>
    <row r="44">
      <c r="A44" s="14">
        <v>42.0</v>
      </c>
      <c r="B44" t="str">
        <f t="shared" ref="B44:K44" si="42">DEC2HEX(HEX2DEC(B43)+1)</f>
        <v>AE030A</v>
      </c>
      <c r="C44" t="str">
        <f t="shared" si="42"/>
        <v>AE030C</v>
      </c>
      <c r="D44" t="str">
        <f t="shared" si="42"/>
        <v>AE030E</v>
      </c>
      <c r="E44" t="str">
        <f t="shared" si="42"/>
        <v>AE0310</v>
      </c>
      <c r="F44" t="str">
        <f t="shared" si="42"/>
        <v>AE0312</v>
      </c>
      <c r="G44" t="str">
        <f t="shared" si="42"/>
        <v>AE0324</v>
      </c>
      <c r="H44" t="str">
        <f t="shared" si="42"/>
        <v>AE0326</v>
      </c>
      <c r="I44" t="str">
        <f t="shared" si="42"/>
        <v>AE0328</v>
      </c>
      <c r="J44" t="str">
        <f t="shared" si="42"/>
        <v>AE032A</v>
      </c>
      <c r="K44" t="str">
        <f t="shared" si="42"/>
        <v>AE0304</v>
      </c>
    </row>
    <row r="45">
      <c r="A45" s="14">
        <v>43.0</v>
      </c>
      <c r="B45" t="str">
        <f t="shared" ref="B45:K45" si="43">DEC2HEX(HEX2DEC(B44)+1)</f>
        <v>AE030B</v>
      </c>
      <c r="C45" t="str">
        <f t="shared" si="43"/>
        <v>AE030D</v>
      </c>
      <c r="D45" t="str">
        <f t="shared" si="43"/>
        <v>AE030F</v>
      </c>
      <c r="E45" t="str">
        <f t="shared" si="43"/>
        <v>AE0311</v>
      </c>
      <c r="F45" t="str">
        <f t="shared" si="43"/>
        <v>AE0313</v>
      </c>
      <c r="G45" t="str">
        <f t="shared" si="43"/>
        <v>AE0325</v>
      </c>
      <c r="H45" t="str">
        <f t="shared" si="43"/>
        <v>AE0327</v>
      </c>
      <c r="I45" t="str">
        <f t="shared" si="43"/>
        <v>AE0329</v>
      </c>
      <c r="J45" t="str">
        <f t="shared" si="43"/>
        <v>AE032B</v>
      </c>
      <c r="K45" t="str">
        <f t="shared" si="43"/>
        <v>AE0305</v>
      </c>
    </row>
    <row r="46">
      <c r="A46" s="14">
        <v>44.0</v>
      </c>
      <c r="B46" t="str">
        <f t="shared" ref="B46:K46" si="44">DEC2HEX(HEX2DEC(B45)+1)</f>
        <v>AE030C</v>
      </c>
      <c r="C46" t="str">
        <f t="shared" si="44"/>
        <v>AE030E</v>
      </c>
      <c r="D46" t="str">
        <f t="shared" si="44"/>
        <v>AE0310</v>
      </c>
      <c r="E46" t="str">
        <f t="shared" si="44"/>
        <v>AE0312</v>
      </c>
      <c r="F46" t="str">
        <f t="shared" si="44"/>
        <v>AE0314</v>
      </c>
      <c r="G46" t="str">
        <f t="shared" si="44"/>
        <v>AE0326</v>
      </c>
      <c r="H46" t="str">
        <f t="shared" si="44"/>
        <v>AE0328</v>
      </c>
      <c r="I46" t="str">
        <f t="shared" si="44"/>
        <v>AE032A</v>
      </c>
      <c r="J46" t="str">
        <f t="shared" si="44"/>
        <v>AE032C</v>
      </c>
      <c r="K46" t="str">
        <f t="shared" si="44"/>
        <v>AE0306</v>
      </c>
    </row>
    <row r="47">
      <c r="A47" s="14">
        <v>45.0</v>
      </c>
      <c r="B47" t="str">
        <f t="shared" ref="B47:K47" si="45">DEC2HEX(HEX2DEC(B46)+1)</f>
        <v>AE030D</v>
      </c>
      <c r="C47" t="str">
        <f t="shared" si="45"/>
        <v>AE030F</v>
      </c>
      <c r="D47" t="str">
        <f t="shared" si="45"/>
        <v>AE0311</v>
      </c>
      <c r="E47" t="str">
        <f t="shared" si="45"/>
        <v>AE0313</v>
      </c>
      <c r="F47" t="str">
        <f t="shared" si="45"/>
        <v>AE0315</v>
      </c>
      <c r="G47" t="str">
        <f t="shared" si="45"/>
        <v>AE0327</v>
      </c>
      <c r="H47" t="str">
        <f t="shared" si="45"/>
        <v>AE0329</v>
      </c>
      <c r="I47" t="str">
        <f t="shared" si="45"/>
        <v>AE032B</v>
      </c>
      <c r="J47" t="str">
        <f t="shared" si="45"/>
        <v>AE032D</v>
      </c>
      <c r="K47" t="str">
        <f t="shared" si="45"/>
        <v>AE0307</v>
      </c>
    </row>
    <row r="48">
      <c r="A48" s="14">
        <v>46.0</v>
      </c>
      <c r="B48" t="str">
        <f t="shared" ref="B48:K48" si="46">DEC2HEX(HEX2DEC(B47)+1)</f>
        <v>AE030E</v>
      </c>
      <c r="C48" t="str">
        <f t="shared" si="46"/>
        <v>AE0310</v>
      </c>
      <c r="D48" t="str">
        <f t="shared" si="46"/>
        <v>AE0312</v>
      </c>
      <c r="E48" t="str">
        <f t="shared" si="46"/>
        <v>AE0314</v>
      </c>
      <c r="F48" t="str">
        <f t="shared" si="46"/>
        <v>AE0316</v>
      </c>
      <c r="G48" t="str">
        <f t="shared" si="46"/>
        <v>AE0328</v>
      </c>
      <c r="H48" t="str">
        <f t="shared" si="46"/>
        <v>AE032A</v>
      </c>
      <c r="I48" t="str">
        <f t="shared" si="46"/>
        <v>AE032C</v>
      </c>
      <c r="J48" t="str">
        <f t="shared" si="46"/>
        <v>AE032E</v>
      </c>
      <c r="K48" t="str">
        <f t="shared" si="46"/>
        <v>AE0308</v>
      </c>
    </row>
    <row r="49">
      <c r="A49" s="14">
        <v>47.0</v>
      </c>
      <c r="B49" t="str">
        <f t="shared" ref="B49:K49" si="47">DEC2HEX(HEX2DEC(B48)+1)</f>
        <v>AE030F</v>
      </c>
      <c r="C49" t="str">
        <f t="shared" si="47"/>
        <v>AE0311</v>
      </c>
      <c r="D49" t="str">
        <f t="shared" si="47"/>
        <v>AE0313</v>
      </c>
      <c r="E49" t="str">
        <f t="shared" si="47"/>
        <v>AE0315</v>
      </c>
      <c r="F49" t="str">
        <f t="shared" si="47"/>
        <v>AE0317</v>
      </c>
      <c r="G49" t="str">
        <f t="shared" si="47"/>
        <v>AE0329</v>
      </c>
      <c r="H49" t="str">
        <f t="shared" si="47"/>
        <v>AE032B</v>
      </c>
      <c r="I49" t="str">
        <f t="shared" si="47"/>
        <v>AE032D</v>
      </c>
      <c r="J49" t="str">
        <f t="shared" si="47"/>
        <v>AE032F</v>
      </c>
      <c r="K49" t="str">
        <f t="shared" si="47"/>
        <v>AE0309</v>
      </c>
    </row>
    <row r="50">
      <c r="A50" s="14">
        <v>48.0</v>
      </c>
      <c r="B50" t="str">
        <f t="shared" ref="B50:K50" si="48">DEC2HEX(HEX2DEC(B49)+1)</f>
        <v>AE0310</v>
      </c>
      <c r="C50" t="str">
        <f t="shared" si="48"/>
        <v>AE0312</v>
      </c>
      <c r="D50" t="str">
        <f t="shared" si="48"/>
        <v>AE0314</v>
      </c>
      <c r="E50" t="str">
        <f t="shared" si="48"/>
        <v>AE0316</v>
      </c>
      <c r="F50" t="str">
        <f t="shared" si="48"/>
        <v>AE0318</v>
      </c>
      <c r="G50" t="str">
        <f t="shared" si="48"/>
        <v>AE032A</v>
      </c>
      <c r="H50" t="str">
        <f t="shared" si="48"/>
        <v>AE032C</v>
      </c>
      <c r="I50" t="str">
        <f t="shared" si="48"/>
        <v>AE032E</v>
      </c>
      <c r="J50" t="str">
        <f t="shared" si="48"/>
        <v>AE0330</v>
      </c>
      <c r="K50" t="str">
        <f t="shared" si="48"/>
        <v>AE030A</v>
      </c>
    </row>
    <row r="51">
      <c r="A51" s="14">
        <v>49.0</v>
      </c>
      <c r="B51" t="str">
        <f t="shared" ref="B51:K51" si="49">DEC2HEX(HEX2DEC(B50)+1)</f>
        <v>AE0311</v>
      </c>
      <c r="C51" t="str">
        <f t="shared" si="49"/>
        <v>AE0313</v>
      </c>
      <c r="D51" t="str">
        <f t="shared" si="49"/>
        <v>AE0315</v>
      </c>
      <c r="E51" t="str">
        <f t="shared" si="49"/>
        <v>AE0317</v>
      </c>
      <c r="F51" t="str">
        <f t="shared" si="49"/>
        <v>AE0319</v>
      </c>
      <c r="G51" t="str">
        <f t="shared" si="49"/>
        <v>AE032B</v>
      </c>
      <c r="H51" t="str">
        <f t="shared" si="49"/>
        <v>AE032D</v>
      </c>
      <c r="I51" t="str">
        <f t="shared" si="49"/>
        <v>AE032F</v>
      </c>
      <c r="J51" t="str">
        <f t="shared" si="49"/>
        <v>AE0331</v>
      </c>
      <c r="K51" t="str">
        <f t="shared" si="49"/>
        <v>AE030B</v>
      </c>
    </row>
    <row r="52">
      <c r="A52" s="14">
        <v>50.0</v>
      </c>
      <c r="B52" t="str">
        <f t="shared" ref="B52:K52" si="50">DEC2HEX(HEX2DEC(B51)+1)</f>
        <v>AE0312</v>
      </c>
      <c r="C52" t="str">
        <f t="shared" si="50"/>
        <v>AE0314</v>
      </c>
      <c r="D52" t="str">
        <f t="shared" si="50"/>
        <v>AE0316</v>
      </c>
      <c r="E52" t="str">
        <f t="shared" si="50"/>
        <v>AE0318</v>
      </c>
      <c r="F52" t="str">
        <f t="shared" si="50"/>
        <v>AE031A</v>
      </c>
      <c r="G52" t="str">
        <f t="shared" si="50"/>
        <v>AE032C</v>
      </c>
      <c r="H52" t="str">
        <f t="shared" si="50"/>
        <v>AE032E</v>
      </c>
      <c r="I52" t="str">
        <f t="shared" si="50"/>
        <v>AE0330</v>
      </c>
      <c r="J52" t="str">
        <f t="shared" si="50"/>
        <v>AE0332</v>
      </c>
      <c r="K52" t="str">
        <f t="shared" si="50"/>
        <v>AE030C</v>
      </c>
    </row>
    <row r="53">
      <c r="A53" s="14">
        <v>51.0</v>
      </c>
      <c r="B53" t="str">
        <f t="shared" ref="B53:K53" si="51">DEC2HEX(HEX2DEC(B52)+1)</f>
        <v>AE0313</v>
      </c>
      <c r="C53" t="str">
        <f t="shared" si="51"/>
        <v>AE0315</v>
      </c>
      <c r="D53" t="str">
        <f t="shared" si="51"/>
        <v>AE0317</v>
      </c>
      <c r="E53" t="str">
        <f t="shared" si="51"/>
        <v>AE0319</v>
      </c>
      <c r="F53" t="str">
        <f t="shared" si="51"/>
        <v>AE031B</v>
      </c>
      <c r="G53" t="str">
        <f t="shared" si="51"/>
        <v>AE032D</v>
      </c>
      <c r="H53" t="str">
        <f t="shared" si="51"/>
        <v>AE032F</v>
      </c>
      <c r="I53" t="str">
        <f t="shared" si="51"/>
        <v>AE0331</v>
      </c>
      <c r="J53" t="str">
        <f t="shared" si="51"/>
        <v>AE0333</v>
      </c>
      <c r="K53" t="str">
        <f t="shared" si="51"/>
        <v>AE030D</v>
      </c>
    </row>
    <row r="54">
      <c r="A54" s="14">
        <v>52.0</v>
      </c>
      <c r="B54" t="str">
        <f t="shared" ref="B54:K54" si="52">DEC2HEX(HEX2DEC(B53)+1)</f>
        <v>AE0314</v>
      </c>
      <c r="C54" t="str">
        <f t="shared" si="52"/>
        <v>AE0316</v>
      </c>
      <c r="D54" t="str">
        <f t="shared" si="52"/>
        <v>AE0318</v>
      </c>
      <c r="E54" t="str">
        <f t="shared" si="52"/>
        <v>AE031A</v>
      </c>
      <c r="F54" t="str">
        <f t="shared" si="52"/>
        <v>AE031C</v>
      </c>
      <c r="G54" t="str">
        <f t="shared" si="52"/>
        <v>AE032E</v>
      </c>
      <c r="H54" t="str">
        <f t="shared" si="52"/>
        <v>AE0330</v>
      </c>
      <c r="I54" t="str">
        <f t="shared" si="52"/>
        <v>AE0332</v>
      </c>
      <c r="J54" t="str">
        <f t="shared" si="52"/>
        <v>AE0334</v>
      </c>
      <c r="K54" t="str">
        <f t="shared" si="52"/>
        <v>AE030E</v>
      </c>
    </row>
    <row r="55">
      <c r="A55" s="14">
        <v>53.0</v>
      </c>
      <c r="B55" t="str">
        <f t="shared" ref="B55:K55" si="53">DEC2HEX(HEX2DEC(B54)+1)</f>
        <v>AE0315</v>
      </c>
      <c r="C55" t="str">
        <f t="shared" si="53"/>
        <v>AE0317</v>
      </c>
      <c r="D55" t="str">
        <f t="shared" si="53"/>
        <v>AE0319</v>
      </c>
      <c r="E55" t="str">
        <f t="shared" si="53"/>
        <v>AE031B</v>
      </c>
      <c r="F55" t="str">
        <f t="shared" si="53"/>
        <v>AE031D</v>
      </c>
      <c r="G55" t="str">
        <f t="shared" si="53"/>
        <v>AE032F</v>
      </c>
      <c r="H55" t="str">
        <f t="shared" si="53"/>
        <v>AE0331</v>
      </c>
      <c r="I55" t="str">
        <f t="shared" si="53"/>
        <v>AE0333</v>
      </c>
      <c r="J55" t="str">
        <f t="shared" si="53"/>
        <v>AE0335</v>
      </c>
      <c r="K55" t="str">
        <f t="shared" si="53"/>
        <v>AE030F</v>
      </c>
    </row>
    <row r="56">
      <c r="A56" s="14">
        <v>54.0</v>
      </c>
      <c r="B56" t="str">
        <f t="shared" ref="B56:K56" si="54">DEC2HEX(HEX2DEC(B55)+1)</f>
        <v>AE0316</v>
      </c>
      <c r="C56" t="str">
        <f t="shared" si="54"/>
        <v>AE0318</v>
      </c>
      <c r="D56" t="str">
        <f t="shared" si="54"/>
        <v>AE031A</v>
      </c>
      <c r="E56" t="str">
        <f t="shared" si="54"/>
        <v>AE031C</v>
      </c>
      <c r="F56" t="str">
        <f t="shared" si="54"/>
        <v>AE031E</v>
      </c>
      <c r="G56" t="str">
        <f t="shared" si="54"/>
        <v>AE0330</v>
      </c>
      <c r="H56" t="str">
        <f t="shared" si="54"/>
        <v>AE0332</v>
      </c>
      <c r="I56" t="str">
        <f t="shared" si="54"/>
        <v>AE0334</v>
      </c>
      <c r="J56" t="str">
        <f t="shared" si="54"/>
        <v>AE0336</v>
      </c>
      <c r="K56" t="str">
        <f t="shared" si="54"/>
        <v>AE0310</v>
      </c>
    </row>
    <row r="57">
      <c r="A57" s="14">
        <v>55.0</v>
      </c>
      <c r="B57" t="str">
        <f t="shared" ref="B57:K57" si="55">DEC2HEX(HEX2DEC(B56)+1)</f>
        <v>AE0317</v>
      </c>
      <c r="C57" t="str">
        <f t="shared" si="55"/>
        <v>AE0319</v>
      </c>
      <c r="D57" t="str">
        <f t="shared" si="55"/>
        <v>AE031B</v>
      </c>
      <c r="E57" t="str">
        <f t="shared" si="55"/>
        <v>AE031D</v>
      </c>
      <c r="F57" t="str">
        <f t="shared" si="55"/>
        <v>AE031F</v>
      </c>
      <c r="G57" t="str">
        <f t="shared" si="55"/>
        <v>AE0331</v>
      </c>
      <c r="H57" t="str">
        <f t="shared" si="55"/>
        <v>AE0333</v>
      </c>
      <c r="I57" t="str">
        <f t="shared" si="55"/>
        <v>AE0335</v>
      </c>
      <c r="J57" t="str">
        <f t="shared" si="55"/>
        <v>AE0337</v>
      </c>
      <c r="K57" t="str">
        <f t="shared" si="55"/>
        <v>AE0311</v>
      </c>
    </row>
    <row r="58">
      <c r="A58" s="14">
        <v>56.0</v>
      </c>
      <c r="B58" t="str">
        <f t="shared" ref="B58:K58" si="56">DEC2HEX(HEX2DEC(B57)+1)</f>
        <v>AE0318</v>
      </c>
      <c r="C58" t="str">
        <f t="shared" si="56"/>
        <v>AE031A</v>
      </c>
      <c r="D58" t="str">
        <f t="shared" si="56"/>
        <v>AE031C</v>
      </c>
      <c r="E58" t="str">
        <f t="shared" si="56"/>
        <v>AE031E</v>
      </c>
      <c r="F58" t="str">
        <f t="shared" si="56"/>
        <v>AE0320</v>
      </c>
      <c r="G58" t="str">
        <f t="shared" si="56"/>
        <v>AE0332</v>
      </c>
      <c r="H58" t="str">
        <f t="shared" si="56"/>
        <v>AE0334</v>
      </c>
      <c r="I58" t="str">
        <f t="shared" si="56"/>
        <v>AE0336</v>
      </c>
      <c r="J58" t="str">
        <f t="shared" si="56"/>
        <v>AE0338</v>
      </c>
      <c r="K58" t="str">
        <f t="shared" si="56"/>
        <v>AE0312</v>
      </c>
    </row>
    <row r="59">
      <c r="A59" s="14">
        <v>57.0</v>
      </c>
      <c r="B59" t="str">
        <f t="shared" ref="B59:K59" si="57">DEC2HEX(HEX2DEC(B58)+1)</f>
        <v>AE0319</v>
      </c>
      <c r="C59" t="str">
        <f t="shared" si="57"/>
        <v>AE031B</v>
      </c>
      <c r="D59" t="str">
        <f t="shared" si="57"/>
        <v>AE031D</v>
      </c>
      <c r="E59" t="str">
        <f t="shared" si="57"/>
        <v>AE031F</v>
      </c>
      <c r="F59" t="str">
        <f t="shared" si="57"/>
        <v>AE0321</v>
      </c>
      <c r="G59" t="str">
        <f t="shared" si="57"/>
        <v>AE0333</v>
      </c>
      <c r="H59" t="str">
        <f t="shared" si="57"/>
        <v>AE0335</v>
      </c>
      <c r="I59" t="str">
        <f t="shared" si="57"/>
        <v>AE0337</v>
      </c>
      <c r="J59" t="str">
        <f t="shared" si="57"/>
        <v>AE0339</v>
      </c>
      <c r="K59" t="str">
        <f t="shared" si="57"/>
        <v>AE0313</v>
      </c>
    </row>
    <row r="60">
      <c r="A60" s="14">
        <v>58.0</v>
      </c>
      <c r="B60" t="str">
        <f t="shared" ref="B60:K60" si="58">DEC2HEX(HEX2DEC(B59)+1)</f>
        <v>AE031A</v>
      </c>
      <c r="C60" t="str">
        <f t="shared" si="58"/>
        <v>AE031C</v>
      </c>
      <c r="D60" t="str">
        <f t="shared" si="58"/>
        <v>AE031E</v>
      </c>
      <c r="E60" t="str">
        <f t="shared" si="58"/>
        <v>AE0320</v>
      </c>
      <c r="F60" t="str">
        <f t="shared" si="58"/>
        <v>AE0322</v>
      </c>
      <c r="G60" t="str">
        <f t="shared" si="58"/>
        <v>AE0334</v>
      </c>
      <c r="H60" t="str">
        <f t="shared" si="58"/>
        <v>AE0336</v>
      </c>
      <c r="I60" t="str">
        <f t="shared" si="58"/>
        <v>AE0338</v>
      </c>
      <c r="J60" t="str">
        <f t="shared" si="58"/>
        <v>AE033A</v>
      </c>
      <c r="K60" t="str">
        <f t="shared" si="58"/>
        <v>AE0314</v>
      </c>
    </row>
    <row r="61">
      <c r="A61" s="14">
        <v>59.0</v>
      </c>
      <c r="B61" t="str">
        <f t="shared" ref="B61:K61" si="59">DEC2HEX(HEX2DEC(B60)+1)</f>
        <v>AE031B</v>
      </c>
      <c r="C61" t="str">
        <f t="shared" si="59"/>
        <v>AE031D</v>
      </c>
      <c r="D61" t="str">
        <f t="shared" si="59"/>
        <v>AE031F</v>
      </c>
      <c r="E61" t="str">
        <f t="shared" si="59"/>
        <v>AE0321</v>
      </c>
      <c r="F61" t="str">
        <f t="shared" si="59"/>
        <v>AE0323</v>
      </c>
      <c r="G61" t="str">
        <f t="shared" si="59"/>
        <v>AE0335</v>
      </c>
      <c r="H61" t="str">
        <f t="shared" si="59"/>
        <v>AE0337</v>
      </c>
      <c r="I61" t="str">
        <f t="shared" si="59"/>
        <v>AE0339</v>
      </c>
      <c r="J61" t="str">
        <f t="shared" si="59"/>
        <v>AE033B</v>
      </c>
      <c r="K61" t="str">
        <f t="shared" si="59"/>
        <v>AE0315</v>
      </c>
    </row>
    <row r="62">
      <c r="A62" s="14">
        <v>60.0</v>
      </c>
      <c r="B62" t="str">
        <f t="shared" ref="B62:K62" si="60">DEC2HEX(HEX2DEC(B61)+1)</f>
        <v>AE031C</v>
      </c>
      <c r="C62" t="str">
        <f t="shared" si="60"/>
        <v>AE031E</v>
      </c>
      <c r="D62" t="str">
        <f t="shared" si="60"/>
        <v>AE0320</v>
      </c>
      <c r="E62" t="str">
        <f t="shared" si="60"/>
        <v>AE0322</v>
      </c>
      <c r="F62" t="str">
        <f t="shared" si="60"/>
        <v>AE0324</v>
      </c>
      <c r="G62" t="str">
        <f t="shared" si="60"/>
        <v>AE0336</v>
      </c>
      <c r="H62" t="str">
        <f t="shared" si="60"/>
        <v>AE0338</v>
      </c>
      <c r="I62" t="str">
        <f t="shared" si="60"/>
        <v>AE033A</v>
      </c>
      <c r="J62" t="str">
        <f t="shared" si="60"/>
        <v>AE033C</v>
      </c>
      <c r="K62" t="str">
        <f t="shared" si="60"/>
        <v>AE0316</v>
      </c>
    </row>
    <row r="63">
      <c r="A63" s="14">
        <v>61.0</v>
      </c>
      <c r="B63" t="str">
        <f t="shared" ref="B63:K63" si="61">DEC2HEX(HEX2DEC(B62)+1)</f>
        <v>AE031D</v>
      </c>
      <c r="C63" t="str">
        <f t="shared" si="61"/>
        <v>AE031F</v>
      </c>
      <c r="D63" t="str">
        <f t="shared" si="61"/>
        <v>AE0321</v>
      </c>
      <c r="E63" t="str">
        <f t="shared" si="61"/>
        <v>AE0323</v>
      </c>
      <c r="F63" t="str">
        <f t="shared" si="61"/>
        <v>AE0325</v>
      </c>
      <c r="G63" t="str">
        <f t="shared" si="61"/>
        <v>AE0337</v>
      </c>
      <c r="H63" t="str">
        <f t="shared" si="61"/>
        <v>AE0339</v>
      </c>
      <c r="I63" t="str">
        <f t="shared" si="61"/>
        <v>AE033B</v>
      </c>
      <c r="J63" t="str">
        <f t="shared" si="61"/>
        <v>AE033D</v>
      </c>
      <c r="K63" t="str">
        <f t="shared" si="61"/>
        <v>AE0317</v>
      </c>
    </row>
    <row r="64">
      <c r="A64" s="14">
        <v>62.0</v>
      </c>
      <c r="B64" t="str">
        <f t="shared" ref="B64:K64" si="62">DEC2HEX(HEX2DEC(B63)+1)</f>
        <v>AE031E</v>
      </c>
      <c r="C64" t="str">
        <f t="shared" si="62"/>
        <v>AE0320</v>
      </c>
      <c r="D64" t="str">
        <f t="shared" si="62"/>
        <v>AE0322</v>
      </c>
      <c r="E64" t="str">
        <f t="shared" si="62"/>
        <v>AE0324</v>
      </c>
      <c r="F64" t="str">
        <f t="shared" si="62"/>
        <v>AE0326</v>
      </c>
      <c r="G64" t="str">
        <f t="shared" si="62"/>
        <v>AE0338</v>
      </c>
      <c r="H64" t="str">
        <f t="shared" si="62"/>
        <v>AE033A</v>
      </c>
      <c r="I64" t="str">
        <f t="shared" si="62"/>
        <v>AE033C</v>
      </c>
      <c r="J64" t="str">
        <f t="shared" si="62"/>
        <v>AE033E</v>
      </c>
      <c r="K64" t="str">
        <f t="shared" si="62"/>
        <v>AE0318</v>
      </c>
    </row>
    <row r="65">
      <c r="A65" s="14">
        <v>63.0</v>
      </c>
      <c r="B65" t="str">
        <f t="shared" ref="B65:K65" si="63">DEC2HEX(HEX2DEC(B64)+1)</f>
        <v>AE031F</v>
      </c>
      <c r="C65" t="str">
        <f t="shared" si="63"/>
        <v>AE0321</v>
      </c>
      <c r="D65" t="str">
        <f t="shared" si="63"/>
        <v>AE0323</v>
      </c>
      <c r="E65" t="str">
        <f t="shared" si="63"/>
        <v>AE0325</v>
      </c>
      <c r="F65" t="str">
        <f t="shared" si="63"/>
        <v>AE0327</v>
      </c>
      <c r="G65" t="str">
        <f t="shared" si="63"/>
        <v>AE0339</v>
      </c>
      <c r="H65" t="str">
        <f t="shared" si="63"/>
        <v>AE033B</v>
      </c>
      <c r="I65" t="str">
        <f t="shared" si="63"/>
        <v>AE033D</v>
      </c>
      <c r="J65" t="str">
        <f t="shared" si="63"/>
        <v>AE033F</v>
      </c>
      <c r="K65" t="str">
        <f t="shared" si="63"/>
        <v>AE0319</v>
      </c>
    </row>
    <row r="66">
      <c r="A66" s="14">
        <v>64.0</v>
      </c>
      <c r="B66" t="str">
        <f t="shared" ref="B66:K66" si="64">DEC2HEX(HEX2DEC(B65)+1)</f>
        <v>AE0320</v>
      </c>
      <c r="C66" t="str">
        <f t="shared" si="64"/>
        <v>AE0322</v>
      </c>
      <c r="D66" t="str">
        <f t="shared" si="64"/>
        <v>AE0324</v>
      </c>
      <c r="E66" t="str">
        <f t="shared" si="64"/>
        <v>AE0326</v>
      </c>
      <c r="F66" t="str">
        <f t="shared" si="64"/>
        <v>AE0328</v>
      </c>
      <c r="G66" t="str">
        <f t="shared" si="64"/>
        <v>AE033A</v>
      </c>
      <c r="H66" t="str">
        <f t="shared" si="64"/>
        <v>AE033C</v>
      </c>
      <c r="I66" t="str">
        <f t="shared" si="64"/>
        <v>AE033E</v>
      </c>
      <c r="J66" t="str">
        <f t="shared" si="64"/>
        <v>AE0340</v>
      </c>
      <c r="K66" t="str">
        <f t="shared" si="64"/>
        <v>AE031A</v>
      </c>
    </row>
    <row r="67">
      <c r="A67" s="14">
        <v>65.0</v>
      </c>
      <c r="B67" t="str">
        <f t="shared" ref="B67:K67" si="65">DEC2HEX(HEX2DEC(B66)+1)</f>
        <v>AE0321</v>
      </c>
      <c r="C67" t="str">
        <f t="shared" si="65"/>
        <v>AE0323</v>
      </c>
      <c r="D67" t="str">
        <f t="shared" si="65"/>
        <v>AE0325</v>
      </c>
      <c r="E67" t="str">
        <f t="shared" si="65"/>
        <v>AE0327</v>
      </c>
      <c r="F67" t="str">
        <f t="shared" si="65"/>
        <v>AE0329</v>
      </c>
      <c r="G67" t="str">
        <f t="shared" si="65"/>
        <v>AE033B</v>
      </c>
      <c r="H67" t="str">
        <f t="shared" si="65"/>
        <v>AE033D</v>
      </c>
      <c r="I67" t="str">
        <f t="shared" si="65"/>
        <v>AE033F</v>
      </c>
      <c r="J67" t="str">
        <f t="shared" si="65"/>
        <v>AE0341</v>
      </c>
      <c r="K67" t="str">
        <f t="shared" si="65"/>
        <v>AE031B</v>
      </c>
    </row>
    <row r="68">
      <c r="A68" s="14">
        <v>66.0</v>
      </c>
      <c r="B68" t="str">
        <f t="shared" ref="B68:K68" si="66">DEC2HEX(HEX2DEC(B67)+1)</f>
        <v>AE0322</v>
      </c>
      <c r="C68" t="str">
        <f t="shared" si="66"/>
        <v>AE0324</v>
      </c>
      <c r="D68" t="str">
        <f t="shared" si="66"/>
        <v>AE0326</v>
      </c>
      <c r="E68" t="str">
        <f t="shared" si="66"/>
        <v>AE0328</v>
      </c>
      <c r="F68" t="str">
        <f t="shared" si="66"/>
        <v>AE032A</v>
      </c>
      <c r="G68" t="str">
        <f t="shared" si="66"/>
        <v>AE033C</v>
      </c>
      <c r="H68" t="str">
        <f t="shared" si="66"/>
        <v>AE033E</v>
      </c>
      <c r="I68" t="str">
        <f t="shared" si="66"/>
        <v>AE0340</v>
      </c>
      <c r="J68" t="str">
        <f t="shared" si="66"/>
        <v>AE0342</v>
      </c>
      <c r="K68" t="str">
        <f t="shared" si="66"/>
        <v>AE031C</v>
      </c>
    </row>
    <row r="69">
      <c r="A69" s="14">
        <v>67.0</v>
      </c>
      <c r="B69" t="str">
        <f t="shared" ref="B69:K69" si="67">DEC2HEX(HEX2DEC(B68)+1)</f>
        <v>AE0323</v>
      </c>
      <c r="C69" t="str">
        <f t="shared" si="67"/>
        <v>AE0325</v>
      </c>
      <c r="D69" t="str">
        <f t="shared" si="67"/>
        <v>AE0327</v>
      </c>
      <c r="E69" t="str">
        <f t="shared" si="67"/>
        <v>AE0329</v>
      </c>
      <c r="F69" t="str">
        <f t="shared" si="67"/>
        <v>AE032B</v>
      </c>
      <c r="G69" t="str">
        <f t="shared" si="67"/>
        <v>AE033D</v>
      </c>
      <c r="H69" t="str">
        <f t="shared" si="67"/>
        <v>AE033F</v>
      </c>
      <c r="I69" t="str">
        <f t="shared" si="67"/>
        <v>AE0341</v>
      </c>
      <c r="J69" t="str">
        <f t="shared" si="67"/>
        <v>AE0343</v>
      </c>
      <c r="K69" t="str">
        <f t="shared" si="67"/>
        <v>AE031D</v>
      </c>
    </row>
    <row r="70">
      <c r="A70" s="14">
        <v>68.0</v>
      </c>
      <c r="B70" t="str">
        <f t="shared" ref="B70:K70" si="68">DEC2HEX(HEX2DEC(B69)+1)</f>
        <v>AE0324</v>
      </c>
      <c r="C70" t="str">
        <f t="shared" si="68"/>
        <v>AE0326</v>
      </c>
      <c r="D70" t="str">
        <f t="shared" si="68"/>
        <v>AE0328</v>
      </c>
      <c r="E70" t="str">
        <f t="shared" si="68"/>
        <v>AE032A</v>
      </c>
      <c r="F70" t="str">
        <f t="shared" si="68"/>
        <v>AE032C</v>
      </c>
      <c r="G70" t="str">
        <f t="shared" si="68"/>
        <v>AE033E</v>
      </c>
      <c r="H70" t="str">
        <f t="shared" si="68"/>
        <v>AE0340</v>
      </c>
      <c r="I70" t="str">
        <f t="shared" si="68"/>
        <v>AE0342</v>
      </c>
      <c r="J70" t="str">
        <f t="shared" si="68"/>
        <v>AE0344</v>
      </c>
      <c r="K70" t="str">
        <f t="shared" si="68"/>
        <v>AE031E</v>
      </c>
    </row>
    <row r="71">
      <c r="A71" s="14">
        <v>69.0</v>
      </c>
      <c r="B71" t="str">
        <f t="shared" ref="B71:K71" si="69">DEC2HEX(HEX2DEC(B70)+1)</f>
        <v>AE0325</v>
      </c>
      <c r="C71" t="str">
        <f t="shared" si="69"/>
        <v>AE0327</v>
      </c>
      <c r="D71" t="str">
        <f t="shared" si="69"/>
        <v>AE0329</v>
      </c>
      <c r="E71" t="str">
        <f t="shared" si="69"/>
        <v>AE032B</v>
      </c>
      <c r="F71" t="str">
        <f t="shared" si="69"/>
        <v>AE032D</v>
      </c>
      <c r="G71" t="str">
        <f t="shared" si="69"/>
        <v>AE033F</v>
      </c>
      <c r="H71" t="str">
        <f t="shared" si="69"/>
        <v>AE0341</v>
      </c>
      <c r="I71" t="str">
        <f t="shared" si="69"/>
        <v>AE0343</v>
      </c>
      <c r="J71" t="str">
        <f t="shared" si="69"/>
        <v>AE0345</v>
      </c>
      <c r="K71" t="str">
        <f t="shared" si="69"/>
        <v>AE031F</v>
      </c>
    </row>
    <row r="72">
      <c r="A72" s="14">
        <v>70.0</v>
      </c>
      <c r="B72" t="str">
        <f t="shared" ref="B72:K72" si="70">DEC2HEX(HEX2DEC(B71)+1)</f>
        <v>AE0326</v>
      </c>
      <c r="C72" t="str">
        <f t="shared" si="70"/>
        <v>AE0328</v>
      </c>
      <c r="D72" t="str">
        <f t="shared" si="70"/>
        <v>AE032A</v>
      </c>
      <c r="E72" t="str">
        <f t="shared" si="70"/>
        <v>AE032C</v>
      </c>
      <c r="F72" t="str">
        <f t="shared" si="70"/>
        <v>AE032E</v>
      </c>
      <c r="G72" t="str">
        <f t="shared" si="70"/>
        <v>AE0340</v>
      </c>
      <c r="H72" t="str">
        <f t="shared" si="70"/>
        <v>AE0342</v>
      </c>
      <c r="I72" t="str">
        <f t="shared" si="70"/>
        <v>AE0344</v>
      </c>
      <c r="J72" t="str">
        <f t="shared" si="70"/>
        <v>AE0346</v>
      </c>
      <c r="K72" t="str">
        <f t="shared" si="70"/>
        <v>AE0320</v>
      </c>
    </row>
    <row r="73">
      <c r="A73" s="14">
        <v>71.0</v>
      </c>
      <c r="B73" t="str">
        <f t="shared" ref="B73:K73" si="71">DEC2HEX(HEX2DEC(B72)+1)</f>
        <v>AE0327</v>
      </c>
      <c r="C73" t="str">
        <f t="shared" si="71"/>
        <v>AE0329</v>
      </c>
      <c r="D73" t="str">
        <f t="shared" si="71"/>
        <v>AE032B</v>
      </c>
      <c r="E73" t="str">
        <f t="shared" si="71"/>
        <v>AE032D</v>
      </c>
      <c r="F73" t="str">
        <f t="shared" si="71"/>
        <v>AE032F</v>
      </c>
      <c r="G73" t="str">
        <f t="shared" si="71"/>
        <v>AE0341</v>
      </c>
      <c r="H73" t="str">
        <f t="shared" si="71"/>
        <v>AE0343</v>
      </c>
      <c r="I73" t="str">
        <f t="shared" si="71"/>
        <v>AE0345</v>
      </c>
      <c r="J73" t="str">
        <f t="shared" si="71"/>
        <v>AE0347</v>
      </c>
      <c r="K73" t="str">
        <f t="shared" si="71"/>
        <v>AE0321</v>
      </c>
    </row>
    <row r="74">
      <c r="A74" s="14">
        <v>72.0</v>
      </c>
      <c r="B74" t="str">
        <f t="shared" ref="B74:K74" si="72">DEC2HEX(HEX2DEC(B73)+1)</f>
        <v>AE0328</v>
      </c>
      <c r="C74" t="str">
        <f t="shared" si="72"/>
        <v>AE032A</v>
      </c>
      <c r="D74" t="str">
        <f t="shared" si="72"/>
        <v>AE032C</v>
      </c>
      <c r="E74" t="str">
        <f t="shared" si="72"/>
        <v>AE032E</v>
      </c>
      <c r="F74" t="str">
        <f t="shared" si="72"/>
        <v>AE0330</v>
      </c>
      <c r="G74" t="str">
        <f t="shared" si="72"/>
        <v>AE0342</v>
      </c>
      <c r="H74" t="str">
        <f t="shared" si="72"/>
        <v>AE0344</v>
      </c>
      <c r="I74" t="str">
        <f t="shared" si="72"/>
        <v>AE0346</v>
      </c>
      <c r="J74" t="str">
        <f t="shared" si="72"/>
        <v>AE0348</v>
      </c>
      <c r="K74" t="str">
        <f t="shared" si="72"/>
        <v>AE0322</v>
      </c>
    </row>
    <row r="75">
      <c r="A75" s="14">
        <v>73.0</v>
      </c>
      <c r="B75" t="str">
        <f t="shared" ref="B75:K75" si="73">DEC2HEX(HEX2DEC(B74)+1)</f>
        <v>AE0329</v>
      </c>
      <c r="C75" t="str">
        <f t="shared" si="73"/>
        <v>AE032B</v>
      </c>
      <c r="D75" t="str">
        <f t="shared" si="73"/>
        <v>AE032D</v>
      </c>
      <c r="E75" t="str">
        <f t="shared" si="73"/>
        <v>AE032F</v>
      </c>
      <c r="F75" t="str">
        <f t="shared" si="73"/>
        <v>AE0331</v>
      </c>
      <c r="G75" t="str">
        <f t="shared" si="73"/>
        <v>AE0343</v>
      </c>
      <c r="H75" t="str">
        <f t="shared" si="73"/>
        <v>AE0345</v>
      </c>
      <c r="I75" t="str">
        <f t="shared" si="73"/>
        <v>AE0347</v>
      </c>
      <c r="J75" t="str">
        <f t="shared" si="73"/>
        <v>AE0349</v>
      </c>
      <c r="K75" t="str">
        <f t="shared" si="73"/>
        <v>AE0323</v>
      </c>
    </row>
    <row r="76">
      <c r="A76" s="14">
        <v>74.0</v>
      </c>
      <c r="B76" t="str">
        <f t="shared" ref="B76:K76" si="74">DEC2HEX(HEX2DEC(B75)+1)</f>
        <v>AE032A</v>
      </c>
      <c r="C76" t="str">
        <f t="shared" si="74"/>
        <v>AE032C</v>
      </c>
      <c r="D76" t="str">
        <f t="shared" si="74"/>
        <v>AE032E</v>
      </c>
      <c r="E76" t="str">
        <f t="shared" si="74"/>
        <v>AE0330</v>
      </c>
      <c r="F76" t="str">
        <f t="shared" si="74"/>
        <v>AE0332</v>
      </c>
      <c r="G76" t="str">
        <f t="shared" si="74"/>
        <v>AE0344</v>
      </c>
      <c r="H76" t="str">
        <f t="shared" si="74"/>
        <v>AE0346</v>
      </c>
      <c r="I76" t="str">
        <f t="shared" si="74"/>
        <v>AE0348</v>
      </c>
      <c r="J76" t="str">
        <f t="shared" si="74"/>
        <v>AE034A</v>
      </c>
      <c r="K76" t="str">
        <f t="shared" si="74"/>
        <v>AE0324</v>
      </c>
    </row>
    <row r="77">
      <c r="A77" s="14">
        <v>75.0</v>
      </c>
      <c r="B77" t="str">
        <f t="shared" ref="B77:K77" si="75">DEC2HEX(HEX2DEC(B76)+1)</f>
        <v>AE032B</v>
      </c>
      <c r="C77" t="str">
        <f t="shared" si="75"/>
        <v>AE032D</v>
      </c>
      <c r="D77" t="str">
        <f t="shared" si="75"/>
        <v>AE032F</v>
      </c>
      <c r="E77" t="str">
        <f t="shared" si="75"/>
        <v>AE0331</v>
      </c>
      <c r="F77" t="str">
        <f t="shared" si="75"/>
        <v>AE0333</v>
      </c>
      <c r="G77" t="str">
        <f t="shared" si="75"/>
        <v>AE0345</v>
      </c>
      <c r="H77" t="str">
        <f t="shared" si="75"/>
        <v>AE0347</v>
      </c>
      <c r="I77" t="str">
        <f t="shared" si="75"/>
        <v>AE0349</v>
      </c>
      <c r="J77" t="str">
        <f t="shared" si="75"/>
        <v>AE034B</v>
      </c>
      <c r="K77" t="str">
        <f t="shared" si="75"/>
        <v>AE0325</v>
      </c>
    </row>
    <row r="78">
      <c r="A78" s="14">
        <v>76.0</v>
      </c>
      <c r="B78" t="str">
        <f t="shared" ref="B78:K78" si="76">DEC2HEX(HEX2DEC(B77)+1)</f>
        <v>AE032C</v>
      </c>
      <c r="C78" t="str">
        <f t="shared" si="76"/>
        <v>AE032E</v>
      </c>
      <c r="D78" t="str">
        <f t="shared" si="76"/>
        <v>AE0330</v>
      </c>
      <c r="E78" t="str">
        <f t="shared" si="76"/>
        <v>AE0332</v>
      </c>
      <c r="F78" t="str">
        <f t="shared" si="76"/>
        <v>AE0334</v>
      </c>
      <c r="G78" t="str">
        <f t="shared" si="76"/>
        <v>AE0346</v>
      </c>
      <c r="H78" t="str">
        <f t="shared" si="76"/>
        <v>AE0348</v>
      </c>
      <c r="I78" t="str">
        <f t="shared" si="76"/>
        <v>AE034A</v>
      </c>
      <c r="J78" t="str">
        <f t="shared" si="76"/>
        <v>AE034C</v>
      </c>
      <c r="K78" t="str">
        <f t="shared" si="76"/>
        <v>AE0326</v>
      </c>
    </row>
    <row r="79">
      <c r="A79" s="14">
        <v>77.0</v>
      </c>
      <c r="B79" t="str">
        <f t="shared" ref="B79:K79" si="77">DEC2HEX(HEX2DEC(B78)+1)</f>
        <v>AE032D</v>
      </c>
      <c r="C79" t="str">
        <f t="shared" si="77"/>
        <v>AE032F</v>
      </c>
      <c r="D79" t="str">
        <f t="shared" si="77"/>
        <v>AE0331</v>
      </c>
      <c r="E79" t="str">
        <f t="shared" si="77"/>
        <v>AE0333</v>
      </c>
      <c r="F79" t="str">
        <f t="shared" si="77"/>
        <v>AE0335</v>
      </c>
      <c r="G79" t="str">
        <f t="shared" si="77"/>
        <v>AE0347</v>
      </c>
      <c r="H79" t="str">
        <f t="shared" si="77"/>
        <v>AE0349</v>
      </c>
      <c r="I79" t="str">
        <f t="shared" si="77"/>
        <v>AE034B</v>
      </c>
      <c r="J79" t="str">
        <f t="shared" si="77"/>
        <v>AE034D</v>
      </c>
      <c r="K79" t="str">
        <f t="shared" si="77"/>
        <v>AE0327</v>
      </c>
    </row>
    <row r="80">
      <c r="A80" s="14">
        <v>78.0</v>
      </c>
      <c r="B80" t="str">
        <f t="shared" ref="B80:K80" si="78">DEC2HEX(HEX2DEC(B79)+1)</f>
        <v>AE032E</v>
      </c>
      <c r="C80" t="str">
        <f t="shared" si="78"/>
        <v>AE0330</v>
      </c>
      <c r="D80" t="str">
        <f t="shared" si="78"/>
        <v>AE0332</v>
      </c>
      <c r="E80" t="str">
        <f t="shared" si="78"/>
        <v>AE0334</v>
      </c>
      <c r="F80" t="str">
        <f t="shared" si="78"/>
        <v>AE0336</v>
      </c>
      <c r="G80" t="str">
        <f t="shared" si="78"/>
        <v>AE0348</v>
      </c>
      <c r="H80" t="str">
        <f t="shared" si="78"/>
        <v>AE034A</v>
      </c>
      <c r="I80" t="str">
        <f t="shared" si="78"/>
        <v>AE034C</v>
      </c>
      <c r="J80" t="str">
        <f t="shared" si="78"/>
        <v>AE034E</v>
      </c>
      <c r="K80" t="str">
        <f t="shared" si="78"/>
        <v>AE0328</v>
      </c>
    </row>
    <row r="81">
      <c r="A81" s="14">
        <v>79.0</v>
      </c>
      <c r="B81" t="str">
        <f t="shared" ref="B81:K81" si="79">DEC2HEX(HEX2DEC(B80)+1)</f>
        <v>AE032F</v>
      </c>
      <c r="C81" t="str">
        <f t="shared" si="79"/>
        <v>AE0331</v>
      </c>
      <c r="D81" t="str">
        <f t="shared" si="79"/>
        <v>AE0333</v>
      </c>
      <c r="E81" t="str">
        <f t="shared" si="79"/>
        <v>AE0335</v>
      </c>
      <c r="F81" t="str">
        <f t="shared" si="79"/>
        <v>AE0337</v>
      </c>
      <c r="G81" t="str">
        <f t="shared" si="79"/>
        <v>AE0349</v>
      </c>
      <c r="H81" t="str">
        <f t="shared" si="79"/>
        <v>AE034B</v>
      </c>
      <c r="I81" t="str">
        <f t="shared" si="79"/>
        <v>AE034D</v>
      </c>
      <c r="J81" t="str">
        <f t="shared" si="79"/>
        <v>AE034F</v>
      </c>
      <c r="K81" t="str">
        <f t="shared" si="79"/>
        <v>AE0329</v>
      </c>
    </row>
    <row r="82">
      <c r="A82" s="14">
        <v>80.0</v>
      </c>
      <c r="B82" t="str">
        <f t="shared" ref="B82:K82" si="80">DEC2HEX(HEX2DEC(B81)+1)</f>
        <v>AE0330</v>
      </c>
      <c r="C82" t="str">
        <f t="shared" si="80"/>
        <v>AE0332</v>
      </c>
      <c r="D82" t="str">
        <f t="shared" si="80"/>
        <v>AE0334</v>
      </c>
      <c r="E82" t="str">
        <f t="shared" si="80"/>
        <v>AE0336</v>
      </c>
      <c r="F82" t="str">
        <f t="shared" si="80"/>
        <v>AE0338</v>
      </c>
      <c r="G82" t="str">
        <f t="shared" si="80"/>
        <v>AE034A</v>
      </c>
      <c r="H82" t="str">
        <f t="shared" si="80"/>
        <v>AE034C</v>
      </c>
      <c r="I82" t="str">
        <f t="shared" si="80"/>
        <v>AE034E</v>
      </c>
      <c r="J82" t="str">
        <f t="shared" si="80"/>
        <v>AE0350</v>
      </c>
      <c r="K82" t="str">
        <f t="shared" si="80"/>
        <v>AE032A</v>
      </c>
    </row>
    <row r="83">
      <c r="A83" s="14">
        <v>81.0</v>
      </c>
      <c r="B83" t="str">
        <f t="shared" ref="B83:K83" si="81">DEC2HEX(HEX2DEC(B82)+1)</f>
        <v>AE0331</v>
      </c>
      <c r="C83" t="str">
        <f t="shared" si="81"/>
        <v>AE0333</v>
      </c>
      <c r="D83" t="str">
        <f t="shared" si="81"/>
        <v>AE0335</v>
      </c>
      <c r="E83" t="str">
        <f t="shared" si="81"/>
        <v>AE0337</v>
      </c>
      <c r="F83" t="str">
        <f t="shared" si="81"/>
        <v>AE0339</v>
      </c>
      <c r="G83" t="str">
        <f t="shared" si="81"/>
        <v>AE034B</v>
      </c>
      <c r="H83" t="str">
        <f t="shared" si="81"/>
        <v>AE034D</v>
      </c>
      <c r="I83" t="str">
        <f t="shared" si="81"/>
        <v>AE034F</v>
      </c>
      <c r="J83" t="str">
        <f t="shared" si="81"/>
        <v>AE0351</v>
      </c>
      <c r="K83" t="str">
        <f t="shared" si="81"/>
        <v>AE032B</v>
      </c>
    </row>
    <row r="84">
      <c r="A84" s="14">
        <v>82.0</v>
      </c>
      <c r="B84" t="str">
        <f t="shared" ref="B84:K84" si="82">DEC2HEX(HEX2DEC(B83)+1)</f>
        <v>AE0332</v>
      </c>
      <c r="C84" t="str">
        <f t="shared" si="82"/>
        <v>AE0334</v>
      </c>
      <c r="D84" t="str">
        <f t="shared" si="82"/>
        <v>AE0336</v>
      </c>
      <c r="E84" t="str">
        <f t="shared" si="82"/>
        <v>AE0338</v>
      </c>
      <c r="F84" t="str">
        <f t="shared" si="82"/>
        <v>AE033A</v>
      </c>
      <c r="G84" t="str">
        <f t="shared" si="82"/>
        <v>AE034C</v>
      </c>
      <c r="H84" t="str">
        <f t="shared" si="82"/>
        <v>AE034E</v>
      </c>
      <c r="I84" t="str">
        <f t="shared" si="82"/>
        <v>AE0350</v>
      </c>
      <c r="J84" t="str">
        <f t="shared" si="82"/>
        <v>AE0352</v>
      </c>
      <c r="K84" t="str">
        <f t="shared" si="82"/>
        <v>AE032C</v>
      </c>
    </row>
    <row r="85">
      <c r="A85" s="14">
        <v>83.0</v>
      </c>
      <c r="B85" t="str">
        <f t="shared" ref="B85:K85" si="83">DEC2HEX(HEX2DEC(B84)+1)</f>
        <v>AE0333</v>
      </c>
      <c r="C85" t="str">
        <f t="shared" si="83"/>
        <v>AE0335</v>
      </c>
      <c r="D85" t="str">
        <f t="shared" si="83"/>
        <v>AE0337</v>
      </c>
      <c r="E85" t="str">
        <f t="shared" si="83"/>
        <v>AE0339</v>
      </c>
      <c r="F85" t="str">
        <f t="shared" si="83"/>
        <v>AE033B</v>
      </c>
      <c r="G85" t="str">
        <f t="shared" si="83"/>
        <v>AE034D</v>
      </c>
      <c r="H85" t="str">
        <f t="shared" si="83"/>
        <v>AE034F</v>
      </c>
      <c r="I85" t="str">
        <f t="shared" si="83"/>
        <v>AE0351</v>
      </c>
      <c r="J85" t="str">
        <f t="shared" si="83"/>
        <v>AE0353</v>
      </c>
      <c r="K85" t="str">
        <f t="shared" si="83"/>
        <v>AE032D</v>
      </c>
    </row>
    <row r="86">
      <c r="A86" s="14">
        <v>84.0</v>
      </c>
      <c r="B86" t="str">
        <f t="shared" ref="B86:K86" si="84">DEC2HEX(HEX2DEC(B85)+1)</f>
        <v>AE0334</v>
      </c>
      <c r="C86" t="str">
        <f t="shared" si="84"/>
        <v>AE0336</v>
      </c>
      <c r="D86" t="str">
        <f t="shared" si="84"/>
        <v>AE0338</v>
      </c>
      <c r="E86" t="str">
        <f t="shared" si="84"/>
        <v>AE033A</v>
      </c>
      <c r="F86" t="str">
        <f t="shared" si="84"/>
        <v>AE033C</v>
      </c>
      <c r="G86" t="str">
        <f t="shared" si="84"/>
        <v>AE034E</v>
      </c>
      <c r="H86" t="str">
        <f t="shared" si="84"/>
        <v>AE0350</v>
      </c>
      <c r="I86" t="str">
        <f t="shared" si="84"/>
        <v>AE0352</v>
      </c>
      <c r="J86" t="str">
        <f t="shared" si="84"/>
        <v>AE0354</v>
      </c>
      <c r="K86" t="str">
        <f t="shared" si="84"/>
        <v>AE032E</v>
      </c>
    </row>
    <row r="87">
      <c r="A87" s="14">
        <v>85.0</v>
      </c>
      <c r="B87" t="str">
        <f t="shared" ref="B87:K87" si="85">DEC2HEX(HEX2DEC(B86)+1)</f>
        <v>AE0335</v>
      </c>
      <c r="C87" t="str">
        <f t="shared" si="85"/>
        <v>AE0337</v>
      </c>
      <c r="D87" t="str">
        <f t="shared" si="85"/>
        <v>AE0339</v>
      </c>
      <c r="E87" t="str">
        <f t="shared" si="85"/>
        <v>AE033B</v>
      </c>
      <c r="F87" t="str">
        <f t="shared" si="85"/>
        <v>AE033D</v>
      </c>
      <c r="G87" t="str">
        <f t="shared" si="85"/>
        <v>AE034F</v>
      </c>
      <c r="H87" t="str">
        <f t="shared" si="85"/>
        <v>AE0351</v>
      </c>
      <c r="I87" t="str">
        <f t="shared" si="85"/>
        <v>AE0353</v>
      </c>
      <c r="J87" t="str">
        <f t="shared" si="85"/>
        <v>AE0355</v>
      </c>
      <c r="K87" t="str">
        <f t="shared" si="85"/>
        <v>AE032F</v>
      </c>
    </row>
    <row r="88">
      <c r="A88" s="14">
        <v>86.0</v>
      </c>
      <c r="B88" t="str">
        <f t="shared" ref="B88:K88" si="86">DEC2HEX(HEX2DEC(B87)+1)</f>
        <v>AE0336</v>
      </c>
      <c r="C88" t="str">
        <f t="shared" si="86"/>
        <v>AE0338</v>
      </c>
      <c r="D88" t="str">
        <f t="shared" si="86"/>
        <v>AE033A</v>
      </c>
      <c r="E88" t="str">
        <f t="shared" si="86"/>
        <v>AE033C</v>
      </c>
      <c r="F88" t="str">
        <f t="shared" si="86"/>
        <v>AE033E</v>
      </c>
      <c r="G88" t="str">
        <f t="shared" si="86"/>
        <v>AE0350</v>
      </c>
      <c r="H88" t="str">
        <f t="shared" si="86"/>
        <v>AE0352</v>
      </c>
      <c r="I88" t="str">
        <f t="shared" si="86"/>
        <v>AE0354</v>
      </c>
      <c r="J88" t="str">
        <f t="shared" si="86"/>
        <v>AE0356</v>
      </c>
      <c r="K88" t="str">
        <f t="shared" si="86"/>
        <v>AE0330</v>
      </c>
    </row>
    <row r="89">
      <c r="A89" s="14">
        <v>87.0</v>
      </c>
      <c r="B89" t="str">
        <f t="shared" ref="B89:K89" si="87">DEC2HEX(HEX2DEC(B88)+1)</f>
        <v>AE0337</v>
      </c>
      <c r="C89" t="str">
        <f t="shared" si="87"/>
        <v>AE0339</v>
      </c>
      <c r="D89" t="str">
        <f t="shared" si="87"/>
        <v>AE033B</v>
      </c>
      <c r="E89" t="str">
        <f t="shared" si="87"/>
        <v>AE033D</v>
      </c>
      <c r="F89" t="str">
        <f t="shared" si="87"/>
        <v>AE033F</v>
      </c>
      <c r="G89" t="str">
        <f t="shared" si="87"/>
        <v>AE0351</v>
      </c>
      <c r="H89" t="str">
        <f t="shared" si="87"/>
        <v>AE0353</v>
      </c>
      <c r="I89" t="str">
        <f t="shared" si="87"/>
        <v>AE0355</v>
      </c>
      <c r="J89" t="str">
        <f t="shared" si="87"/>
        <v>AE0357</v>
      </c>
      <c r="K89" t="str">
        <f t="shared" si="87"/>
        <v>AE0331</v>
      </c>
    </row>
    <row r="90">
      <c r="A90" s="14">
        <v>88.0</v>
      </c>
      <c r="B90" t="str">
        <f t="shared" ref="B90:K90" si="88">DEC2HEX(HEX2DEC(B89)+1)</f>
        <v>AE0338</v>
      </c>
      <c r="C90" t="str">
        <f t="shared" si="88"/>
        <v>AE033A</v>
      </c>
      <c r="D90" t="str">
        <f t="shared" si="88"/>
        <v>AE033C</v>
      </c>
      <c r="E90" t="str">
        <f t="shared" si="88"/>
        <v>AE033E</v>
      </c>
      <c r="F90" t="str">
        <f t="shared" si="88"/>
        <v>AE0340</v>
      </c>
      <c r="G90" t="str">
        <f t="shared" si="88"/>
        <v>AE0352</v>
      </c>
      <c r="H90" t="str">
        <f t="shared" si="88"/>
        <v>AE0354</v>
      </c>
      <c r="I90" t="str">
        <f t="shared" si="88"/>
        <v>AE0356</v>
      </c>
      <c r="J90" t="str">
        <f t="shared" si="88"/>
        <v>AE0358</v>
      </c>
      <c r="K90" t="str">
        <f t="shared" si="88"/>
        <v>AE0332</v>
      </c>
    </row>
    <row r="91">
      <c r="A91" s="14">
        <v>89.0</v>
      </c>
      <c r="B91" t="str">
        <f t="shared" ref="B91:K91" si="89">DEC2HEX(HEX2DEC(B90)+1)</f>
        <v>AE0339</v>
      </c>
      <c r="C91" t="str">
        <f t="shared" si="89"/>
        <v>AE033B</v>
      </c>
      <c r="D91" t="str">
        <f t="shared" si="89"/>
        <v>AE033D</v>
      </c>
      <c r="E91" t="str">
        <f t="shared" si="89"/>
        <v>AE033F</v>
      </c>
      <c r="F91" t="str">
        <f t="shared" si="89"/>
        <v>AE0341</v>
      </c>
      <c r="G91" t="str">
        <f t="shared" si="89"/>
        <v>AE0353</v>
      </c>
      <c r="H91" t="str">
        <f t="shared" si="89"/>
        <v>AE0355</v>
      </c>
      <c r="I91" t="str">
        <f t="shared" si="89"/>
        <v>AE0357</v>
      </c>
      <c r="J91" t="str">
        <f t="shared" si="89"/>
        <v>AE0359</v>
      </c>
      <c r="K91" t="str">
        <f t="shared" si="89"/>
        <v>AE0333</v>
      </c>
    </row>
    <row r="92">
      <c r="A92" s="14">
        <v>90.0</v>
      </c>
      <c r="B92" t="str">
        <f t="shared" ref="B92:K92" si="90">DEC2HEX(HEX2DEC(B91)+1)</f>
        <v>AE033A</v>
      </c>
      <c r="C92" t="str">
        <f t="shared" si="90"/>
        <v>AE033C</v>
      </c>
      <c r="D92" t="str">
        <f t="shared" si="90"/>
        <v>AE033E</v>
      </c>
      <c r="E92" t="str">
        <f t="shared" si="90"/>
        <v>AE0340</v>
      </c>
      <c r="F92" t="str">
        <f t="shared" si="90"/>
        <v>AE0342</v>
      </c>
      <c r="G92" t="str">
        <f t="shared" si="90"/>
        <v>AE0354</v>
      </c>
      <c r="H92" t="str">
        <f t="shared" si="90"/>
        <v>AE0356</v>
      </c>
      <c r="I92" t="str">
        <f t="shared" si="90"/>
        <v>AE0358</v>
      </c>
      <c r="J92" t="str">
        <f t="shared" si="90"/>
        <v>AE035A</v>
      </c>
      <c r="K92" t="str">
        <f t="shared" si="90"/>
        <v>AE0334</v>
      </c>
    </row>
    <row r="93">
      <c r="A93" s="14">
        <v>91.0</v>
      </c>
      <c r="B93" t="str">
        <f t="shared" ref="B93:K93" si="91">DEC2HEX(HEX2DEC(B92)+1)</f>
        <v>AE033B</v>
      </c>
      <c r="C93" t="str">
        <f t="shared" si="91"/>
        <v>AE033D</v>
      </c>
      <c r="D93" t="str">
        <f t="shared" si="91"/>
        <v>AE033F</v>
      </c>
      <c r="E93" t="str">
        <f t="shared" si="91"/>
        <v>AE0341</v>
      </c>
      <c r="F93" t="str">
        <f t="shared" si="91"/>
        <v>AE0343</v>
      </c>
      <c r="G93" t="str">
        <f t="shared" si="91"/>
        <v>AE0355</v>
      </c>
      <c r="H93" t="str">
        <f t="shared" si="91"/>
        <v>AE0357</v>
      </c>
      <c r="I93" t="str">
        <f t="shared" si="91"/>
        <v>AE0359</v>
      </c>
      <c r="J93" t="str">
        <f t="shared" si="91"/>
        <v>AE035B</v>
      </c>
      <c r="K93" t="str">
        <f t="shared" si="91"/>
        <v>AE0335</v>
      </c>
    </row>
    <row r="94">
      <c r="A94" s="14">
        <v>92.0</v>
      </c>
      <c r="B94" t="str">
        <f t="shared" ref="B94:K94" si="92">DEC2HEX(HEX2DEC(B93)+1)</f>
        <v>AE033C</v>
      </c>
      <c r="C94" t="str">
        <f t="shared" si="92"/>
        <v>AE033E</v>
      </c>
      <c r="D94" t="str">
        <f t="shared" si="92"/>
        <v>AE0340</v>
      </c>
      <c r="E94" t="str">
        <f t="shared" si="92"/>
        <v>AE0342</v>
      </c>
      <c r="F94" t="str">
        <f t="shared" si="92"/>
        <v>AE0344</v>
      </c>
      <c r="G94" t="str">
        <f t="shared" si="92"/>
        <v>AE0356</v>
      </c>
      <c r="H94" t="str">
        <f t="shared" si="92"/>
        <v>AE0358</v>
      </c>
      <c r="I94" t="str">
        <f t="shared" si="92"/>
        <v>AE035A</v>
      </c>
      <c r="J94" t="str">
        <f t="shared" si="92"/>
        <v>AE035C</v>
      </c>
      <c r="K94" t="str">
        <f t="shared" si="92"/>
        <v>AE0336</v>
      </c>
    </row>
    <row r="95">
      <c r="A95" s="14">
        <v>93.0</v>
      </c>
      <c r="B95" t="str">
        <f t="shared" ref="B95:K95" si="93">DEC2HEX(HEX2DEC(B94)+1)</f>
        <v>AE033D</v>
      </c>
      <c r="C95" t="str">
        <f t="shared" si="93"/>
        <v>AE033F</v>
      </c>
      <c r="D95" t="str">
        <f t="shared" si="93"/>
        <v>AE0341</v>
      </c>
      <c r="E95" t="str">
        <f t="shared" si="93"/>
        <v>AE0343</v>
      </c>
      <c r="F95" t="str">
        <f t="shared" si="93"/>
        <v>AE0345</v>
      </c>
      <c r="G95" t="str">
        <f t="shared" si="93"/>
        <v>AE0357</v>
      </c>
      <c r="H95" t="str">
        <f t="shared" si="93"/>
        <v>AE0359</v>
      </c>
      <c r="I95" t="str">
        <f t="shared" si="93"/>
        <v>AE035B</v>
      </c>
      <c r="J95" t="str">
        <f t="shared" si="93"/>
        <v>AE035D</v>
      </c>
      <c r="K95" t="str">
        <f t="shared" si="93"/>
        <v>AE0337</v>
      </c>
    </row>
    <row r="96">
      <c r="A96" s="14">
        <v>94.0</v>
      </c>
      <c r="B96" t="str">
        <f t="shared" ref="B96:K96" si="94">DEC2HEX(HEX2DEC(B95)+1)</f>
        <v>AE033E</v>
      </c>
      <c r="C96" t="str">
        <f t="shared" si="94"/>
        <v>AE0340</v>
      </c>
      <c r="D96" t="str">
        <f t="shared" si="94"/>
        <v>AE0342</v>
      </c>
      <c r="E96" t="str">
        <f t="shared" si="94"/>
        <v>AE0344</v>
      </c>
      <c r="F96" t="str">
        <f t="shared" si="94"/>
        <v>AE0346</v>
      </c>
      <c r="G96" t="str">
        <f t="shared" si="94"/>
        <v>AE0358</v>
      </c>
      <c r="H96" t="str">
        <f t="shared" si="94"/>
        <v>AE035A</v>
      </c>
      <c r="I96" t="str">
        <f t="shared" si="94"/>
        <v>AE035C</v>
      </c>
      <c r="J96" t="str">
        <f t="shared" si="94"/>
        <v>AE035E</v>
      </c>
      <c r="K96" t="str">
        <f t="shared" si="94"/>
        <v>AE0338</v>
      </c>
    </row>
    <row r="97">
      <c r="A97" s="14">
        <v>95.0</v>
      </c>
      <c r="B97" t="str">
        <f t="shared" ref="B97:K97" si="95">DEC2HEX(HEX2DEC(B96)+1)</f>
        <v>AE033F</v>
      </c>
      <c r="C97" t="str">
        <f t="shared" si="95"/>
        <v>AE0341</v>
      </c>
      <c r="D97" t="str">
        <f t="shared" si="95"/>
        <v>AE0343</v>
      </c>
      <c r="E97" t="str">
        <f t="shared" si="95"/>
        <v>AE0345</v>
      </c>
      <c r="F97" t="str">
        <f t="shared" si="95"/>
        <v>AE0347</v>
      </c>
      <c r="G97" t="str">
        <f t="shared" si="95"/>
        <v>AE0359</v>
      </c>
      <c r="H97" t="str">
        <f t="shared" si="95"/>
        <v>AE035B</v>
      </c>
      <c r="I97" t="str">
        <f t="shared" si="95"/>
        <v>AE035D</v>
      </c>
      <c r="J97" t="str">
        <f t="shared" si="95"/>
        <v>AE035F</v>
      </c>
      <c r="K97" t="str">
        <f t="shared" si="95"/>
        <v>AE0339</v>
      </c>
    </row>
    <row r="98">
      <c r="A98" s="14">
        <v>96.0</v>
      </c>
      <c r="B98" t="str">
        <f t="shared" ref="B98:K98" si="96">DEC2HEX(HEX2DEC(B97)+1)</f>
        <v>AE0340</v>
      </c>
      <c r="C98" t="str">
        <f t="shared" si="96"/>
        <v>AE0342</v>
      </c>
      <c r="D98" t="str">
        <f t="shared" si="96"/>
        <v>AE0344</v>
      </c>
      <c r="E98" t="str">
        <f t="shared" si="96"/>
        <v>AE0346</v>
      </c>
      <c r="F98" t="str">
        <f t="shared" si="96"/>
        <v>AE0348</v>
      </c>
      <c r="G98" t="str">
        <f t="shared" si="96"/>
        <v>AE035A</v>
      </c>
      <c r="H98" t="str">
        <f t="shared" si="96"/>
        <v>AE035C</v>
      </c>
      <c r="I98" t="str">
        <f t="shared" si="96"/>
        <v>AE035E</v>
      </c>
      <c r="J98" t="str">
        <f t="shared" si="96"/>
        <v>AE0360</v>
      </c>
      <c r="K98" t="str">
        <f t="shared" si="96"/>
        <v>AE033A</v>
      </c>
    </row>
    <row r="99">
      <c r="A99" s="14">
        <v>97.0</v>
      </c>
      <c r="B99" t="str">
        <f t="shared" ref="B99:K99" si="97">DEC2HEX(HEX2DEC(B98)+1)</f>
        <v>AE0341</v>
      </c>
      <c r="C99" t="str">
        <f t="shared" si="97"/>
        <v>AE0343</v>
      </c>
      <c r="D99" t="str">
        <f t="shared" si="97"/>
        <v>AE0345</v>
      </c>
      <c r="E99" t="str">
        <f t="shared" si="97"/>
        <v>AE0347</v>
      </c>
      <c r="F99" t="str">
        <f t="shared" si="97"/>
        <v>AE0349</v>
      </c>
      <c r="G99" t="str">
        <f t="shared" si="97"/>
        <v>AE035B</v>
      </c>
      <c r="H99" t="str">
        <f t="shared" si="97"/>
        <v>AE035D</v>
      </c>
      <c r="I99" t="str">
        <f t="shared" si="97"/>
        <v>AE035F</v>
      </c>
      <c r="J99" t="str">
        <f t="shared" si="97"/>
        <v>AE0361</v>
      </c>
      <c r="K99" t="str">
        <f t="shared" si="97"/>
        <v>AE033B</v>
      </c>
    </row>
    <row r="100">
      <c r="A100" s="14">
        <v>98.0</v>
      </c>
      <c r="B100" t="str">
        <f t="shared" ref="B100:K100" si="98">DEC2HEX(HEX2DEC(B99)+1)</f>
        <v>AE0342</v>
      </c>
      <c r="C100" t="str">
        <f t="shared" si="98"/>
        <v>AE0344</v>
      </c>
      <c r="D100" t="str">
        <f t="shared" si="98"/>
        <v>AE0346</v>
      </c>
      <c r="E100" t="str">
        <f t="shared" si="98"/>
        <v>AE0348</v>
      </c>
      <c r="F100" t="str">
        <f t="shared" si="98"/>
        <v>AE034A</v>
      </c>
      <c r="G100" t="str">
        <f t="shared" si="98"/>
        <v>AE035C</v>
      </c>
      <c r="H100" t="str">
        <f t="shared" si="98"/>
        <v>AE035E</v>
      </c>
      <c r="I100" t="str">
        <f t="shared" si="98"/>
        <v>AE0360</v>
      </c>
      <c r="J100" t="str">
        <f t="shared" si="98"/>
        <v>AE0362</v>
      </c>
      <c r="K100" t="str">
        <f t="shared" si="98"/>
        <v>AE033C</v>
      </c>
    </row>
    <row r="101">
      <c r="A101" s="14">
        <v>99.0</v>
      </c>
      <c r="B101" t="str">
        <f t="shared" ref="B101:K101" si="99">DEC2HEX(HEX2DEC(B100)+1)</f>
        <v>AE0343</v>
      </c>
      <c r="C101" t="str">
        <f t="shared" si="99"/>
        <v>AE0345</v>
      </c>
      <c r="D101" t="str">
        <f t="shared" si="99"/>
        <v>AE0347</v>
      </c>
      <c r="E101" t="str">
        <f t="shared" si="99"/>
        <v>AE0349</v>
      </c>
      <c r="F101" t="str">
        <f t="shared" si="99"/>
        <v>AE034B</v>
      </c>
      <c r="G101" t="str">
        <f t="shared" si="99"/>
        <v>AE035D</v>
      </c>
      <c r="H101" t="str">
        <f t="shared" si="99"/>
        <v>AE035F</v>
      </c>
      <c r="I101" t="str">
        <f t="shared" si="99"/>
        <v>AE0361</v>
      </c>
      <c r="J101" t="str">
        <f t="shared" si="99"/>
        <v>AE0363</v>
      </c>
      <c r="K101" t="str">
        <f t="shared" si="99"/>
        <v>AE033D</v>
      </c>
    </row>
    <row r="102">
      <c r="A102" s="14">
        <v>100.0</v>
      </c>
      <c r="B102" t="str">
        <f t="shared" ref="B102:K102" si="100">DEC2HEX(HEX2DEC(B101)+1)</f>
        <v>AE0344</v>
      </c>
      <c r="C102" t="str">
        <f t="shared" si="100"/>
        <v>AE0346</v>
      </c>
      <c r="D102" t="str">
        <f t="shared" si="100"/>
        <v>AE0348</v>
      </c>
      <c r="E102" t="str">
        <f t="shared" si="100"/>
        <v>AE034A</v>
      </c>
      <c r="F102" t="str">
        <f t="shared" si="100"/>
        <v>AE034C</v>
      </c>
      <c r="G102" t="str">
        <f t="shared" si="100"/>
        <v>AE035E</v>
      </c>
      <c r="H102" t="str">
        <f t="shared" si="100"/>
        <v>AE0360</v>
      </c>
      <c r="I102" t="str">
        <f t="shared" si="100"/>
        <v>AE0362</v>
      </c>
      <c r="J102" t="str">
        <f t="shared" si="100"/>
        <v>AE0364</v>
      </c>
      <c r="K102" t="str">
        <f t="shared" si="100"/>
        <v>AE033E</v>
      </c>
    </row>
    <row r="103">
      <c r="A103" s="14">
        <v>101.0</v>
      </c>
      <c r="B103" t="str">
        <f t="shared" ref="B103:K103" si="101">DEC2HEX(HEX2DEC(B102)+1)</f>
        <v>AE0345</v>
      </c>
      <c r="C103" t="str">
        <f t="shared" si="101"/>
        <v>AE0347</v>
      </c>
      <c r="D103" t="str">
        <f t="shared" si="101"/>
        <v>AE0349</v>
      </c>
      <c r="E103" t="str">
        <f t="shared" si="101"/>
        <v>AE034B</v>
      </c>
      <c r="F103" t="str">
        <f t="shared" si="101"/>
        <v>AE034D</v>
      </c>
      <c r="G103" t="str">
        <f t="shared" si="101"/>
        <v>AE035F</v>
      </c>
      <c r="H103" t="str">
        <f t="shared" si="101"/>
        <v>AE0361</v>
      </c>
      <c r="I103" t="str">
        <f t="shared" si="101"/>
        <v>AE0363</v>
      </c>
      <c r="J103" t="str">
        <f t="shared" si="101"/>
        <v>AE0365</v>
      </c>
      <c r="K103" t="str">
        <f t="shared" si="101"/>
        <v>AE033F</v>
      </c>
    </row>
    <row r="104">
      <c r="A104" s="14">
        <v>102.0</v>
      </c>
      <c r="B104" t="str">
        <f t="shared" ref="B104:K104" si="102">DEC2HEX(HEX2DEC(B103)+1)</f>
        <v>AE0346</v>
      </c>
      <c r="C104" t="str">
        <f t="shared" si="102"/>
        <v>AE0348</v>
      </c>
      <c r="D104" t="str">
        <f t="shared" si="102"/>
        <v>AE034A</v>
      </c>
      <c r="E104" t="str">
        <f t="shared" si="102"/>
        <v>AE034C</v>
      </c>
      <c r="F104" t="str">
        <f t="shared" si="102"/>
        <v>AE034E</v>
      </c>
      <c r="G104" t="str">
        <f t="shared" si="102"/>
        <v>AE0360</v>
      </c>
      <c r="H104" t="str">
        <f t="shared" si="102"/>
        <v>AE0362</v>
      </c>
      <c r="I104" t="str">
        <f t="shared" si="102"/>
        <v>AE0364</v>
      </c>
      <c r="J104" t="str">
        <f t="shared" si="102"/>
        <v>AE0366</v>
      </c>
      <c r="K104" t="str">
        <f t="shared" si="102"/>
        <v>AE0340</v>
      </c>
    </row>
    <row r="105">
      <c r="A105" s="14">
        <v>103.0</v>
      </c>
      <c r="B105" t="str">
        <f t="shared" ref="B105:K105" si="103">DEC2HEX(HEX2DEC(B104)+1)</f>
        <v>AE0347</v>
      </c>
      <c r="C105" t="str">
        <f t="shared" si="103"/>
        <v>AE0349</v>
      </c>
      <c r="D105" t="str">
        <f t="shared" si="103"/>
        <v>AE034B</v>
      </c>
      <c r="E105" t="str">
        <f t="shared" si="103"/>
        <v>AE034D</v>
      </c>
      <c r="F105" t="str">
        <f t="shared" si="103"/>
        <v>AE034F</v>
      </c>
      <c r="G105" t="str">
        <f t="shared" si="103"/>
        <v>AE0361</v>
      </c>
      <c r="H105" t="str">
        <f t="shared" si="103"/>
        <v>AE0363</v>
      </c>
      <c r="I105" t="str">
        <f t="shared" si="103"/>
        <v>AE0365</v>
      </c>
      <c r="J105" t="str">
        <f t="shared" si="103"/>
        <v>AE0367</v>
      </c>
      <c r="K105" t="str">
        <f t="shared" si="103"/>
        <v>AE0341</v>
      </c>
    </row>
    <row r="106">
      <c r="A106" s="14">
        <v>104.0</v>
      </c>
      <c r="B106" t="str">
        <f t="shared" ref="B106:K106" si="104">DEC2HEX(HEX2DEC(B105)+1)</f>
        <v>AE0348</v>
      </c>
      <c r="C106" t="str">
        <f t="shared" si="104"/>
        <v>AE034A</v>
      </c>
      <c r="D106" t="str">
        <f t="shared" si="104"/>
        <v>AE034C</v>
      </c>
      <c r="E106" t="str">
        <f t="shared" si="104"/>
        <v>AE034E</v>
      </c>
      <c r="F106" t="str">
        <f t="shared" si="104"/>
        <v>AE0350</v>
      </c>
      <c r="G106" t="str">
        <f t="shared" si="104"/>
        <v>AE0362</v>
      </c>
      <c r="H106" t="str">
        <f t="shared" si="104"/>
        <v>AE0364</v>
      </c>
      <c r="I106" t="str">
        <f t="shared" si="104"/>
        <v>AE0366</v>
      </c>
      <c r="J106" t="str">
        <f t="shared" si="104"/>
        <v>AE0368</v>
      </c>
      <c r="K106" t="str">
        <f t="shared" si="104"/>
        <v>AE0342</v>
      </c>
    </row>
    <row r="107">
      <c r="A107" s="14">
        <v>105.0</v>
      </c>
      <c r="B107" t="str">
        <f t="shared" ref="B107:K107" si="105">DEC2HEX(HEX2DEC(B106)+1)</f>
        <v>AE0349</v>
      </c>
      <c r="C107" t="str">
        <f t="shared" si="105"/>
        <v>AE034B</v>
      </c>
      <c r="D107" t="str">
        <f t="shared" si="105"/>
        <v>AE034D</v>
      </c>
      <c r="E107" t="str">
        <f t="shared" si="105"/>
        <v>AE034F</v>
      </c>
      <c r="F107" t="str">
        <f t="shared" si="105"/>
        <v>AE0351</v>
      </c>
      <c r="G107" t="str">
        <f t="shared" si="105"/>
        <v>AE0363</v>
      </c>
      <c r="H107" t="str">
        <f t="shared" si="105"/>
        <v>AE0365</v>
      </c>
      <c r="I107" t="str">
        <f t="shared" si="105"/>
        <v>AE0367</v>
      </c>
      <c r="J107" t="str">
        <f t="shared" si="105"/>
        <v>AE0369</v>
      </c>
      <c r="K107" t="str">
        <f t="shared" si="105"/>
        <v>AE0343</v>
      </c>
    </row>
    <row r="108">
      <c r="A108" s="14">
        <v>106.0</v>
      </c>
      <c r="B108" t="str">
        <f t="shared" ref="B108:K108" si="106">DEC2HEX(HEX2DEC(B107)+1)</f>
        <v>AE034A</v>
      </c>
      <c r="C108" t="str">
        <f t="shared" si="106"/>
        <v>AE034C</v>
      </c>
      <c r="D108" t="str">
        <f t="shared" si="106"/>
        <v>AE034E</v>
      </c>
      <c r="E108" t="str">
        <f t="shared" si="106"/>
        <v>AE0350</v>
      </c>
      <c r="F108" t="str">
        <f t="shared" si="106"/>
        <v>AE0352</v>
      </c>
      <c r="G108" t="str">
        <f t="shared" si="106"/>
        <v>AE0364</v>
      </c>
      <c r="H108" t="str">
        <f t="shared" si="106"/>
        <v>AE0366</v>
      </c>
      <c r="I108" t="str">
        <f t="shared" si="106"/>
        <v>AE0368</v>
      </c>
      <c r="J108" t="str">
        <f t="shared" si="106"/>
        <v>AE036A</v>
      </c>
      <c r="K108" t="str">
        <f t="shared" si="106"/>
        <v>AE0344</v>
      </c>
    </row>
    <row r="109">
      <c r="A109" s="14">
        <v>107.0</v>
      </c>
      <c r="B109" t="str">
        <f t="shared" ref="B109:K109" si="107">DEC2HEX(HEX2DEC(B108)+1)</f>
        <v>AE034B</v>
      </c>
      <c r="C109" t="str">
        <f t="shared" si="107"/>
        <v>AE034D</v>
      </c>
      <c r="D109" t="str">
        <f t="shared" si="107"/>
        <v>AE034F</v>
      </c>
      <c r="E109" t="str">
        <f t="shared" si="107"/>
        <v>AE0351</v>
      </c>
      <c r="F109" t="str">
        <f t="shared" si="107"/>
        <v>AE0353</v>
      </c>
      <c r="G109" t="str">
        <f t="shared" si="107"/>
        <v>AE0365</v>
      </c>
      <c r="H109" t="str">
        <f t="shared" si="107"/>
        <v>AE0367</v>
      </c>
      <c r="I109" t="str">
        <f t="shared" si="107"/>
        <v>AE0369</v>
      </c>
      <c r="J109" t="str">
        <f t="shared" si="107"/>
        <v>AE036B</v>
      </c>
      <c r="K109" t="str">
        <f t="shared" si="107"/>
        <v>AE0345</v>
      </c>
    </row>
    <row r="110">
      <c r="A110" s="14">
        <v>108.0</v>
      </c>
      <c r="B110" t="str">
        <f t="shared" ref="B110:K110" si="108">DEC2HEX(HEX2DEC(B109)+1)</f>
        <v>AE034C</v>
      </c>
      <c r="C110" t="str">
        <f t="shared" si="108"/>
        <v>AE034E</v>
      </c>
      <c r="D110" t="str">
        <f t="shared" si="108"/>
        <v>AE0350</v>
      </c>
      <c r="E110" t="str">
        <f t="shared" si="108"/>
        <v>AE0352</v>
      </c>
      <c r="F110" t="str">
        <f t="shared" si="108"/>
        <v>AE0354</v>
      </c>
      <c r="G110" t="str">
        <f t="shared" si="108"/>
        <v>AE0366</v>
      </c>
      <c r="H110" t="str">
        <f t="shared" si="108"/>
        <v>AE0368</v>
      </c>
      <c r="I110" t="str">
        <f t="shared" si="108"/>
        <v>AE036A</v>
      </c>
      <c r="J110" t="str">
        <f t="shared" si="108"/>
        <v>AE036C</v>
      </c>
      <c r="K110" t="str">
        <f t="shared" si="108"/>
        <v>AE0346</v>
      </c>
    </row>
    <row r="111">
      <c r="A111" s="14">
        <v>109.0</v>
      </c>
      <c r="B111" t="str">
        <f t="shared" ref="B111:K111" si="109">DEC2HEX(HEX2DEC(B110)+1)</f>
        <v>AE034D</v>
      </c>
      <c r="C111" t="str">
        <f t="shared" si="109"/>
        <v>AE034F</v>
      </c>
      <c r="D111" t="str">
        <f t="shared" si="109"/>
        <v>AE0351</v>
      </c>
      <c r="E111" t="str">
        <f t="shared" si="109"/>
        <v>AE0353</v>
      </c>
      <c r="F111" t="str">
        <f t="shared" si="109"/>
        <v>AE0355</v>
      </c>
      <c r="G111" t="str">
        <f t="shared" si="109"/>
        <v>AE0367</v>
      </c>
      <c r="H111" t="str">
        <f t="shared" si="109"/>
        <v>AE0369</v>
      </c>
      <c r="I111" t="str">
        <f t="shared" si="109"/>
        <v>AE036B</v>
      </c>
      <c r="J111" t="str">
        <f t="shared" si="109"/>
        <v>AE036D</v>
      </c>
      <c r="K111" t="str">
        <f t="shared" si="109"/>
        <v>AE0347</v>
      </c>
    </row>
    <row r="112">
      <c r="A112" s="14">
        <v>110.0</v>
      </c>
      <c r="B112" t="str">
        <f t="shared" ref="B112:K112" si="110">DEC2HEX(HEX2DEC(B111)+1)</f>
        <v>AE034E</v>
      </c>
      <c r="C112" t="str">
        <f t="shared" si="110"/>
        <v>AE0350</v>
      </c>
      <c r="D112" t="str">
        <f t="shared" si="110"/>
        <v>AE0352</v>
      </c>
      <c r="E112" t="str">
        <f t="shared" si="110"/>
        <v>AE0354</v>
      </c>
      <c r="F112" t="str">
        <f t="shared" si="110"/>
        <v>AE0356</v>
      </c>
      <c r="G112" t="str">
        <f t="shared" si="110"/>
        <v>AE0368</v>
      </c>
      <c r="H112" t="str">
        <f t="shared" si="110"/>
        <v>AE036A</v>
      </c>
      <c r="I112" t="str">
        <f t="shared" si="110"/>
        <v>AE036C</v>
      </c>
      <c r="J112" t="str">
        <f t="shared" si="110"/>
        <v>AE036E</v>
      </c>
      <c r="K112" t="str">
        <f t="shared" si="110"/>
        <v>AE0348</v>
      </c>
    </row>
    <row r="113">
      <c r="A113" s="14">
        <v>111.0</v>
      </c>
      <c r="B113" t="str">
        <f t="shared" ref="B113:K113" si="111">DEC2HEX(HEX2DEC(B112)+1)</f>
        <v>AE034F</v>
      </c>
      <c r="C113" t="str">
        <f t="shared" si="111"/>
        <v>AE0351</v>
      </c>
      <c r="D113" t="str">
        <f t="shared" si="111"/>
        <v>AE0353</v>
      </c>
      <c r="E113" t="str">
        <f t="shared" si="111"/>
        <v>AE0355</v>
      </c>
      <c r="F113" t="str">
        <f t="shared" si="111"/>
        <v>AE0357</v>
      </c>
      <c r="G113" t="str">
        <f t="shared" si="111"/>
        <v>AE0369</v>
      </c>
      <c r="H113" t="str">
        <f t="shared" si="111"/>
        <v>AE036B</v>
      </c>
      <c r="I113" t="str">
        <f t="shared" si="111"/>
        <v>AE036D</v>
      </c>
      <c r="J113" t="str">
        <f t="shared" si="111"/>
        <v>AE036F</v>
      </c>
      <c r="K113" t="str">
        <f t="shared" si="111"/>
        <v>AE0349</v>
      </c>
    </row>
    <row r="114">
      <c r="A114" s="14">
        <v>112.0</v>
      </c>
      <c r="B114" t="str">
        <f t="shared" ref="B114:K114" si="112">DEC2HEX(HEX2DEC(B113)+1)</f>
        <v>AE0350</v>
      </c>
      <c r="C114" t="str">
        <f t="shared" si="112"/>
        <v>AE0352</v>
      </c>
      <c r="D114" t="str">
        <f t="shared" si="112"/>
        <v>AE0354</v>
      </c>
      <c r="E114" t="str">
        <f t="shared" si="112"/>
        <v>AE0356</v>
      </c>
      <c r="F114" t="str">
        <f t="shared" si="112"/>
        <v>AE0358</v>
      </c>
      <c r="G114" t="str">
        <f t="shared" si="112"/>
        <v>AE036A</v>
      </c>
      <c r="H114" t="str">
        <f t="shared" si="112"/>
        <v>AE036C</v>
      </c>
      <c r="I114" t="str">
        <f t="shared" si="112"/>
        <v>AE036E</v>
      </c>
      <c r="J114" t="str">
        <f t="shared" si="112"/>
        <v>AE0370</v>
      </c>
      <c r="K114" t="str">
        <f t="shared" si="112"/>
        <v>AE034A</v>
      </c>
    </row>
    <row r="115">
      <c r="A115" s="14">
        <v>113.0</v>
      </c>
      <c r="B115" t="str">
        <f t="shared" ref="B115:K115" si="113">DEC2HEX(HEX2DEC(B114)+1)</f>
        <v>AE0351</v>
      </c>
      <c r="C115" t="str">
        <f t="shared" si="113"/>
        <v>AE0353</v>
      </c>
      <c r="D115" t="str">
        <f t="shared" si="113"/>
        <v>AE0355</v>
      </c>
      <c r="E115" t="str">
        <f t="shared" si="113"/>
        <v>AE0357</v>
      </c>
      <c r="F115" t="str">
        <f t="shared" si="113"/>
        <v>AE0359</v>
      </c>
      <c r="G115" t="str">
        <f t="shared" si="113"/>
        <v>AE036B</v>
      </c>
      <c r="H115" t="str">
        <f t="shared" si="113"/>
        <v>AE036D</v>
      </c>
      <c r="I115" t="str">
        <f t="shared" si="113"/>
        <v>AE036F</v>
      </c>
      <c r="J115" t="str">
        <f t="shared" si="113"/>
        <v>AE0371</v>
      </c>
      <c r="K115" t="str">
        <f t="shared" si="113"/>
        <v>AE034B</v>
      </c>
    </row>
    <row r="116">
      <c r="A116" s="14">
        <v>114.0</v>
      </c>
      <c r="B116" t="str">
        <f t="shared" ref="B116:K116" si="114">DEC2HEX(HEX2DEC(B115)+1)</f>
        <v>AE0352</v>
      </c>
      <c r="C116" t="str">
        <f t="shared" si="114"/>
        <v>AE0354</v>
      </c>
      <c r="D116" t="str">
        <f t="shared" si="114"/>
        <v>AE0356</v>
      </c>
      <c r="E116" t="str">
        <f t="shared" si="114"/>
        <v>AE0358</v>
      </c>
      <c r="F116" t="str">
        <f t="shared" si="114"/>
        <v>AE035A</v>
      </c>
      <c r="G116" t="str">
        <f t="shared" si="114"/>
        <v>AE036C</v>
      </c>
      <c r="H116" t="str">
        <f t="shared" si="114"/>
        <v>AE036E</v>
      </c>
      <c r="I116" t="str">
        <f t="shared" si="114"/>
        <v>AE0370</v>
      </c>
      <c r="J116" t="str">
        <f t="shared" si="114"/>
        <v>AE0372</v>
      </c>
      <c r="K116" t="str">
        <f t="shared" si="114"/>
        <v>AE034C</v>
      </c>
    </row>
    <row r="117">
      <c r="A117" s="14">
        <v>115.0</v>
      </c>
      <c r="B117" t="str">
        <f t="shared" ref="B117:K117" si="115">DEC2HEX(HEX2DEC(B116)+1)</f>
        <v>AE0353</v>
      </c>
      <c r="C117" t="str">
        <f t="shared" si="115"/>
        <v>AE0355</v>
      </c>
      <c r="D117" t="str">
        <f t="shared" si="115"/>
        <v>AE0357</v>
      </c>
      <c r="E117" t="str">
        <f t="shared" si="115"/>
        <v>AE0359</v>
      </c>
      <c r="F117" t="str">
        <f t="shared" si="115"/>
        <v>AE035B</v>
      </c>
      <c r="G117" t="str">
        <f t="shared" si="115"/>
        <v>AE036D</v>
      </c>
      <c r="H117" t="str">
        <f t="shared" si="115"/>
        <v>AE036F</v>
      </c>
      <c r="I117" t="str">
        <f t="shared" si="115"/>
        <v>AE0371</v>
      </c>
      <c r="J117" t="str">
        <f t="shared" si="115"/>
        <v>AE0373</v>
      </c>
      <c r="K117" t="str">
        <f t="shared" si="115"/>
        <v>AE034D</v>
      </c>
    </row>
    <row r="118">
      <c r="A118" s="14">
        <v>116.0</v>
      </c>
      <c r="B118" t="str">
        <f t="shared" ref="B118:K118" si="116">DEC2HEX(HEX2DEC(B117)+1)</f>
        <v>AE0354</v>
      </c>
      <c r="C118" t="str">
        <f t="shared" si="116"/>
        <v>AE0356</v>
      </c>
      <c r="D118" t="str">
        <f t="shared" si="116"/>
        <v>AE0358</v>
      </c>
      <c r="E118" t="str">
        <f t="shared" si="116"/>
        <v>AE035A</v>
      </c>
      <c r="F118" t="str">
        <f t="shared" si="116"/>
        <v>AE035C</v>
      </c>
      <c r="G118" t="str">
        <f t="shared" si="116"/>
        <v>AE036E</v>
      </c>
      <c r="H118" t="str">
        <f t="shared" si="116"/>
        <v>AE0370</v>
      </c>
      <c r="I118" t="str">
        <f t="shared" si="116"/>
        <v>AE0372</v>
      </c>
      <c r="J118" t="str">
        <f t="shared" si="116"/>
        <v>AE0374</v>
      </c>
      <c r="K118" t="str">
        <f t="shared" si="116"/>
        <v>AE034E</v>
      </c>
    </row>
    <row r="119">
      <c r="A119" s="14">
        <v>117.0</v>
      </c>
      <c r="B119" t="str">
        <f t="shared" ref="B119:K119" si="117">DEC2HEX(HEX2DEC(B118)+1)</f>
        <v>AE0355</v>
      </c>
      <c r="C119" t="str">
        <f t="shared" si="117"/>
        <v>AE0357</v>
      </c>
      <c r="D119" t="str">
        <f t="shared" si="117"/>
        <v>AE0359</v>
      </c>
      <c r="E119" t="str">
        <f t="shared" si="117"/>
        <v>AE035B</v>
      </c>
      <c r="F119" t="str">
        <f t="shared" si="117"/>
        <v>AE035D</v>
      </c>
      <c r="G119" t="str">
        <f t="shared" si="117"/>
        <v>AE036F</v>
      </c>
      <c r="H119" t="str">
        <f t="shared" si="117"/>
        <v>AE0371</v>
      </c>
      <c r="I119" t="str">
        <f t="shared" si="117"/>
        <v>AE0373</v>
      </c>
      <c r="J119" t="str">
        <f t="shared" si="117"/>
        <v>AE0375</v>
      </c>
      <c r="K119" t="str">
        <f t="shared" si="117"/>
        <v>AE034F</v>
      </c>
    </row>
    <row r="120">
      <c r="A120" s="14">
        <v>118.0</v>
      </c>
      <c r="B120" t="str">
        <f t="shared" ref="B120:K120" si="118">DEC2HEX(HEX2DEC(B119)+1)</f>
        <v>AE0356</v>
      </c>
      <c r="C120" t="str">
        <f t="shared" si="118"/>
        <v>AE0358</v>
      </c>
      <c r="D120" t="str">
        <f t="shared" si="118"/>
        <v>AE035A</v>
      </c>
      <c r="E120" t="str">
        <f t="shared" si="118"/>
        <v>AE035C</v>
      </c>
      <c r="F120" t="str">
        <f t="shared" si="118"/>
        <v>AE035E</v>
      </c>
      <c r="G120" t="str">
        <f t="shared" si="118"/>
        <v>AE0370</v>
      </c>
      <c r="H120" t="str">
        <f t="shared" si="118"/>
        <v>AE0372</v>
      </c>
      <c r="I120" t="str">
        <f t="shared" si="118"/>
        <v>AE0374</v>
      </c>
      <c r="J120" t="str">
        <f t="shared" si="118"/>
        <v>AE0376</v>
      </c>
      <c r="K120" t="str">
        <f t="shared" si="118"/>
        <v>AE0350</v>
      </c>
    </row>
    <row r="121">
      <c r="A121" s="14">
        <v>119.0</v>
      </c>
      <c r="B121" t="str">
        <f t="shared" ref="B121:K121" si="119">DEC2HEX(HEX2DEC(B120)+1)</f>
        <v>AE0357</v>
      </c>
      <c r="C121" t="str">
        <f t="shared" si="119"/>
        <v>AE0359</v>
      </c>
      <c r="D121" t="str">
        <f t="shared" si="119"/>
        <v>AE035B</v>
      </c>
      <c r="E121" t="str">
        <f t="shared" si="119"/>
        <v>AE035D</v>
      </c>
      <c r="F121" t="str">
        <f t="shared" si="119"/>
        <v>AE035F</v>
      </c>
      <c r="G121" t="str">
        <f t="shared" si="119"/>
        <v>AE0371</v>
      </c>
      <c r="H121" t="str">
        <f t="shared" si="119"/>
        <v>AE0373</v>
      </c>
      <c r="I121" t="str">
        <f t="shared" si="119"/>
        <v>AE0375</v>
      </c>
      <c r="J121" t="str">
        <f t="shared" si="119"/>
        <v>AE0377</v>
      </c>
      <c r="K121" t="str">
        <f t="shared" si="119"/>
        <v>AE0351</v>
      </c>
    </row>
    <row r="122">
      <c r="A122" s="14">
        <v>120.0</v>
      </c>
      <c r="B122" t="str">
        <f t="shared" ref="B122:K122" si="120">DEC2HEX(HEX2DEC(B121)+1)</f>
        <v>AE0358</v>
      </c>
      <c r="C122" t="str">
        <f t="shared" si="120"/>
        <v>AE035A</v>
      </c>
      <c r="D122" t="str">
        <f t="shared" si="120"/>
        <v>AE035C</v>
      </c>
      <c r="E122" t="str">
        <f t="shared" si="120"/>
        <v>AE035E</v>
      </c>
      <c r="F122" t="str">
        <f t="shared" si="120"/>
        <v>AE0360</v>
      </c>
      <c r="G122" t="str">
        <f t="shared" si="120"/>
        <v>AE0372</v>
      </c>
      <c r="H122" t="str">
        <f t="shared" si="120"/>
        <v>AE0374</v>
      </c>
      <c r="I122" t="str">
        <f t="shared" si="120"/>
        <v>AE0376</v>
      </c>
      <c r="J122" t="str">
        <f t="shared" si="120"/>
        <v>AE0378</v>
      </c>
      <c r="K122" t="str">
        <f t="shared" si="120"/>
        <v>AE0352</v>
      </c>
    </row>
    <row r="123">
      <c r="A123" s="14">
        <v>121.0</v>
      </c>
      <c r="B123" t="str">
        <f t="shared" ref="B123:K123" si="121">DEC2HEX(HEX2DEC(B122)+1)</f>
        <v>AE0359</v>
      </c>
      <c r="C123" t="str">
        <f t="shared" si="121"/>
        <v>AE035B</v>
      </c>
      <c r="D123" t="str">
        <f t="shared" si="121"/>
        <v>AE035D</v>
      </c>
      <c r="E123" t="str">
        <f t="shared" si="121"/>
        <v>AE035F</v>
      </c>
      <c r="F123" t="str">
        <f t="shared" si="121"/>
        <v>AE0361</v>
      </c>
      <c r="G123" t="str">
        <f t="shared" si="121"/>
        <v>AE0373</v>
      </c>
      <c r="H123" t="str">
        <f t="shared" si="121"/>
        <v>AE0375</v>
      </c>
      <c r="I123" t="str">
        <f t="shared" si="121"/>
        <v>AE0377</v>
      </c>
      <c r="J123" t="str">
        <f t="shared" si="121"/>
        <v>AE0379</v>
      </c>
      <c r="K123" t="str">
        <f t="shared" si="121"/>
        <v>AE0353</v>
      </c>
    </row>
    <row r="124">
      <c r="A124" s="14">
        <v>122.0</v>
      </c>
      <c r="B124" t="str">
        <f t="shared" ref="B124:K124" si="122">DEC2HEX(HEX2DEC(B123)+1)</f>
        <v>AE035A</v>
      </c>
      <c r="C124" t="str">
        <f t="shared" si="122"/>
        <v>AE035C</v>
      </c>
      <c r="D124" t="str">
        <f t="shared" si="122"/>
        <v>AE035E</v>
      </c>
      <c r="E124" t="str">
        <f t="shared" si="122"/>
        <v>AE0360</v>
      </c>
      <c r="F124" t="str">
        <f t="shared" si="122"/>
        <v>AE0362</v>
      </c>
      <c r="G124" t="str">
        <f t="shared" si="122"/>
        <v>AE0374</v>
      </c>
      <c r="H124" t="str">
        <f t="shared" si="122"/>
        <v>AE0376</v>
      </c>
      <c r="I124" t="str">
        <f t="shared" si="122"/>
        <v>AE0378</v>
      </c>
      <c r="J124" t="str">
        <f t="shared" si="122"/>
        <v>AE037A</v>
      </c>
      <c r="K124" t="str">
        <f t="shared" si="122"/>
        <v>AE0354</v>
      </c>
    </row>
    <row r="125">
      <c r="A125" s="14">
        <v>123.0</v>
      </c>
      <c r="B125" t="str">
        <f t="shared" ref="B125:K125" si="123">DEC2HEX(HEX2DEC(B124)+1)</f>
        <v>AE035B</v>
      </c>
      <c r="C125" t="str">
        <f t="shared" si="123"/>
        <v>AE035D</v>
      </c>
      <c r="D125" t="str">
        <f t="shared" si="123"/>
        <v>AE035F</v>
      </c>
      <c r="E125" t="str">
        <f t="shared" si="123"/>
        <v>AE0361</v>
      </c>
      <c r="F125" t="str">
        <f t="shared" si="123"/>
        <v>AE0363</v>
      </c>
      <c r="G125" t="str">
        <f t="shared" si="123"/>
        <v>AE0375</v>
      </c>
      <c r="H125" t="str">
        <f t="shared" si="123"/>
        <v>AE0377</v>
      </c>
      <c r="I125" t="str">
        <f t="shared" si="123"/>
        <v>AE0379</v>
      </c>
      <c r="J125" t="str">
        <f t="shared" si="123"/>
        <v>AE037B</v>
      </c>
      <c r="K125" t="str">
        <f t="shared" si="123"/>
        <v>AE0355</v>
      </c>
    </row>
    <row r="126">
      <c r="A126" s="14">
        <v>124.0</v>
      </c>
      <c r="B126" t="str">
        <f t="shared" ref="B126:K126" si="124">DEC2HEX(HEX2DEC(B125)+1)</f>
        <v>AE035C</v>
      </c>
      <c r="C126" t="str">
        <f t="shared" si="124"/>
        <v>AE035E</v>
      </c>
      <c r="D126" t="str">
        <f t="shared" si="124"/>
        <v>AE0360</v>
      </c>
      <c r="E126" t="str">
        <f t="shared" si="124"/>
        <v>AE0362</v>
      </c>
      <c r="F126" t="str">
        <f t="shared" si="124"/>
        <v>AE0364</v>
      </c>
      <c r="G126" t="str">
        <f t="shared" si="124"/>
        <v>AE0376</v>
      </c>
      <c r="H126" t="str">
        <f t="shared" si="124"/>
        <v>AE0378</v>
      </c>
      <c r="I126" t="str">
        <f t="shared" si="124"/>
        <v>AE037A</v>
      </c>
      <c r="J126" t="str">
        <f t="shared" si="124"/>
        <v>AE037C</v>
      </c>
      <c r="K126" t="str">
        <f t="shared" si="124"/>
        <v>AE0356</v>
      </c>
    </row>
    <row r="127">
      <c r="A127" s="14">
        <v>125.0</v>
      </c>
      <c r="B127" t="str">
        <f t="shared" ref="B127:K127" si="125">DEC2HEX(HEX2DEC(B126)+1)</f>
        <v>AE035D</v>
      </c>
      <c r="C127" t="str">
        <f t="shared" si="125"/>
        <v>AE035F</v>
      </c>
      <c r="D127" t="str">
        <f t="shared" si="125"/>
        <v>AE0361</v>
      </c>
      <c r="E127" t="str">
        <f t="shared" si="125"/>
        <v>AE0363</v>
      </c>
      <c r="F127" t="str">
        <f t="shared" si="125"/>
        <v>AE0365</v>
      </c>
      <c r="G127" t="str">
        <f t="shared" si="125"/>
        <v>AE0377</v>
      </c>
      <c r="H127" t="str">
        <f t="shared" si="125"/>
        <v>AE0379</v>
      </c>
      <c r="I127" t="str">
        <f t="shared" si="125"/>
        <v>AE037B</v>
      </c>
      <c r="J127" t="str">
        <f t="shared" si="125"/>
        <v>AE037D</v>
      </c>
      <c r="K127" t="str">
        <f t="shared" si="125"/>
        <v>AE0357</v>
      </c>
    </row>
    <row r="128">
      <c r="A128" s="14">
        <v>126.0</v>
      </c>
      <c r="B128" t="str">
        <f t="shared" ref="B128:K128" si="126">DEC2HEX(HEX2DEC(B127)+1)</f>
        <v>AE035E</v>
      </c>
      <c r="C128" t="str">
        <f t="shared" si="126"/>
        <v>AE0360</v>
      </c>
      <c r="D128" t="str">
        <f t="shared" si="126"/>
        <v>AE0362</v>
      </c>
      <c r="E128" t="str">
        <f t="shared" si="126"/>
        <v>AE0364</v>
      </c>
      <c r="F128" t="str">
        <f t="shared" si="126"/>
        <v>AE0366</v>
      </c>
      <c r="G128" t="str">
        <f t="shared" si="126"/>
        <v>AE0378</v>
      </c>
      <c r="H128" t="str">
        <f t="shared" si="126"/>
        <v>AE037A</v>
      </c>
      <c r="I128" t="str">
        <f t="shared" si="126"/>
        <v>AE037C</v>
      </c>
      <c r="J128" t="str">
        <f t="shared" si="126"/>
        <v>AE037E</v>
      </c>
      <c r="K128" t="str">
        <f t="shared" si="126"/>
        <v>AE0358</v>
      </c>
    </row>
    <row r="129">
      <c r="A129" s="14">
        <v>127.0</v>
      </c>
      <c r="B129" t="str">
        <f t="shared" ref="B129:K129" si="127">DEC2HEX(HEX2DEC(B128)+1)</f>
        <v>AE035F</v>
      </c>
      <c r="C129" t="str">
        <f t="shared" si="127"/>
        <v>AE0361</v>
      </c>
      <c r="D129" t="str">
        <f t="shared" si="127"/>
        <v>AE0363</v>
      </c>
      <c r="E129" t="str">
        <f t="shared" si="127"/>
        <v>AE0365</v>
      </c>
      <c r="F129" t="str">
        <f t="shared" si="127"/>
        <v>AE0367</v>
      </c>
      <c r="G129" t="str">
        <f t="shared" si="127"/>
        <v>AE0379</v>
      </c>
      <c r="H129" t="str">
        <f t="shared" si="127"/>
        <v>AE037B</v>
      </c>
      <c r="I129" t="str">
        <f t="shared" si="127"/>
        <v>AE037D</v>
      </c>
      <c r="J129" t="str">
        <f t="shared" si="127"/>
        <v>AE037F</v>
      </c>
      <c r="K129" t="str">
        <f t="shared" si="127"/>
        <v>AE0359</v>
      </c>
    </row>
    <row r="130">
      <c r="A130" s="14">
        <v>128.0</v>
      </c>
      <c r="B130" t="str">
        <f t="shared" ref="B130:K130" si="128">DEC2HEX(HEX2DEC(B129)+1)</f>
        <v>AE0360</v>
      </c>
      <c r="C130" t="str">
        <f t="shared" si="128"/>
        <v>AE0362</v>
      </c>
      <c r="D130" t="str">
        <f t="shared" si="128"/>
        <v>AE0364</v>
      </c>
      <c r="E130" t="str">
        <f t="shared" si="128"/>
        <v>AE0366</v>
      </c>
      <c r="F130" t="str">
        <f t="shared" si="128"/>
        <v>AE0368</v>
      </c>
      <c r="G130" t="str">
        <f t="shared" si="128"/>
        <v>AE037A</v>
      </c>
      <c r="H130" t="str">
        <f t="shared" si="128"/>
        <v>AE037C</v>
      </c>
      <c r="I130" t="str">
        <f t="shared" si="128"/>
        <v>AE037E</v>
      </c>
      <c r="J130" t="str">
        <f t="shared" si="128"/>
        <v>AE0380</v>
      </c>
      <c r="K130" t="str">
        <f t="shared" si="128"/>
        <v>AE035A</v>
      </c>
    </row>
    <row r="131">
      <c r="A131" s="14">
        <v>129.0</v>
      </c>
      <c r="B131" t="str">
        <f t="shared" ref="B131:K131" si="129">DEC2HEX(HEX2DEC(B130)+1)</f>
        <v>AE0361</v>
      </c>
      <c r="C131" t="str">
        <f t="shared" si="129"/>
        <v>AE0363</v>
      </c>
      <c r="D131" t="str">
        <f t="shared" si="129"/>
        <v>AE0365</v>
      </c>
      <c r="E131" t="str">
        <f t="shared" si="129"/>
        <v>AE0367</v>
      </c>
      <c r="F131" t="str">
        <f t="shared" si="129"/>
        <v>AE0369</v>
      </c>
      <c r="G131" t="str">
        <f t="shared" si="129"/>
        <v>AE037B</v>
      </c>
      <c r="H131" t="str">
        <f t="shared" si="129"/>
        <v>AE037D</v>
      </c>
      <c r="I131" t="str">
        <f t="shared" si="129"/>
        <v>AE037F</v>
      </c>
      <c r="J131" t="str">
        <f t="shared" si="129"/>
        <v>AE0381</v>
      </c>
      <c r="K131" t="str">
        <f t="shared" si="129"/>
        <v>AE035B</v>
      </c>
    </row>
    <row r="132">
      <c r="A132" s="14">
        <v>130.0</v>
      </c>
      <c r="B132" t="str">
        <f t="shared" ref="B132:K132" si="130">DEC2HEX(HEX2DEC(B131)+1)</f>
        <v>AE0362</v>
      </c>
      <c r="C132" t="str">
        <f t="shared" si="130"/>
        <v>AE0364</v>
      </c>
      <c r="D132" t="str">
        <f t="shared" si="130"/>
        <v>AE0366</v>
      </c>
      <c r="E132" t="str">
        <f t="shared" si="130"/>
        <v>AE0368</v>
      </c>
      <c r="F132" t="str">
        <f t="shared" si="130"/>
        <v>AE036A</v>
      </c>
      <c r="G132" t="str">
        <f t="shared" si="130"/>
        <v>AE037C</v>
      </c>
      <c r="H132" t="str">
        <f t="shared" si="130"/>
        <v>AE037E</v>
      </c>
      <c r="I132" t="str">
        <f t="shared" si="130"/>
        <v>AE0380</v>
      </c>
      <c r="J132" t="str">
        <f t="shared" si="130"/>
        <v>AE0382</v>
      </c>
      <c r="K132" t="str">
        <f t="shared" si="130"/>
        <v>AE035C</v>
      </c>
    </row>
    <row r="133">
      <c r="A133" s="14">
        <v>131.0</v>
      </c>
      <c r="B133" t="str">
        <f t="shared" ref="B133:K133" si="131">DEC2HEX(HEX2DEC(B132)+1)</f>
        <v>AE0363</v>
      </c>
      <c r="C133" t="str">
        <f t="shared" si="131"/>
        <v>AE0365</v>
      </c>
      <c r="D133" t="str">
        <f t="shared" si="131"/>
        <v>AE0367</v>
      </c>
      <c r="E133" t="str">
        <f t="shared" si="131"/>
        <v>AE0369</v>
      </c>
      <c r="F133" t="str">
        <f t="shared" si="131"/>
        <v>AE036B</v>
      </c>
      <c r="G133" t="str">
        <f t="shared" si="131"/>
        <v>AE037D</v>
      </c>
      <c r="H133" t="str">
        <f t="shared" si="131"/>
        <v>AE037F</v>
      </c>
      <c r="I133" t="str">
        <f t="shared" si="131"/>
        <v>AE0381</v>
      </c>
      <c r="J133" t="str">
        <f t="shared" si="131"/>
        <v>AE0383</v>
      </c>
      <c r="K133" t="str">
        <f t="shared" si="131"/>
        <v>AE035D</v>
      </c>
    </row>
    <row r="134">
      <c r="A134" s="14">
        <v>132.0</v>
      </c>
      <c r="B134" t="str">
        <f t="shared" ref="B134:K134" si="132">DEC2HEX(HEX2DEC(B133)+1)</f>
        <v>AE0364</v>
      </c>
      <c r="C134" t="str">
        <f t="shared" si="132"/>
        <v>AE0366</v>
      </c>
      <c r="D134" t="str">
        <f t="shared" si="132"/>
        <v>AE0368</v>
      </c>
      <c r="E134" t="str">
        <f t="shared" si="132"/>
        <v>AE036A</v>
      </c>
      <c r="F134" t="str">
        <f t="shared" si="132"/>
        <v>AE036C</v>
      </c>
      <c r="G134" t="str">
        <f t="shared" si="132"/>
        <v>AE037E</v>
      </c>
      <c r="H134" t="str">
        <f t="shared" si="132"/>
        <v>AE0380</v>
      </c>
      <c r="I134" t="str">
        <f t="shared" si="132"/>
        <v>AE0382</v>
      </c>
      <c r="J134" t="str">
        <f t="shared" si="132"/>
        <v>AE0384</v>
      </c>
      <c r="K134" t="str">
        <f t="shared" si="132"/>
        <v>AE035E</v>
      </c>
    </row>
    <row r="135">
      <c r="A135" s="14">
        <v>133.0</v>
      </c>
      <c r="B135" t="str">
        <f t="shared" ref="B135:K135" si="133">DEC2HEX(HEX2DEC(B134)+1)</f>
        <v>AE0365</v>
      </c>
      <c r="C135" t="str">
        <f t="shared" si="133"/>
        <v>AE0367</v>
      </c>
      <c r="D135" t="str">
        <f t="shared" si="133"/>
        <v>AE0369</v>
      </c>
      <c r="E135" t="str">
        <f t="shared" si="133"/>
        <v>AE036B</v>
      </c>
      <c r="F135" t="str">
        <f t="shared" si="133"/>
        <v>AE036D</v>
      </c>
      <c r="G135" t="str">
        <f t="shared" si="133"/>
        <v>AE037F</v>
      </c>
      <c r="H135" t="str">
        <f t="shared" si="133"/>
        <v>AE0381</v>
      </c>
      <c r="I135" t="str">
        <f t="shared" si="133"/>
        <v>AE0383</v>
      </c>
      <c r="J135" t="str">
        <f t="shared" si="133"/>
        <v>AE0385</v>
      </c>
      <c r="K135" t="str">
        <f t="shared" si="133"/>
        <v>AE035F</v>
      </c>
    </row>
    <row r="136">
      <c r="A136" s="14">
        <v>134.0</v>
      </c>
      <c r="B136" t="str">
        <f t="shared" ref="B136:K136" si="134">DEC2HEX(HEX2DEC(B135)+1)</f>
        <v>AE0366</v>
      </c>
      <c r="C136" t="str">
        <f t="shared" si="134"/>
        <v>AE0368</v>
      </c>
      <c r="D136" t="str">
        <f t="shared" si="134"/>
        <v>AE036A</v>
      </c>
      <c r="E136" t="str">
        <f t="shared" si="134"/>
        <v>AE036C</v>
      </c>
      <c r="F136" t="str">
        <f t="shared" si="134"/>
        <v>AE036E</v>
      </c>
      <c r="G136" t="str">
        <f t="shared" si="134"/>
        <v>AE0380</v>
      </c>
      <c r="H136" t="str">
        <f t="shared" si="134"/>
        <v>AE0382</v>
      </c>
      <c r="I136" t="str">
        <f t="shared" si="134"/>
        <v>AE0384</v>
      </c>
      <c r="J136" t="str">
        <f t="shared" si="134"/>
        <v>AE0386</v>
      </c>
      <c r="K136" t="str">
        <f t="shared" si="134"/>
        <v>AE0360</v>
      </c>
    </row>
    <row r="137">
      <c r="A137" s="14">
        <v>135.0</v>
      </c>
      <c r="B137" t="str">
        <f t="shared" ref="B137:K137" si="135">DEC2HEX(HEX2DEC(B136)+1)</f>
        <v>AE0367</v>
      </c>
      <c r="C137" t="str">
        <f t="shared" si="135"/>
        <v>AE0369</v>
      </c>
      <c r="D137" t="str">
        <f t="shared" si="135"/>
        <v>AE036B</v>
      </c>
      <c r="E137" t="str">
        <f t="shared" si="135"/>
        <v>AE036D</v>
      </c>
      <c r="F137" t="str">
        <f t="shared" si="135"/>
        <v>AE036F</v>
      </c>
      <c r="G137" t="str">
        <f t="shared" si="135"/>
        <v>AE0381</v>
      </c>
      <c r="H137" t="str">
        <f t="shared" si="135"/>
        <v>AE0383</v>
      </c>
      <c r="I137" t="str">
        <f t="shared" si="135"/>
        <v>AE0385</v>
      </c>
      <c r="J137" t="str">
        <f t="shared" si="135"/>
        <v>AE0387</v>
      </c>
      <c r="K137" t="str">
        <f t="shared" si="135"/>
        <v>AE0361</v>
      </c>
    </row>
    <row r="138">
      <c r="A138" s="14">
        <v>136.0</v>
      </c>
      <c r="B138" t="str">
        <f t="shared" ref="B138:K138" si="136">DEC2HEX(HEX2DEC(B137)+1)</f>
        <v>AE0368</v>
      </c>
      <c r="C138" t="str">
        <f t="shared" si="136"/>
        <v>AE036A</v>
      </c>
      <c r="D138" t="str">
        <f t="shared" si="136"/>
        <v>AE036C</v>
      </c>
      <c r="E138" t="str">
        <f t="shared" si="136"/>
        <v>AE036E</v>
      </c>
      <c r="F138" t="str">
        <f t="shared" si="136"/>
        <v>AE0370</v>
      </c>
      <c r="G138" t="str">
        <f t="shared" si="136"/>
        <v>AE0382</v>
      </c>
      <c r="H138" t="str">
        <f t="shared" si="136"/>
        <v>AE0384</v>
      </c>
      <c r="I138" t="str">
        <f t="shared" si="136"/>
        <v>AE0386</v>
      </c>
      <c r="J138" t="str">
        <f t="shared" si="136"/>
        <v>AE0388</v>
      </c>
      <c r="K138" t="str">
        <f t="shared" si="136"/>
        <v>AE0362</v>
      </c>
    </row>
    <row r="139">
      <c r="A139" s="14">
        <v>137.0</v>
      </c>
      <c r="B139" t="str">
        <f t="shared" ref="B139:K139" si="137">DEC2HEX(HEX2DEC(B138)+1)</f>
        <v>AE0369</v>
      </c>
      <c r="C139" t="str">
        <f t="shared" si="137"/>
        <v>AE036B</v>
      </c>
      <c r="D139" t="str">
        <f t="shared" si="137"/>
        <v>AE036D</v>
      </c>
      <c r="E139" t="str">
        <f t="shared" si="137"/>
        <v>AE036F</v>
      </c>
      <c r="F139" t="str">
        <f t="shared" si="137"/>
        <v>AE0371</v>
      </c>
      <c r="G139" t="str">
        <f t="shared" si="137"/>
        <v>AE0383</v>
      </c>
      <c r="H139" t="str">
        <f t="shared" si="137"/>
        <v>AE0385</v>
      </c>
      <c r="I139" t="str">
        <f t="shared" si="137"/>
        <v>AE0387</v>
      </c>
      <c r="J139" t="str">
        <f t="shared" si="137"/>
        <v>AE0389</v>
      </c>
      <c r="K139" t="str">
        <f t="shared" si="137"/>
        <v>AE0363</v>
      </c>
    </row>
    <row r="140">
      <c r="A140" s="14">
        <v>138.0</v>
      </c>
      <c r="B140" t="str">
        <f t="shared" ref="B140:K140" si="138">DEC2HEX(HEX2DEC(B139)+1)</f>
        <v>AE036A</v>
      </c>
      <c r="C140" t="str">
        <f t="shared" si="138"/>
        <v>AE036C</v>
      </c>
      <c r="D140" t="str">
        <f t="shared" si="138"/>
        <v>AE036E</v>
      </c>
      <c r="E140" t="str">
        <f t="shared" si="138"/>
        <v>AE0370</v>
      </c>
      <c r="F140" t="str">
        <f t="shared" si="138"/>
        <v>AE0372</v>
      </c>
      <c r="G140" t="str">
        <f t="shared" si="138"/>
        <v>AE0384</v>
      </c>
      <c r="H140" t="str">
        <f t="shared" si="138"/>
        <v>AE0386</v>
      </c>
      <c r="I140" t="str">
        <f t="shared" si="138"/>
        <v>AE0388</v>
      </c>
      <c r="J140" t="str">
        <f t="shared" si="138"/>
        <v>AE038A</v>
      </c>
      <c r="K140" t="str">
        <f t="shared" si="138"/>
        <v>AE0364</v>
      </c>
    </row>
    <row r="141">
      <c r="A141" s="14">
        <v>139.0</v>
      </c>
      <c r="B141" t="str">
        <f t="shared" ref="B141:K141" si="139">DEC2HEX(HEX2DEC(B140)+1)</f>
        <v>AE036B</v>
      </c>
      <c r="C141" t="str">
        <f t="shared" si="139"/>
        <v>AE036D</v>
      </c>
      <c r="D141" t="str">
        <f t="shared" si="139"/>
        <v>AE036F</v>
      </c>
      <c r="E141" t="str">
        <f t="shared" si="139"/>
        <v>AE0371</v>
      </c>
      <c r="F141" t="str">
        <f t="shared" si="139"/>
        <v>AE0373</v>
      </c>
      <c r="G141" t="str">
        <f t="shared" si="139"/>
        <v>AE0385</v>
      </c>
      <c r="H141" t="str">
        <f t="shared" si="139"/>
        <v>AE0387</v>
      </c>
      <c r="I141" t="str">
        <f t="shared" si="139"/>
        <v>AE0389</v>
      </c>
      <c r="J141" t="str">
        <f t="shared" si="139"/>
        <v>AE038B</v>
      </c>
      <c r="K141" t="str">
        <f t="shared" si="139"/>
        <v>AE0365</v>
      </c>
    </row>
    <row r="142">
      <c r="A142" s="14">
        <v>140.0</v>
      </c>
      <c r="B142" t="str">
        <f t="shared" ref="B142:K142" si="140">DEC2HEX(HEX2DEC(B141)+1)</f>
        <v>AE036C</v>
      </c>
      <c r="C142" t="str">
        <f t="shared" si="140"/>
        <v>AE036E</v>
      </c>
      <c r="D142" t="str">
        <f t="shared" si="140"/>
        <v>AE0370</v>
      </c>
      <c r="E142" t="str">
        <f t="shared" si="140"/>
        <v>AE0372</v>
      </c>
      <c r="F142" t="str">
        <f t="shared" si="140"/>
        <v>AE0374</v>
      </c>
      <c r="G142" t="str">
        <f t="shared" si="140"/>
        <v>AE0386</v>
      </c>
      <c r="H142" t="str">
        <f t="shared" si="140"/>
        <v>AE0388</v>
      </c>
      <c r="I142" t="str">
        <f t="shared" si="140"/>
        <v>AE038A</v>
      </c>
      <c r="J142" t="str">
        <f t="shared" si="140"/>
        <v>AE038C</v>
      </c>
      <c r="K142" t="str">
        <f t="shared" si="140"/>
        <v>AE0366</v>
      </c>
    </row>
    <row r="143">
      <c r="A143" s="14">
        <v>141.0</v>
      </c>
      <c r="B143" t="str">
        <f t="shared" ref="B143:K143" si="141">DEC2HEX(HEX2DEC(B142)+1)</f>
        <v>AE036D</v>
      </c>
      <c r="C143" t="str">
        <f t="shared" si="141"/>
        <v>AE036F</v>
      </c>
      <c r="D143" t="str">
        <f t="shared" si="141"/>
        <v>AE0371</v>
      </c>
      <c r="E143" t="str">
        <f t="shared" si="141"/>
        <v>AE0373</v>
      </c>
      <c r="F143" t="str">
        <f t="shared" si="141"/>
        <v>AE0375</v>
      </c>
      <c r="G143" t="str">
        <f t="shared" si="141"/>
        <v>AE0387</v>
      </c>
      <c r="H143" t="str">
        <f t="shared" si="141"/>
        <v>AE0389</v>
      </c>
      <c r="I143" t="str">
        <f t="shared" si="141"/>
        <v>AE038B</v>
      </c>
      <c r="J143" t="str">
        <f t="shared" si="141"/>
        <v>AE038D</v>
      </c>
      <c r="K143" t="str">
        <f t="shared" si="141"/>
        <v>AE0367</v>
      </c>
    </row>
    <row r="144">
      <c r="A144" s="14">
        <v>142.0</v>
      </c>
      <c r="B144" t="str">
        <f t="shared" ref="B144:K144" si="142">DEC2HEX(HEX2DEC(B143)+1)</f>
        <v>AE036E</v>
      </c>
      <c r="C144" t="str">
        <f t="shared" si="142"/>
        <v>AE0370</v>
      </c>
      <c r="D144" t="str">
        <f t="shared" si="142"/>
        <v>AE0372</v>
      </c>
      <c r="E144" t="str">
        <f t="shared" si="142"/>
        <v>AE0374</v>
      </c>
      <c r="F144" t="str">
        <f t="shared" si="142"/>
        <v>AE0376</v>
      </c>
      <c r="G144" t="str">
        <f t="shared" si="142"/>
        <v>AE0388</v>
      </c>
      <c r="H144" t="str">
        <f t="shared" si="142"/>
        <v>AE038A</v>
      </c>
      <c r="I144" t="str">
        <f t="shared" si="142"/>
        <v>AE038C</v>
      </c>
      <c r="J144" t="str">
        <f t="shared" si="142"/>
        <v>AE038E</v>
      </c>
      <c r="K144" t="str">
        <f t="shared" si="142"/>
        <v>AE0368</v>
      </c>
    </row>
    <row r="145">
      <c r="A145" s="14">
        <v>143.0</v>
      </c>
      <c r="B145" t="str">
        <f t="shared" ref="B145:K145" si="143">DEC2HEX(HEX2DEC(B144)+1)</f>
        <v>AE036F</v>
      </c>
      <c r="C145" t="str">
        <f t="shared" si="143"/>
        <v>AE0371</v>
      </c>
      <c r="D145" t="str">
        <f t="shared" si="143"/>
        <v>AE0373</v>
      </c>
      <c r="E145" t="str">
        <f t="shared" si="143"/>
        <v>AE0375</v>
      </c>
      <c r="F145" t="str">
        <f t="shared" si="143"/>
        <v>AE0377</v>
      </c>
      <c r="G145" t="str">
        <f t="shared" si="143"/>
        <v>AE0389</v>
      </c>
      <c r="H145" t="str">
        <f t="shared" si="143"/>
        <v>AE038B</v>
      </c>
      <c r="I145" t="str">
        <f t="shared" si="143"/>
        <v>AE038D</v>
      </c>
      <c r="J145" t="str">
        <f t="shared" si="143"/>
        <v>AE038F</v>
      </c>
      <c r="K145" t="str">
        <f t="shared" si="143"/>
        <v>AE0369</v>
      </c>
    </row>
    <row r="146">
      <c r="A146" s="14">
        <v>144.0</v>
      </c>
      <c r="B146" t="str">
        <f t="shared" ref="B146:K146" si="144">DEC2HEX(HEX2DEC(B145)+1)</f>
        <v>AE0370</v>
      </c>
      <c r="C146" t="str">
        <f t="shared" si="144"/>
        <v>AE0372</v>
      </c>
      <c r="D146" t="str">
        <f t="shared" si="144"/>
        <v>AE0374</v>
      </c>
      <c r="E146" t="str">
        <f t="shared" si="144"/>
        <v>AE0376</v>
      </c>
      <c r="F146" t="str">
        <f t="shared" si="144"/>
        <v>AE0378</v>
      </c>
      <c r="G146" t="str">
        <f t="shared" si="144"/>
        <v>AE038A</v>
      </c>
      <c r="H146" t="str">
        <f t="shared" si="144"/>
        <v>AE038C</v>
      </c>
      <c r="I146" t="str">
        <f t="shared" si="144"/>
        <v>AE038E</v>
      </c>
      <c r="J146" t="str">
        <f t="shared" si="144"/>
        <v>AE0390</v>
      </c>
      <c r="K146" t="str">
        <f t="shared" si="144"/>
        <v>AE036A</v>
      </c>
    </row>
    <row r="147">
      <c r="A147" s="14">
        <v>145.0</v>
      </c>
      <c r="B147" t="str">
        <f t="shared" ref="B147:K147" si="145">DEC2HEX(HEX2DEC(B146)+1)</f>
        <v>AE0371</v>
      </c>
      <c r="C147" t="str">
        <f t="shared" si="145"/>
        <v>AE0373</v>
      </c>
      <c r="D147" t="str">
        <f t="shared" si="145"/>
        <v>AE0375</v>
      </c>
      <c r="E147" t="str">
        <f t="shared" si="145"/>
        <v>AE0377</v>
      </c>
      <c r="F147" t="str">
        <f t="shared" si="145"/>
        <v>AE0379</v>
      </c>
      <c r="G147" t="str">
        <f t="shared" si="145"/>
        <v>AE038B</v>
      </c>
      <c r="H147" t="str">
        <f t="shared" si="145"/>
        <v>AE038D</v>
      </c>
      <c r="I147" t="str">
        <f t="shared" si="145"/>
        <v>AE038F</v>
      </c>
      <c r="J147" t="str">
        <f t="shared" si="145"/>
        <v>AE0391</v>
      </c>
      <c r="K147" t="str">
        <f t="shared" si="145"/>
        <v>AE036B</v>
      </c>
    </row>
    <row r="148">
      <c r="A148" s="14">
        <v>146.0</v>
      </c>
      <c r="B148" t="str">
        <f t="shared" ref="B148:K148" si="146">DEC2HEX(HEX2DEC(B147)+1)</f>
        <v>AE0372</v>
      </c>
      <c r="C148" t="str">
        <f t="shared" si="146"/>
        <v>AE0374</v>
      </c>
      <c r="D148" t="str">
        <f t="shared" si="146"/>
        <v>AE0376</v>
      </c>
      <c r="E148" t="str">
        <f t="shared" si="146"/>
        <v>AE0378</v>
      </c>
      <c r="F148" t="str">
        <f t="shared" si="146"/>
        <v>AE037A</v>
      </c>
      <c r="G148" t="str">
        <f t="shared" si="146"/>
        <v>AE038C</v>
      </c>
      <c r="H148" t="str">
        <f t="shared" si="146"/>
        <v>AE038E</v>
      </c>
      <c r="I148" t="str">
        <f t="shared" si="146"/>
        <v>AE0390</v>
      </c>
      <c r="J148" t="str">
        <f t="shared" si="146"/>
        <v>AE0392</v>
      </c>
      <c r="K148" t="str">
        <f t="shared" si="146"/>
        <v>AE036C</v>
      </c>
    </row>
    <row r="149">
      <c r="A149" s="14">
        <v>147.0</v>
      </c>
      <c r="B149" t="str">
        <f t="shared" ref="B149:K149" si="147">DEC2HEX(HEX2DEC(B148)+1)</f>
        <v>AE0373</v>
      </c>
      <c r="C149" t="str">
        <f t="shared" si="147"/>
        <v>AE0375</v>
      </c>
      <c r="D149" t="str">
        <f t="shared" si="147"/>
        <v>AE0377</v>
      </c>
      <c r="E149" t="str">
        <f t="shared" si="147"/>
        <v>AE0379</v>
      </c>
      <c r="F149" t="str">
        <f t="shared" si="147"/>
        <v>AE037B</v>
      </c>
      <c r="G149" t="str">
        <f t="shared" si="147"/>
        <v>AE038D</v>
      </c>
      <c r="H149" t="str">
        <f t="shared" si="147"/>
        <v>AE038F</v>
      </c>
      <c r="I149" t="str">
        <f t="shared" si="147"/>
        <v>AE0391</v>
      </c>
      <c r="J149" t="str">
        <f t="shared" si="147"/>
        <v>AE0393</v>
      </c>
      <c r="K149" t="str">
        <f t="shared" si="147"/>
        <v>AE036D</v>
      </c>
    </row>
    <row r="150">
      <c r="A150" s="14">
        <v>148.0</v>
      </c>
      <c r="B150" t="str">
        <f t="shared" ref="B150:K150" si="148">DEC2HEX(HEX2DEC(B149)+1)</f>
        <v>AE0374</v>
      </c>
      <c r="C150" t="str">
        <f t="shared" si="148"/>
        <v>AE0376</v>
      </c>
      <c r="D150" t="str">
        <f t="shared" si="148"/>
        <v>AE0378</v>
      </c>
      <c r="E150" t="str">
        <f t="shared" si="148"/>
        <v>AE037A</v>
      </c>
      <c r="F150" t="str">
        <f t="shared" si="148"/>
        <v>AE037C</v>
      </c>
      <c r="G150" t="str">
        <f t="shared" si="148"/>
        <v>AE038E</v>
      </c>
      <c r="H150" t="str">
        <f t="shared" si="148"/>
        <v>AE0390</v>
      </c>
      <c r="I150" t="str">
        <f t="shared" si="148"/>
        <v>AE0392</v>
      </c>
      <c r="J150" t="str">
        <f t="shared" si="148"/>
        <v>AE0394</v>
      </c>
      <c r="K150" t="str">
        <f t="shared" si="148"/>
        <v>AE036E</v>
      </c>
    </row>
    <row r="151">
      <c r="A151" s="14">
        <v>149.0</v>
      </c>
      <c r="B151" t="str">
        <f t="shared" ref="B151:K151" si="149">DEC2HEX(HEX2DEC(B150)+1)</f>
        <v>AE0375</v>
      </c>
      <c r="C151" t="str">
        <f t="shared" si="149"/>
        <v>AE0377</v>
      </c>
      <c r="D151" t="str">
        <f t="shared" si="149"/>
        <v>AE0379</v>
      </c>
      <c r="E151" t="str">
        <f t="shared" si="149"/>
        <v>AE037B</v>
      </c>
      <c r="F151" t="str">
        <f t="shared" si="149"/>
        <v>AE037D</v>
      </c>
      <c r="G151" t="str">
        <f t="shared" si="149"/>
        <v>AE038F</v>
      </c>
      <c r="H151" t="str">
        <f t="shared" si="149"/>
        <v>AE0391</v>
      </c>
      <c r="I151" t="str">
        <f t="shared" si="149"/>
        <v>AE0393</v>
      </c>
      <c r="J151" t="str">
        <f t="shared" si="149"/>
        <v>AE0395</v>
      </c>
      <c r="K151" t="str">
        <f t="shared" si="149"/>
        <v>AE036F</v>
      </c>
    </row>
    <row r="152">
      <c r="A152" s="14">
        <v>150.0</v>
      </c>
      <c r="B152" t="str">
        <f t="shared" ref="B152:K152" si="150">DEC2HEX(HEX2DEC(B151)+1)</f>
        <v>AE0376</v>
      </c>
      <c r="C152" t="str">
        <f t="shared" si="150"/>
        <v>AE0378</v>
      </c>
      <c r="D152" t="str">
        <f t="shared" si="150"/>
        <v>AE037A</v>
      </c>
      <c r="E152" t="str">
        <f t="shared" si="150"/>
        <v>AE037C</v>
      </c>
      <c r="F152" t="str">
        <f t="shared" si="150"/>
        <v>AE037E</v>
      </c>
      <c r="G152" t="str">
        <f t="shared" si="150"/>
        <v>AE0390</v>
      </c>
      <c r="H152" t="str">
        <f t="shared" si="150"/>
        <v>AE0392</v>
      </c>
      <c r="I152" t="str">
        <f t="shared" si="150"/>
        <v>AE0394</v>
      </c>
      <c r="J152" t="str">
        <f t="shared" si="150"/>
        <v>AE0396</v>
      </c>
      <c r="K152" t="str">
        <f t="shared" si="150"/>
        <v>AE0370</v>
      </c>
    </row>
    <row r="153">
      <c r="A153" s="14">
        <v>151.0</v>
      </c>
      <c r="B153" t="str">
        <f t="shared" ref="B153:K153" si="151">DEC2HEX(HEX2DEC(B152)+1)</f>
        <v>AE0377</v>
      </c>
      <c r="C153" t="str">
        <f t="shared" si="151"/>
        <v>AE0379</v>
      </c>
      <c r="D153" t="str">
        <f t="shared" si="151"/>
        <v>AE037B</v>
      </c>
      <c r="E153" t="str">
        <f t="shared" si="151"/>
        <v>AE037D</v>
      </c>
      <c r="F153" t="str">
        <f t="shared" si="151"/>
        <v>AE037F</v>
      </c>
      <c r="G153" t="str">
        <f t="shared" si="151"/>
        <v>AE0391</v>
      </c>
      <c r="H153" t="str">
        <f t="shared" si="151"/>
        <v>AE0393</v>
      </c>
      <c r="I153" t="str">
        <f t="shared" si="151"/>
        <v>AE0395</v>
      </c>
      <c r="J153" t="str">
        <f t="shared" si="151"/>
        <v>AE0397</v>
      </c>
      <c r="K153" t="str">
        <f t="shared" si="151"/>
        <v>AE0371</v>
      </c>
    </row>
    <row r="154">
      <c r="A154" s="14">
        <v>152.0</v>
      </c>
      <c r="B154" t="str">
        <f t="shared" ref="B154:K154" si="152">DEC2HEX(HEX2DEC(B153)+1)</f>
        <v>AE0378</v>
      </c>
      <c r="C154" t="str">
        <f t="shared" si="152"/>
        <v>AE037A</v>
      </c>
      <c r="D154" t="str">
        <f t="shared" si="152"/>
        <v>AE037C</v>
      </c>
      <c r="E154" t="str">
        <f t="shared" si="152"/>
        <v>AE037E</v>
      </c>
      <c r="F154" t="str">
        <f t="shared" si="152"/>
        <v>AE0380</v>
      </c>
      <c r="G154" t="str">
        <f t="shared" si="152"/>
        <v>AE0392</v>
      </c>
      <c r="H154" t="str">
        <f t="shared" si="152"/>
        <v>AE0394</v>
      </c>
      <c r="I154" t="str">
        <f t="shared" si="152"/>
        <v>AE0396</v>
      </c>
      <c r="J154" t="str">
        <f t="shared" si="152"/>
        <v>AE0398</v>
      </c>
      <c r="K154" t="str">
        <f t="shared" si="152"/>
        <v>AE0372</v>
      </c>
    </row>
    <row r="155">
      <c r="A155" s="14">
        <v>153.0</v>
      </c>
      <c r="B155" t="str">
        <f t="shared" ref="B155:K155" si="153">DEC2HEX(HEX2DEC(B154)+1)</f>
        <v>AE0379</v>
      </c>
      <c r="C155" t="str">
        <f t="shared" si="153"/>
        <v>AE037B</v>
      </c>
      <c r="D155" t="str">
        <f t="shared" si="153"/>
        <v>AE037D</v>
      </c>
      <c r="E155" t="str">
        <f t="shared" si="153"/>
        <v>AE037F</v>
      </c>
      <c r="F155" t="str">
        <f t="shared" si="153"/>
        <v>AE0381</v>
      </c>
      <c r="G155" t="str">
        <f t="shared" si="153"/>
        <v>AE0393</v>
      </c>
      <c r="H155" t="str">
        <f t="shared" si="153"/>
        <v>AE0395</v>
      </c>
      <c r="I155" t="str">
        <f t="shared" si="153"/>
        <v>AE0397</v>
      </c>
      <c r="J155" t="str">
        <f t="shared" si="153"/>
        <v>AE0399</v>
      </c>
      <c r="K155" t="str">
        <f t="shared" si="153"/>
        <v>AE0373</v>
      </c>
    </row>
    <row r="156">
      <c r="A156" s="14">
        <v>154.0</v>
      </c>
      <c r="B156" t="str">
        <f t="shared" ref="B156:K156" si="154">DEC2HEX(HEX2DEC(B155)+1)</f>
        <v>AE037A</v>
      </c>
      <c r="C156" t="str">
        <f t="shared" si="154"/>
        <v>AE037C</v>
      </c>
      <c r="D156" t="str">
        <f t="shared" si="154"/>
        <v>AE037E</v>
      </c>
      <c r="E156" t="str">
        <f t="shared" si="154"/>
        <v>AE0380</v>
      </c>
      <c r="F156" t="str">
        <f t="shared" si="154"/>
        <v>AE0382</v>
      </c>
      <c r="G156" t="str">
        <f t="shared" si="154"/>
        <v>AE0394</v>
      </c>
      <c r="H156" t="str">
        <f t="shared" si="154"/>
        <v>AE0396</v>
      </c>
      <c r="I156" t="str">
        <f t="shared" si="154"/>
        <v>AE0398</v>
      </c>
      <c r="J156" t="str">
        <f t="shared" si="154"/>
        <v>AE039A</v>
      </c>
      <c r="K156" t="str">
        <f t="shared" si="154"/>
        <v>AE0374</v>
      </c>
    </row>
    <row r="157">
      <c r="A157" s="14">
        <v>155.0</v>
      </c>
      <c r="B157" t="str">
        <f t="shared" ref="B157:K157" si="155">DEC2HEX(HEX2DEC(B156)+1)</f>
        <v>AE037B</v>
      </c>
      <c r="C157" t="str">
        <f t="shared" si="155"/>
        <v>AE037D</v>
      </c>
      <c r="D157" t="str">
        <f t="shared" si="155"/>
        <v>AE037F</v>
      </c>
      <c r="E157" t="str">
        <f t="shared" si="155"/>
        <v>AE0381</v>
      </c>
      <c r="F157" t="str">
        <f t="shared" si="155"/>
        <v>AE0383</v>
      </c>
      <c r="G157" t="str">
        <f t="shared" si="155"/>
        <v>AE0395</v>
      </c>
      <c r="H157" t="str">
        <f t="shared" si="155"/>
        <v>AE0397</v>
      </c>
      <c r="I157" t="str">
        <f t="shared" si="155"/>
        <v>AE0399</v>
      </c>
      <c r="J157" t="str">
        <f t="shared" si="155"/>
        <v>AE039B</v>
      </c>
      <c r="K157" t="str">
        <f t="shared" si="155"/>
        <v>AE0375</v>
      </c>
    </row>
    <row r="158">
      <c r="A158" s="14">
        <v>156.0</v>
      </c>
      <c r="B158" t="str">
        <f t="shared" ref="B158:K158" si="156">DEC2HEX(HEX2DEC(B157)+1)</f>
        <v>AE037C</v>
      </c>
      <c r="C158" t="str">
        <f t="shared" si="156"/>
        <v>AE037E</v>
      </c>
      <c r="D158" t="str">
        <f t="shared" si="156"/>
        <v>AE0380</v>
      </c>
      <c r="E158" t="str">
        <f t="shared" si="156"/>
        <v>AE0382</v>
      </c>
      <c r="F158" t="str">
        <f t="shared" si="156"/>
        <v>AE0384</v>
      </c>
      <c r="G158" t="str">
        <f t="shared" si="156"/>
        <v>AE0396</v>
      </c>
      <c r="H158" t="str">
        <f t="shared" si="156"/>
        <v>AE0398</v>
      </c>
      <c r="I158" t="str">
        <f t="shared" si="156"/>
        <v>AE039A</v>
      </c>
      <c r="J158" t="str">
        <f t="shared" si="156"/>
        <v>AE039C</v>
      </c>
      <c r="K158" t="str">
        <f t="shared" si="156"/>
        <v>AE0376</v>
      </c>
    </row>
    <row r="159">
      <c r="A159" s="14">
        <v>157.0</v>
      </c>
      <c r="B159" t="str">
        <f t="shared" ref="B159:K159" si="157">DEC2HEX(HEX2DEC(B158)+1)</f>
        <v>AE037D</v>
      </c>
      <c r="C159" t="str">
        <f t="shared" si="157"/>
        <v>AE037F</v>
      </c>
      <c r="D159" t="str">
        <f t="shared" si="157"/>
        <v>AE0381</v>
      </c>
      <c r="E159" t="str">
        <f t="shared" si="157"/>
        <v>AE0383</v>
      </c>
      <c r="F159" t="str">
        <f t="shared" si="157"/>
        <v>AE0385</v>
      </c>
      <c r="G159" t="str">
        <f t="shared" si="157"/>
        <v>AE0397</v>
      </c>
      <c r="H159" t="str">
        <f t="shared" si="157"/>
        <v>AE0399</v>
      </c>
      <c r="I159" t="str">
        <f t="shared" si="157"/>
        <v>AE039B</v>
      </c>
      <c r="J159" t="str">
        <f t="shared" si="157"/>
        <v>AE039D</v>
      </c>
      <c r="K159" t="str">
        <f t="shared" si="157"/>
        <v>AE0377</v>
      </c>
    </row>
    <row r="160">
      <c r="A160" s="14">
        <v>158.0</v>
      </c>
      <c r="B160" t="str">
        <f t="shared" ref="B160:K160" si="158">DEC2HEX(HEX2DEC(B159)+1)</f>
        <v>AE037E</v>
      </c>
      <c r="C160" t="str">
        <f t="shared" si="158"/>
        <v>AE0380</v>
      </c>
      <c r="D160" t="str">
        <f t="shared" si="158"/>
        <v>AE0382</v>
      </c>
      <c r="E160" t="str">
        <f t="shared" si="158"/>
        <v>AE0384</v>
      </c>
      <c r="F160" t="str">
        <f t="shared" si="158"/>
        <v>AE0386</v>
      </c>
      <c r="G160" t="str">
        <f t="shared" si="158"/>
        <v>AE0398</v>
      </c>
      <c r="H160" t="str">
        <f t="shared" si="158"/>
        <v>AE039A</v>
      </c>
      <c r="I160" t="str">
        <f t="shared" si="158"/>
        <v>AE039C</v>
      </c>
      <c r="J160" t="str">
        <f t="shared" si="158"/>
        <v>AE039E</v>
      </c>
      <c r="K160" t="str">
        <f t="shared" si="158"/>
        <v>AE0378</v>
      </c>
    </row>
    <row r="161">
      <c r="A161" s="14">
        <v>159.0</v>
      </c>
      <c r="B161" t="str">
        <f t="shared" ref="B161:K161" si="159">DEC2HEX(HEX2DEC(B160)+1)</f>
        <v>AE037F</v>
      </c>
      <c r="C161" t="str">
        <f t="shared" si="159"/>
        <v>AE0381</v>
      </c>
      <c r="D161" t="str">
        <f t="shared" si="159"/>
        <v>AE0383</v>
      </c>
      <c r="E161" t="str">
        <f t="shared" si="159"/>
        <v>AE0385</v>
      </c>
      <c r="F161" t="str">
        <f t="shared" si="159"/>
        <v>AE0387</v>
      </c>
      <c r="G161" t="str">
        <f t="shared" si="159"/>
        <v>AE0399</v>
      </c>
      <c r="H161" t="str">
        <f t="shared" si="159"/>
        <v>AE039B</v>
      </c>
      <c r="I161" t="str">
        <f t="shared" si="159"/>
        <v>AE039D</v>
      </c>
      <c r="J161" t="str">
        <f t="shared" si="159"/>
        <v>AE039F</v>
      </c>
      <c r="K161" t="str">
        <f t="shared" si="159"/>
        <v>AE0379</v>
      </c>
    </row>
    <row r="162">
      <c r="A162" s="14">
        <v>160.0</v>
      </c>
      <c r="B162" t="str">
        <f t="shared" ref="B162:K162" si="160">DEC2HEX(HEX2DEC(B161)+1)</f>
        <v>AE0380</v>
      </c>
      <c r="C162" t="str">
        <f t="shared" si="160"/>
        <v>AE0382</v>
      </c>
      <c r="D162" t="str">
        <f t="shared" si="160"/>
        <v>AE0384</v>
      </c>
      <c r="E162" t="str">
        <f t="shared" si="160"/>
        <v>AE0386</v>
      </c>
      <c r="F162" t="str">
        <f t="shared" si="160"/>
        <v>AE0388</v>
      </c>
      <c r="G162" t="str">
        <f t="shared" si="160"/>
        <v>AE039A</v>
      </c>
      <c r="H162" t="str">
        <f t="shared" si="160"/>
        <v>AE039C</v>
      </c>
      <c r="I162" t="str">
        <f t="shared" si="160"/>
        <v>AE039E</v>
      </c>
      <c r="J162" t="str">
        <f t="shared" si="160"/>
        <v>AE03A0</v>
      </c>
      <c r="K162" t="str">
        <f t="shared" si="160"/>
        <v>AE037A</v>
      </c>
    </row>
    <row r="163">
      <c r="A163" s="14">
        <v>161.0</v>
      </c>
      <c r="B163" t="str">
        <f t="shared" ref="B163:K163" si="161">DEC2HEX(HEX2DEC(B162)+1)</f>
        <v>AE0381</v>
      </c>
      <c r="C163" t="str">
        <f t="shared" si="161"/>
        <v>AE0383</v>
      </c>
      <c r="D163" t="str">
        <f t="shared" si="161"/>
        <v>AE0385</v>
      </c>
      <c r="E163" t="str">
        <f t="shared" si="161"/>
        <v>AE0387</v>
      </c>
      <c r="F163" t="str">
        <f t="shared" si="161"/>
        <v>AE0389</v>
      </c>
      <c r="G163" t="str">
        <f t="shared" si="161"/>
        <v>AE039B</v>
      </c>
      <c r="H163" t="str">
        <f t="shared" si="161"/>
        <v>AE039D</v>
      </c>
      <c r="I163" t="str">
        <f t="shared" si="161"/>
        <v>AE039F</v>
      </c>
      <c r="J163" t="str">
        <f t="shared" si="161"/>
        <v>AE03A1</v>
      </c>
      <c r="K163" t="str">
        <f t="shared" si="161"/>
        <v>AE037B</v>
      </c>
    </row>
    <row r="164">
      <c r="A164" s="14">
        <v>162.0</v>
      </c>
      <c r="B164" t="str">
        <f t="shared" ref="B164:K164" si="162">DEC2HEX(HEX2DEC(B163)+1)</f>
        <v>AE0382</v>
      </c>
      <c r="C164" t="str">
        <f t="shared" si="162"/>
        <v>AE0384</v>
      </c>
      <c r="D164" t="str">
        <f t="shared" si="162"/>
        <v>AE0386</v>
      </c>
      <c r="E164" t="str">
        <f t="shared" si="162"/>
        <v>AE0388</v>
      </c>
      <c r="F164" t="str">
        <f t="shared" si="162"/>
        <v>AE038A</v>
      </c>
      <c r="G164" t="str">
        <f t="shared" si="162"/>
        <v>AE039C</v>
      </c>
      <c r="H164" t="str">
        <f t="shared" si="162"/>
        <v>AE039E</v>
      </c>
      <c r="I164" t="str">
        <f t="shared" si="162"/>
        <v>AE03A0</v>
      </c>
      <c r="J164" t="str">
        <f t="shared" si="162"/>
        <v>AE03A2</v>
      </c>
      <c r="K164" t="str">
        <f t="shared" si="162"/>
        <v>AE037C</v>
      </c>
    </row>
    <row r="165">
      <c r="A165" s="14">
        <v>163.0</v>
      </c>
      <c r="B165" t="str">
        <f t="shared" ref="B165:K165" si="163">DEC2HEX(HEX2DEC(B164)+1)</f>
        <v>AE0383</v>
      </c>
      <c r="C165" t="str">
        <f t="shared" si="163"/>
        <v>AE0385</v>
      </c>
      <c r="D165" t="str">
        <f t="shared" si="163"/>
        <v>AE0387</v>
      </c>
      <c r="E165" t="str">
        <f t="shared" si="163"/>
        <v>AE0389</v>
      </c>
      <c r="F165" t="str">
        <f t="shared" si="163"/>
        <v>AE038B</v>
      </c>
      <c r="G165" t="str">
        <f t="shared" si="163"/>
        <v>AE039D</v>
      </c>
      <c r="H165" t="str">
        <f t="shared" si="163"/>
        <v>AE039F</v>
      </c>
      <c r="I165" t="str">
        <f t="shared" si="163"/>
        <v>AE03A1</v>
      </c>
      <c r="J165" t="str">
        <f t="shared" si="163"/>
        <v>AE03A3</v>
      </c>
      <c r="K165" t="str">
        <f t="shared" si="163"/>
        <v>AE037D</v>
      </c>
    </row>
    <row r="166">
      <c r="A166" s="14">
        <v>164.0</v>
      </c>
      <c r="B166" t="str">
        <f t="shared" ref="B166:K166" si="164">DEC2HEX(HEX2DEC(B165)+1)</f>
        <v>AE0384</v>
      </c>
      <c r="C166" t="str">
        <f t="shared" si="164"/>
        <v>AE0386</v>
      </c>
      <c r="D166" t="str">
        <f t="shared" si="164"/>
        <v>AE0388</v>
      </c>
      <c r="E166" t="str">
        <f t="shared" si="164"/>
        <v>AE038A</v>
      </c>
      <c r="F166" t="str">
        <f t="shared" si="164"/>
        <v>AE038C</v>
      </c>
      <c r="G166" t="str">
        <f t="shared" si="164"/>
        <v>AE039E</v>
      </c>
      <c r="H166" t="str">
        <f t="shared" si="164"/>
        <v>AE03A0</v>
      </c>
      <c r="I166" t="str">
        <f t="shared" si="164"/>
        <v>AE03A2</v>
      </c>
      <c r="J166" t="str">
        <f t="shared" si="164"/>
        <v>AE03A4</v>
      </c>
      <c r="K166" t="str">
        <f t="shared" si="164"/>
        <v>AE037E</v>
      </c>
    </row>
    <row r="167">
      <c r="A167" s="14">
        <v>165.0</v>
      </c>
      <c r="B167" t="str">
        <f t="shared" ref="B167:K167" si="165">DEC2HEX(HEX2DEC(B166)+1)</f>
        <v>AE0385</v>
      </c>
      <c r="C167" t="str">
        <f t="shared" si="165"/>
        <v>AE0387</v>
      </c>
      <c r="D167" t="str">
        <f t="shared" si="165"/>
        <v>AE0389</v>
      </c>
      <c r="E167" t="str">
        <f t="shared" si="165"/>
        <v>AE038B</v>
      </c>
      <c r="F167" t="str">
        <f t="shared" si="165"/>
        <v>AE038D</v>
      </c>
      <c r="G167" t="str">
        <f t="shared" si="165"/>
        <v>AE039F</v>
      </c>
      <c r="H167" t="str">
        <f t="shared" si="165"/>
        <v>AE03A1</v>
      </c>
      <c r="I167" t="str">
        <f t="shared" si="165"/>
        <v>AE03A3</v>
      </c>
      <c r="J167" t="str">
        <f t="shared" si="165"/>
        <v>AE03A5</v>
      </c>
      <c r="K167" t="str">
        <f t="shared" si="165"/>
        <v>AE037F</v>
      </c>
    </row>
    <row r="168">
      <c r="A168" s="14">
        <v>166.0</v>
      </c>
      <c r="B168" t="str">
        <f t="shared" ref="B168:K168" si="166">DEC2HEX(HEX2DEC(B167)+1)</f>
        <v>AE0386</v>
      </c>
      <c r="C168" t="str">
        <f t="shared" si="166"/>
        <v>AE0388</v>
      </c>
      <c r="D168" t="str">
        <f t="shared" si="166"/>
        <v>AE038A</v>
      </c>
      <c r="E168" t="str">
        <f t="shared" si="166"/>
        <v>AE038C</v>
      </c>
      <c r="F168" t="str">
        <f t="shared" si="166"/>
        <v>AE038E</v>
      </c>
      <c r="G168" t="str">
        <f t="shared" si="166"/>
        <v>AE03A0</v>
      </c>
      <c r="H168" t="str">
        <f t="shared" si="166"/>
        <v>AE03A2</v>
      </c>
      <c r="I168" t="str">
        <f t="shared" si="166"/>
        <v>AE03A4</v>
      </c>
      <c r="J168" t="str">
        <f t="shared" si="166"/>
        <v>AE03A6</v>
      </c>
      <c r="K168" t="str">
        <f t="shared" si="166"/>
        <v>AE0380</v>
      </c>
    </row>
    <row r="169">
      <c r="A169" s="14">
        <v>167.0</v>
      </c>
      <c r="B169" t="str">
        <f t="shared" ref="B169:K169" si="167">DEC2HEX(HEX2DEC(B168)+1)</f>
        <v>AE0387</v>
      </c>
      <c r="C169" t="str">
        <f t="shared" si="167"/>
        <v>AE0389</v>
      </c>
      <c r="D169" t="str">
        <f t="shared" si="167"/>
        <v>AE038B</v>
      </c>
      <c r="E169" t="str">
        <f t="shared" si="167"/>
        <v>AE038D</v>
      </c>
      <c r="F169" t="str">
        <f t="shared" si="167"/>
        <v>AE038F</v>
      </c>
      <c r="G169" t="str">
        <f t="shared" si="167"/>
        <v>AE03A1</v>
      </c>
      <c r="H169" t="str">
        <f t="shared" si="167"/>
        <v>AE03A3</v>
      </c>
      <c r="I169" t="str">
        <f t="shared" si="167"/>
        <v>AE03A5</v>
      </c>
      <c r="J169" t="str">
        <f t="shared" si="167"/>
        <v>AE03A7</v>
      </c>
      <c r="K169" t="str">
        <f t="shared" si="167"/>
        <v>AE0381</v>
      </c>
    </row>
    <row r="170">
      <c r="A170" s="14">
        <v>168.0</v>
      </c>
      <c r="B170" t="str">
        <f t="shared" ref="B170:K170" si="168">DEC2HEX(HEX2DEC(B169)+1)</f>
        <v>AE0388</v>
      </c>
      <c r="C170" t="str">
        <f t="shared" si="168"/>
        <v>AE038A</v>
      </c>
      <c r="D170" t="str">
        <f t="shared" si="168"/>
        <v>AE038C</v>
      </c>
      <c r="E170" t="str">
        <f t="shared" si="168"/>
        <v>AE038E</v>
      </c>
      <c r="F170" t="str">
        <f t="shared" si="168"/>
        <v>AE0390</v>
      </c>
      <c r="G170" t="str">
        <f t="shared" si="168"/>
        <v>AE03A2</v>
      </c>
      <c r="H170" t="str">
        <f t="shared" si="168"/>
        <v>AE03A4</v>
      </c>
      <c r="I170" t="str">
        <f t="shared" si="168"/>
        <v>AE03A6</v>
      </c>
      <c r="J170" t="str">
        <f t="shared" si="168"/>
        <v>AE03A8</v>
      </c>
      <c r="K170" t="str">
        <f t="shared" si="168"/>
        <v>AE0382</v>
      </c>
    </row>
    <row r="171">
      <c r="A171" s="14">
        <v>169.0</v>
      </c>
      <c r="B171" t="str">
        <f t="shared" ref="B171:K171" si="169">DEC2HEX(HEX2DEC(B170)+1)</f>
        <v>AE0389</v>
      </c>
      <c r="C171" t="str">
        <f t="shared" si="169"/>
        <v>AE038B</v>
      </c>
      <c r="D171" t="str">
        <f t="shared" si="169"/>
        <v>AE038D</v>
      </c>
      <c r="E171" t="str">
        <f t="shared" si="169"/>
        <v>AE038F</v>
      </c>
      <c r="F171" t="str">
        <f t="shared" si="169"/>
        <v>AE0391</v>
      </c>
      <c r="G171" t="str">
        <f t="shared" si="169"/>
        <v>AE03A3</v>
      </c>
      <c r="H171" t="str">
        <f t="shared" si="169"/>
        <v>AE03A5</v>
      </c>
      <c r="I171" t="str">
        <f t="shared" si="169"/>
        <v>AE03A7</v>
      </c>
      <c r="J171" t="str">
        <f t="shared" si="169"/>
        <v>AE03A9</v>
      </c>
      <c r="K171" t="str">
        <f t="shared" si="169"/>
        <v>AE0383</v>
      </c>
    </row>
    <row r="172">
      <c r="A172" s="14">
        <v>170.0</v>
      </c>
      <c r="B172" t="str">
        <f t="shared" ref="B172:K172" si="170">DEC2HEX(HEX2DEC(B171)+1)</f>
        <v>AE038A</v>
      </c>
      <c r="C172" t="str">
        <f t="shared" si="170"/>
        <v>AE038C</v>
      </c>
      <c r="D172" t="str">
        <f t="shared" si="170"/>
        <v>AE038E</v>
      </c>
      <c r="E172" t="str">
        <f t="shared" si="170"/>
        <v>AE0390</v>
      </c>
      <c r="F172" t="str">
        <f t="shared" si="170"/>
        <v>AE0392</v>
      </c>
      <c r="G172" t="str">
        <f t="shared" si="170"/>
        <v>AE03A4</v>
      </c>
      <c r="H172" t="str">
        <f t="shared" si="170"/>
        <v>AE03A6</v>
      </c>
      <c r="I172" t="str">
        <f t="shared" si="170"/>
        <v>AE03A8</v>
      </c>
      <c r="J172" t="str">
        <f t="shared" si="170"/>
        <v>AE03AA</v>
      </c>
      <c r="K172" t="str">
        <f t="shared" si="170"/>
        <v>AE0384</v>
      </c>
    </row>
    <row r="173">
      <c r="A173" s="14">
        <v>171.0</v>
      </c>
      <c r="B173" t="str">
        <f t="shared" ref="B173:K173" si="171">DEC2HEX(HEX2DEC(B172)+1)</f>
        <v>AE038B</v>
      </c>
      <c r="C173" t="str">
        <f t="shared" si="171"/>
        <v>AE038D</v>
      </c>
      <c r="D173" t="str">
        <f t="shared" si="171"/>
        <v>AE038F</v>
      </c>
      <c r="E173" t="str">
        <f t="shared" si="171"/>
        <v>AE0391</v>
      </c>
      <c r="F173" t="str">
        <f t="shared" si="171"/>
        <v>AE0393</v>
      </c>
      <c r="G173" t="str">
        <f t="shared" si="171"/>
        <v>AE03A5</v>
      </c>
      <c r="H173" t="str">
        <f t="shared" si="171"/>
        <v>AE03A7</v>
      </c>
      <c r="I173" t="str">
        <f t="shared" si="171"/>
        <v>AE03A9</v>
      </c>
      <c r="J173" t="str">
        <f t="shared" si="171"/>
        <v>AE03AB</v>
      </c>
      <c r="K173" t="str">
        <f t="shared" si="171"/>
        <v>AE0385</v>
      </c>
    </row>
    <row r="174">
      <c r="A174" s="14">
        <v>172.0</v>
      </c>
      <c r="B174" t="str">
        <f t="shared" ref="B174:K174" si="172">DEC2HEX(HEX2DEC(B173)+1)</f>
        <v>AE038C</v>
      </c>
      <c r="C174" t="str">
        <f t="shared" si="172"/>
        <v>AE038E</v>
      </c>
      <c r="D174" t="str">
        <f t="shared" si="172"/>
        <v>AE0390</v>
      </c>
      <c r="E174" t="str">
        <f t="shared" si="172"/>
        <v>AE0392</v>
      </c>
      <c r="F174" t="str">
        <f t="shared" si="172"/>
        <v>AE0394</v>
      </c>
      <c r="G174" t="str">
        <f t="shared" si="172"/>
        <v>AE03A6</v>
      </c>
      <c r="H174" t="str">
        <f t="shared" si="172"/>
        <v>AE03A8</v>
      </c>
      <c r="I174" t="str">
        <f t="shared" si="172"/>
        <v>AE03AA</v>
      </c>
      <c r="J174" t="str">
        <f t="shared" si="172"/>
        <v>AE03AC</v>
      </c>
      <c r="K174" t="str">
        <f t="shared" si="172"/>
        <v>AE0386</v>
      </c>
    </row>
    <row r="175">
      <c r="A175" s="14">
        <v>173.0</v>
      </c>
      <c r="B175" t="str">
        <f t="shared" ref="B175:K175" si="173">DEC2HEX(HEX2DEC(B174)+1)</f>
        <v>AE038D</v>
      </c>
      <c r="C175" t="str">
        <f t="shared" si="173"/>
        <v>AE038F</v>
      </c>
      <c r="D175" t="str">
        <f t="shared" si="173"/>
        <v>AE0391</v>
      </c>
      <c r="E175" t="str">
        <f t="shared" si="173"/>
        <v>AE0393</v>
      </c>
      <c r="F175" t="str">
        <f t="shared" si="173"/>
        <v>AE0395</v>
      </c>
      <c r="G175" t="str">
        <f t="shared" si="173"/>
        <v>AE03A7</v>
      </c>
      <c r="H175" t="str">
        <f t="shared" si="173"/>
        <v>AE03A9</v>
      </c>
      <c r="I175" t="str">
        <f t="shared" si="173"/>
        <v>AE03AB</v>
      </c>
      <c r="J175" t="str">
        <f t="shared" si="173"/>
        <v>AE03AD</v>
      </c>
      <c r="K175" t="str">
        <f t="shared" si="173"/>
        <v>AE0387</v>
      </c>
    </row>
    <row r="176">
      <c r="A176" s="14">
        <v>174.0</v>
      </c>
      <c r="B176" t="str">
        <f t="shared" ref="B176:K176" si="174">DEC2HEX(HEX2DEC(B175)+1)</f>
        <v>AE038E</v>
      </c>
      <c r="C176" t="str">
        <f t="shared" si="174"/>
        <v>AE0390</v>
      </c>
      <c r="D176" t="str">
        <f t="shared" si="174"/>
        <v>AE0392</v>
      </c>
      <c r="E176" t="str">
        <f t="shared" si="174"/>
        <v>AE0394</v>
      </c>
      <c r="F176" t="str">
        <f t="shared" si="174"/>
        <v>AE0396</v>
      </c>
      <c r="G176" t="str">
        <f t="shared" si="174"/>
        <v>AE03A8</v>
      </c>
      <c r="H176" t="str">
        <f t="shared" si="174"/>
        <v>AE03AA</v>
      </c>
      <c r="I176" t="str">
        <f t="shared" si="174"/>
        <v>AE03AC</v>
      </c>
      <c r="J176" t="str">
        <f t="shared" si="174"/>
        <v>AE03AE</v>
      </c>
      <c r="K176" t="str">
        <f t="shared" si="174"/>
        <v>AE0388</v>
      </c>
    </row>
    <row r="177">
      <c r="A177" s="14">
        <v>175.0</v>
      </c>
      <c r="B177" t="str">
        <f t="shared" ref="B177:K177" si="175">DEC2HEX(HEX2DEC(B176)+1)</f>
        <v>AE038F</v>
      </c>
      <c r="C177" t="str">
        <f t="shared" si="175"/>
        <v>AE0391</v>
      </c>
      <c r="D177" t="str">
        <f t="shared" si="175"/>
        <v>AE0393</v>
      </c>
      <c r="E177" t="str">
        <f t="shared" si="175"/>
        <v>AE0395</v>
      </c>
      <c r="F177" t="str">
        <f t="shared" si="175"/>
        <v>AE0397</v>
      </c>
      <c r="G177" t="str">
        <f t="shared" si="175"/>
        <v>AE03A9</v>
      </c>
      <c r="H177" t="str">
        <f t="shared" si="175"/>
        <v>AE03AB</v>
      </c>
      <c r="I177" t="str">
        <f t="shared" si="175"/>
        <v>AE03AD</v>
      </c>
      <c r="J177" t="str">
        <f t="shared" si="175"/>
        <v>AE03AF</v>
      </c>
      <c r="K177" t="str">
        <f t="shared" si="175"/>
        <v>AE0389</v>
      </c>
    </row>
    <row r="178">
      <c r="A178" s="14">
        <v>176.0</v>
      </c>
      <c r="B178" t="str">
        <f t="shared" ref="B178:K178" si="176">DEC2HEX(HEX2DEC(B177)+1)</f>
        <v>AE0390</v>
      </c>
      <c r="C178" t="str">
        <f t="shared" si="176"/>
        <v>AE0392</v>
      </c>
      <c r="D178" t="str">
        <f t="shared" si="176"/>
        <v>AE0394</v>
      </c>
      <c r="E178" t="str">
        <f t="shared" si="176"/>
        <v>AE0396</v>
      </c>
      <c r="F178" t="str">
        <f t="shared" si="176"/>
        <v>AE0398</v>
      </c>
      <c r="G178" t="str">
        <f t="shared" si="176"/>
        <v>AE03AA</v>
      </c>
      <c r="H178" t="str">
        <f t="shared" si="176"/>
        <v>AE03AC</v>
      </c>
      <c r="I178" t="str">
        <f t="shared" si="176"/>
        <v>AE03AE</v>
      </c>
      <c r="J178" t="str">
        <f t="shared" si="176"/>
        <v>AE03B0</v>
      </c>
      <c r="K178" t="str">
        <f t="shared" si="176"/>
        <v>AE038A</v>
      </c>
    </row>
    <row r="179">
      <c r="A179" s="14">
        <v>177.0</v>
      </c>
      <c r="B179" t="str">
        <f t="shared" ref="B179:K179" si="177">DEC2HEX(HEX2DEC(B178)+1)</f>
        <v>AE0391</v>
      </c>
      <c r="C179" t="str">
        <f t="shared" si="177"/>
        <v>AE0393</v>
      </c>
      <c r="D179" t="str">
        <f t="shared" si="177"/>
        <v>AE0395</v>
      </c>
      <c r="E179" t="str">
        <f t="shared" si="177"/>
        <v>AE0397</v>
      </c>
      <c r="F179" t="str">
        <f t="shared" si="177"/>
        <v>AE0399</v>
      </c>
      <c r="G179" t="str">
        <f t="shared" si="177"/>
        <v>AE03AB</v>
      </c>
      <c r="H179" t="str">
        <f t="shared" si="177"/>
        <v>AE03AD</v>
      </c>
      <c r="I179" t="str">
        <f t="shared" si="177"/>
        <v>AE03AF</v>
      </c>
      <c r="J179" t="str">
        <f t="shared" si="177"/>
        <v>AE03B1</v>
      </c>
      <c r="K179" t="str">
        <f t="shared" si="177"/>
        <v>AE038B</v>
      </c>
    </row>
    <row r="180">
      <c r="A180" s="14">
        <v>178.0</v>
      </c>
      <c r="B180" t="str">
        <f t="shared" ref="B180:K180" si="178">DEC2HEX(HEX2DEC(B179)+1)</f>
        <v>AE0392</v>
      </c>
      <c r="C180" t="str">
        <f t="shared" si="178"/>
        <v>AE0394</v>
      </c>
      <c r="D180" t="str">
        <f t="shared" si="178"/>
        <v>AE0396</v>
      </c>
      <c r="E180" t="str">
        <f t="shared" si="178"/>
        <v>AE0398</v>
      </c>
      <c r="F180" t="str">
        <f t="shared" si="178"/>
        <v>AE039A</v>
      </c>
      <c r="G180" t="str">
        <f t="shared" si="178"/>
        <v>AE03AC</v>
      </c>
      <c r="H180" t="str">
        <f t="shared" si="178"/>
        <v>AE03AE</v>
      </c>
      <c r="I180" t="str">
        <f t="shared" si="178"/>
        <v>AE03B0</v>
      </c>
      <c r="J180" t="str">
        <f t="shared" si="178"/>
        <v>AE03B2</v>
      </c>
      <c r="K180" t="str">
        <f t="shared" si="178"/>
        <v>AE038C</v>
      </c>
    </row>
    <row r="181">
      <c r="A181" s="14">
        <v>179.0</v>
      </c>
      <c r="B181" t="str">
        <f t="shared" ref="B181:K181" si="179">DEC2HEX(HEX2DEC(B180)+1)</f>
        <v>AE0393</v>
      </c>
      <c r="C181" t="str">
        <f t="shared" si="179"/>
        <v>AE0395</v>
      </c>
      <c r="D181" t="str">
        <f t="shared" si="179"/>
        <v>AE0397</v>
      </c>
      <c r="E181" t="str">
        <f t="shared" si="179"/>
        <v>AE0399</v>
      </c>
      <c r="F181" t="str">
        <f t="shared" si="179"/>
        <v>AE039B</v>
      </c>
      <c r="G181" t="str">
        <f t="shared" si="179"/>
        <v>AE03AD</v>
      </c>
      <c r="H181" t="str">
        <f t="shared" si="179"/>
        <v>AE03AF</v>
      </c>
      <c r="I181" t="str">
        <f t="shared" si="179"/>
        <v>AE03B1</v>
      </c>
      <c r="J181" t="str">
        <f t="shared" si="179"/>
        <v>AE03B3</v>
      </c>
      <c r="K181" t="str">
        <f t="shared" si="179"/>
        <v>AE038D</v>
      </c>
    </row>
    <row r="182">
      <c r="A182" s="14">
        <v>180.0</v>
      </c>
      <c r="B182" t="str">
        <f t="shared" ref="B182:K182" si="180">DEC2HEX(HEX2DEC(B181)+1)</f>
        <v>AE0394</v>
      </c>
      <c r="C182" t="str">
        <f t="shared" si="180"/>
        <v>AE0396</v>
      </c>
      <c r="D182" t="str">
        <f t="shared" si="180"/>
        <v>AE0398</v>
      </c>
      <c r="E182" t="str">
        <f t="shared" si="180"/>
        <v>AE039A</v>
      </c>
      <c r="F182" t="str">
        <f t="shared" si="180"/>
        <v>AE039C</v>
      </c>
      <c r="G182" t="str">
        <f t="shared" si="180"/>
        <v>AE03AE</v>
      </c>
      <c r="H182" t="str">
        <f t="shared" si="180"/>
        <v>AE03B0</v>
      </c>
      <c r="I182" t="str">
        <f t="shared" si="180"/>
        <v>AE03B2</v>
      </c>
      <c r="J182" t="str">
        <f t="shared" si="180"/>
        <v>AE03B4</v>
      </c>
      <c r="K182" t="str">
        <f t="shared" si="180"/>
        <v>AE038E</v>
      </c>
    </row>
    <row r="183">
      <c r="A183" s="14">
        <v>181.0</v>
      </c>
      <c r="B183" t="str">
        <f t="shared" ref="B183:K183" si="181">DEC2HEX(HEX2DEC(B182)+1)</f>
        <v>AE0395</v>
      </c>
      <c r="C183" t="str">
        <f t="shared" si="181"/>
        <v>AE0397</v>
      </c>
      <c r="D183" t="str">
        <f t="shared" si="181"/>
        <v>AE0399</v>
      </c>
      <c r="E183" t="str">
        <f t="shared" si="181"/>
        <v>AE039B</v>
      </c>
      <c r="F183" t="str">
        <f t="shared" si="181"/>
        <v>AE039D</v>
      </c>
      <c r="G183" t="str">
        <f t="shared" si="181"/>
        <v>AE03AF</v>
      </c>
      <c r="H183" t="str">
        <f t="shared" si="181"/>
        <v>AE03B1</v>
      </c>
      <c r="I183" t="str">
        <f t="shared" si="181"/>
        <v>AE03B3</v>
      </c>
      <c r="J183" t="str">
        <f t="shared" si="181"/>
        <v>AE03B5</v>
      </c>
      <c r="K183" t="str">
        <f t="shared" si="181"/>
        <v>AE038F</v>
      </c>
    </row>
    <row r="184">
      <c r="A184" s="14">
        <v>182.0</v>
      </c>
      <c r="B184" t="str">
        <f t="shared" ref="B184:K184" si="182">DEC2HEX(HEX2DEC(B183)+1)</f>
        <v>AE0396</v>
      </c>
      <c r="C184" t="str">
        <f t="shared" si="182"/>
        <v>AE0398</v>
      </c>
      <c r="D184" t="str">
        <f t="shared" si="182"/>
        <v>AE039A</v>
      </c>
      <c r="E184" t="str">
        <f t="shared" si="182"/>
        <v>AE039C</v>
      </c>
      <c r="F184" t="str">
        <f t="shared" si="182"/>
        <v>AE039E</v>
      </c>
      <c r="G184" t="str">
        <f t="shared" si="182"/>
        <v>AE03B0</v>
      </c>
      <c r="H184" t="str">
        <f t="shared" si="182"/>
        <v>AE03B2</v>
      </c>
      <c r="I184" t="str">
        <f t="shared" si="182"/>
        <v>AE03B4</v>
      </c>
      <c r="J184" t="str">
        <f t="shared" si="182"/>
        <v>AE03B6</v>
      </c>
      <c r="K184" t="str">
        <f t="shared" si="182"/>
        <v>AE0390</v>
      </c>
    </row>
    <row r="185">
      <c r="A185" s="14">
        <v>183.0</v>
      </c>
      <c r="B185" t="str">
        <f t="shared" ref="B185:K185" si="183">DEC2HEX(HEX2DEC(B184)+1)</f>
        <v>AE0397</v>
      </c>
      <c r="C185" t="str">
        <f t="shared" si="183"/>
        <v>AE0399</v>
      </c>
      <c r="D185" t="str">
        <f t="shared" si="183"/>
        <v>AE039B</v>
      </c>
      <c r="E185" t="str">
        <f t="shared" si="183"/>
        <v>AE039D</v>
      </c>
      <c r="F185" t="str">
        <f t="shared" si="183"/>
        <v>AE039F</v>
      </c>
      <c r="G185" t="str">
        <f t="shared" si="183"/>
        <v>AE03B1</v>
      </c>
      <c r="H185" t="str">
        <f t="shared" si="183"/>
        <v>AE03B3</v>
      </c>
      <c r="I185" t="str">
        <f t="shared" si="183"/>
        <v>AE03B5</v>
      </c>
      <c r="J185" t="str">
        <f t="shared" si="183"/>
        <v>AE03B7</v>
      </c>
      <c r="K185" t="str">
        <f t="shared" si="183"/>
        <v>AE0391</v>
      </c>
    </row>
    <row r="186">
      <c r="A186" s="14">
        <v>184.0</v>
      </c>
      <c r="B186" t="str">
        <f t="shared" ref="B186:K186" si="184">DEC2HEX(HEX2DEC(B185)+1)</f>
        <v>AE0398</v>
      </c>
      <c r="C186" t="str">
        <f t="shared" si="184"/>
        <v>AE039A</v>
      </c>
      <c r="D186" t="str">
        <f t="shared" si="184"/>
        <v>AE039C</v>
      </c>
      <c r="E186" t="str">
        <f t="shared" si="184"/>
        <v>AE039E</v>
      </c>
      <c r="F186" t="str">
        <f t="shared" si="184"/>
        <v>AE03A0</v>
      </c>
      <c r="G186" t="str">
        <f t="shared" si="184"/>
        <v>AE03B2</v>
      </c>
      <c r="H186" t="str">
        <f t="shared" si="184"/>
        <v>AE03B4</v>
      </c>
      <c r="I186" t="str">
        <f t="shared" si="184"/>
        <v>AE03B6</v>
      </c>
      <c r="J186" t="str">
        <f t="shared" si="184"/>
        <v>AE03B8</v>
      </c>
      <c r="K186" t="str">
        <f t="shared" si="184"/>
        <v>AE0392</v>
      </c>
    </row>
    <row r="187">
      <c r="A187" s="14">
        <v>185.0</v>
      </c>
      <c r="B187" t="str">
        <f t="shared" ref="B187:K187" si="185">DEC2HEX(HEX2DEC(B186)+1)</f>
        <v>AE0399</v>
      </c>
      <c r="C187" t="str">
        <f t="shared" si="185"/>
        <v>AE039B</v>
      </c>
      <c r="D187" t="str">
        <f t="shared" si="185"/>
        <v>AE039D</v>
      </c>
      <c r="E187" t="str">
        <f t="shared" si="185"/>
        <v>AE039F</v>
      </c>
      <c r="F187" t="str">
        <f t="shared" si="185"/>
        <v>AE03A1</v>
      </c>
      <c r="G187" t="str">
        <f t="shared" si="185"/>
        <v>AE03B3</v>
      </c>
      <c r="H187" t="str">
        <f t="shared" si="185"/>
        <v>AE03B5</v>
      </c>
      <c r="I187" t="str">
        <f t="shared" si="185"/>
        <v>AE03B7</v>
      </c>
      <c r="J187" t="str">
        <f t="shared" si="185"/>
        <v>AE03B9</v>
      </c>
      <c r="K187" t="str">
        <f t="shared" si="185"/>
        <v>AE0393</v>
      </c>
    </row>
    <row r="188">
      <c r="A188" s="14">
        <v>186.0</v>
      </c>
      <c r="B188" t="str">
        <f t="shared" ref="B188:K188" si="186">DEC2HEX(HEX2DEC(B187)+1)</f>
        <v>AE039A</v>
      </c>
      <c r="C188" t="str">
        <f t="shared" si="186"/>
        <v>AE039C</v>
      </c>
      <c r="D188" t="str">
        <f t="shared" si="186"/>
        <v>AE039E</v>
      </c>
      <c r="E188" t="str">
        <f t="shared" si="186"/>
        <v>AE03A0</v>
      </c>
      <c r="F188" t="str">
        <f t="shared" si="186"/>
        <v>AE03A2</v>
      </c>
      <c r="G188" t="str">
        <f t="shared" si="186"/>
        <v>AE03B4</v>
      </c>
      <c r="H188" t="str">
        <f t="shared" si="186"/>
        <v>AE03B6</v>
      </c>
      <c r="I188" t="str">
        <f t="shared" si="186"/>
        <v>AE03B8</v>
      </c>
      <c r="J188" t="str">
        <f t="shared" si="186"/>
        <v>AE03BA</v>
      </c>
      <c r="K188" t="str">
        <f t="shared" si="186"/>
        <v>AE0394</v>
      </c>
    </row>
    <row r="189">
      <c r="A189" s="14">
        <v>187.0</v>
      </c>
      <c r="B189" t="str">
        <f t="shared" ref="B189:K189" si="187">DEC2HEX(HEX2DEC(B188)+1)</f>
        <v>AE039B</v>
      </c>
      <c r="C189" t="str">
        <f t="shared" si="187"/>
        <v>AE039D</v>
      </c>
      <c r="D189" t="str">
        <f t="shared" si="187"/>
        <v>AE039F</v>
      </c>
      <c r="E189" t="str">
        <f t="shared" si="187"/>
        <v>AE03A1</v>
      </c>
      <c r="F189" t="str">
        <f t="shared" si="187"/>
        <v>AE03A3</v>
      </c>
      <c r="G189" t="str">
        <f t="shared" si="187"/>
        <v>AE03B5</v>
      </c>
      <c r="H189" t="str">
        <f t="shared" si="187"/>
        <v>AE03B7</v>
      </c>
      <c r="I189" t="str">
        <f t="shared" si="187"/>
        <v>AE03B9</v>
      </c>
      <c r="J189" t="str">
        <f t="shared" si="187"/>
        <v>AE03BB</v>
      </c>
      <c r="K189" t="str">
        <f t="shared" si="187"/>
        <v>AE0395</v>
      </c>
    </row>
    <row r="190">
      <c r="A190" s="14">
        <v>188.0</v>
      </c>
      <c r="B190" t="str">
        <f t="shared" ref="B190:K190" si="188">DEC2HEX(HEX2DEC(B189)+1)</f>
        <v>AE039C</v>
      </c>
      <c r="C190" t="str">
        <f t="shared" si="188"/>
        <v>AE039E</v>
      </c>
      <c r="D190" t="str">
        <f t="shared" si="188"/>
        <v>AE03A0</v>
      </c>
      <c r="E190" t="str">
        <f t="shared" si="188"/>
        <v>AE03A2</v>
      </c>
      <c r="F190" t="str">
        <f t="shared" si="188"/>
        <v>AE03A4</v>
      </c>
      <c r="G190" t="str">
        <f t="shared" si="188"/>
        <v>AE03B6</v>
      </c>
      <c r="H190" t="str">
        <f t="shared" si="188"/>
        <v>AE03B8</v>
      </c>
      <c r="I190" t="str">
        <f t="shared" si="188"/>
        <v>AE03BA</v>
      </c>
      <c r="J190" t="str">
        <f t="shared" si="188"/>
        <v>AE03BC</v>
      </c>
      <c r="K190" t="str">
        <f t="shared" si="188"/>
        <v>AE0396</v>
      </c>
    </row>
    <row r="191">
      <c r="A191" s="14">
        <v>189.0</v>
      </c>
      <c r="B191" t="str">
        <f t="shared" ref="B191:K191" si="189">DEC2HEX(HEX2DEC(B190)+1)</f>
        <v>AE039D</v>
      </c>
      <c r="C191" t="str">
        <f t="shared" si="189"/>
        <v>AE039F</v>
      </c>
      <c r="D191" t="str">
        <f t="shared" si="189"/>
        <v>AE03A1</v>
      </c>
      <c r="E191" t="str">
        <f t="shared" si="189"/>
        <v>AE03A3</v>
      </c>
      <c r="F191" t="str">
        <f t="shared" si="189"/>
        <v>AE03A5</v>
      </c>
      <c r="G191" t="str">
        <f t="shared" si="189"/>
        <v>AE03B7</v>
      </c>
      <c r="H191" t="str">
        <f t="shared" si="189"/>
        <v>AE03B9</v>
      </c>
      <c r="I191" t="str">
        <f t="shared" si="189"/>
        <v>AE03BB</v>
      </c>
      <c r="J191" t="str">
        <f t="shared" si="189"/>
        <v>AE03BD</v>
      </c>
      <c r="K191" t="str">
        <f t="shared" si="189"/>
        <v>AE0397</v>
      </c>
    </row>
    <row r="192">
      <c r="A192" s="14">
        <v>190.0</v>
      </c>
      <c r="B192" t="str">
        <f t="shared" ref="B192:K192" si="190">DEC2HEX(HEX2DEC(B191)+1)</f>
        <v>AE039E</v>
      </c>
      <c r="C192" t="str">
        <f t="shared" si="190"/>
        <v>AE03A0</v>
      </c>
      <c r="D192" t="str">
        <f t="shared" si="190"/>
        <v>AE03A2</v>
      </c>
      <c r="E192" t="str">
        <f t="shared" si="190"/>
        <v>AE03A4</v>
      </c>
      <c r="F192" t="str">
        <f t="shared" si="190"/>
        <v>AE03A6</v>
      </c>
      <c r="G192" t="str">
        <f t="shared" si="190"/>
        <v>AE03B8</v>
      </c>
      <c r="H192" t="str">
        <f t="shared" si="190"/>
        <v>AE03BA</v>
      </c>
      <c r="I192" t="str">
        <f t="shared" si="190"/>
        <v>AE03BC</v>
      </c>
      <c r="J192" t="str">
        <f t="shared" si="190"/>
        <v>AE03BE</v>
      </c>
      <c r="K192" t="str">
        <f t="shared" si="190"/>
        <v>AE0398</v>
      </c>
    </row>
    <row r="193">
      <c r="A193" s="14">
        <v>191.0</v>
      </c>
      <c r="B193" t="str">
        <f t="shared" ref="B193:K193" si="191">DEC2HEX(HEX2DEC(B192)+1)</f>
        <v>AE039F</v>
      </c>
      <c r="C193" t="str">
        <f t="shared" si="191"/>
        <v>AE03A1</v>
      </c>
      <c r="D193" t="str">
        <f t="shared" si="191"/>
        <v>AE03A3</v>
      </c>
      <c r="E193" t="str">
        <f t="shared" si="191"/>
        <v>AE03A5</v>
      </c>
      <c r="F193" t="str">
        <f t="shared" si="191"/>
        <v>AE03A7</v>
      </c>
      <c r="G193" t="str">
        <f t="shared" si="191"/>
        <v>AE03B9</v>
      </c>
      <c r="H193" t="str">
        <f t="shared" si="191"/>
        <v>AE03BB</v>
      </c>
      <c r="I193" t="str">
        <f t="shared" si="191"/>
        <v>AE03BD</v>
      </c>
      <c r="J193" t="str">
        <f t="shared" si="191"/>
        <v>AE03BF</v>
      </c>
      <c r="K193" t="str">
        <f t="shared" si="191"/>
        <v>AE0399</v>
      </c>
    </row>
    <row r="194">
      <c r="A194" s="14">
        <v>192.0</v>
      </c>
      <c r="B194" t="str">
        <f t="shared" ref="B194:K194" si="192">DEC2HEX(HEX2DEC(B193)+1)</f>
        <v>AE03A0</v>
      </c>
      <c r="C194" t="str">
        <f t="shared" si="192"/>
        <v>AE03A2</v>
      </c>
      <c r="D194" t="str">
        <f t="shared" si="192"/>
        <v>AE03A4</v>
      </c>
      <c r="E194" t="str">
        <f t="shared" si="192"/>
        <v>AE03A6</v>
      </c>
      <c r="F194" t="str">
        <f t="shared" si="192"/>
        <v>AE03A8</v>
      </c>
      <c r="G194" t="str">
        <f t="shared" si="192"/>
        <v>AE03BA</v>
      </c>
      <c r="H194" t="str">
        <f t="shared" si="192"/>
        <v>AE03BC</v>
      </c>
      <c r="I194" t="str">
        <f t="shared" si="192"/>
        <v>AE03BE</v>
      </c>
      <c r="J194" t="str">
        <f t="shared" si="192"/>
        <v>AE03C0</v>
      </c>
      <c r="K194" t="str">
        <f t="shared" si="192"/>
        <v>AE039A</v>
      </c>
    </row>
    <row r="195">
      <c r="A195" s="14">
        <v>193.0</v>
      </c>
      <c r="B195" t="str">
        <f t="shared" ref="B195:K195" si="193">DEC2HEX(HEX2DEC(B194)+1)</f>
        <v>AE03A1</v>
      </c>
      <c r="C195" t="str">
        <f t="shared" si="193"/>
        <v>AE03A3</v>
      </c>
      <c r="D195" t="str">
        <f t="shared" si="193"/>
        <v>AE03A5</v>
      </c>
      <c r="E195" t="str">
        <f t="shared" si="193"/>
        <v>AE03A7</v>
      </c>
      <c r="F195" t="str">
        <f t="shared" si="193"/>
        <v>AE03A9</v>
      </c>
      <c r="G195" t="str">
        <f t="shared" si="193"/>
        <v>AE03BB</v>
      </c>
      <c r="H195" t="str">
        <f t="shared" si="193"/>
        <v>AE03BD</v>
      </c>
      <c r="I195" t="str">
        <f t="shared" si="193"/>
        <v>AE03BF</v>
      </c>
      <c r="J195" t="str">
        <f t="shared" si="193"/>
        <v>AE03C1</v>
      </c>
      <c r="K195" t="str">
        <f t="shared" si="193"/>
        <v>AE039B</v>
      </c>
    </row>
    <row r="196">
      <c r="A196" s="14">
        <v>194.0</v>
      </c>
      <c r="B196" t="str">
        <f t="shared" ref="B196:K196" si="194">DEC2HEX(HEX2DEC(B195)+1)</f>
        <v>AE03A2</v>
      </c>
      <c r="C196" t="str">
        <f t="shared" si="194"/>
        <v>AE03A4</v>
      </c>
      <c r="D196" t="str">
        <f t="shared" si="194"/>
        <v>AE03A6</v>
      </c>
      <c r="E196" t="str">
        <f t="shared" si="194"/>
        <v>AE03A8</v>
      </c>
      <c r="F196" t="str">
        <f t="shared" si="194"/>
        <v>AE03AA</v>
      </c>
      <c r="G196" t="str">
        <f t="shared" si="194"/>
        <v>AE03BC</v>
      </c>
      <c r="H196" t="str">
        <f t="shared" si="194"/>
        <v>AE03BE</v>
      </c>
      <c r="I196" t="str">
        <f t="shared" si="194"/>
        <v>AE03C0</v>
      </c>
      <c r="J196" t="str">
        <f t="shared" si="194"/>
        <v>AE03C2</v>
      </c>
      <c r="K196" t="str">
        <f t="shared" si="194"/>
        <v>AE039C</v>
      </c>
    </row>
    <row r="197">
      <c r="A197" s="14">
        <v>195.0</v>
      </c>
      <c r="B197" t="str">
        <f t="shared" ref="B197:K197" si="195">DEC2HEX(HEX2DEC(B196)+1)</f>
        <v>AE03A3</v>
      </c>
      <c r="C197" t="str">
        <f t="shared" si="195"/>
        <v>AE03A5</v>
      </c>
      <c r="D197" t="str">
        <f t="shared" si="195"/>
        <v>AE03A7</v>
      </c>
      <c r="E197" t="str">
        <f t="shared" si="195"/>
        <v>AE03A9</v>
      </c>
      <c r="F197" t="str">
        <f t="shared" si="195"/>
        <v>AE03AB</v>
      </c>
      <c r="G197" t="str">
        <f t="shared" si="195"/>
        <v>AE03BD</v>
      </c>
      <c r="H197" t="str">
        <f t="shared" si="195"/>
        <v>AE03BF</v>
      </c>
      <c r="I197" t="str">
        <f t="shared" si="195"/>
        <v>AE03C1</v>
      </c>
      <c r="J197" t="str">
        <f t="shared" si="195"/>
        <v>AE03C3</v>
      </c>
      <c r="K197" t="str">
        <f t="shared" si="195"/>
        <v>AE039D</v>
      </c>
    </row>
    <row r="198">
      <c r="A198" s="14">
        <v>196.0</v>
      </c>
      <c r="B198" t="str">
        <f t="shared" ref="B198:K198" si="196">DEC2HEX(HEX2DEC(B197)+1)</f>
        <v>AE03A4</v>
      </c>
      <c r="C198" t="str">
        <f t="shared" si="196"/>
        <v>AE03A6</v>
      </c>
      <c r="D198" t="str">
        <f t="shared" si="196"/>
        <v>AE03A8</v>
      </c>
      <c r="E198" t="str">
        <f t="shared" si="196"/>
        <v>AE03AA</v>
      </c>
      <c r="F198" t="str">
        <f t="shared" si="196"/>
        <v>AE03AC</v>
      </c>
      <c r="G198" t="str">
        <f t="shared" si="196"/>
        <v>AE03BE</v>
      </c>
      <c r="H198" t="str">
        <f t="shared" si="196"/>
        <v>AE03C0</v>
      </c>
      <c r="I198" t="str">
        <f t="shared" si="196"/>
        <v>AE03C2</v>
      </c>
      <c r="J198" t="str">
        <f t="shared" si="196"/>
        <v>AE03C4</v>
      </c>
      <c r="K198" t="str">
        <f t="shared" si="196"/>
        <v>AE039E</v>
      </c>
    </row>
    <row r="199">
      <c r="A199" s="14">
        <v>197.0</v>
      </c>
      <c r="B199" t="str">
        <f t="shared" ref="B199:K199" si="197">DEC2HEX(HEX2DEC(B198)+1)</f>
        <v>AE03A5</v>
      </c>
      <c r="C199" t="str">
        <f t="shared" si="197"/>
        <v>AE03A7</v>
      </c>
      <c r="D199" t="str">
        <f t="shared" si="197"/>
        <v>AE03A9</v>
      </c>
      <c r="E199" t="str">
        <f t="shared" si="197"/>
        <v>AE03AB</v>
      </c>
      <c r="F199" t="str">
        <f t="shared" si="197"/>
        <v>AE03AD</v>
      </c>
      <c r="G199" t="str">
        <f t="shared" si="197"/>
        <v>AE03BF</v>
      </c>
      <c r="H199" t="str">
        <f t="shared" si="197"/>
        <v>AE03C1</v>
      </c>
      <c r="I199" t="str">
        <f t="shared" si="197"/>
        <v>AE03C3</v>
      </c>
      <c r="J199" t="str">
        <f t="shared" si="197"/>
        <v>AE03C5</v>
      </c>
      <c r="K199" t="str">
        <f t="shared" si="197"/>
        <v>AE039F</v>
      </c>
    </row>
    <row r="200">
      <c r="A200" s="14">
        <v>198.0</v>
      </c>
      <c r="B200" t="str">
        <f t="shared" ref="B200:K200" si="198">DEC2HEX(HEX2DEC(B199)+1)</f>
        <v>AE03A6</v>
      </c>
      <c r="C200" t="str">
        <f t="shared" si="198"/>
        <v>AE03A8</v>
      </c>
      <c r="D200" t="str">
        <f t="shared" si="198"/>
        <v>AE03AA</v>
      </c>
      <c r="E200" t="str">
        <f t="shared" si="198"/>
        <v>AE03AC</v>
      </c>
      <c r="F200" t="str">
        <f t="shared" si="198"/>
        <v>AE03AE</v>
      </c>
      <c r="G200" t="str">
        <f t="shared" si="198"/>
        <v>AE03C0</v>
      </c>
      <c r="H200" t="str">
        <f t="shared" si="198"/>
        <v>AE03C2</v>
      </c>
      <c r="I200" t="str">
        <f t="shared" si="198"/>
        <v>AE03C4</v>
      </c>
      <c r="J200" t="str">
        <f t="shared" si="198"/>
        <v>AE03C6</v>
      </c>
      <c r="K200" t="str">
        <f t="shared" si="198"/>
        <v>AE03A0</v>
      </c>
    </row>
    <row r="201">
      <c r="A201" s="14">
        <v>199.0</v>
      </c>
      <c r="B201" t="str">
        <f t="shared" ref="B201:K201" si="199">DEC2HEX(HEX2DEC(B200)+1)</f>
        <v>AE03A7</v>
      </c>
      <c r="C201" t="str">
        <f t="shared" si="199"/>
        <v>AE03A9</v>
      </c>
      <c r="D201" t="str">
        <f t="shared" si="199"/>
        <v>AE03AB</v>
      </c>
      <c r="E201" t="str">
        <f t="shared" si="199"/>
        <v>AE03AD</v>
      </c>
      <c r="F201" t="str">
        <f t="shared" si="199"/>
        <v>AE03AF</v>
      </c>
      <c r="G201" t="str">
        <f t="shared" si="199"/>
        <v>AE03C1</v>
      </c>
      <c r="H201" t="str">
        <f t="shared" si="199"/>
        <v>AE03C3</v>
      </c>
      <c r="I201" t="str">
        <f t="shared" si="199"/>
        <v>AE03C5</v>
      </c>
      <c r="J201" t="str">
        <f t="shared" si="199"/>
        <v>AE03C7</v>
      </c>
      <c r="K201" t="str">
        <f t="shared" si="199"/>
        <v>AE03A1</v>
      </c>
    </row>
    <row r="202">
      <c r="A202" s="14">
        <v>200.0</v>
      </c>
      <c r="B202" t="str">
        <f t="shared" ref="B202:K202" si="200">DEC2HEX(HEX2DEC(B201)+1)</f>
        <v>AE03A8</v>
      </c>
      <c r="C202" t="str">
        <f t="shared" si="200"/>
        <v>AE03AA</v>
      </c>
      <c r="D202" t="str">
        <f t="shared" si="200"/>
        <v>AE03AC</v>
      </c>
      <c r="E202" t="str">
        <f t="shared" si="200"/>
        <v>AE03AE</v>
      </c>
      <c r="F202" t="str">
        <f t="shared" si="200"/>
        <v>AE03B0</v>
      </c>
      <c r="G202" t="str">
        <f t="shared" si="200"/>
        <v>AE03C2</v>
      </c>
      <c r="H202" t="str">
        <f t="shared" si="200"/>
        <v>AE03C4</v>
      </c>
      <c r="I202" t="str">
        <f t="shared" si="200"/>
        <v>AE03C6</v>
      </c>
      <c r="J202" t="str">
        <f t="shared" si="200"/>
        <v>AE03C8</v>
      </c>
      <c r="K202" t="str">
        <f t="shared" si="200"/>
        <v>AE03A2</v>
      </c>
    </row>
    <row r="203">
      <c r="A203" s="14">
        <v>201.0</v>
      </c>
      <c r="B203" t="str">
        <f t="shared" ref="B203:K203" si="201">DEC2HEX(HEX2DEC(B202)+1)</f>
        <v>AE03A9</v>
      </c>
      <c r="C203" t="str">
        <f t="shared" si="201"/>
        <v>AE03AB</v>
      </c>
      <c r="D203" t="str">
        <f t="shared" si="201"/>
        <v>AE03AD</v>
      </c>
      <c r="E203" t="str">
        <f t="shared" si="201"/>
        <v>AE03AF</v>
      </c>
      <c r="F203" t="str">
        <f t="shared" si="201"/>
        <v>AE03B1</v>
      </c>
      <c r="G203" t="str">
        <f t="shared" si="201"/>
        <v>AE03C3</v>
      </c>
      <c r="H203" t="str">
        <f t="shared" si="201"/>
        <v>AE03C5</v>
      </c>
      <c r="I203" t="str">
        <f t="shared" si="201"/>
        <v>AE03C7</v>
      </c>
      <c r="J203" t="str">
        <f t="shared" si="201"/>
        <v>AE03C9</v>
      </c>
      <c r="K203" t="str">
        <f t="shared" si="201"/>
        <v>AE03A3</v>
      </c>
    </row>
    <row r="204">
      <c r="A204" s="14">
        <v>202.0</v>
      </c>
      <c r="B204" t="str">
        <f t="shared" ref="B204:K204" si="202">DEC2HEX(HEX2DEC(B203)+1)</f>
        <v>AE03AA</v>
      </c>
      <c r="C204" t="str">
        <f t="shared" si="202"/>
        <v>AE03AC</v>
      </c>
      <c r="D204" t="str">
        <f t="shared" si="202"/>
        <v>AE03AE</v>
      </c>
      <c r="E204" t="str">
        <f t="shared" si="202"/>
        <v>AE03B0</v>
      </c>
      <c r="F204" t="str">
        <f t="shared" si="202"/>
        <v>AE03B2</v>
      </c>
      <c r="G204" t="str">
        <f t="shared" si="202"/>
        <v>AE03C4</v>
      </c>
      <c r="H204" t="str">
        <f t="shared" si="202"/>
        <v>AE03C6</v>
      </c>
      <c r="I204" t="str">
        <f t="shared" si="202"/>
        <v>AE03C8</v>
      </c>
      <c r="J204" t="str">
        <f t="shared" si="202"/>
        <v>AE03CA</v>
      </c>
      <c r="K204" t="str">
        <f t="shared" si="202"/>
        <v>AE03A4</v>
      </c>
    </row>
    <row r="205">
      <c r="A205" s="14">
        <v>203.0</v>
      </c>
      <c r="B205" t="str">
        <f t="shared" ref="B205:K205" si="203">DEC2HEX(HEX2DEC(B204)+1)</f>
        <v>AE03AB</v>
      </c>
      <c r="C205" t="str">
        <f t="shared" si="203"/>
        <v>AE03AD</v>
      </c>
      <c r="D205" t="str">
        <f t="shared" si="203"/>
        <v>AE03AF</v>
      </c>
      <c r="E205" t="str">
        <f t="shared" si="203"/>
        <v>AE03B1</v>
      </c>
      <c r="F205" t="str">
        <f t="shared" si="203"/>
        <v>AE03B3</v>
      </c>
      <c r="G205" t="str">
        <f t="shared" si="203"/>
        <v>AE03C5</v>
      </c>
      <c r="H205" t="str">
        <f t="shared" si="203"/>
        <v>AE03C7</v>
      </c>
      <c r="I205" t="str">
        <f t="shared" si="203"/>
        <v>AE03C9</v>
      </c>
      <c r="J205" t="str">
        <f t="shared" si="203"/>
        <v>AE03CB</v>
      </c>
      <c r="K205" t="str">
        <f t="shared" si="203"/>
        <v>AE03A5</v>
      </c>
    </row>
    <row r="206">
      <c r="A206" s="14">
        <v>204.0</v>
      </c>
      <c r="B206" t="str">
        <f t="shared" ref="B206:K206" si="204">DEC2HEX(HEX2DEC(B205)+1)</f>
        <v>AE03AC</v>
      </c>
      <c r="C206" t="str">
        <f t="shared" si="204"/>
        <v>AE03AE</v>
      </c>
      <c r="D206" t="str">
        <f t="shared" si="204"/>
        <v>AE03B0</v>
      </c>
      <c r="E206" t="str">
        <f t="shared" si="204"/>
        <v>AE03B2</v>
      </c>
      <c r="F206" t="str">
        <f t="shared" si="204"/>
        <v>AE03B4</v>
      </c>
      <c r="G206" t="str">
        <f t="shared" si="204"/>
        <v>AE03C6</v>
      </c>
      <c r="H206" t="str">
        <f t="shared" si="204"/>
        <v>AE03C8</v>
      </c>
      <c r="I206" t="str">
        <f t="shared" si="204"/>
        <v>AE03CA</v>
      </c>
      <c r="J206" t="str">
        <f t="shared" si="204"/>
        <v>AE03CC</v>
      </c>
      <c r="K206" t="str">
        <f t="shared" si="204"/>
        <v>AE03A6</v>
      </c>
    </row>
    <row r="207">
      <c r="A207" s="14">
        <v>205.0</v>
      </c>
      <c r="B207" t="str">
        <f t="shared" ref="B207:K207" si="205">DEC2HEX(HEX2DEC(B206)+1)</f>
        <v>AE03AD</v>
      </c>
      <c r="C207" t="str">
        <f t="shared" si="205"/>
        <v>AE03AF</v>
      </c>
      <c r="D207" t="str">
        <f t="shared" si="205"/>
        <v>AE03B1</v>
      </c>
      <c r="E207" t="str">
        <f t="shared" si="205"/>
        <v>AE03B3</v>
      </c>
      <c r="F207" t="str">
        <f t="shared" si="205"/>
        <v>AE03B5</v>
      </c>
      <c r="G207" t="str">
        <f t="shared" si="205"/>
        <v>AE03C7</v>
      </c>
      <c r="H207" t="str">
        <f t="shared" si="205"/>
        <v>AE03C9</v>
      </c>
      <c r="I207" t="str">
        <f t="shared" si="205"/>
        <v>AE03CB</v>
      </c>
      <c r="J207" t="str">
        <f t="shared" si="205"/>
        <v>AE03CD</v>
      </c>
      <c r="K207" t="str">
        <f t="shared" si="205"/>
        <v>AE03A7</v>
      </c>
    </row>
    <row r="208">
      <c r="A208" s="14">
        <v>206.0</v>
      </c>
      <c r="B208" t="str">
        <f t="shared" ref="B208:K208" si="206">DEC2HEX(HEX2DEC(B207)+1)</f>
        <v>AE03AE</v>
      </c>
      <c r="C208" t="str">
        <f t="shared" si="206"/>
        <v>AE03B0</v>
      </c>
      <c r="D208" t="str">
        <f t="shared" si="206"/>
        <v>AE03B2</v>
      </c>
      <c r="E208" t="str">
        <f t="shared" si="206"/>
        <v>AE03B4</v>
      </c>
      <c r="F208" t="str">
        <f t="shared" si="206"/>
        <v>AE03B6</v>
      </c>
      <c r="G208" t="str">
        <f t="shared" si="206"/>
        <v>AE03C8</v>
      </c>
      <c r="H208" t="str">
        <f t="shared" si="206"/>
        <v>AE03CA</v>
      </c>
      <c r="I208" t="str">
        <f t="shared" si="206"/>
        <v>AE03CC</v>
      </c>
      <c r="J208" t="str">
        <f t="shared" si="206"/>
        <v>AE03CE</v>
      </c>
      <c r="K208" t="str">
        <f t="shared" si="206"/>
        <v>AE03A8</v>
      </c>
    </row>
    <row r="209">
      <c r="A209" s="14">
        <v>207.0</v>
      </c>
      <c r="B209" t="str">
        <f t="shared" ref="B209:K209" si="207">DEC2HEX(HEX2DEC(B208)+1)</f>
        <v>AE03AF</v>
      </c>
      <c r="C209" t="str">
        <f t="shared" si="207"/>
        <v>AE03B1</v>
      </c>
      <c r="D209" t="str">
        <f t="shared" si="207"/>
        <v>AE03B3</v>
      </c>
      <c r="E209" t="str">
        <f t="shared" si="207"/>
        <v>AE03B5</v>
      </c>
      <c r="F209" t="str">
        <f t="shared" si="207"/>
        <v>AE03B7</v>
      </c>
      <c r="G209" t="str">
        <f t="shared" si="207"/>
        <v>AE03C9</v>
      </c>
      <c r="H209" t="str">
        <f t="shared" si="207"/>
        <v>AE03CB</v>
      </c>
      <c r="I209" t="str">
        <f t="shared" si="207"/>
        <v>AE03CD</v>
      </c>
      <c r="J209" t="str">
        <f t="shared" si="207"/>
        <v>AE03CF</v>
      </c>
      <c r="K209" t="str">
        <f t="shared" si="207"/>
        <v>AE03A9</v>
      </c>
    </row>
    <row r="210">
      <c r="A210" s="14">
        <v>208.0</v>
      </c>
      <c r="B210" t="str">
        <f t="shared" ref="B210:K210" si="208">DEC2HEX(HEX2DEC(B209)+1)</f>
        <v>AE03B0</v>
      </c>
      <c r="C210" t="str">
        <f t="shared" si="208"/>
        <v>AE03B2</v>
      </c>
      <c r="D210" t="str">
        <f t="shared" si="208"/>
        <v>AE03B4</v>
      </c>
      <c r="E210" t="str">
        <f t="shared" si="208"/>
        <v>AE03B6</v>
      </c>
      <c r="F210" t="str">
        <f t="shared" si="208"/>
        <v>AE03B8</v>
      </c>
      <c r="G210" t="str">
        <f t="shared" si="208"/>
        <v>AE03CA</v>
      </c>
      <c r="H210" t="str">
        <f t="shared" si="208"/>
        <v>AE03CC</v>
      </c>
      <c r="I210" t="str">
        <f t="shared" si="208"/>
        <v>AE03CE</v>
      </c>
      <c r="J210" t="str">
        <f t="shared" si="208"/>
        <v>AE03D0</v>
      </c>
      <c r="K210" t="str">
        <f t="shared" si="208"/>
        <v>AE03AA</v>
      </c>
    </row>
    <row r="211">
      <c r="A211" s="14">
        <v>209.0</v>
      </c>
      <c r="B211" t="str">
        <f t="shared" ref="B211:K211" si="209">DEC2HEX(HEX2DEC(B210)+1)</f>
        <v>AE03B1</v>
      </c>
      <c r="C211" t="str">
        <f t="shared" si="209"/>
        <v>AE03B3</v>
      </c>
      <c r="D211" t="str">
        <f t="shared" si="209"/>
        <v>AE03B5</v>
      </c>
      <c r="E211" t="str">
        <f t="shared" si="209"/>
        <v>AE03B7</v>
      </c>
      <c r="F211" t="str">
        <f t="shared" si="209"/>
        <v>AE03B9</v>
      </c>
      <c r="G211" t="str">
        <f t="shared" si="209"/>
        <v>AE03CB</v>
      </c>
      <c r="H211" t="str">
        <f t="shared" si="209"/>
        <v>AE03CD</v>
      </c>
      <c r="I211" t="str">
        <f t="shared" si="209"/>
        <v>AE03CF</v>
      </c>
      <c r="J211" t="str">
        <f t="shared" si="209"/>
        <v>AE03D1</v>
      </c>
      <c r="K211" t="str">
        <f t="shared" si="209"/>
        <v>AE03AB</v>
      </c>
    </row>
    <row r="212">
      <c r="A212" s="14">
        <v>210.0</v>
      </c>
      <c r="B212" t="str">
        <f t="shared" ref="B212:K212" si="210">DEC2HEX(HEX2DEC(B211)+1)</f>
        <v>AE03B2</v>
      </c>
      <c r="C212" t="str">
        <f t="shared" si="210"/>
        <v>AE03B4</v>
      </c>
      <c r="D212" t="str">
        <f t="shared" si="210"/>
        <v>AE03B6</v>
      </c>
      <c r="E212" t="str">
        <f t="shared" si="210"/>
        <v>AE03B8</v>
      </c>
      <c r="F212" t="str">
        <f t="shared" si="210"/>
        <v>AE03BA</v>
      </c>
      <c r="G212" t="str">
        <f t="shared" si="210"/>
        <v>AE03CC</v>
      </c>
      <c r="H212" t="str">
        <f t="shared" si="210"/>
        <v>AE03CE</v>
      </c>
      <c r="I212" t="str">
        <f t="shared" si="210"/>
        <v>AE03D0</v>
      </c>
      <c r="J212" t="str">
        <f t="shared" si="210"/>
        <v>AE03D2</v>
      </c>
      <c r="K212" t="str">
        <f t="shared" si="210"/>
        <v>AE03AC</v>
      </c>
    </row>
    <row r="213">
      <c r="A213" s="14">
        <v>211.0</v>
      </c>
      <c r="B213" t="str">
        <f t="shared" ref="B213:K213" si="211">DEC2HEX(HEX2DEC(B212)+1)</f>
        <v>AE03B3</v>
      </c>
      <c r="C213" t="str">
        <f t="shared" si="211"/>
        <v>AE03B5</v>
      </c>
      <c r="D213" t="str">
        <f t="shared" si="211"/>
        <v>AE03B7</v>
      </c>
      <c r="E213" t="str">
        <f t="shared" si="211"/>
        <v>AE03B9</v>
      </c>
      <c r="F213" t="str">
        <f t="shared" si="211"/>
        <v>AE03BB</v>
      </c>
      <c r="G213" t="str">
        <f t="shared" si="211"/>
        <v>AE03CD</v>
      </c>
      <c r="H213" t="str">
        <f t="shared" si="211"/>
        <v>AE03CF</v>
      </c>
      <c r="I213" t="str">
        <f t="shared" si="211"/>
        <v>AE03D1</v>
      </c>
      <c r="J213" t="str">
        <f t="shared" si="211"/>
        <v>AE03D3</v>
      </c>
      <c r="K213" t="str">
        <f t="shared" si="211"/>
        <v>AE03AD</v>
      </c>
    </row>
    <row r="214">
      <c r="A214" s="14">
        <v>212.0</v>
      </c>
      <c r="B214" t="str">
        <f t="shared" ref="B214:K214" si="212">DEC2HEX(HEX2DEC(B213)+1)</f>
        <v>AE03B4</v>
      </c>
      <c r="C214" t="str">
        <f t="shared" si="212"/>
        <v>AE03B6</v>
      </c>
      <c r="D214" t="str">
        <f t="shared" si="212"/>
        <v>AE03B8</v>
      </c>
      <c r="E214" t="str">
        <f t="shared" si="212"/>
        <v>AE03BA</v>
      </c>
      <c r="F214" t="str">
        <f t="shared" si="212"/>
        <v>AE03BC</v>
      </c>
      <c r="G214" t="str">
        <f t="shared" si="212"/>
        <v>AE03CE</v>
      </c>
      <c r="H214" t="str">
        <f t="shared" si="212"/>
        <v>AE03D0</v>
      </c>
      <c r="I214" t="str">
        <f t="shared" si="212"/>
        <v>AE03D2</v>
      </c>
      <c r="J214" t="str">
        <f t="shared" si="212"/>
        <v>AE03D4</v>
      </c>
      <c r="K214" t="str">
        <f t="shared" si="212"/>
        <v>AE03AE</v>
      </c>
    </row>
    <row r="215">
      <c r="A215" s="14">
        <v>213.0</v>
      </c>
      <c r="B215" t="str">
        <f t="shared" ref="B215:K215" si="213">DEC2HEX(HEX2DEC(B214)+1)</f>
        <v>AE03B5</v>
      </c>
      <c r="C215" t="str">
        <f t="shared" si="213"/>
        <v>AE03B7</v>
      </c>
      <c r="D215" t="str">
        <f t="shared" si="213"/>
        <v>AE03B9</v>
      </c>
      <c r="E215" t="str">
        <f t="shared" si="213"/>
        <v>AE03BB</v>
      </c>
      <c r="F215" t="str">
        <f t="shared" si="213"/>
        <v>AE03BD</v>
      </c>
      <c r="G215" t="str">
        <f t="shared" si="213"/>
        <v>AE03CF</v>
      </c>
      <c r="H215" t="str">
        <f t="shared" si="213"/>
        <v>AE03D1</v>
      </c>
      <c r="I215" t="str">
        <f t="shared" si="213"/>
        <v>AE03D3</v>
      </c>
      <c r="J215" t="str">
        <f t="shared" si="213"/>
        <v>AE03D5</v>
      </c>
      <c r="K215" t="str">
        <f t="shared" si="213"/>
        <v>AE03AF</v>
      </c>
    </row>
    <row r="216">
      <c r="A216" s="14">
        <v>214.0</v>
      </c>
      <c r="B216" t="str">
        <f t="shared" ref="B216:K216" si="214">DEC2HEX(HEX2DEC(B215)+1)</f>
        <v>AE03B6</v>
      </c>
      <c r="C216" t="str">
        <f t="shared" si="214"/>
        <v>AE03B8</v>
      </c>
      <c r="D216" t="str">
        <f t="shared" si="214"/>
        <v>AE03BA</v>
      </c>
      <c r="E216" t="str">
        <f t="shared" si="214"/>
        <v>AE03BC</v>
      </c>
      <c r="F216" t="str">
        <f t="shared" si="214"/>
        <v>AE03BE</v>
      </c>
      <c r="G216" t="str">
        <f t="shared" si="214"/>
        <v>AE03D0</v>
      </c>
      <c r="H216" t="str">
        <f t="shared" si="214"/>
        <v>AE03D2</v>
      </c>
      <c r="I216" t="str">
        <f t="shared" si="214"/>
        <v>AE03D4</v>
      </c>
      <c r="J216" t="str">
        <f t="shared" si="214"/>
        <v>AE03D6</v>
      </c>
      <c r="K216" t="str">
        <f t="shared" si="214"/>
        <v>AE03B0</v>
      </c>
    </row>
    <row r="217">
      <c r="A217" s="14">
        <v>215.0</v>
      </c>
      <c r="B217" t="str">
        <f t="shared" ref="B217:K217" si="215">DEC2HEX(HEX2DEC(B216)+1)</f>
        <v>AE03B7</v>
      </c>
      <c r="C217" t="str">
        <f t="shared" si="215"/>
        <v>AE03B9</v>
      </c>
      <c r="D217" t="str">
        <f t="shared" si="215"/>
        <v>AE03BB</v>
      </c>
      <c r="E217" t="str">
        <f t="shared" si="215"/>
        <v>AE03BD</v>
      </c>
      <c r="F217" t="str">
        <f t="shared" si="215"/>
        <v>AE03BF</v>
      </c>
      <c r="G217" t="str">
        <f t="shared" si="215"/>
        <v>AE03D1</v>
      </c>
      <c r="H217" t="str">
        <f t="shared" si="215"/>
        <v>AE03D3</v>
      </c>
      <c r="I217" t="str">
        <f t="shared" si="215"/>
        <v>AE03D5</v>
      </c>
      <c r="J217" t="str">
        <f t="shared" si="215"/>
        <v>AE03D7</v>
      </c>
      <c r="K217" t="str">
        <f t="shared" si="215"/>
        <v>AE03B1</v>
      </c>
    </row>
    <row r="218">
      <c r="A218" s="14">
        <v>216.0</v>
      </c>
      <c r="B218" t="str">
        <f t="shared" ref="B218:K218" si="216">DEC2HEX(HEX2DEC(B217)+1)</f>
        <v>AE03B8</v>
      </c>
      <c r="C218" t="str">
        <f t="shared" si="216"/>
        <v>AE03BA</v>
      </c>
      <c r="D218" t="str">
        <f t="shared" si="216"/>
        <v>AE03BC</v>
      </c>
      <c r="E218" t="str">
        <f t="shared" si="216"/>
        <v>AE03BE</v>
      </c>
      <c r="F218" t="str">
        <f t="shared" si="216"/>
        <v>AE03C0</v>
      </c>
      <c r="G218" t="str">
        <f t="shared" si="216"/>
        <v>AE03D2</v>
      </c>
      <c r="H218" t="str">
        <f t="shared" si="216"/>
        <v>AE03D4</v>
      </c>
      <c r="I218" t="str">
        <f t="shared" si="216"/>
        <v>AE03D6</v>
      </c>
      <c r="J218" t="str">
        <f t="shared" si="216"/>
        <v>AE03D8</v>
      </c>
      <c r="K218" t="str">
        <f t="shared" si="216"/>
        <v>AE03B2</v>
      </c>
    </row>
    <row r="219">
      <c r="A219" s="14">
        <v>217.0</v>
      </c>
      <c r="B219" t="str">
        <f t="shared" ref="B219:K219" si="217">DEC2HEX(HEX2DEC(B218)+1)</f>
        <v>AE03B9</v>
      </c>
      <c r="C219" t="str">
        <f t="shared" si="217"/>
        <v>AE03BB</v>
      </c>
      <c r="D219" t="str">
        <f t="shared" si="217"/>
        <v>AE03BD</v>
      </c>
      <c r="E219" t="str">
        <f t="shared" si="217"/>
        <v>AE03BF</v>
      </c>
      <c r="F219" t="str">
        <f t="shared" si="217"/>
        <v>AE03C1</v>
      </c>
      <c r="G219" t="str">
        <f t="shared" si="217"/>
        <v>AE03D3</v>
      </c>
      <c r="H219" t="str">
        <f t="shared" si="217"/>
        <v>AE03D5</v>
      </c>
      <c r="I219" t="str">
        <f t="shared" si="217"/>
        <v>AE03D7</v>
      </c>
      <c r="J219" t="str">
        <f t="shared" si="217"/>
        <v>AE03D9</v>
      </c>
      <c r="K219" t="str">
        <f t="shared" si="217"/>
        <v>AE03B3</v>
      </c>
    </row>
    <row r="220">
      <c r="A220" s="14">
        <v>218.0</v>
      </c>
      <c r="B220" t="str">
        <f t="shared" ref="B220:K220" si="218">DEC2HEX(HEX2DEC(B219)+1)</f>
        <v>AE03BA</v>
      </c>
      <c r="C220" t="str">
        <f t="shared" si="218"/>
        <v>AE03BC</v>
      </c>
      <c r="D220" t="str">
        <f t="shared" si="218"/>
        <v>AE03BE</v>
      </c>
      <c r="E220" t="str">
        <f t="shared" si="218"/>
        <v>AE03C0</v>
      </c>
      <c r="F220" t="str">
        <f t="shared" si="218"/>
        <v>AE03C2</v>
      </c>
      <c r="G220" t="str">
        <f t="shared" si="218"/>
        <v>AE03D4</v>
      </c>
      <c r="H220" t="str">
        <f t="shared" si="218"/>
        <v>AE03D6</v>
      </c>
      <c r="I220" t="str">
        <f t="shared" si="218"/>
        <v>AE03D8</v>
      </c>
      <c r="J220" t="str">
        <f t="shared" si="218"/>
        <v>AE03DA</v>
      </c>
      <c r="K220" t="str">
        <f t="shared" si="218"/>
        <v>AE03B4</v>
      </c>
    </row>
    <row r="221">
      <c r="A221" s="14">
        <v>219.0</v>
      </c>
      <c r="B221" t="str">
        <f t="shared" ref="B221:K221" si="219">DEC2HEX(HEX2DEC(B220)+1)</f>
        <v>AE03BB</v>
      </c>
      <c r="C221" t="str">
        <f t="shared" si="219"/>
        <v>AE03BD</v>
      </c>
      <c r="D221" t="str">
        <f t="shared" si="219"/>
        <v>AE03BF</v>
      </c>
      <c r="E221" t="str">
        <f t="shared" si="219"/>
        <v>AE03C1</v>
      </c>
      <c r="F221" t="str">
        <f t="shared" si="219"/>
        <v>AE03C3</v>
      </c>
      <c r="G221" t="str">
        <f t="shared" si="219"/>
        <v>AE03D5</v>
      </c>
      <c r="H221" t="str">
        <f t="shared" si="219"/>
        <v>AE03D7</v>
      </c>
      <c r="I221" t="str">
        <f t="shared" si="219"/>
        <v>AE03D9</v>
      </c>
      <c r="J221" t="str">
        <f t="shared" si="219"/>
        <v>AE03DB</v>
      </c>
      <c r="K221" t="str">
        <f t="shared" si="219"/>
        <v>AE03B5</v>
      </c>
    </row>
    <row r="222">
      <c r="A222" s="14">
        <v>220.0</v>
      </c>
      <c r="B222" t="str">
        <f t="shared" ref="B222:K222" si="220">DEC2HEX(HEX2DEC(B221)+1)</f>
        <v>AE03BC</v>
      </c>
      <c r="C222" t="str">
        <f t="shared" si="220"/>
        <v>AE03BE</v>
      </c>
      <c r="D222" t="str">
        <f t="shared" si="220"/>
        <v>AE03C0</v>
      </c>
      <c r="E222" t="str">
        <f t="shared" si="220"/>
        <v>AE03C2</v>
      </c>
      <c r="F222" t="str">
        <f t="shared" si="220"/>
        <v>AE03C4</v>
      </c>
      <c r="G222" t="str">
        <f t="shared" si="220"/>
        <v>AE03D6</v>
      </c>
      <c r="H222" t="str">
        <f t="shared" si="220"/>
        <v>AE03D8</v>
      </c>
      <c r="I222" t="str">
        <f t="shared" si="220"/>
        <v>AE03DA</v>
      </c>
      <c r="J222" t="str">
        <f t="shared" si="220"/>
        <v>AE03DC</v>
      </c>
      <c r="K222" t="str">
        <f t="shared" si="220"/>
        <v>AE03B6</v>
      </c>
    </row>
    <row r="223">
      <c r="A223" s="14">
        <v>221.0</v>
      </c>
      <c r="B223" t="str">
        <f t="shared" ref="B223:K223" si="221">DEC2HEX(HEX2DEC(B222)+1)</f>
        <v>AE03BD</v>
      </c>
      <c r="C223" t="str">
        <f t="shared" si="221"/>
        <v>AE03BF</v>
      </c>
      <c r="D223" t="str">
        <f t="shared" si="221"/>
        <v>AE03C1</v>
      </c>
      <c r="E223" t="str">
        <f t="shared" si="221"/>
        <v>AE03C3</v>
      </c>
      <c r="F223" t="str">
        <f t="shared" si="221"/>
        <v>AE03C5</v>
      </c>
      <c r="G223" t="str">
        <f t="shared" si="221"/>
        <v>AE03D7</v>
      </c>
      <c r="H223" t="str">
        <f t="shared" si="221"/>
        <v>AE03D9</v>
      </c>
      <c r="I223" t="str">
        <f t="shared" si="221"/>
        <v>AE03DB</v>
      </c>
      <c r="J223" t="str">
        <f t="shared" si="221"/>
        <v>AE03DD</v>
      </c>
      <c r="K223" t="str">
        <f t="shared" si="221"/>
        <v>AE03B7</v>
      </c>
    </row>
    <row r="224">
      <c r="A224" s="14">
        <v>222.0</v>
      </c>
      <c r="B224" t="str">
        <f t="shared" ref="B224:K224" si="222">DEC2HEX(HEX2DEC(B223)+1)</f>
        <v>AE03BE</v>
      </c>
      <c r="C224" t="str">
        <f t="shared" si="222"/>
        <v>AE03C0</v>
      </c>
      <c r="D224" t="str">
        <f t="shared" si="222"/>
        <v>AE03C2</v>
      </c>
      <c r="E224" t="str">
        <f t="shared" si="222"/>
        <v>AE03C4</v>
      </c>
      <c r="F224" t="str">
        <f t="shared" si="222"/>
        <v>AE03C6</v>
      </c>
      <c r="G224" t="str">
        <f t="shared" si="222"/>
        <v>AE03D8</v>
      </c>
      <c r="H224" t="str">
        <f t="shared" si="222"/>
        <v>AE03DA</v>
      </c>
      <c r="I224" t="str">
        <f t="shared" si="222"/>
        <v>AE03DC</v>
      </c>
      <c r="J224" t="str">
        <f t="shared" si="222"/>
        <v>AE03DE</v>
      </c>
      <c r="K224" t="str">
        <f t="shared" si="222"/>
        <v>AE03B8</v>
      </c>
    </row>
    <row r="225">
      <c r="A225" s="14">
        <v>223.0</v>
      </c>
      <c r="B225" t="str">
        <f t="shared" ref="B225:K225" si="223">DEC2HEX(HEX2DEC(B224)+1)</f>
        <v>AE03BF</v>
      </c>
      <c r="C225" t="str">
        <f t="shared" si="223"/>
        <v>AE03C1</v>
      </c>
      <c r="D225" t="str">
        <f t="shared" si="223"/>
        <v>AE03C3</v>
      </c>
      <c r="E225" t="str">
        <f t="shared" si="223"/>
        <v>AE03C5</v>
      </c>
      <c r="F225" t="str">
        <f t="shared" si="223"/>
        <v>AE03C7</v>
      </c>
      <c r="G225" t="str">
        <f t="shared" si="223"/>
        <v>AE03D9</v>
      </c>
      <c r="H225" t="str">
        <f t="shared" si="223"/>
        <v>AE03DB</v>
      </c>
      <c r="I225" t="str">
        <f t="shared" si="223"/>
        <v>AE03DD</v>
      </c>
      <c r="J225" t="str">
        <f t="shared" si="223"/>
        <v>AE03DF</v>
      </c>
      <c r="K225" t="str">
        <f t="shared" si="223"/>
        <v>AE03B9</v>
      </c>
    </row>
    <row r="226">
      <c r="A226" s="14">
        <v>224.0</v>
      </c>
      <c r="B226" t="str">
        <f t="shared" ref="B226:K226" si="224">DEC2HEX(HEX2DEC(B225)+1)</f>
        <v>AE03C0</v>
      </c>
      <c r="C226" t="str">
        <f t="shared" si="224"/>
        <v>AE03C2</v>
      </c>
      <c r="D226" t="str">
        <f t="shared" si="224"/>
        <v>AE03C4</v>
      </c>
      <c r="E226" t="str">
        <f t="shared" si="224"/>
        <v>AE03C6</v>
      </c>
      <c r="F226" t="str">
        <f t="shared" si="224"/>
        <v>AE03C8</v>
      </c>
      <c r="G226" t="str">
        <f t="shared" si="224"/>
        <v>AE03DA</v>
      </c>
      <c r="H226" t="str">
        <f t="shared" si="224"/>
        <v>AE03DC</v>
      </c>
      <c r="I226" t="str">
        <f t="shared" si="224"/>
        <v>AE03DE</v>
      </c>
      <c r="J226" t="str">
        <f t="shared" si="224"/>
        <v>AE03E0</v>
      </c>
      <c r="K226" t="str">
        <f t="shared" si="224"/>
        <v>AE03BA</v>
      </c>
    </row>
    <row r="227">
      <c r="A227" s="14">
        <v>225.0</v>
      </c>
      <c r="B227" t="str">
        <f t="shared" ref="B227:K227" si="225">DEC2HEX(HEX2DEC(B226)+1)</f>
        <v>AE03C1</v>
      </c>
      <c r="C227" t="str">
        <f t="shared" si="225"/>
        <v>AE03C3</v>
      </c>
      <c r="D227" t="str">
        <f t="shared" si="225"/>
        <v>AE03C5</v>
      </c>
      <c r="E227" t="str">
        <f t="shared" si="225"/>
        <v>AE03C7</v>
      </c>
      <c r="F227" t="str">
        <f t="shared" si="225"/>
        <v>AE03C9</v>
      </c>
      <c r="G227" t="str">
        <f t="shared" si="225"/>
        <v>AE03DB</v>
      </c>
      <c r="H227" t="str">
        <f t="shared" si="225"/>
        <v>AE03DD</v>
      </c>
      <c r="I227" t="str">
        <f t="shared" si="225"/>
        <v>AE03DF</v>
      </c>
      <c r="J227" t="str">
        <f t="shared" si="225"/>
        <v>AE03E1</v>
      </c>
      <c r="K227" t="str">
        <f t="shared" si="225"/>
        <v>AE03BB</v>
      </c>
    </row>
    <row r="228">
      <c r="A228" s="14">
        <v>226.0</v>
      </c>
      <c r="B228" t="str">
        <f t="shared" ref="B228:K228" si="226">DEC2HEX(HEX2DEC(B227)+1)</f>
        <v>AE03C2</v>
      </c>
      <c r="C228" t="str">
        <f t="shared" si="226"/>
        <v>AE03C4</v>
      </c>
      <c r="D228" t="str">
        <f t="shared" si="226"/>
        <v>AE03C6</v>
      </c>
      <c r="E228" t="str">
        <f t="shared" si="226"/>
        <v>AE03C8</v>
      </c>
      <c r="F228" t="str">
        <f t="shared" si="226"/>
        <v>AE03CA</v>
      </c>
      <c r="G228" t="str">
        <f t="shared" si="226"/>
        <v>AE03DC</v>
      </c>
      <c r="H228" t="str">
        <f t="shared" si="226"/>
        <v>AE03DE</v>
      </c>
      <c r="I228" t="str">
        <f t="shared" si="226"/>
        <v>AE03E0</v>
      </c>
      <c r="J228" t="str">
        <f t="shared" si="226"/>
        <v>AE03E2</v>
      </c>
      <c r="K228" t="str">
        <f t="shared" si="226"/>
        <v>AE03BC</v>
      </c>
    </row>
    <row r="229">
      <c r="A229" s="14">
        <v>227.0</v>
      </c>
      <c r="B229" t="str">
        <f t="shared" ref="B229:K229" si="227">DEC2HEX(HEX2DEC(B228)+1)</f>
        <v>AE03C3</v>
      </c>
      <c r="C229" t="str">
        <f t="shared" si="227"/>
        <v>AE03C5</v>
      </c>
      <c r="D229" t="str">
        <f t="shared" si="227"/>
        <v>AE03C7</v>
      </c>
      <c r="E229" t="str">
        <f t="shared" si="227"/>
        <v>AE03C9</v>
      </c>
      <c r="F229" t="str">
        <f t="shared" si="227"/>
        <v>AE03CB</v>
      </c>
      <c r="G229" t="str">
        <f t="shared" si="227"/>
        <v>AE03DD</v>
      </c>
      <c r="H229" t="str">
        <f t="shared" si="227"/>
        <v>AE03DF</v>
      </c>
      <c r="I229" t="str">
        <f t="shared" si="227"/>
        <v>AE03E1</v>
      </c>
      <c r="J229" t="str">
        <f t="shared" si="227"/>
        <v>AE03E3</v>
      </c>
      <c r="K229" t="str">
        <f t="shared" si="227"/>
        <v>AE03BD</v>
      </c>
    </row>
    <row r="230">
      <c r="A230" s="14">
        <v>228.0</v>
      </c>
      <c r="B230" t="str">
        <f t="shared" ref="B230:K230" si="228">DEC2HEX(HEX2DEC(B229)+1)</f>
        <v>AE03C4</v>
      </c>
      <c r="C230" t="str">
        <f t="shared" si="228"/>
        <v>AE03C6</v>
      </c>
      <c r="D230" t="str">
        <f t="shared" si="228"/>
        <v>AE03C8</v>
      </c>
      <c r="E230" t="str">
        <f t="shared" si="228"/>
        <v>AE03CA</v>
      </c>
      <c r="F230" t="str">
        <f t="shared" si="228"/>
        <v>AE03CC</v>
      </c>
      <c r="G230" t="str">
        <f t="shared" si="228"/>
        <v>AE03DE</v>
      </c>
      <c r="H230" t="str">
        <f t="shared" si="228"/>
        <v>AE03E0</v>
      </c>
      <c r="I230" t="str">
        <f t="shared" si="228"/>
        <v>AE03E2</v>
      </c>
      <c r="J230" t="str">
        <f t="shared" si="228"/>
        <v>AE03E4</v>
      </c>
      <c r="K230" t="str">
        <f t="shared" si="228"/>
        <v>AE03BE</v>
      </c>
    </row>
    <row r="231">
      <c r="A231" s="14">
        <v>229.0</v>
      </c>
      <c r="B231" t="str">
        <f t="shared" ref="B231:K231" si="229">DEC2HEX(HEX2DEC(B230)+1)</f>
        <v>AE03C5</v>
      </c>
      <c r="C231" t="str">
        <f t="shared" si="229"/>
        <v>AE03C7</v>
      </c>
      <c r="D231" t="str">
        <f t="shared" si="229"/>
        <v>AE03C9</v>
      </c>
      <c r="E231" t="str">
        <f t="shared" si="229"/>
        <v>AE03CB</v>
      </c>
      <c r="F231" t="str">
        <f t="shared" si="229"/>
        <v>AE03CD</v>
      </c>
      <c r="G231" t="str">
        <f t="shared" si="229"/>
        <v>AE03DF</v>
      </c>
      <c r="H231" t="str">
        <f t="shared" si="229"/>
        <v>AE03E1</v>
      </c>
      <c r="I231" t="str">
        <f t="shared" si="229"/>
        <v>AE03E3</v>
      </c>
      <c r="J231" t="str">
        <f t="shared" si="229"/>
        <v>AE03E5</v>
      </c>
      <c r="K231" t="str">
        <f t="shared" si="229"/>
        <v>AE03BF</v>
      </c>
    </row>
    <row r="232">
      <c r="A232" s="14">
        <v>230.0</v>
      </c>
      <c r="B232" t="str">
        <f t="shared" ref="B232:K232" si="230">DEC2HEX(HEX2DEC(B231)+1)</f>
        <v>AE03C6</v>
      </c>
      <c r="C232" t="str">
        <f t="shared" si="230"/>
        <v>AE03C8</v>
      </c>
      <c r="D232" t="str">
        <f t="shared" si="230"/>
        <v>AE03CA</v>
      </c>
      <c r="E232" t="str">
        <f t="shared" si="230"/>
        <v>AE03CC</v>
      </c>
      <c r="F232" t="str">
        <f t="shared" si="230"/>
        <v>AE03CE</v>
      </c>
      <c r="G232" t="str">
        <f t="shared" si="230"/>
        <v>AE03E0</v>
      </c>
      <c r="H232" t="str">
        <f t="shared" si="230"/>
        <v>AE03E2</v>
      </c>
      <c r="I232" t="str">
        <f t="shared" si="230"/>
        <v>AE03E4</v>
      </c>
      <c r="J232" t="str">
        <f t="shared" si="230"/>
        <v>AE03E6</v>
      </c>
      <c r="K232" t="str">
        <f t="shared" si="230"/>
        <v>AE03C0</v>
      </c>
    </row>
    <row r="233">
      <c r="A233" s="14">
        <v>231.0</v>
      </c>
      <c r="B233" t="str">
        <f t="shared" ref="B233:K233" si="231">DEC2HEX(HEX2DEC(B232)+1)</f>
        <v>AE03C7</v>
      </c>
      <c r="C233" t="str">
        <f t="shared" si="231"/>
        <v>AE03C9</v>
      </c>
      <c r="D233" t="str">
        <f t="shared" si="231"/>
        <v>AE03CB</v>
      </c>
      <c r="E233" t="str">
        <f t="shared" si="231"/>
        <v>AE03CD</v>
      </c>
      <c r="F233" t="str">
        <f t="shared" si="231"/>
        <v>AE03CF</v>
      </c>
      <c r="G233" t="str">
        <f t="shared" si="231"/>
        <v>AE03E1</v>
      </c>
      <c r="H233" t="str">
        <f t="shared" si="231"/>
        <v>AE03E3</v>
      </c>
      <c r="I233" t="str">
        <f t="shared" si="231"/>
        <v>AE03E5</v>
      </c>
      <c r="J233" t="str">
        <f t="shared" si="231"/>
        <v>AE03E7</v>
      </c>
      <c r="K233" t="str">
        <f t="shared" si="231"/>
        <v>AE03C1</v>
      </c>
    </row>
    <row r="234">
      <c r="A234" s="14">
        <v>232.0</v>
      </c>
      <c r="B234" t="str">
        <f t="shared" ref="B234:K234" si="232">DEC2HEX(HEX2DEC(B233)+1)</f>
        <v>AE03C8</v>
      </c>
      <c r="C234" t="str">
        <f t="shared" si="232"/>
        <v>AE03CA</v>
      </c>
      <c r="D234" t="str">
        <f t="shared" si="232"/>
        <v>AE03CC</v>
      </c>
      <c r="E234" t="str">
        <f t="shared" si="232"/>
        <v>AE03CE</v>
      </c>
      <c r="F234" t="str">
        <f t="shared" si="232"/>
        <v>AE03D0</v>
      </c>
      <c r="G234" t="str">
        <f t="shared" si="232"/>
        <v>AE03E2</v>
      </c>
      <c r="H234" t="str">
        <f t="shared" si="232"/>
        <v>AE03E4</v>
      </c>
      <c r="I234" t="str">
        <f t="shared" si="232"/>
        <v>AE03E6</v>
      </c>
      <c r="J234" t="str">
        <f t="shared" si="232"/>
        <v>AE03E8</v>
      </c>
      <c r="K234" t="str">
        <f t="shared" si="232"/>
        <v>AE03C2</v>
      </c>
    </row>
    <row r="235">
      <c r="A235" s="14">
        <v>233.0</v>
      </c>
      <c r="B235" t="str">
        <f t="shared" ref="B235:K235" si="233">DEC2HEX(HEX2DEC(B234)+1)</f>
        <v>AE03C9</v>
      </c>
      <c r="C235" t="str">
        <f t="shared" si="233"/>
        <v>AE03CB</v>
      </c>
      <c r="D235" t="str">
        <f t="shared" si="233"/>
        <v>AE03CD</v>
      </c>
      <c r="E235" t="str">
        <f t="shared" si="233"/>
        <v>AE03CF</v>
      </c>
      <c r="F235" t="str">
        <f t="shared" si="233"/>
        <v>AE03D1</v>
      </c>
      <c r="G235" t="str">
        <f t="shared" si="233"/>
        <v>AE03E3</v>
      </c>
      <c r="H235" t="str">
        <f t="shared" si="233"/>
        <v>AE03E5</v>
      </c>
      <c r="I235" t="str">
        <f t="shared" si="233"/>
        <v>AE03E7</v>
      </c>
      <c r="J235" t="str">
        <f t="shared" si="233"/>
        <v>AE03E9</v>
      </c>
      <c r="K235" t="str">
        <f t="shared" si="233"/>
        <v>AE03C3</v>
      </c>
    </row>
    <row r="236">
      <c r="A236" s="14">
        <v>234.0</v>
      </c>
      <c r="B236" t="str">
        <f t="shared" ref="B236:K236" si="234">DEC2HEX(HEX2DEC(B235)+1)</f>
        <v>AE03CA</v>
      </c>
      <c r="C236" t="str">
        <f t="shared" si="234"/>
        <v>AE03CC</v>
      </c>
      <c r="D236" t="str">
        <f t="shared" si="234"/>
        <v>AE03CE</v>
      </c>
      <c r="E236" t="str">
        <f t="shared" si="234"/>
        <v>AE03D0</v>
      </c>
      <c r="F236" t="str">
        <f t="shared" si="234"/>
        <v>AE03D2</v>
      </c>
      <c r="G236" t="str">
        <f t="shared" si="234"/>
        <v>AE03E4</v>
      </c>
      <c r="H236" t="str">
        <f t="shared" si="234"/>
        <v>AE03E6</v>
      </c>
      <c r="I236" t="str">
        <f t="shared" si="234"/>
        <v>AE03E8</v>
      </c>
      <c r="J236" t="str">
        <f t="shared" si="234"/>
        <v>AE03EA</v>
      </c>
      <c r="K236" t="str">
        <f t="shared" si="234"/>
        <v>AE03C4</v>
      </c>
    </row>
    <row r="237">
      <c r="A237" s="14">
        <v>235.0</v>
      </c>
      <c r="B237" t="str">
        <f t="shared" ref="B237:K237" si="235">DEC2HEX(HEX2DEC(B236)+1)</f>
        <v>AE03CB</v>
      </c>
      <c r="C237" t="str">
        <f t="shared" si="235"/>
        <v>AE03CD</v>
      </c>
      <c r="D237" t="str">
        <f t="shared" si="235"/>
        <v>AE03CF</v>
      </c>
      <c r="E237" t="str">
        <f t="shared" si="235"/>
        <v>AE03D1</v>
      </c>
      <c r="F237" t="str">
        <f t="shared" si="235"/>
        <v>AE03D3</v>
      </c>
      <c r="G237" t="str">
        <f t="shared" si="235"/>
        <v>AE03E5</v>
      </c>
      <c r="H237" t="str">
        <f t="shared" si="235"/>
        <v>AE03E7</v>
      </c>
      <c r="I237" t="str">
        <f t="shared" si="235"/>
        <v>AE03E9</v>
      </c>
      <c r="J237" t="str">
        <f t="shared" si="235"/>
        <v>AE03EB</v>
      </c>
      <c r="K237" t="str">
        <f t="shared" si="235"/>
        <v>AE03C5</v>
      </c>
    </row>
    <row r="238">
      <c r="A238" s="14">
        <v>236.0</v>
      </c>
      <c r="B238" t="str">
        <f t="shared" ref="B238:K238" si="236">DEC2HEX(HEX2DEC(B237)+1)</f>
        <v>AE03CC</v>
      </c>
      <c r="C238" t="str">
        <f t="shared" si="236"/>
        <v>AE03CE</v>
      </c>
      <c r="D238" t="str">
        <f t="shared" si="236"/>
        <v>AE03D0</v>
      </c>
      <c r="E238" t="str">
        <f t="shared" si="236"/>
        <v>AE03D2</v>
      </c>
      <c r="F238" t="str">
        <f t="shared" si="236"/>
        <v>AE03D4</v>
      </c>
      <c r="G238" t="str">
        <f t="shared" si="236"/>
        <v>AE03E6</v>
      </c>
      <c r="H238" t="str">
        <f t="shared" si="236"/>
        <v>AE03E8</v>
      </c>
      <c r="I238" t="str">
        <f t="shared" si="236"/>
        <v>AE03EA</v>
      </c>
      <c r="J238" t="str">
        <f t="shared" si="236"/>
        <v>AE03EC</v>
      </c>
      <c r="K238" t="str">
        <f t="shared" si="236"/>
        <v>AE03C6</v>
      </c>
    </row>
    <row r="239">
      <c r="A239" s="14">
        <v>237.0</v>
      </c>
      <c r="B239" t="str">
        <f t="shared" ref="B239:K239" si="237">DEC2HEX(HEX2DEC(B238)+1)</f>
        <v>AE03CD</v>
      </c>
      <c r="C239" t="str">
        <f t="shared" si="237"/>
        <v>AE03CF</v>
      </c>
      <c r="D239" t="str">
        <f t="shared" si="237"/>
        <v>AE03D1</v>
      </c>
      <c r="E239" t="str">
        <f t="shared" si="237"/>
        <v>AE03D3</v>
      </c>
      <c r="F239" t="str">
        <f t="shared" si="237"/>
        <v>AE03D5</v>
      </c>
      <c r="G239" t="str">
        <f t="shared" si="237"/>
        <v>AE03E7</v>
      </c>
      <c r="H239" t="str">
        <f t="shared" si="237"/>
        <v>AE03E9</v>
      </c>
      <c r="I239" t="str">
        <f t="shared" si="237"/>
        <v>AE03EB</v>
      </c>
      <c r="J239" t="str">
        <f t="shared" si="237"/>
        <v>AE03ED</v>
      </c>
      <c r="K239" t="str">
        <f t="shared" si="237"/>
        <v>AE03C7</v>
      </c>
    </row>
    <row r="240">
      <c r="A240" s="14">
        <v>238.0</v>
      </c>
      <c r="B240" t="str">
        <f t="shared" ref="B240:K240" si="238">DEC2HEX(HEX2DEC(B239)+1)</f>
        <v>AE03CE</v>
      </c>
      <c r="C240" t="str">
        <f t="shared" si="238"/>
        <v>AE03D0</v>
      </c>
      <c r="D240" t="str">
        <f t="shared" si="238"/>
        <v>AE03D2</v>
      </c>
      <c r="E240" t="str">
        <f t="shared" si="238"/>
        <v>AE03D4</v>
      </c>
      <c r="F240" t="str">
        <f t="shared" si="238"/>
        <v>AE03D6</v>
      </c>
      <c r="G240" t="str">
        <f t="shared" si="238"/>
        <v>AE03E8</v>
      </c>
      <c r="H240" t="str">
        <f t="shared" si="238"/>
        <v>AE03EA</v>
      </c>
      <c r="I240" t="str">
        <f t="shared" si="238"/>
        <v>AE03EC</v>
      </c>
      <c r="J240" t="str">
        <f t="shared" si="238"/>
        <v>AE03EE</v>
      </c>
      <c r="K240" t="str">
        <f t="shared" si="238"/>
        <v>AE03C8</v>
      </c>
    </row>
    <row r="241">
      <c r="A241" s="14">
        <v>239.0</v>
      </c>
      <c r="B241" t="str">
        <f t="shared" ref="B241:K241" si="239">DEC2HEX(HEX2DEC(B240)+1)</f>
        <v>AE03CF</v>
      </c>
      <c r="C241" t="str">
        <f t="shared" si="239"/>
        <v>AE03D1</v>
      </c>
      <c r="D241" t="str">
        <f t="shared" si="239"/>
        <v>AE03D3</v>
      </c>
      <c r="E241" t="str">
        <f t="shared" si="239"/>
        <v>AE03D5</v>
      </c>
      <c r="F241" t="str">
        <f t="shared" si="239"/>
        <v>AE03D7</v>
      </c>
      <c r="G241" t="str">
        <f t="shared" si="239"/>
        <v>AE03E9</v>
      </c>
      <c r="H241" t="str">
        <f t="shared" si="239"/>
        <v>AE03EB</v>
      </c>
      <c r="I241" t="str">
        <f t="shared" si="239"/>
        <v>AE03ED</v>
      </c>
      <c r="J241" t="str">
        <f t="shared" si="239"/>
        <v>AE03EF</v>
      </c>
      <c r="K241" t="str">
        <f t="shared" si="239"/>
        <v>AE03C9</v>
      </c>
    </row>
    <row r="242">
      <c r="A242" s="14">
        <v>240.0</v>
      </c>
      <c r="B242" t="str">
        <f t="shared" ref="B242:K242" si="240">DEC2HEX(HEX2DEC(B241)+1)</f>
        <v>AE03D0</v>
      </c>
      <c r="C242" t="str">
        <f t="shared" si="240"/>
        <v>AE03D2</v>
      </c>
      <c r="D242" t="str">
        <f t="shared" si="240"/>
        <v>AE03D4</v>
      </c>
      <c r="E242" t="str">
        <f t="shared" si="240"/>
        <v>AE03D6</v>
      </c>
      <c r="F242" t="str">
        <f t="shared" si="240"/>
        <v>AE03D8</v>
      </c>
      <c r="G242" t="str">
        <f t="shared" si="240"/>
        <v>AE03EA</v>
      </c>
      <c r="H242" t="str">
        <f t="shared" si="240"/>
        <v>AE03EC</v>
      </c>
      <c r="I242" t="str">
        <f t="shared" si="240"/>
        <v>AE03EE</v>
      </c>
      <c r="J242" t="str">
        <f t="shared" si="240"/>
        <v>AE03F0</v>
      </c>
      <c r="K242" t="str">
        <f t="shared" si="240"/>
        <v>AE03CA</v>
      </c>
    </row>
    <row r="243">
      <c r="A243" s="14">
        <v>241.0</v>
      </c>
      <c r="B243" t="str">
        <f t="shared" ref="B243:K243" si="241">DEC2HEX(HEX2DEC(B242)+1)</f>
        <v>AE03D1</v>
      </c>
      <c r="C243" t="str">
        <f t="shared" si="241"/>
        <v>AE03D3</v>
      </c>
      <c r="D243" t="str">
        <f t="shared" si="241"/>
        <v>AE03D5</v>
      </c>
      <c r="E243" t="str">
        <f t="shared" si="241"/>
        <v>AE03D7</v>
      </c>
      <c r="F243" t="str">
        <f t="shared" si="241"/>
        <v>AE03D9</v>
      </c>
      <c r="G243" t="str">
        <f t="shared" si="241"/>
        <v>AE03EB</v>
      </c>
      <c r="H243" t="str">
        <f t="shared" si="241"/>
        <v>AE03ED</v>
      </c>
      <c r="I243" t="str">
        <f t="shared" si="241"/>
        <v>AE03EF</v>
      </c>
      <c r="J243" t="str">
        <f t="shared" si="241"/>
        <v>AE03F1</v>
      </c>
      <c r="K243" t="str">
        <f t="shared" si="241"/>
        <v>AE03CB</v>
      </c>
    </row>
    <row r="244">
      <c r="A244" s="14">
        <v>242.0</v>
      </c>
      <c r="B244" t="str">
        <f t="shared" ref="B244:K244" si="242">DEC2HEX(HEX2DEC(B243)+1)</f>
        <v>AE03D2</v>
      </c>
      <c r="C244" t="str">
        <f t="shared" si="242"/>
        <v>AE03D4</v>
      </c>
      <c r="D244" t="str">
        <f t="shared" si="242"/>
        <v>AE03D6</v>
      </c>
      <c r="E244" t="str">
        <f t="shared" si="242"/>
        <v>AE03D8</v>
      </c>
      <c r="F244" t="str">
        <f t="shared" si="242"/>
        <v>AE03DA</v>
      </c>
      <c r="G244" t="str">
        <f t="shared" si="242"/>
        <v>AE03EC</v>
      </c>
      <c r="H244" t="str">
        <f t="shared" si="242"/>
        <v>AE03EE</v>
      </c>
      <c r="I244" t="str">
        <f t="shared" si="242"/>
        <v>AE03F0</v>
      </c>
      <c r="J244" t="str">
        <f t="shared" si="242"/>
        <v>AE03F2</v>
      </c>
      <c r="K244" t="str">
        <f t="shared" si="242"/>
        <v>AE03CC</v>
      </c>
    </row>
    <row r="245">
      <c r="A245" s="14">
        <v>243.0</v>
      </c>
      <c r="B245" t="str">
        <f t="shared" ref="B245:K245" si="243">DEC2HEX(HEX2DEC(B244)+1)</f>
        <v>AE03D3</v>
      </c>
      <c r="C245" t="str">
        <f t="shared" si="243"/>
        <v>AE03D5</v>
      </c>
      <c r="D245" t="str">
        <f t="shared" si="243"/>
        <v>AE03D7</v>
      </c>
      <c r="E245" t="str">
        <f t="shared" si="243"/>
        <v>AE03D9</v>
      </c>
      <c r="F245" t="str">
        <f t="shared" si="243"/>
        <v>AE03DB</v>
      </c>
      <c r="G245" t="str">
        <f t="shared" si="243"/>
        <v>AE03ED</v>
      </c>
      <c r="H245" t="str">
        <f t="shared" si="243"/>
        <v>AE03EF</v>
      </c>
      <c r="I245" t="str">
        <f t="shared" si="243"/>
        <v>AE03F1</v>
      </c>
      <c r="J245" t="str">
        <f t="shared" si="243"/>
        <v>AE03F3</v>
      </c>
      <c r="K245" t="str">
        <f t="shared" si="243"/>
        <v>AE03CD</v>
      </c>
    </row>
    <row r="246">
      <c r="A246" s="14">
        <v>244.0</v>
      </c>
      <c r="B246" t="str">
        <f t="shared" ref="B246:K246" si="244">DEC2HEX(HEX2DEC(B245)+1)</f>
        <v>AE03D4</v>
      </c>
      <c r="C246" t="str">
        <f t="shared" si="244"/>
        <v>AE03D6</v>
      </c>
      <c r="D246" t="str">
        <f t="shared" si="244"/>
        <v>AE03D8</v>
      </c>
      <c r="E246" t="str">
        <f t="shared" si="244"/>
        <v>AE03DA</v>
      </c>
      <c r="F246" t="str">
        <f t="shared" si="244"/>
        <v>AE03DC</v>
      </c>
      <c r="G246" t="str">
        <f t="shared" si="244"/>
        <v>AE03EE</v>
      </c>
      <c r="H246" t="str">
        <f t="shared" si="244"/>
        <v>AE03F0</v>
      </c>
      <c r="I246" t="str">
        <f t="shared" si="244"/>
        <v>AE03F2</v>
      </c>
      <c r="J246" t="str">
        <f t="shared" si="244"/>
        <v>AE03F4</v>
      </c>
      <c r="K246" t="str">
        <f t="shared" si="244"/>
        <v>AE03CE</v>
      </c>
    </row>
    <row r="247">
      <c r="A247" s="14">
        <v>245.0</v>
      </c>
      <c r="B247" t="str">
        <f t="shared" ref="B247:K247" si="245">DEC2HEX(HEX2DEC(B246)+1)</f>
        <v>AE03D5</v>
      </c>
      <c r="C247" t="str">
        <f t="shared" si="245"/>
        <v>AE03D7</v>
      </c>
      <c r="D247" t="str">
        <f t="shared" si="245"/>
        <v>AE03D9</v>
      </c>
      <c r="E247" t="str">
        <f t="shared" si="245"/>
        <v>AE03DB</v>
      </c>
      <c r="F247" t="str">
        <f t="shared" si="245"/>
        <v>AE03DD</v>
      </c>
      <c r="G247" t="str">
        <f t="shared" si="245"/>
        <v>AE03EF</v>
      </c>
      <c r="H247" t="str">
        <f t="shared" si="245"/>
        <v>AE03F1</v>
      </c>
      <c r="I247" t="str">
        <f t="shared" si="245"/>
        <v>AE03F3</v>
      </c>
      <c r="J247" t="str">
        <f t="shared" si="245"/>
        <v>AE03F5</v>
      </c>
      <c r="K247" t="str">
        <f t="shared" si="245"/>
        <v>AE03CF</v>
      </c>
    </row>
    <row r="248">
      <c r="A248" s="14">
        <v>246.0</v>
      </c>
      <c r="B248" t="str">
        <f t="shared" ref="B248:K248" si="246">DEC2HEX(HEX2DEC(B247)+1)</f>
        <v>AE03D6</v>
      </c>
      <c r="C248" t="str">
        <f t="shared" si="246"/>
        <v>AE03D8</v>
      </c>
      <c r="D248" t="str">
        <f t="shared" si="246"/>
        <v>AE03DA</v>
      </c>
      <c r="E248" t="str">
        <f t="shared" si="246"/>
        <v>AE03DC</v>
      </c>
      <c r="F248" t="str">
        <f t="shared" si="246"/>
        <v>AE03DE</v>
      </c>
      <c r="G248" t="str">
        <f t="shared" si="246"/>
        <v>AE03F0</v>
      </c>
      <c r="H248" t="str">
        <f t="shared" si="246"/>
        <v>AE03F2</v>
      </c>
      <c r="I248" t="str">
        <f t="shared" si="246"/>
        <v>AE03F4</v>
      </c>
      <c r="J248" t="str">
        <f t="shared" si="246"/>
        <v>AE03F6</v>
      </c>
      <c r="K248" t="str">
        <f t="shared" si="246"/>
        <v>AE03D0</v>
      </c>
    </row>
    <row r="249">
      <c r="A249" s="14">
        <v>247.0</v>
      </c>
      <c r="B249" t="str">
        <f t="shared" ref="B249:K249" si="247">DEC2HEX(HEX2DEC(B248)+1)</f>
        <v>AE03D7</v>
      </c>
      <c r="C249" t="str">
        <f t="shared" si="247"/>
        <v>AE03D9</v>
      </c>
      <c r="D249" t="str">
        <f t="shared" si="247"/>
        <v>AE03DB</v>
      </c>
      <c r="E249" t="str">
        <f t="shared" si="247"/>
        <v>AE03DD</v>
      </c>
      <c r="F249" t="str">
        <f t="shared" si="247"/>
        <v>AE03DF</v>
      </c>
      <c r="G249" t="str">
        <f t="shared" si="247"/>
        <v>AE03F1</v>
      </c>
      <c r="H249" t="str">
        <f t="shared" si="247"/>
        <v>AE03F3</v>
      </c>
      <c r="I249" t="str">
        <f t="shared" si="247"/>
        <v>AE03F5</v>
      </c>
      <c r="J249" t="str">
        <f t="shared" si="247"/>
        <v>AE03F7</v>
      </c>
      <c r="K249" t="str">
        <f t="shared" si="247"/>
        <v>AE03D1</v>
      </c>
    </row>
    <row r="250">
      <c r="A250" s="14">
        <v>248.0</v>
      </c>
      <c r="B250" t="str">
        <f t="shared" ref="B250:K250" si="248">DEC2HEX(HEX2DEC(B249)+1)</f>
        <v>AE03D8</v>
      </c>
      <c r="C250" t="str">
        <f t="shared" si="248"/>
        <v>AE03DA</v>
      </c>
      <c r="D250" t="str">
        <f t="shared" si="248"/>
        <v>AE03DC</v>
      </c>
      <c r="E250" t="str">
        <f t="shared" si="248"/>
        <v>AE03DE</v>
      </c>
      <c r="F250" t="str">
        <f t="shared" si="248"/>
        <v>AE03E0</v>
      </c>
      <c r="G250" t="str">
        <f t="shared" si="248"/>
        <v>AE03F2</v>
      </c>
      <c r="H250" t="str">
        <f t="shared" si="248"/>
        <v>AE03F4</v>
      </c>
      <c r="I250" t="str">
        <f t="shared" si="248"/>
        <v>AE03F6</v>
      </c>
      <c r="J250" t="str">
        <f t="shared" si="248"/>
        <v>AE03F8</v>
      </c>
      <c r="K250" t="str">
        <f t="shared" si="248"/>
        <v>AE03D2</v>
      </c>
    </row>
    <row r="251">
      <c r="A251" s="14">
        <v>249.0</v>
      </c>
      <c r="B251" t="str">
        <f t="shared" ref="B251:K251" si="249">DEC2HEX(HEX2DEC(B250)+1)</f>
        <v>AE03D9</v>
      </c>
      <c r="C251" t="str">
        <f t="shared" si="249"/>
        <v>AE03DB</v>
      </c>
      <c r="D251" t="str">
        <f t="shared" si="249"/>
        <v>AE03DD</v>
      </c>
      <c r="E251" t="str">
        <f t="shared" si="249"/>
        <v>AE03DF</v>
      </c>
      <c r="F251" t="str">
        <f t="shared" si="249"/>
        <v>AE03E1</v>
      </c>
      <c r="G251" t="str">
        <f t="shared" si="249"/>
        <v>AE03F3</v>
      </c>
      <c r="H251" t="str">
        <f t="shared" si="249"/>
        <v>AE03F5</v>
      </c>
      <c r="I251" t="str">
        <f t="shared" si="249"/>
        <v>AE03F7</v>
      </c>
      <c r="J251" t="str">
        <f t="shared" si="249"/>
        <v>AE03F9</v>
      </c>
      <c r="K251" t="str">
        <f t="shared" si="249"/>
        <v>AE03D3</v>
      </c>
    </row>
    <row r="252">
      <c r="A252" s="14">
        <v>250.0</v>
      </c>
      <c r="B252" t="str">
        <f t="shared" ref="B252:K252" si="250">DEC2HEX(HEX2DEC(B251)+1)</f>
        <v>AE03DA</v>
      </c>
      <c r="C252" t="str">
        <f t="shared" si="250"/>
        <v>AE03DC</v>
      </c>
      <c r="D252" t="str">
        <f t="shared" si="250"/>
        <v>AE03DE</v>
      </c>
      <c r="E252" t="str">
        <f t="shared" si="250"/>
        <v>AE03E0</v>
      </c>
      <c r="F252" t="str">
        <f t="shared" si="250"/>
        <v>AE03E2</v>
      </c>
      <c r="G252" t="str">
        <f t="shared" si="250"/>
        <v>AE03F4</v>
      </c>
      <c r="H252" t="str">
        <f t="shared" si="250"/>
        <v>AE03F6</v>
      </c>
      <c r="I252" t="str">
        <f t="shared" si="250"/>
        <v>AE03F8</v>
      </c>
      <c r="J252" t="str">
        <f t="shared" si="250"/>
        <v>AE03FA</v>
      </c>
      <c r="K252" t="str">
        <f t="shared" si="250"/>
        <v>AE03D4</v>
      </c>
    </row>
    <row r="253">
      <c r="A253" s="14">
        <v>251.0</v>
      </c>
      <c r="B253" t="str">
        <f t="shared" ref="B253:K253" si="251">DEC2HEX(HEX2DEC(B252)+1)</f>
        <v>AE03DB</v>
      </c>
      <c r="C253" t="str">
        <f t="shared" si="251"/>
        <v>AE03DD</v>
      </c>
      <c r="D253" t="str">
        <f t="shared" si="251"/>
        <v>AE03DF</v>
      </c>
      <c r="E253" t="str">
        <f t="shared" si="251"/>
        <v>AE03E1</v>
      </c>
      <c r="F253" t="str">
        <f t="shared" si="251"/>
        <v>AE03E3</v>
      </c>
      <c r="G253" t="str">
        <f t="shared" si="251"/>
        <v>AE03F5</v>
      </c>
      <c r="H253" t="str">
        <f t="shared" si="251"/>
        <v>AE03F7</v>
      </c>
      <c r="I253" t="str">
        <f t="shared" si="251"/>
        <v>AE03F9</v>
      </c>
      <c r="J253" t="str">
        <f t="shared" si="251"/>
        <v>AE03FB</v>
      </c>
      <c r="K253" t="str">
        <f t="shared" si="251"/>
        <v>AE03D5</v>
      </c>
    </row>
    <row r="254">
      <c r="A254" s="14">
        <v>252.0</v>
      </c>
      <c r="B254" t="str">
        <f t="shared" ref="B254:K254" si="252">DEC2HEX(HEX2DEC(B253)+1)</f>
        <v>AE03DC</v>
      </c>
      <c r="C254" t="str">
        <f t="shared" si="252"/>
        <v>AE03DE</v>
      </c>
      <c r="D254" t="str">
        <f t="shared" si="252"/>
        <v>AE03E0</v>
      </c>
      <c r="E254" t="str">
        <f t="shared" si="252"/>
        <v>AE03E2</v>
      </c>
      <c r="F254" t="str">
        <f t="shared" si="252"/>
        <v>AE03E4</v>
      </c>
      <c r="G254" t="str">
        <f t="shared" si="252"/>
        <v>AE03F6</v>
      </c>
      <c r="H254" t="str">
        <f t="shared" si="252"/>
        <v>AE03F8</v>
      </c>
      <c r="I254" t="str">
        <f t="shared" si="252"/>
        <v>AE03FA</v>
      </c>
      <c r="J254" t="str">
        <f t="shared" si="252"/>
        <v>AE03FC</v>
      </c>
      <c r="K254" t="str">
        <f t="shared" si="252"/>
        <v>AE03D6</v>
      </c>
    </row>
    <row r="255">
      <c r="A255" s="14">
        <v>253.0</v>
      </c>
      <c r="B255" t="str">
        <f t="shared" ref="B255:K255" si="253">DEC2HEX(HEX2DEC(B254)+1)</f>
        <v>AE03DD</v>
      </c>
      <c r="C255" t="str">
        <f t="shared" si="253"/>
        <v>AE03DF</v>
      </c>
      <c r="D255" t="str">
        <f t="shared" si="253"/>
        <v>AE03E1</v>
      </c>
      <c r="E255" t="str">
        <f t="shared" si="253"/>
        <v>AE03E3</v>
      </c>
      <c r="F255" t="str">
        <f t="shared" si="253"/>
        <v>AE03E5</v>
      </c>
      <c r="G255" t="str">
        <f t="shared" si="253"/>
        <v>AE03F7</v>
      </c>
      <c r="H255" t="str">
        <f t="shared" si="253"/>
        <v>AE03F9</v>
      </c>
      <c r="I255" t="str">
        <f t="shared" si="253"/>
        <v>AE03FB</v>
      </c>
      <c r="J255" t="str">
        <f t="shared" si="253"/>
        <v>AE03FD</v>
      </c>
      <c r="K255" t="str">
        <f t="shared" si="253"/>
        <v>AE03D7</v>
      </c>
    </row>
    <row r="256">
      <c r="A256" s="14">
        <v>254.0</v>
      </c>
      <c r="B256" t="str">
        <f t="shared" ref="B256:K256" si="254">DEC2HEX(HEX2DEC(B255)+1)</f>
        <v>AE03DE</v>
      </c>
      <c r="C256" t="str">
        <f t="shared" si="254"/>
        <v>AE03E0</v>
      </c>
      <c r="D256" t="str">
        <f t="shared" si="254"/>
        <v>AE03E2</v>
      </c>
      <c r="E256" t="str">
        <f t="shared" si="254"/>
        <v>AE03E4</v>
      </c>
      <c r="F256" t="str">
        <f t="shared" si="254"/>
        <v>AE03E6</v>
      </c>
      <c r="G256" t="str">
        <f t="shared" si="254"/>
        <v>AE03F8</v>
      </c>
      <c r="H256" t="str">
        <f t="shared" si="254"/>
        <v>AE03FA</v>
      </c>
      <c r="I256" t="str">
        <f t="shared" si="254"/>
        <v>AE03FC</v>
      </c>
      <c r="J256" t="str">
        <f t="shared" si="254"/>
        <v>AE03FE</v>
      </c>
      <c r="K256" t="str">
        <f t="shared" si="254"/>
        <v>AE03D8</v>
      </c>
    </row>
    <row r="257">
      <c r="A257" s="14">
        <v>255.0</v>
      </c>
      <c r="B257" t="str">
        <f t="shared" ref="B257:K257" si="255">DEC2HEX(HEX2DEC(B256)+1)</f>
        <v>AE03DF</v>
      </c>
      <c r="C257" t="str">
        <f t="shared" si="255"/>
        <v>AE03E1</v>
      </c>
      <c r="D257" t="str">
        <f t="shared" si="255"/>
        <v>AE03E3</v>
      </c>
      <c r="E257" t="str">
        <f t="shared" si="255"/>
        <v>AE03E5</v>
      </c>
      <c r="F257" t="str">
        <f t="shared" si="255"/>
        <v>AE03E7</v>
      </c>
      <c r="G257" t="str">
        <f t="shared" si="255"/>
        <v>AE03F9</v>
      </c>
      <c r="H257" t="str">
        <f t="shared" si="255"/>
        <v>AE03FB</v>
      </c>
      <c r="I257" t="str">
        <f t="shared" si="255"/>
        <v>AE03FD</v>
      </c>
      <c r="J257" t="str">
        <f t="shared" si="255"/>
        <v>AE03FF</v>
      </c>
      <c r="K257" t="str">
        <f t="shared" si="255"/>
        <v>AE03D9</v>
      </c>
    </row>
    <row r="258">
      <c r="A258" s="14">
        <v>256.0</v>
      </c>
      <c r="B258" t="str">
        <f t="shared" ref="B258:K258" si="256">DEC2HEX(HEX2DEC(B257)+1)</f>
        <v>AE03E0</v>
      </c>
      <c r="C258" t="str">
        <f t="shared" si="256"/>
        <v>AE03E2</v>
      </c>
      <c r="D258" t="str">
        <f t="shared" si="256"/>
        <v>AE03E4</v>
      </c>
      <c r="E258" t="str">
        <f t="shared" si="256"/>
        <v>AE03E6</v>
      </c>
      <c r="F258" t="str">
        <f t="shared" si="256"/>
        <v>AE03E8</v>
      </c>
      <c r="G258" t="str">
        <f t="shared" si="256"/>
        <v>AE03FA</v>
      </c>
      <c r="H258" t="str">
        <f t="shared" si="256"/>
        <v>AE03FC</v>
      </c>
      <c r="I258" t="str">
        <f t="shared" si="256"/>
        <v>AE03FE</v>
      </c>
      <c r="J258" t="str">
        <f t="shared" si="256"/>
        <v>AE0400</v>
      </c>
      <c r="K258" t="str">
        <f t="shared" si="256"/>
        <v>AE03DA</v>
      </c>
    </row>
    <row r="259">
      <c r="A259" s="14">
        <v>257.0</v>
      </c>
      <c r="B259" t="str">
        <f t="shared" ref="B259:K259" si="257">DEC2HEX(HEX2DEC(B258)+1)</f>
        <v>AE03E1</v>
      </c>
      <c r="C259" t="str">
        <f t="shared" si="257"/>
        <v>AE03E3</v>
      </c>
      <c r="D259" t="str">
        <f t="shared" si="257"/>
        <v>AE03E5</v>
      </c>
      <c r="E259" t="str">
        <f t="shared" si="257"/>
        <v>AE03E7</v>
      </c>
      <c r="F259" t="str">
        <f t="shared" si="257"/>
        <v>AE03E9</v>
      </c>
      <c r="G259" t="str">
        <f t="shared" si="257"/>
        <v>AE03FB</v>
      </c>
      <c r="H259" t="str">
        <f t="shared" si="257"/>
        <v>AE03FD</v>
      </c>
      <c r="I259" t="str">
        <f t="shared" si="257"/>
        <v>AE03FF</v>
      </c>
      <c r="J259" t="str">
        <f t="shared" si="257"/>
        <v>AE0401</v>
      </c>
      <c r="K259" t="str">
        <f t="shared" si="257"/>
        <v>AE03DB</v>
      </c>
    </row>
    <row r="260">
      <c r="A260" s="14">
        <v>258.0</v>
      </c>
      <c r="B260" t="str">
        <f t="shared" ref="B260:K260" si="258">DEC2HEX(HEX2DEC(B259)+1)</f>
        <v>AE03E2</v>
      </c>
      <c r="C260" t="str">
        <f t="shared" si="258"/>
        <v>AE03E4</v>
      </c>
      <c r="D260" t="str">
        <f t="shared" si="258"/>
        <v>AE03E6</v>
      </c>
      <c r="E260" t="str">
        <f t="shared" si="258"/>
        <v>AE03E8</v>
      </c>
      <c r="F260" t="str">
        <f t="shared" si="258"/>
        <v>AE03EA</v>
      </c>
      <c r="G260" t="str">
        <f t="shared" si="258"/>
        <v>AE03FC</v>
      </c>
      <c r="H260" t="str">
        <f t="shared" si="258"/>
        <v>AE03FE</v>
      </c>
      <c r="I260" t="str">
        <f t="shared" si="258"/>
        <v>AE0400</v>
      </c>
      <c r="J260" t="str">
        <f t="shared" si="258"/>
        <v>AE0402</v>
      </c>
      <c r="K260" t="str">
        <f t="shared" si="258"/>
        <v>AE03DC</v>
      </c>
    </row>
    <row r="261">
      <c r="A261" s="14">
        <v>259.0</v>
      </c>
      <c r="B261" t="str">
        <f t="shared" ref="B261:K261" si="259">DEC2HEX(HEX2DEC(B260)+1)</f>
        <v>AE03E3</v>
      </c>
      <c r="C261" t="str">
        <f t="shared" si="259"/>
        <v>AE03E5</v>
      </c>
      <c r="D261" t="str">
        <f t="shared" si="259"/>
        <v>AE03E7</v>
      </c>
      <c r="E261" t="str">
        <f t="shared" si="259"/>
        <v>AE03E9</v>
      </c>
      <c r="F261" t="str">
        <f t="shared" si="259"/>
        <v>AE03EB</v>
      </c>
      <c r="G261" t="str">
        <f t="shared" si="259"/>
        <v>AE03FD</v>
      </c>
      <c r="H261" t="str">
        <f t="shared" si="259"/>
        <v>AE03FF</v>
      </c>
      <c r="I261" t="str">
        <f t="shared" si="259"/>
        <v>AE0401</v>
      </c>
      <c r="J261" t="str">
        <f t="shared" si="259"/>
        <v>AE0403</v>
      </c>
      <c r="K261" t="str">
        <f t="shared" si="259"/>
        <v>AE03DD</v>
      </c>
    </row>
    <row r="262">
      <c r="A262" s="14">
        <v>260.0</v>
      </c>
      <c r="B262" t="str">
        <f t="shared" ref="B262:K262" si="260">DEC2HEX(HEX2DEC(B261)+1)</f>
        <v>AE03E4</v>
      </c>
      <c r="C262" t="str">
        <f t="shared" si="260"/>
        <v>AE03E6</v>
      </c>
      <c r="D262" t="str">
        <f t="shared" si="260"/>
        <v>AE03E8</v>
      </c>
      <c r="E262" t="str">
        <f t="shared" si="260"/>
        <v>AE03EA</v>
      </c>
      <c r="F262" t="str">
        <f t="shared" si="260"/>
        <v>AE03EC</v>
      </c>
      <c r="G262" t="str">
        <f t="shared" si="260"/>
        <v>AE03FE</v>
      </c>
      <c r="H262" t="str">
        <f t="shared" si="260"/>
        <v>AE0400</v>
      </c>
      <c r="I262" t="str">
        <f t="shared" si="260"/>
        <v>AE0402</v>
      </c>
      <c r="J262" t="str">
        <f t="shared" si="260"/>
        <v>AE0404</v>
      </c>
      <c r="K262" t="str">
        <f t="shared" si="260"/>
        <v>AE03DE</v>
      </c>
    </row>
    <row r="263">
      <c r="A263" s="14">
        <v>261.0</v>
      </c>
      <c r="B263" t="str">
        <f t="shared" ref="B263:K263" si="261">DEC2HEX(HEX2DEC(B262)+1)</f>
        <v>AE03E5</v>
      </c>
      <c r="C263" t="str">
        <f t="shared" si="261"/>
        <v>AE03E7</v>
      </c>
      <c r="D263" t="str">
        <f t="shared" si="261"/>
        <v>AE03E9</v>
      </c>
      <c r="E263" t="str">
        <f t="shared" si="261"/>
        <v>AE03EB</v>
      </c>
      <c r="F263" t="str">
        <f t="shared" si="261"/>
        <v>AE03ED</v>
      </c>
      <c r="G263" t="str">
        <f t="shared" si="261"/>
        <v>AE03FF</v>
      </c>
      <c r="H263" t="str">
        <f t="shared" si="261"/>
        <v>AE0401</v>
      </c>
      <c r="I263" t="str">
        <f t="shared" si="261"/>
        <v>AE0403</v>
      </c>
      <c r="J263" t="str">
        <f t="shared" si="261"/>
        <v>AE0405</v>
      </c>
      <c r="K263" t="str">
        <f t="shared" si="261"/>
        <v>AE03DF</v>
      </c>
    </row>
    <row r="264">
      <c r="A264" s="14">
        <v>262.0</v>
      </c>
      <c r="B264" t="str">
        <f t="shared" ref="B264:K264" si="262">DEC2HEX(HEX2DEC(B263)+1)</f>
        <v>AE03E6</v>
      </c>
      <c r="C264" t="str">
        <f t="shared" si="262"/>
        <v>AE03E8</v>
      </c>
      <c r="D264" t="str">
        <f t="shared" si="262"/>
        <v>AE03EA</v>
      </c>
      <c r="E264" t="str">
        <f t="shared" si="262"/>
        <v>AE03EC</v>
      </c>
      <c r="F264" t="str">
        <f t="shared" si="262"/>
        <v>AE03EE</v>
      </c>
      <c r="G264" t="str">
        <f t="shared" si="262"/>
        <v>AE0400</v>
      </c>
      <c r="H264" t="str">
        <f t="shared" si="262"/>
        <v>AE0402</v>
      </c>
      <c r="I264" t="str">
        <f t="shared" si="262"/>
        <v>AE0404</v>
      </c>
      <c r="J264" t="str">
        <f t="shared" si="262"/>
        <v>AE0406</v>
      </c>
      <c r="K264" t="str">
        <f t="shared" si="262"/>
        <v>AE03E0</v>
      </c>
    </row>
    <row r="265">
      <c r="A265" s="14">
        <v>263.0</v>
      </c>
      <c r="B265" t="str">
        <f t="shared" ref="B265:K265" si="263">DEC2HEX(HEX2DEC(B264)+1)</f>
        <v>AE03E7</v>
      </c>
      <c r="C265" t="str">
        <f t="shared" si="263"/>
        <v>AE03E9</v>
      </c>
      <c r="D265" t="str">
        <f t="shared" si="263"/>
        <v>AE03EB</v>
      </c>
      <c r="E265" t="str">
        <f t="shared" si="263"/>
        <v>AE03ED</v>
      </c>
      <c r="F265" t="str">
        <f t="shared" si="263"/>
        <v>AE03EF</v>
      </c>
      <c r="G265" t="str">
        <f t="shared" si="263"/>
        <v>AE0401</v>
      </c>
      <c r="H265" t="str">
        <f t="shared" si="263"/>
        <v>AE0403</v>
      </c>
      <c r="I265" t="str">
        <f t="shared" si="263"/>
        <v>AE0405</v>
      </c>
      <c r="J265" t="str">
        <f t="shared" si="263"/>
        <v>AE0407</v>
      </c>
      <c r="K265" t="str">
        <f t="shared" si="263"/>
        <v>AE03E1</v>
      </c>
    </row>
    <row r="266">
      <c r="A266" s="14">
        <v>264.0</v>
      </c>
      <c r="B266" t="str">
        <f t="shared" ref="B266:K266" si="264">DEC2HEX(HEX2DEC(B265)+1)</f>
        <v>AE03E8</v>
      </c>
      <c r="C266" t="str">
        <f t="shared" si="264"/>
        <v>AE03EA</v>
      </c>
      <c r="D266" t="str">
        <f t="shared" si="264"/>
        <v>AE03EC</v>
      </c>
      <c r="E266" t="str">
        <f t="shared" si="264"/>
        <v>AE03EE</v>
      </c>
      <c r="F266" t="str">
        <f t="shared" si="264"/>
        <v>AE03F0</v>
      </c>
      <c r="G266" t="str">
        <f t="shared" si="264"/>
        <v>AE0402</v>
      </c>
      <c r="H266" t="str">
        <f t="shared" si="264"/>
        <v>AE0404</v>
      </c>
      <c r="I266" t="str">
        <f t="shared" si="264"/>
        <v>AE0406</v>
      </c>
      <c r="J266" t="str">
        <f t="shared" si="264"/>
        <v>AE0408</v>
      </c>
      <c r="K266" t="str">
        <f t="shared" si="264"/>
        <v>AE03E2</v>
      </c>
    </row>
    <row r="267">
      <c r="A267" s="14">
        <v>265.0</v>
      </c>
      <c r="B267" t="str">
        <f t="shared" ref="B267:K267" si="265">DEC2HEX(HEX2DEC(B266)+1)</f>
        <v>AE03E9</v>
      </c>
      <c r="C267" t="str">
        <f t="shared" si="265"/>
        <v>AE03EB</v>
      </c>
      <c r="D267" t="str">
        <f t="shared" si="265"/>
        <v>AE03ED</v>
      </c>
      <c r="E267" t="str">
        <f t="shared" si="265"/>
        <v>AE03EF</v>
      </c>
      <c r="F267" t="str">
        <f t="shared" si="265"/>
        <v>AE03F1</v>
      </c>
      <c r="G267" t="str">
        <f t="shared" si="265"/>
        <v>AE0403</v>
      </c>
      <c r="H267" t="str">
        <f t="shared" si="265"/>
        <v>AE0405</v>
      </c>
      <c r="I267" t="str">
        <f t="shared" si="265"/>
        <v>AE0407</v>
      </c>
      <c r="J267" t="str">
        <f t="shared" si="265"/>
        <v>AE0409</v>
      </c>
      <c r="K267" t="str">
        <f t="shared" si="265"/>
        <v>AE03E3</v>
      </c>
    </row>
    <row r="268">
      <c r="A268" s="14">
        <v>266.0</v>
      </c>
      <c r="B268" t="str">
        <f t="shared" ref="B268:K268" si="266">DEC2HEX(HEX2DEC(B267)+1)</f>
        <v>AE03EA</v>
      </c>
      <c r="C268" t="str">
        <f t="shared" si="266"/>
        <v>AE03EC</v>
      </c>
      <c r="D268" t="str">
        <f t="shared" si="266"/>
        <v>AE03EE</v>
      </c>
      <c r="E268" t="str">
        <f t="shared" si="266"/>
        <v>AE03F0</v>
      </c>
      <c r="F268" t="str">
        <f t="shared" si="266"/>
        <v>AE03F2</v>
      </c>
      <c r="G268" t="str">
        <f t="shared" si="266"/>
        <v>AE0404</v>
      </c>
      <c r="H268" t="str">
        <f t="shared" si="266"/>
        <v>AE0406</v>
      </c>
      <c r="I268" t="str">
        <f t="shared" si="266"/>
        <v>AE0408</v>
      </c>
      <c r="J268" t="str">
        <f t="shared" si="266"/>
        <v>AE040A</v>
      </c>
      <c r="K268" t="str">
        <f t="shared" si="266"/>
        <v>AE03E4</v>
      </c>
    </row>
    <row r="269">
      <c r="A269" s="14">
        <v>267.0</v>
      </c>
      <c r="B269" t="str">
        <f t="shared" ref="B269:K269" si="267">DEC2HEX(HEX2DEC(B268)+1)</f>
        <v>AE03EB</v>
      </c>
      <c r="C269" t="str">
        <f t="shared" si="267"/>
        <v>AE03ED</v>
      </c>
      <c r="D269" t="str">
        <f t="shared" si="267"/>
        <v>AE03EF</v>
      </c>
      <c r="E269" t="str">
        <f t="shared" si="267"/>
        <v>AE03F1</v>
      </c>
      <c r="F269" t="str">
        <f t="shared" si="267"/>
        <v>AE03F3</v>
      </c>
      <c r="G269" t="str">
        <f t="shared" si="267"/>
        <v>AE0405</v>
      </c>
      <c r="H269" t="str">
        <f t="shared" si="267"/>
        <v>AE0407</v>
      </c>
      <c r="I269" t="str">
        <f t="shared" si="267"/>
        <v>AE0409</v>
      </c>
      <c r="J269" t="str">
        <f t="shared" si="267"/>
        <v>AE040B</v>
      </c>
      <c r="K269" t="str">
        <f t="shared" si="267"/>
        <v>AE03E5</v>
      </c>
    </row>
    <row r="270">
      <c r="A270" s="14">
        <v>268.0</v>
      </c>
      <c r="B270" t="str">
        <f t="shared" ref="B270:K270" si="268">DEC2HEX(HEX2DEC(B269)+1)</f>
        <v>AE03EC</v>
      </c>
      <c r="C270" t="str">
        <f t="shared" si="268"/>
        <v>AE03EE</v>
      </c>
      <c r="D270" t="str">
        <f t="shared" si="268"/>
        <v>AE03F0</v>
      </c>
      <c r="E270" t="str">
        <f t="shared" si="268"/>
        <v>AE03F2</v>
      </c>
      <c r="F270" t="str">
        <f t="shared" si="268"/>
        <v>AE03F4</v>
      </c>
      <c r="G270" t="str">
        <f t="shared" si="268"/>
        <v>AE0406</v>
      </c>
      <c r="H270" t="str">
        <f t="shared" si="268"/>
        <v>AE0408</v>
      </c>
      <c r="I270" t="str">
        <f t="shared" si="268"/>
        <v>AE040A</v>
      </c>
      <c r="J270" t="str">
        <f t="shared" si="268"/>
        <v>AE040C</v>
      </c>
      <c r="K270" t="str">
        <f t="shared" si="268"/>
        <v>AE03E6</v>
      </c>
    </row>
    <row r="271">
      <c r="A271" s="14">
        <v>269.0</v>
      </c>
      <c r="B271" t="str">
        <f t="shared" ref="B271:K271" si="269">DEC2HEX(HEX2DEC(B270)+1)</f>
        <v>AE03ED</v>
      </c>
      <c r="C271" t="str">
        <f t="shared" si="269"/>
        <v>AE03EF</v>
      </c>
      <c r="D271" t="str">
        <f t="shared" si="269"/>
        <v>AE03F1</v>
      </c>
      <c r="E271" t="str">
        <f t="shared" si="269"/>
        <v>AE03F3</v>
      </c>
      <c r="F271" t="str">
        <f t="shared" si="269"/>
        <v>AE03F5</v>
      </c>
      <c r="G271" t="str">
        <f t="shared" si="269"/>
        <v>AE0407</v>
      </c>
      <c r="H271" t="str">
        <f t="shared" si="269"/>
        <v>AE0409</v>
      </c>
      <c r="I271" t="str">
        <f t="shared" si="269"/>
        <v>AE040B</v>
      </c>
      <c r="J271" t="str">
        <f t="shared" si="269"/>
        <v>AE040D</v>
      </c>
      <c r="K271" t="str">
        <f t="shared" si="269"/>
        <v>AE03E7</v>
      </c>
    </row>
    <row r="272">
      <c r="A272" s="14">
        <v>270.0</v>
      </c>
      <c r="B272" t="str">
        <f t="shared" ref="B272:K272" si="270">DEC2HEX(HEX2DEC(B271)+1)</f>
        <v>AE03EE</v>
      </c>
      <c r="C272" t="str">
        <f t="shared" si="270"/>
        <v>AE03F0</v>
      </c>
      <c r="D272" t="str">
        <f t="shared" si="270"/>
        <v>AE03F2</v>
      </c>
      <c r="E272" t="str">
        <f t="shared" si="270"/>
        <v>AE03F4</v>
      </c>
      <c r="F272" t="str">
        <f t="shared" si="270"/>
        <v>AE03F6</v>
      </c>
      <c r="G272" t="str">
        <f t="shared" si="270"/>
        <v>AE0408</v>
      </c>
      <c r="H272" t="str">
        <f t="shared" si="270"/>
        <v>AE040A</v>
      </c>
      <c r="I272" t="str">
        <f t="shared" si="270"/>
        <v>AE040C</v>
      </c>
      <c r="J272" t="str">
        <f t="shared" si="270"/>
        <v>AE040E</v>
      </c>
      <c r="K272" t="str">
        <f t="shared" si="270"/>
        <v>AE03E8</v>
      </c>
    </row>
    <row r="273">
      <c r="A273" s="14">
        <v>271.0</v>
      </c>
      <c r="B273" t="str">
        <f t="shared" ref="B273:K273" si="271">DEC2HEX(HEX2DEC(B272)+1)</f>
        <v>AE03EF</v>
      </c>
      <c r="C273" t="str">
        <f t="shared" si="271"/>
        <v>AE03F1</v>
      </c>
      <c r="D273" t="str">
        <f t="shared" si="271"/>
        <v>AE03F3</v>
      </c>
      <c r="E273" t="str">
        <f t="shared" si="271"/>
        <v>AE03F5</v>
      </c>
      <c r="F273" t="str">
        <f t="shared" si="271"/>
        <v>AE03F7</v>
      </c>
      <c r="G273" t="str">
        <f t="shared" si="271"/>
        <v>AE0409</v>
      </c>
      <c r="H273" t="str">
        <f t="shared" si="271"/>
        <v>AE040B</v>
      </c>
      <c r="I273" t="str">
        <f t="shared" si="271"/>
        <v>AE040D</v>
      </c>
      <c r="J273" t="str">
        <f t="shared" si="271"/>
        <v>AE040F</v>
      </c>
      <c r="K273" t="str">
        <f t="shared" si="271"/>
        <v>AE03E9</v>
      </c>
    </row>
    <row r="274">
      <c r="A274" s="14">
        <v>272.0</v>
      </c>
      <c r="B274" t="str">
        <f t="shared" ref="B274:K274" si="272">DEC2HEX(HEX2DEC(B273)+1)</f>
        <v>AE03F0</v>
      </c>
      <c r="C274" t="str">
        <f t="shared" si="272"/>
        <v>AE03F2</v>
      </c>
      <c r="D274" t="str">
        <f t="shared" si="272"/>
        <v>AE03F4</v>
      </c>
      <c r="E274" t="str">
        <f t="shared" si="272"/>
        <v>AE03F6</v>
      </c>
      <c r="F274" t="str">
        <f t="shared" si="272"/>
        <v>AE03F8</v>
      </c>
      <c r="G274" t="str">
        <f t="shared" si="272"/>
        <v>AE040A</v>
      </c>
      <c r="H274" t="str">
        <f t="shared" si="272"/>
        <v>AE040C</v>
      </c>
      <c r="I274" t="str">
        <f t="shared" si="272"/>
        <v>AE040E</v>
      </c>
      <c r="J274" t="str">
        <f t="shared" si="272"/>
        <v>AE0410</v>
      </c>
      <c r="K274" t="str">
        <f t="shared" si="272"/>
        <v>AE03EA</v>
      </c>
    </row>
    <row r="275">
      <c r="A275" s="14">
        <v>273.0</v>
      </c>
      <c r="B275" t="str">
        <f t="shared" ref="B275:K275" si="273">DEC2HEX(HEX2DEC(B274)+1)</f>
        <v>AE03F1</v>
      </c>
      <c r="C275" t="str">
        <f t="shared" si="273"/>
        <v>AE03F3</v>
      </c>
      <c r="D275" t="str">
        <f t="shared" si="273"/>
        <v>AE03F5</v>
      </c>
      <c r="E275" t="str">
        <f t="shared" si="273"/>
        <v>AE03F7</v>
      </c>
      <c r="F275" t="str">
        <f t="shared" si="273"/>
        <v>AE03F9</v>
      </c>
      <c r="G275" t="str">
        <f t="shared" si="273"/>
        <v>AE040B</v>
      </c>
      <c r="H275" t="str">
        <f t="shared" si="273"/>
        <v>AE040D</v>
      </c>
      <c r="I275" t="str">
        <f t="shared" si="273"/>
        <v>AE040F</v>
      </c>
      <c r="J275" t="str">
        <f t="shared" si="273"/>
        <v>AE0411</v>
      </c>
      <c r="K275" t="str">
        <f t="shared" si="273"/>
        <v>AE03EB</v>
      </c>
    </row>
    <row r="276">
      <c r="A276" s="14">
        <v>274.0</v>
      </c>
      <c r="B276" t="str">
        <f t="shared" ref="B276:K276" si="274">DEC2HEX(HEX2DEC(B275)+1)</f>
        <v>AE03F2</v>
      </c>
      <c r="C276" t="str">
        <f t="shared" si="274"/>
        <v>AE03F4</v>
      </c>
      <c r="D276" t="str">
        <f t="shared" si="274"/>
        <v>AE03F6</v>
      </c>
      <c r="E276" t="str">
        <f t="shared" si="274"/>
        <v>AE03F8</v>
      </c>
      <c r="F276" t="str">
        <f t="shared" si="274"/>
        <v>AE03FA</v>
      </c>
      <c r="G276" t="str">
        <f t="shared" si="274"/>
        <v>AE040C</v>
      </c>
      <c r="H276" t="str">
        <f t="shared" si="274"/>
        <v>AE040E</v>
      </c>
      <c r="I276" t="str">
        <f t="shared" si="274"/>
        <v>AE0410</v>
      </c>
      <c r="J276" t="str">
        <f t="shared" si="274"/>
        <v>AE0412</v>
      </c>
      <c r="K276" t="str">
        <f t="shared" si="274"/>
        <v>AE03EC</v>
      </c>
    </row>
    <row r="277">
      <c r="A277" s="14">
        <v>275.0</v>
      </c>
      <c r="B277" t="str">
        <f t="shared" ref="B277:K277" si="275">DEC2HEX(HEX2DEC(B276)+1)</f>
        <v>AE03F3</v>
      </c>
      <c r="C277" t="str">
        <f t="shared" si="275"/>
        <v>AE03F5</v>
      </c>
      <c r="D277" t="str">
        <f t="shared" si="275"/>
        <v>AE03F7</v>
      </c>
      <c r="E277" t="str">
        <f t="shared" si="275"/>
        <v>AE03F9</v>
      </c>
      <c r="F277" t="str">
        <f t="shared" si="275"/>
        <v>AE03FB</v>
      </c>
      <c r="G277" t="str">
        <f t="shared" si="275"/>
        <v>AE040D</v>
      </c>
      <c r="H277" t="str">
        <f t="shared" si="275"/>
        <v>AE040F</v>
      </c>
      <c r="I277" t="str">
        <f t="shared" si="275"/>
        <v>AE0411</v>
      </c>
      <c r="J277" t="str">
        <f t="shared" si="275"/>
        <v>AE0413</v>
      </c>
      <c r="K277" t="str">
        <f t="shared" si="275"/>
        <v>AE03ED</v>
      </c>
    </row>
    <row r="278">
      <c r="A278" s="14">
        <v>276.0</v>
      </c>
      <c r="B278" t="str">
        <f t="shared" ref="B278:K278" si="276">DEC2HEX(HEX2DEC(B277)+1)</f>
        <v>AE03F4</v>
      </c>
      <c r="C278" t="str">
        <f t="shared" si="276"/>
        <v>AE03F6</v>
      </c>
      <c r="D278" t="str">
        <f t="shared" si="276"/>
        <v>AE03F8</v>
      </c>
      <c r="E278" t="str">
        <f t="shared" si="276"/>
        <v>AE03FA</v>
      </c>
      <c r="F278" t="str">
        <f t="shared" si="276"/>
        <v>AE03FC</v>
      </c>
      <c r="G278" t="str">
        <f t="shared" si="276"/>
        <v>AE040E</v>
      </c>
      <c r="H278" t="str">
        <f t="shared" si="276"/>
        <v>AE0410</v>
      </c>
      <c r="I278" t="str">
        <f t="shared" si="276"/>
        <v>AE0412</v>
      </c>
      <c r="J278" t="str">
        <f t="shared" si="276"/>
        <v>AE0414</v>
      </c>
      <c r="K278" t="str">
        <f t="shared" si="276"/>
        <v>AE03EE</v>
      </c>
    </row>
    <row r="279">
      <c r="A279" s="14">
        <v>277.0</v>
      </c>
      <c r="B279" t="str">
        <f t="shared" ref="B279:K279" si="277">DEC2HEX(HEX2DEC(B278)+1)</f>
        <v>AE03F5</v>
      </c>
      <c r="C279" t="str">
        <f t="shared" si="277"/>
        <v>AE03F7</v>
      </c>
      <c r="D279" t="str">
        <f t="shared" si="277"/>
        <v>AE03F9</v>
      </c>
      <c r="E279" t="str">
        <f t="shared" si="277"/>
        <v>AE03FB</v>
      </c>
      <c r="F279" t="str">
        <f t="shared" si="277"/>
        <v>AE03FD</v>
      </c>
      <c r="G279" t="str">
        <f t="shared" si="277"/>
        <v>AE040F</v>
      </c>
      <c r="H279" t="str">
        <f t="shared" si="277"/>
        <v>AE0411</v>
      </c>
      <c r="I279" t="str">
        <f t="shared" si="277"/>
        <v>AE0413</v>
      </c>
      <c r="J279" t="str">
        <f t="shared" si="277"/>
        <v>AE0415</v>
      </c>
      <c r="K279" t="str">
        <f t="shared" si="277"/>
        <v>AE03EF</v>
      </c>
    </row>
    <row r="280">
      <c r="A280" s="14">
        <v>278.0</v>
      </c>
      <c r="B280" t="str">
        <f t="shared" ref="B280:K280" si="278">DEC2HEX(HEX2DEC(B279)+1)</f>
        <v>AE03F6</v>
      </c>
      <c r="C280" t="str">
        <f t="shared" si="278"/>
        <v>AE03F8</v>
      </c>
      <c r="D280" t="str">
        <f t="shared" si="278"/>
        <v>AE03FA</v>
      </c>
      <c r="E280" t="str">
        <f t="shared" si="278"/>
        <v>AE03FC</v>
      </c>
      <c r="F280" t="str">
        <f t="shared" si="278"/>
        <v>AE03FE</v>
      </c>
      <c r="G280" t="str">
        <f t="shared" si="278"/>
        <v>AE0410</v>
      </c>
      <c r="H280" t="str">
        <f t="shared" si="278"/>
        <v>AE0412</v>
      </c>
      <c r="I280" t="str">
        <f t="shared" si="278"/>
        <v>AE0414</v>
      </c>
      <c r="J280" t="str">
        <f t="shared" si="278"/>
        <v>AE0416</v>
      </c>
      <c r="K280" t="str">
        <f t="shared" si="278"/>
        <v>AE03F0</v>
      </c>
    </row>
    <row r="281">
      <c r="A281" s="14">
        <v>279.0</v>
      </c>
      <c r="B281" t="str">
        <f t="shared" ref="B281:K281" si="279">DEC2HEX(HEX2DEC(B280)+1)</f>
        <v>AE03F7</v>
      </c>
      <c r="C281" t="str">
        <f t="shared" si="279"/>
        <v>AE03F9</v>
      </c>
      <c r="D281" t="str">
        <f t="shared" si="279"/>
        <v>AE03FB</v>
      </c>
      <c r="E281" t="str">
        <f t="shared" si="279"/>
        <v>AE03FD</v>
      </c>
      <c r="F281" t="str">
        <f t="shared" si="279"/>
        <v>AE03FF</v>
      </c>
      <c r="G281" t="str">
        <f t="shared" si="279"/>
        <v>AE0411</v>
      </c>
      <c r="H281" t="str">
        <f t="shared" si="279"/>
        <v>AE0413</v>
      </c>
      <c r="I281" t="str">
        <f t="shared" si="279"/>
        <v>AE0415</v>
      </c>
      <c r="J281" t="str">
        <f t="shared" si="279"/>
        <v>AE0417</v>
      </c>
      <c r="K281" t="str">
        <f t="shared" si="279"/>
        <v>AE03F1</v>
      </c>
    </row>
    <row r="282">
      <c r="A282" s="14">
        <v>280.0</v>
      </c>
      <c r="B282" t="str">
        <f t="shared" ref="B282:K282" si="280">DEC2HEX(HEX2DEC(B281)+1)</f>
        <v>AE03F8</v>
      </c>
      <c r="C282" t="str">
        <f t="shared" si="280"/>
        <v>AE03FA</v>
      </c>
      <c r="D282" t="str">
        <f t="shared" si="280"/>
        <v>AE03FC</v>
      </c>
      <c r="E282" t="str">
        <f t="shared" si="280"/>
        <v>AE03FE</v>
      </c>
      <c r="F282" t="str">
        <f t="shared" si="280"/>
        <v>AE0400</v>
      </c>
      <c r="G282" t="str">
        <f t="shared" si="280"/>
        <v>AE0412</v>
      </c>
      <c r="H282" t="str">
        <f t="shared" si="280"/>
        <v>AE0414</v>
      </c>
      <c r="I282" t="str">
        <f t="shared" si="280"/>
        <v>AE0416</v>
      </c>
      <c r="J282" t="str">
        <f t="shared" si="280"/>
        <v>AE0418</v>
      </c>
      <c r="K282" t="str">
        <f t="shared" si="280"/>
        <v>AE03F2</v>
      </c>
    </row>
    <row r="283">
      <c r="A283" s="14">
        <v>281.0</v>
      </c>
      <c r="B283" t="str">
        <f t="shared" ref="B283:K283" si="281">DEC2HEX(HEX2DEC(B282)+1)</f>
        <v>AE03F9</v>
      </c>
      <c r="C283" t="str">
        <f t="shared" si="281"/>
        <v>AE03FB</v>
      </c>
      <c r="D283" t="str">
        <f t="shared" si="281"/>
        <v>AE03FD</v>
      </c>
      <c r="E283" t="str">
        <f t="shared" si="281"/>
        <v>AE03FF</v>
      </c>
      <c r="F283" t="str">
        <f t="shared" si="281"/>
        <v>AE0401</v>
      </c>
      <c r="G283" t="str">
        <f t="shared" si="281"/>
        <v>AE0413</v>
      </c>
      <c r="H283" t="str">
        <f t="shared" si="281"/>
        <v>AE0415</v>
      </c>
      <c r="I283" t="str">
        <f t="shared" si="281"/>
        <v>AE0417</v>
      </c>
      <c r="J283" t="str">
        <f t="shared" si="281"/>
        <v>AE0419</v>
      </c>
      <c r="K283" t="str">
        <f t="shared" si="281"/>
        <v>AE03F3</v>
      </c>
    </row>
    <row r="284">
      <c r="A284" s="14">
        <v>282.0</v>
      </c>
      <c r="B284" t="str">
        <f t="shared" ref="B284:K284" si="282">DEC2HEX(HEX2DEC(B283)+1)</f>
        <v>AE03FA</v>
      </c>
      <c r="C284" t="str">
        <f t="shared" si="282"/>
        <v>AE03FC</v>
      </c>
      <c r="D284" t="str">
        <f t="shared" si="282"/>
        <v>AE03FE</v>
      </c>
      <c r="E284" t="str">
        <f t="shared" si="282"/>
        <v>AE0400</v>
      </c>
      <c r="F284" t="str">
        <f t="shared" si="282"/>
        <v>AE0402</v>
      </c>
      <c r="G284" t="str">
        <f t="shared" si="282"/>
        <v>AE0414</v>
      </c>
      <c r="H284" t="str">
        <f t="shared" si="282"/>
        <v>AE0416</v>
      </c>
      <c r="I284" t="str">
        <f t="shared" si="282"/>
        <v>AE0418</v>
      </c>
      <c r="J284" t="str">
        <f t="shared" si="282"/>
        <v>AE041A</v>
      </c>
      <c r="K284" t="str">
        <f t="shared" si="282"/>
        <v>AE03F4</v>
      </c>
    </row>
    <row r="285">
      <c r="A285" s="14">
        <v>283.0</v>
      </c>
      <c r="B285" t="str">
        <f t="shared" ref="B285:K285" si="283">DEC2HEX(HEX2DEC(B284)+1)</f>
        <v>AE03FB</v>
      </c>
      <c r="C285" t="str">
        <f t="shared" si="283"/>
        <v>AE03FD</v>
      </c>
      <c r="D285" t="str">
        <f t="shared" si="283"/>
        <v>AE03FF</v>
      </c>
      <c r="E285" t="str">
        <f t="shared" si="283"/>
        <v>AE0401</v>
      </c>
      <c r="F285" t="str">
        <f t="shared" si="283"/>
        <v>AE0403</v>
      </c>
      <c r="G285" t="str">
        <f t="shared" si="283"/>
        <v>AE0415</v>
      </c>
      <c r="H285" t="str">
        <f t="shared" si="283"/>
        <v>AE0417</v>
      </c>
      <c r="I285" t="str">
        <f t="shared" si="283"/>
        <v>AE0419</v>
      </c>
      <c r="J285" t="str">
        <f t="shared" si="283"/>
        <v>AE041B</v>
      </c>
      <c r="K285" t="str">
        <f t="shared" si="283"/>
        <v>AE03F5</v>
      </c>
    </row>
    <row r="286">
      <c r="A286" s="14">
        <v>284.0</v>
      </c>
      <c r="B286" t="str">
        <f t="shared" ref="B286:K286" si="284">DEC2HEX(HEX2DEC(B285)+1)</f>
        <v>AE03FC</v>
      </c>
      <c r="C286" t="str">
        <f t="shared" si="284"/>
        <v>AE03FE</v>
      </c>
      <c r="D286" t="str">
        <f t="shared" si="284"/>
        <v>AE0400</v>
      </c>
      <c r="E286" t="str">
        <f t="shared" si="284"/>
        <v>AE0402</v>
      </c>
      <c r="F286" t="str">
        <f t="shared" si="284"/>
        <v>AE0404</v>
      </c>
      <c r="G286" t="str">
        <f t="shared" si="284"/>
        <v>AE0416</v>
      </c>
      <c r="H286" t="str">
        <f t="shared" si="284"/>
        <v>AE0418</v>
      </c>
      <c r="I286" t="str">
        <f t="shared" si="284"/>
        <v>AE041A</v>
      </c>
      <c r="J286" t="str">
        <f t="shared" si="284"/>
        <v>AE041C</v>
      </c>
      <c r="K286" t="str">
        <f t="shared" si="284"/>
        <v>AE03F6</v>
      </c>
    </row>
    <row r="287">
      <c r="A287" s="14">
        <v>285.0</v>
      </c>
      <c r="B287" t="str">
        <f t="shared" ref="B287:K287" si="285">DEC2HEX(HEX2DEC(B286)+1)</f>
        <v>AE03FD</v>
      </c>
      <c r="C287" t="str">
        <f t="shared" si="285"/>
        <v>AE03FF</v>
      </c>
      <c r="D287" t="str">
        <f t="shared" si="285"/>
        <v>AE0401</v>
      </c>
      <c r="E287" t="str">
        <f t="shared" si="285"/>
        <v>AE0403</v>
      </c>
      <c r="F287" t="str">
        <f t="shared" si="285"/>
        <v>AE0405</v>
      </c>
      <c r="G287" t="str">
        <f t="shared" si="285"/>
        <v>AE0417</v>
      </c>
      <c r="H287" t="str">
        <f t="shared" si="285"/>
        <v>AE0419</v>
      </c>
      <c r="I287" t="str">
        <f t="shared" si="285"/>
        <v>AE041B</v>
      </c>
      <c r="J287" t="str">
        <f t="shared" si="285"/>
        <v>AE041D</v>
      </c>
      <c r="K287" t="str">
        <f t="shared" si="285"/>
        <v>AE03F7</v>
      </c>
    </row>
    <row r="288">
      <c r="A288" s="14">
        <v>286.0</v>
      </c>
      <c r="B288" t="str">
        <f t="shared" ref="B288:K288" si="286">DEC2HEX(HEX2DEC(B287)+1)</f>
        <v>AE03FE</v>
      </c>
      <c r="C288" t="str">
        <f t="shared" si="286"/>
        <v>AE0400</v>
      </c>
      <c r="D288" t="str">
        <f t="shared" si="286"/>
        <v>AE0402</v>
      </c>
      <c r="E288" t="str">
        <f t="shared" si="286"/>
        <v>AE0404</v>
      </c>
      <c r="F288" t="str">
        <f t="shared" si="286"/>
        <v>AE0406</v>
      </c>
      <c r="G288" t="str">
        <f t="shared" si="286"/>
        <v>AE0418</v>
      </c>
      <c r="H288" t="str">
        <f t="shared" si="286"/>
        <v>AE041A</v>
      </c>
      <c r="I288" t="str">
        <f t="shared" si="286"/>
        <v>AE041C</v>
      </c>
      <c r="J288" t="str">
        <f t="shared" si="286"/>
        <v>AE041E</v>
      </c>
      <c r="K288" t="str">
        <f t="shared" si="286"/>
        <v>AE03F8</v>
      </c>
    </row>
    <row r="289">
      <c r="A289" s="14">
        <v>287.0</v>
      </c>
      <c r="B289" t="str">
        <f t="shared" ref="B289:K289" si="287">DEC2HEX(HEX2DEC(B288)+1)</f>
        <v>AE03FF</v>
      </c>
      <c r="C289" t="str">
        <f t="shared" si="287"/>
        <v>AE0401</v>
      </c>
      <c r="D289" t="str">
        <f t="shared" si="287"/>
        <v>AE0403</v>
      </c>
      <c r="E289" t="str">
        <f t="shared" si="287"/>
        <v>AE0405</v>
      </c>
      <c r="F289" t="str">
        <f t="shared" si="287"/>
        <v>AE0407</v>
      </c>
      <c r="G289" t="str">
        <f t="shared" si="287"/>
        <v>AE0419</v>
      </c>
      <c r="H289" t="str">
        <f t="shared" si="287"/>
        <v>AE041B</v>
      </c>
      <c r="I289" t="str">
        <f t="shared" si="287"/>
        <v>AE041D</v>
      </c>
      <c r="J289" t="str">
        <f t="shared" si="287"/>
        <v>AE041F</v>
      </c>
      <c r="K289" t="str">
        <f t="shared" si="287"/>
        <v>AE03F9</v>
      </c>
    </row>
    <row r="290">
      <c r="A290" s="14">
        <v>288.0</v>
      </c>
      <c r="B290" t="str">
        <f t="shared" ref="B290:K290" si="288">DEC2HEX(HEX2DEC(B289)+1)</f>
        <v>AE0400</v>
      </c>
      <c r="C290" t="str">
        <f t="shared" si="288"/>
        <v>AE0402</v>
      </c>
      <c r="D290" t="str">
        <f t="shared" si="288"/>
        <v>AE0404</v>
      </c>
      <c r="E290" t="str">
        <f t="shared" si="288"/>
        <v>AE0406</v>
      </c>
      <c r="F290" t="str">
        <f t="shared" si="288"/>
        <v>AE0408</v>
      </c>
      <c r="G290" t="str">
        <f t="shared" si="288"/>
        <v>AE041A</v>
      </c>
      <c r="H290" t="str">
        <f t="shared" si="288"/>
        <v>AE041C</v>
      </c>
      <c r="I290" t="str">
        <f t="shared" si="288"/>
        <v>AE041E</v>
      </c>
      <c r="J290" t="str">
        <f t="shared" si="288"/>
        <v>AE0420</v>
      </c>
      <c r="K290" t="str">
        <f t="shared" si="288"/>
        <v>AE03FA</v>
      </c>
    </row>
    <row r="291">
      <c r="A291" s="14">
        <v>289.0</v>
      </c>
      <c r="B291" t="str">
        <f t="shared" ref="B291:K291" si="289">DEC2HEX(HEX2DEC(B290)+1)</f>
        <v>AE0401</v>
      </c>
      <c r="C291" t="str">
        <f t="shared" si="289"/>
        <v>AE0403</v>
      </c>
      <c r="D291" t="str">
        <f t="shared" si="289"/>
        <v>AE0405</v>
      </c>
      <c r="E291" t="str">
        <f t="shared" si="289"/>
        <v>AE0407</v>
      </c>
      <c r="F291" t="str">
        <f t="shared" si="289"/>
        <v>AE0409</v>
      </c>
      <c r="G291" t="str">
        <f t="shared" si="289"/>
        <v>AE041B</v>
      </c>
      <c r="H291" t="str">
        <f t="shared" si="289"/>
        <v>AE041D</v>
      </c>
      <c r="I291" t="str">
        <f t="shared" si="289"/>
        <v>AE041F</v>
      </c>
      <c r="J291" t="str">
        <f t="shared" si="289"/>
        <v>AE0421</v>
      </c>
      <c r="K291" t="str">
        <f t="shared" si="289"/>
        <v>AE03FB</v>
      </c>
    </row>
    <row r="292">
      <c r="A292" s="14">
        <v>290.0</v>
      </c>
      <c r="B292" t="str">
        <f t="shared" ref="B292:K292" si="290">DEC2HEX(HEX2DEC(B291)+1)</f>
        <v>AE0402</v>
      </c>
      <c r="C292" t="str">
        <f t="shared" si="290"/>
        <v>AE0404</v>
      </c>
      <c r="D292" t="str">
        <f t="shared" si="290"/>
        <v>AE0406</v>
      </c>
      <c r="E292" t="str">
        <f t="shared" si="290"/>
        <v>AE0408</v>
      </c>
      <c r="F292" t="str">
        <f t="shared" si="290"/>
        <v>AE040A</v>
      </c>
      <c r="G292" t="str">
        <f t="shared" si="290"/>
        <v>AE041C</v>
      </c>
      <c r="H292" t="str">
        <f t="shared" si="290"/>
        <v>AE041E</v>
      </c>
      <c r="I292" t="str">
        <f t="shared" si="290"/>
        <v>AE0420</v>
      </c>
      <c r="J292" t="str">
        <f t="shared" si="290"/>
        <v>AE0422</v>
      </c>
      <c r="K292" t="str">
        <f t="shared" si="290"/>
        <v>AE03FC</v>
      </c>
    </row>
    <row r="293">
      <c r="A293" s="14">
        <v>291.0</v>
      </c>
      <c r="B293" t="str">
        <f t="shared" ref="B293:K293" si="291">DEC2HEX(HEX2DEC(B292)+1)</f>
        <v>AE0403</v>
      </c>
      <c r="C293" t="str">
        <f t="shared" si="291"/>
        <v>AE0405</v>
      </c>
      <c r="D293" t="str">
        <f t="shared" si="291"/>
        <v>AE0407</v>
      </c>
      <c r="E293" t="str">
        <f t="shared" si="291"/>
        <v>AE0409</v>
      </c>
      <c r="F293" t="str">
        <f t="shared" si="291"/>
        <v>AE040B</v>
      </c>
      <c r="G293" t="str">
        <f t="shared" si="291"/>
        <v>AE041D</v>
      </c>
      <c r="H293" t="str">
        <f t="shared" si="291"/>
        <v>AE041F</v>
      </c>
      <c r="I293" t="str">
        <f t="shared" si="291"/>
        <v>AE0421</v>
      </c>
      <c r="J293" t="str">
        <f t="shared" si="291"/>
        <v>AE0423</v>
      </c>
      <c r="K293" t="str">
        <f t="shared" si="291"/>
        <v>AE03FD</v>
      </c>
    </row>
    <row r="294">
      <c r="A294" s="14">
        <v>292.0</v>
      </c>
      <c r="B294" t="str">
        <f t="shared" ref="B294:K294" si="292">DEC2HEX(HEX2DEC(B293)+1)</f>
        <v>AE0404</v>
      </c>
      <c r="C294" t="str">
        <f t="shared" si="292"/>
        <v>AE0406</v>
      </c>
      <c r="D294" t="str">
        <f t="shared" si="292"/>
        <v>AE0408</v>
      </c>
      <c r="E294" t="str">
        <f t="shared" si="292"/>
        <v>AE040A</v>
      </c>
      <c r="F294" t="str">
        <f t="shared" si="292"/>
        <v>AE040C</v>
      </c>
      <c r="G294" t="str">
        <f t="shared" si="292"/>
        <v>AE041E</v>
      </c>
      <c r="H294" t="str">
        <f t="shared" si="292"/>
        <v>AE0420</v>
      </c>
      <c r="I294" t="str">
        <f t="shared" si="292"/>
        <v>AE0422</v>
      </c>
      <c r="J294" t="str">
        <f t="shared" si="292"/>
        <v>AE0424</v>
      </c>
      <c r="K294" t="str">
        <f t="shared" si="292"/>
        <v>AE03FE</v>
      </c>
    </row>
    <row r="295">
      <c r="A295" s="14">
        <v>293.0</v>
      </c>
      <c r="B295" t="str">
        <f t="shared" ref="B295:K295" si="293">DEC2HEX(HEX2DEC(B294)+1)</f>
        <v>AE0405</v>
      </c>
      <c r="C295" t="str">
        <f t="shared" si="293"/>
        <v>AE0407</v>
      </c>
      <c r="D295" t="str">
        <f t="shared" si="293"/>
        <v>AE0409</v>
      </c>
      <c r="E295" t="str">
        <f t="shared" si="293"/>
        <v>AE040B</v>
      </c>
      <c r="F295" t="str">
        <f t="shared" si="293"/>
        <v>AE040D</v>
      </c>
      <c r="G295" t="str">
        <f t="shared" si="293"/>
        <v>AE041F</v>
      </c>
      <c r="H295" t="str">
        <f t="shared" si="293"/>
        <v>AE0421</v>
      </c>
      <c r="I295" t="str">
        <f t="shared" si="293"/>
        <v>AE0423</v>
      </c>
      <c r="J295" t="str">
        <f t="shared" si="293"/>
        <v>AE0425</v>
      </c>
      <c r="K295" t="str">
        <f t="shared" si="293"/>
        <v>AE03FF</v>
      </c>
    </row>
    <row r="296">
      <c r="A296" s="14">
        <v>294.0</v>
      </c>
      <c r="B296" t="str">
        <f t="shared" ref="B296:K296" si="294">DEC2HEX(HEX2DEC(B295)+1)</f>
        <v>AE0406</v>
      </c>
      <c r="C296" t="str">
        <f t="shared" si="294"/>
        <v>AE0408</v>
      </c>
      <c r="D296" t="str">
        <f t="shared" si="294"/>
        <v>AE040A</v>
      </c>
      <c r="E296" t="str">
        <f t="shared" si="294"/>
        <v>AE040C</v>
      </c>
      <c r="F296" t="str">
        <f t="shared" si="294"/>
        <v>AE040E</v>
      </c>
      <c r="G296" t="str">
        <f t="shared" si="294"/>
        <v>AE0420</v>
      </c>
      <c r="H296" t="str">
        <f t="shared" si="294"/>
        <v>AE0422</v>
      </c>
      <c r="I296" t="str">
        <f t="shared" si="294"/>
        <v>AE0424</v>
      </c>
      <c r="J296" t="str">
        <f t="shared" si="294"/>
        <v>AE0426</v>
      </c>
      <c r="K296" t="str">
        <f t="shared" si="294"/>
        <v>AE0400</v>
      </c>
    </row>
    <row r="297">
      <c r="A297" s="14">
        <v>295.0</v>
      </c>
      <c r="B297" t="str">
        <f t="shared" ref="B297:K297" si="295">DEC2HEX(HEX2DEC(B296)+1)</f>
        <v>AE0407</v>
      </c>
      <c r="C297" t="str">
        <f t="shared" si="295"/>
        <v>AE0409</v>
      </c>
      <c r="D297" t="str">
        <f t="shared" si="295"/>
        <v>AE040B</v>
      </c>
      <c r="E297" t="str">
        <f t="shared" si="295"/>
        <v>AE040D</v>
      </c>
      <c r="F297" t="str">
        <f t="shared" si="295"/>
        <v>AE040F</v>
      </c>
      <c r="G297" t="str">
        <f t="shared" si="295"/>
        <v>AE0421</v>
      </c>
      <c r="H297" t="str">
        <f t="shared" si="295"/>
        <v>AE0423</v>
      </c>
      <c r="I297" t="str">
        <f t="shared" si="295"/>
        <v>AE0425</v>
      </c>
      <c r="J297" t="str">
        <f t="shared" si="295"/>
        <v>AE0427</v>
      </c>
      <c r="K297" t="str">
        <f t="shared" si="295"/>
        <v>AE0401</v>
      </c>
    </row>
    <row r="298">
      <c r="A298" s="14">
        <v>296.0</v>
      </c>
      <c r="B298" t="str">
        <f t="shared" ref="B298:K298" si="296">DEC2HEX(HEX2DEC(B297)+1)</f>
        <v>AE0408</v>
      </c>
      <c r="C298" t="str">
        <f t="shared" si="296"/>
        <v>AE040A</v>
      </c>
      <c r="D298" t="str">
        <f t="shared" si="296"/>
        <v>AE040C</v>
      </c>
      <c r="E298" t="str">
        <f t="shared" si="296"/>
        <v>AE040E</v>
      </c>
      <c r="F298" t="str">
        <f t="shared" si="296"/>
        <v>AE0410</v>
      </c>
      <c r="G298" t="str">
        <f t="shared" si="296"/>
        <v>AE0422</v>
      </c>
      <c r="H298" t="str">
        <f t="shared" si="296"/>
        <v>AE0424</v>
      </c>
      <c r="I298" t="str">
        <f t="shared" si="296"/>
        <v>AE0426</v>
      </c>
      <c r="J298" t="str">
        <f t="shared" si="296"/>
        <v>AE0428</v>
      </c>
      <c r="K298" t="str">
        <f t="shared" si="296"/>
        <v>AE0402</v>
      </c>
    </row>
    <row r="299">
      <c r="A299" s="14">
        <v>297.0</v>
      </c>
      <c r="B299" t="str">
        <f t="shared" ref="B299:K299" si="297">DEC2HEX(HEX2DEC(B298)+1)</f>
        <v>AE0409</v>
      </c>
      <c r="C299" t="str">
        <f t="shared" si="297"/>
        <v>AE040B</v>
      </c>
      <c r="D299" t="str">
        <f t="shared" si="297"/>
        <v>AE040D</v>
      </c>
      <c r="E299" t="str">
        <f t="shared" si="297"/>
        <v>AE040F</v>
      </c>
      <c r="F299" t="str">
        <f t="shared" si="297"/>
        <v>AE0411</v>
      </c>
      <c r="G299" t="str">
        <f t="shared" si="297"/>
        <v>AE0423</v>
      </c>
      <c r="H299" t="str">
        <f t="shared" si="297"/>
        <v>AE0425</v>
      </c>
      <c r="I299" t="str">
        <f t="shared" si="297"/>
        <v>AE0427</v>
      </c>
      <c r="J299" t="str">
        <f t="shared" si="297"/>
        <v>AE0429</v>
      </c>
      <c r="K299" t="str">
        <f t="shared" si="297"/>
        <v>AE0403</v>
      </c>
    </row>
    <row r="300">
      <c r="A300" s="14">
        <v>298.0</v>
      </c>
      <c r="B300" t="str">
        <f t="shared" ref="B300:K300" si="298">DEC2HEX(HEX2DEC(B299)+1)</f>
        <v>AE040A</v>
      </c>
      <c r="C300" t="str">
        <f t="shared" si="298"/>
        <v>AE040C</v>
      </c>
      <c r="D300" t="str">
        <f t="shared" si="298"/>
        <v>AE040E</v>
      </c>
      <c r="E300" t="str">
        <f t="shared" si="298"/>
        <v>AE0410</v>
      </c>
      <c r="F300" t="str">
        <f t="shared" si="298"/>
        <v>AE0412</v>
      </c>
      <c r="G300" t="str">
        <f t="shared" si="298"/>
        <v>AE0424</v>
      </c>
      <c r="H300" t="str">
        <f t="shared" si="298"/>
        <v>AE0426</v>
      </c>
      <c r="I300" t="str">
        <f t="shared" si="298"/>
        <v>AE0428</v>
      </c>
      <c r="J300" t="str">
        <f t="shared" si="298"/>
        <v>AE042A</v>
      </c>
      <c r="K300" t="str">
        <f t="shared" si="298"/>
        <v>AE0404</v>
      </c>
    </row>
    <row r="301">
      <c r="A301" s="14">
        <v>299.0</v>
      </c>
      <c r="B301" t="str">
        <f t="shared" ref="B301:K301" si="299">DEC2HEX(HEX2DEC(B300)+1)</f>
        <v>AE040B</v>
      </c>
      <c r="C301" t="str">
        <f t="shared" si="299"/>
        <v>AE040D</v>
      </c>
      <c r="D301" t="str">
        <f t="shared" si="299"/>
        <v>AE040F</v>
      </c>
      <c r="E301" t="str">
        <f t="shared" si="299"/>
        <v>AE0411</v>
      </c>
      <c r="F301" t="str">
        <f t="shared" si="299"/>
        <v>AE0413</v>
      </c>
      <c r="G301" t="str">
        <f t="shared" si="299"/>
        <v>AE0425</v>
      </c>
      <c r="H301" t="str">
        <f t="shared" si="299"/>
        <v>AE0427</v>
      </c>
      <c r="I301" t="str">
        <f t="shared" si="299"/>
        <v>AE0429</v>
      </c>
      <c r="J301" t="str">
        <f t="shared" si="299"/>
        <v>AE042B</v>
      </c>
      <c r="K301" t="str">
        <f t="shared" si="299"/>
        <v>AE0405</v>
      </c>
    </row>
    <row r="302">
      <c r="A302" s="14">
        <v>300.0</v>
      </c>
      <c r="B302" t="str">
        <f t="shared" ref="B302:K302" si="300">DEC2HEX(HEX2DEC(B301)+1)</f>
        <v>AE040C</v>
      </c>
      <c r="C302" t="str">
        <f t="shared" si="300"/>
        <v>AE040E</v>
      </c>
      <c r="D302" t="str">
        <f t="shared" si="300"/>
        <v>AE0410</v>
      </c>
      <c r="E302" t="str">
        <f t="shared" si="300"/>
        <v>AE0412</v>
      </c>
      <c r="F302" t="str">
        <f t="shared" si="300"/>
        <v>AE0414</v>
      </c>
      <c r="G302" t="str">
        <f t="shared" si="300"/>
        <v>AE0426</v>
      </c>
      <c r="H302" t="str">
        <f t="shared" si="300"/>
        <v>AE0428</v>
      </c>
      <c r="I302" t="str">
        <f t="shared" si="300"/>
        <v>AE042A</v>
      </c>
      <c r="J302" t="str">
        <f t="shared" si="300"/>
        <v>AE042C</v>
      </c>
      <c r="K302" t="str">
        <f t="shared" si="300"/>
        <v>AE0406</v>
      </c>
    </row>
    <row r="303">
      <c r="A303" s="14">
        <v>301.0</v>
      </c>
      <c r="B303" t="str">
        <f t="shared" ref="B303:K303" si="301">DEC2HEX(HEX2DEC(B302)+1)</f>
        <v>AE040D</v>
      </c>
      <c r="C303" t="str">
        <f t="shared" si="301"/>
        <v>AE040F</v>
      </c>
      <c r="D303" t="str">
        <f t="shared" si="301"/>
        <v>AE0411</v>
      </c>
      <c r="E303" t="str">
        <f t="shared" si="301"/>
        <v>AE0413</v>
      </c>
      <c r="F303" t="str">
        <f t="shared" si="301"/>
        <v>AE0415</v>
      </c>
      <c r="G303" t="str">
        <f t="shared" si="301"/>
        <v>AE0427</v>
      </c>
      <c r="H303" t="str">
        <f t="shared" si="301"/>
        <v>AE0429</v>
      </c>
      <c r="I303" t="str">
        <f t="shared" si="301"/>
        <v>AE042B</v>
      </c>
      <c r="J303" t="str">
        <f t="shared" si="301"/>
        <v>AE042D</v>
      </c>
      <c r="K303" t="str">
        <f t="shared" si="301"/>
        <v>AE0407</v>
      </c>
    </row>
    <row r="304">
      <c r="A304" s="14">
        <v>302.0</v>
      </c>
      <c r="B304" t="str">
        <f t="shared" ref="B304:K304" si="302">DEC2HEX(HEX2DEC(B303)+1)</f>
        <v>AE040E</v>
      </c>
      <c r="C304" t="str">
        <f t="shared" si="302"/>
        <v>AE0410</v>
      </c>
      <c r="D304" t="str">
        <f t="shared" si="302"/>
        <v>AE0412</v>
      </c>
      <c r="E304" t="str">
        <f t="shared" si="302"/>
        <v>AE0414</v>
      </c>
      <c r="F304" t="str">
        <f t="shared" si="302"/>
        <v>AE0416</v>
      </c>
      <c r="G304" t="str">
        <f t="shared" si="302"/>
        <v>AE0428</v>
      </c>
      <c r="H304" t="str">
        <f t="shared" si="302"/>
        <v>AE042A</v>
      </c>
      <c r="I304" t="str">
        <f t="shared" si="302"/>
        <v>AE042C</v>
      </c>
      <c r="J304" t="str">
        <f t="shared" si="302"/>
        <v>AE042E</v>
      </c>
      <c r="K304" t="str">
        <f t="shared" si="302"/>
        <v>AE0408</v>
      </c>
    </row>
    <row r="305">
      <c r="A305" s="14">
        <v>303.0</v>
      </c>
      <c r="B305" t="str">
        <f t="shared" ref="B305:K305" si="303">DEC2HEX(HEX2DEC(B304)+1)</f>
        <v>AE040F</v>
      </c>
      <c r="C305" t="str">
        <f t="shared" si="303"/>
        <v>AE0411</v>
      </c>
      <c r="D305" t="str">
        <f t="shared" si="303"/>
        <v>AE0413</v>
      </c>
      <c r="E305" t="str">
        <f t="shared" si="303"/>
        <v>AE0415</v>
      </c>
      <c r="F305" t="str">
        <f t="shared" si="303"/>
        <v>AE0417</v>
      </c>
      <c r="G305" t="str">
        <f t="shared" si="303"/>
        <v>AE0429</v>
      </c>
      <c r="H305" t="str">
        <f t="shared" si="303"/>
        <v>AE042B</v>
      </c>
      <c r="I305" t="str">
        <f t="shared" si="303"/>
        <v>AE042D</v>
      </c>
      <c r="J305" t="str">
        <f t="shared" si="303"/>
        <v>AE042F</v>
      </c>
      <c r="K305" t="str">
        <f t="shared" si="303"/>
        <v>AE0409</v>
      </c>
    </row>
    <row r="306">
      <c r="A306" s="14">
        <v>304.0</v>
      </c>
      <c r="B306" t="str">
        <f t="shared" ref="B306:K306" si="304">DEC2HEX(HEX2DEC(B305)+1)</f>
        <v>AE0410</v>
      </c>
      <c r="C306" t="str">
        <f t="shared" si="304"/>
        <v>AE0412</v>
      </c>
      <c r="D306" t="str">
        <f t="shared" si="304"/>
        <v>AE0414</v>
      </c>
      <c r="E306" t="str">
        <f t="shared" si="304"/>
        <v>AE0416</v>
      </c>
      <c r="F306" t="str">
        <f t="shared" si="304"/>
        <v>AE0418</v>
      </c>
      <c r="G306" t="str">
        <f t="shared" si="304"/>
        <v>AE042A</v>
      </c>
      <c r="H306" t="str">
        <f t="shared" si="304"/>
        <v>AE042C</v>
      </c>
      <c r="I306" t="str">
        <f t="shared" si="304"/>
        <v>AE042E</v>
      </c>
      <c r="J306" t="str">
        <f t="shared" si="304"/>
        <v>AE0430</v>
      </c>
      <c r="K306" t="str">
        <f t="shared" si="304"/>
        <v>AE040A</v>
      </c>
    </row>
    <row r="307">
      <c r="A307" s="14">
        <v>305.0</v>
      </c>
      <c r="B307" t="str">
        <f t="shared" ref="B307:K307" si="305">DEC2HEX(HEX2DEC(B306)+1)</f>
        <v>AE0411</v>
      </c>
      <c r="C307" t="str">
        <f t="shared" si="305"/>
        <v>AE0413</v>
      </c>
      <c r="D307" t="str">
        <f t="shared" si="305"/>
        <v>AE0415</v>
      </c>
      <c r="E307" t="str">
        <f t="shared" si="305"/>
        <v>AE0417</v>
      </c>
      <c r="F307" t="str">
        <f t="shared" si="305"/>
        <v>AE0419</v>
      </c>
      <c r="G307" t="str">
        <f t="shared" si="305"/>
        <v>AE042B</v>
      </c>
      <c r="H307" t="str">
        <f t="shared" si="305"/>
        <v>AE042D</v>
      </c>
      <c r="I307" t="str">
        <f t="shared" si="305"/>
        <v>AE042F</v>
      </c>
      <c r="J307" t="str">
        <f t="shared" si="305"/>
        <v>AE0431</v>
      </c>
      <c r="K307" t="str">
        <f t="shared" si="305"/>
        <v>AE040B</v>
      </c>
    </row>
    <row r="308">
      <c r="A308" s="14">
        <v>306.0</v>
      </c>
      <c r="B308" t="str">
        <f t="shared" ref="B308:K308" si="306">DEC2HEX(HEX2DEC(B307)+1)</f>
        <v>AE0412</v>
      </c>
      <c r="C308" t="str">
        <f t="shared" si="306"/>
        <v>AE0414</v>
      </c>
      <c r="D308" t="str">
        <f t="shared" si="306"/>
        <v>AE0416</v>
      </c>
      <c r="E308" t="str">
        <f t="shared" si="306"/>
        <v>AE0418</v>
      </c>
      <c r="F308" t="str">
        <f t="shared" si="306"/>
        <v>AE041A</v>
      </c>
      <c r="G308" t="str">
        <f t="shared" si="306"/>
        <v>AE042C</v>
      </c>
      <c r="H308" t="str">
        <f t="shared" si="306"/>
        <v>AE042E</v>
      </c>
      <c r="I308" t="str">
        <f t="shared" si="306"/>
        <v>AE0430</v>
      </c>
      <c r="J308" t="str">
        <f t="shared" si="306"/>
        <v>AE0432</v>
      </c>
      <c r="K308" t="str">
        <f t="shared" si="306"/>
        <v>AE040C</v>
      </c>
    </row>
    <row r="309">
      <c r="A309" s="14">
        <v>307.0</v>
      </c>
      <c r="B309" t="str">
        <f t="shared" ref="B309:K309" si="307">DEC2HEX(HEX2DEC(B308)+1)</f>
        <v>AE0413</v>
      </c>
      <c r="C309" t="str">
        <f t="shared" si="307"/>
        <v>AE0415</v>
      </c>
      <c r="D309" t="str">
        <f t="shared" si="307"/>
        <v>AE0417</v>
      </c>
      <c r="E309" t="str">
        <f t="shared" si="307"/>
        <v>AE0419</v>
      </c>
      <c r="F309" t="str">
        <f t="shared" si="307"/>
        <v>AE041B</v>
      </c>
      <c r="G309" t="str">
        <f t="shared" si="307"/>
        <v>AE042D</v>
      </c>
      <c r="H309" t="str">
        <f t="shared" si="307"/>
        <v>AE042F</v>
      </c>
      <c r="I309" t="str">
        <f t="shared" si="307"/>
        <v>AE0431</v>
      </c>
      <c r="J309" t="str">
        <f t="shared" si="307"/>
        <v>AE0433</v>
      </c>
      <c r="K309" t="str">
        <f t="shared" si="307"/>
        <v>AE040D</v>
      </c>
    </row>
    <row r="310">
      <c r="A310" s="14">
        <v>308.0</v>
      </c>
      <c r="B310" t="str">
        <f t="shared" ref="B310:K310" si="308">DEC2HEX(HEX2DEC(B309)+1)</f>
        <v>AE0414</v>
      </c>
      <c r="C310" t="str">
        <f t="shared" si="308"/>
        <v>AE0416</v>
      </c>
      <c r="D310" t="str">
        <f t="shared" si="308"/>
        <v>AE0418</v>
      </c>
      <c r="E310" t="str">
        <f t="shared" si="308"/>
        <v>AE041A</v>
      </c>
      <c r="F310" t="str">
        <f t="shared" si="308"/>
        <v>AE041C</v>
      </c>
      <c r="G310" t="str">
        <f t="shared" si="308"/>
        <v>AE042E</v>
      </c>
      <c r="H310" t="str">
        <f t="shared" si="308"/>
        <v>AE0430</v>
      </c>
      <c r="I310" t="str">
        <f t="shared" si="308"/>
        <v>AE0432</v>
      </c>
      <c r="J310" t="str">
        <f t="shared" si="308"/>
        <v>AE0434</v>
      </c>
      <c r="K310" t="str">
        <f t="shared" si="308"/>
        <v>AE040E</v>
      </c>
    </row>
    <row r="311">
      <c r="A311" s="14">
        <v>309.0</v>
      </c>
      <c r="B311" t="str">
        <f t="shared" ref="B311:K311" si="309">DEC2HEX(HEX2DEC(B310)+1)</f>
        <v>AE0415</v>
      </c>
      <c r="C311" t="str">
        <f t="shared" si="309"/>
        <v>AE0417</v>
      </c>
      <c r="D311" t="str">
        <f t="shared" si="309"/>
        <v>AE0419</v>
      </c>
      <c r="E311" t="str">
        <f t="shared" si="309"/>
        <v>AE041B</v>
      </c>
      <c r="F311" t="str">
        <f t="shared" si="309"/>
        <v>AE041D</v>
      </c>
      <c r="G311" t="str">
        <f t="shared" si="309"/>
        <v>AE042F</v>
      </c>
      <c r="H311" t="str">
        <f t="shared" si="309"/>
        <v>AE0431</v>
      </c>
      <c r="I311" t="str">
        <f t="shared" si="309"/>
        <v>AE0433</v>
      </c>
      <c r="J311" t="str">
        <f t="shared" si="309"/>
        <v>AE0435</v>
      </c>
      <c r="K311" t="str">
        <f t="shared" si="309"/>
        <v>AE040F</v>
      </c>
    </row>
    <row r="312">
      <c r="A312" s="14">
        <v>310.0</v>
      </c>
      <c r="B312" t="str">
        <f t="shared" ref="B312:K312" si="310">DEC2HEX(HEX2DEC(B311)+1)</f>
        <v>AE0416</v>
      </c>
      <c r="C312" t="str">
        <f t="shared" si="310"/>
        <v>AE0418</v>
      </c>
      <c r="D312" t="str">
        <f t="shared" si="310"/>
        <v>AE041A</v>
      </c>
      <c r="E312" t="str">
        <f t="shared" si="310"/>
        <v>AE041C</v>
      </c>
      <c r="F312" t="str">
        <f t="shared" si="310"/>
        <v>AE041E</v>
      </c>
      <c r="G312" t="str">
        <f t="shared" si="310"/>
        <v>AE0430</v>
      </c>
      <c r="H312" t="str">
        <f t="shared" si="310"/>
        <v>AE0432</v>
      </c>
      <c r="I312" t="str">
        <f t="shared" si="310"/>
        <v>AE0434</v>
      </c>
      <c r="J312" t="str">
        <f t="shared" si="310"/>
        <v>AE0436</v>
      </c>
      <c r="K312" t="str">
        <f t="shared" si="310"/>
        <v>AE0410</v>
      </c>
    </row>
    <row r="313">
      <c r="A313" s="14">
        <v>311.0</v>
      </c>
      <c r="B313" t="str">
        <f t="shared" ref="B313:K313" si="311">DEC2HEX(HEX2DEC(B312)+1)</f>
        <v>AE0417</v>
      </c>
      <c r="C313" t="str">
        <f t="shared" si="311"/>
        <v>AE0419</v>
      </c>
      <c r="D313" t="str">
        <f t="shared" si="311"/>
        <v>AE041B</v>
      </c>
      <c r="E313" t="str">
        <f t="shared" si="311"/>
        <v>AE041D</v>
      </c>
      <c r="F313" t="str">
        <f t="shared" si="311"/>
        <v>AE041F</v>
      </c>
      <c r="G313" t="str">
        <f t="shared" si="311"/>
        <v>AE0431</v>
      </c>
      <c r="H313" t="str">
        <f t="shared" si="311"/>
        <v>AE0433</v>
      </c>
      <c r="I313" t="str">
        <f t="shared" si="311"/>
        <v>AE0435</v>
      </c>
      <c r="J313" t="str">
        <f t="shared" si="311"/>
        <v>AE0437</v>
      </c>
      <c r="K313" t="str">
        <f t="shared" si="311"/>
        <v>AE0411</v>
      </c>
    </row>
    <row r="314">
      <c r="A314" s="14">
        <v>312.0</v>
      </c>
      <c r="B314" t="str">
        <f t="shared" ref="B314:K314" si="312">DEC2HEX(HEX2DEC(B313)+1)</f>
        <v>AE0418</v>
      </c>
      <c r="C314" t="str">
        <f t="shared" si="312"/>
        <v>AE041A</v>
      </c>
      <c r="D314" t="str">
        <f t="shared" si="312"/>
        <v>AE041C</v>
      </c>
      <c r="E314" t="str">
        <f t="shared" si="312"/>
        <v>AE041E</v>
      </c>
      <c r="F314" t="str">
        <f t="shared" si="312"/>
        <v>AE0420</v>
      </c>
      <c r="G314" t="str">
        <f t="shared" si="312"/>
        <v>AE0432</v>
      </c>
      <c r="H314" t="str">
        <f t="shared" si="312"/>
        <v>AE0434</v>
      </c>
      <c r="I314" t="str">
        <f t="shared" si="312"/>
        <v>AE0436</v>
      </c>
      <c r="J314" t="str">
        <f t="shared" si="312"/>
        <v>AE0438</v>
      </c>
      <c r="K314" t="str">
        <f t="shared" si="312"/>
        <v>AE0412</v>
      </c>
    </row>
    <row r="315">
      <c r="A315" s="14">
        <v>313.0</v>
      </c>
      <c r="B315" t="str">
        <f t="shared" ref="B315:K315" si="313">DEC2HEX(HEX2DEC(B314)+1)</f>
        <v>AE0419</v>
      </c>
      <c r="C315" t="str">
        <f t="shared" si="313"/>
        <v>AE041B</v>
      </c>
      <c r="D315" t="str">
        <f t="shared" si="313"/>
        <v>AE041D</v>
      </c>
      <c r="E315" t="str">
        <f t="shared" si="313"/>
        <v>AE041F</v>
      </c>
      <c r="F315" t="str">
        <f t="shared" si="313"/>
        <v>AE0421</v>
      </c>
      <c r="G315" t="str">
        <f t="shared" si="313"/>
        <v>AE0433</v>
      </c>
      <c r="H315" t="str">
        <f t="shared" si="313"/>
        <v>AE0435</v>
      </c>
      <c r="I315" t="str">
        <f t="shared" si="313"/>
        <v>AE0437</v>
      </c>
      <c r="J315" t="str">
        <f t="shared" si="313"/>
        <v>AE0439</v>
      </c>
      <c r="K315" t="str">
        <f t="shared" si="313"/>
        <v>AE0413</v>
      </c>
    </row>
    <row r="316">
      <c r="A316" s="14">
        <v>314.0</v>
      </c>
      <c r="B316" t="str">
        <f t="shared" ref="B316:K316" si="314">DEC2HEX(HEX2DEC(B315)+1)</f>
        <v>AE041A</v>
      </c>
      <c r="C316" t="str">
        <f t="shared" si="314"/>
        <v>AE041C</v>
      </c>
      <c r="D316" t="str">
        <f t="shared" si="314"/>
        <v>AE041E</v>
      </c>
      <c r="E316" t="str">
        <f t="shared" si="314"/>
        <v>AE0420</v>
      </c>
      <c r="F316" t="str">
        <f t="shared" si="314"/>
        <v>AE0422</v>
      </c>
      <c r="G316" t="str">
        <f t="shared" si="314"/>
        <v>AE0434</v>
      </c>
      <c r="H316" t="str">
        <f t="shared" si="314"/>
        <v>AE0436</v>
      </c>
      <c r="I316" t="str">
        <f t="shared" si="314"/>
        <v>AE0438</v>
      </c>
      <c r="J316" t="str">
        <f t="shared" si="314"/>
        <v>AE043A</v>
      </c>
      <c r="K316" t="str">
        <f t="shared" si="314"/>
        <v>AE0414</v>
      </c>
    </row>
    <row r="317">
      <c r="A317" s="14">
        <v>315.0</v>
      </c>
      <c r="B317" t="str">
        <f t="shared" ref="B317:K317" si="315">DEC2HEX(HEX2DEC(B316)+1)</f>
        <v>AE041B</v>
      </c>
      <c r="C317" t="str">
        <f t="shared" si="315"/>
        <v>AE041D</v>
      </c>
      <c r="D317" t="str">
        <f t="shared" si="315"/>
        <v>AE041F</v>
      </c>
      <c r="E317" t="str">
        <f t="shared" si="315"/>
        <v>AE0421</v>
      </c>
      <c r="F317" t="str">
        <f t="shared" si="315"/>
        <v>AE0423</v>
      </c>
      <c r="G317" t="str">
        <f t="shared" si="315"/>
        <v>AE0435</v>
      </c>
      <c r="H317" t="str">
        <f t="shared" si="315"/>
        <v>AE0437</v>
      </c>
      <c r="I317" t="str">
        <f t="shared" si="315"/>
        <v>AE0439</v>
      </c>
      <c r="J317" t="str">
        <f t="shared" si="315"/>
        <v>AE043B</v>
      </c>
      <c r="K317" t="str">
        <f t="shared" si="315"/>
        <v>AE0415</v>
      </c>
    </row>
    <row r="318">
      <c r="A318" s="14">
        <v>316.0</v>
      </c>
      <c r="B318" t="str">
        <f t="shared" ref="B318:K318" si="316">DEC2HEX(HEX2DEC(B317)+1)</f>
        <v>AE041C</v>
      </c>
      <c r="C318" t="str">
        <f t="shared" si="316"/>
        <v>AE041E</v>
      </c>
      <c r="D318" t="str">
        <f t="shared" si="316"/>
        <v>AE0420</v>
      </c>
      <c r="E318" t="str">
        <f t="shared" si="316"/>
        <v>AE0422</v>
      </c>
      <c r="F318" t="str">
        <f t="shared" si="316"/>
        <v>AE0424</v>
      </c>
      <c r="G318" t="str">
        <f t="shared" si="316"/>
        <v>AE0436</v>
      </c>
      <c r="H318" t="str">
        <f t="shared" si="316"/>
        <v>AE0438</v>
      </c>
      <c r="I318" t="str">
        <f t="shared" si="316"/>
        <v>AE043A</v>
      </c>
      <c r="J318" t="str">
        <f t="shared" si="316"/>
        <v>AE043C</v>
      </c>
      <c r="K318" t="str">
        <f t="shared" si="316"/>
        <v>AE0416</v>
      </c>
    </row>
    <row r="319">
      <c r="A319" s="14">
        <v>317.0</v>
      </c>
      <c r="B319" t="str">
        <f t="shared" ref="B319:K319" si="317">DEC2HEX(HEX2DEC(B318)+1)</f>
        <v>AE041D</v>
      </c>
      <c r="C319" t="str">
        <f t="shared" si="317"/>
        <v>AE041F</v>
      </c>
      <c r="D319" t="str">
        <f t="shared" si="317"/>
        <v>AE0421</v>
      </c>
      <c r="E319" t="str">
        <f t="shared" si="317"/>
        <v>AE0423</v>
      </c>
      <c r="F319" t="str">
        <f t="shared" si="317"/>
        <v>AE0425</v>
      </c>
      <c r="G319" t="str">
        <f t="shared" si="317"/>
        <v>AE0437</v>
      </c>
      <c r="H319" t="str">
        <f t="shared" si="317"/>
        <v>AE0439</v>
      </c>
      <c r="I319" t="str">
        <f t="shared" si="317"/>
        <v>AE043B</v>
      </c>
      <c r="J319" t="str">
        <f t="shared" si="317"/>
        <v>AE043D</v>
      </c>
      <c r="K319" t="str">
        <f t="shared" si="317"/>
        <v>AE0417</v>
      </c>
    </row>
    <row r="320">
      <c r="A320" s="14">
        <v>318.0</v>
      </c>
      <c r="B320" t="str">
        <f t="shared" ref="B320:K320" si="318">DEC2HEX(HEX2DEC(B319)+1)</f>
        <v>AE041E</v>
      </c>
      <c r="C320" t="str">
        <f t="shared" si="318"/>
        <v>AE0420</v>
      </c>
      <c r="D320" t="str">
        <f t="shared" si="318"/>
        <v>AE0422</v>
      </c>
      <c r="E320" t="str">
        <f t="shared" si="318"/>
        <v>AE0424</v>
      </c>
      <c r="F320" t="str">
        <f t="shared" si="318"/>
        <v>AE0426</v>
      </c>
      <c r="G320" t="str">
        <f t="shared" si="318"/>
        <v>AE0438</v>
      </c>
      <c r="H320" t="str">
        <f t="shared" si="318"/>
        <v>AE043A</v>
      </c>
      <c r="I320" t="str">
        <f t="shared" si="318"/>
        <v>AE043C</v>
      </c>
      <c r="J320" t="str">
        <f t="shared" si="318"/>
        <v>AE043E</v>
      </c>
      <c r="K320" t="str">
        <f t="shared" si="318"/>
        <v>AE0418</v>
      </c>
    </row>
    <row r="321">
      <c r="A321" s="14">
        <v>319.0</v>
      </c>
      <c r="B321" t="str">
        <f t="shared" ref="B321:K321" si="319">DEC2HEX(HEX2DEC(B320)+1)</f>
        <v>AE041F</v>
      </c>
      <c r="C321" t="str">
        <f t="shared" si="319"/>
        <v>AE0421</v>
      </c>
      <c r="D321" t="str">
        <f t="shared" si="319"/>
        <v>AE0423</v>
      </c>
      <c r="E321" t="str">
        <f t="shared" si="319"/>
        <v>AE0425</v>
      </c>
      <c r="F321" t="str">
        <f t="shared" si="319"/>
        <v>AE0427</v>
      </c>
      <c r="G321" t="str">
        <f t="shared" si="319"/>
        <v>AE0439</v>
      </c>
      <c r="H321" t="str">
        <f t="shared" si="319"/>
        <v>AE043B</v>
      </c>
      <c r="I321" t="str">
        <f t="shared" si="319"/>
        <v>AE043D</v>
      </c>
      <c r="J321" t="str">
        <f t="shared" si="319"/>
        <v>AE043F</v>
      </c>
      <c r="K321" t="str">
        <f t="shared" si="319"/>
        <v>AE0419</v>
      </c>
    </row>
    <row r="322">
      <c r="A322" s="14">
        <v>320.0</v>
      </c>
      <c r="B322" t="str">
        <f t="shared" ref="B322:K322" si="320">DEC2HEX(HEX2DEC(B321)+1)</f>
        <v>AE0420</v>
      </c>
      <c r="C322" t="str">
        <f t="shared" si="320"/>
        <v>AE0422</v>
      </c>
      <c r="D322" t="str">
        <f t="shared" si="320"/>
        <v>AE0424</v>
      </c>
      <c r="E322" t="str">
        <f t="shared" si="320"/>
        <v>AE0426</v>
      </c>
      <c r="F322" t="str">
        <f t="shared" si="320"/>
        <v>AE0428</v>
      </c>
      <c r="G322" t="str">
        <f t="shared" si="320"/>
        <v>AE043A</v>
      </c>
      <c r="H322" t="str">
        <f t="shared" si="320"/>
        <v>AE043C</v>
      </c>
      <c r="I322" t="str">
        <f t="shared" si="320"/>
        <v>AE043E</v>
      </c>
      <c r="J322" t="str">
        <f t="shared" si="320"/>
        <v>AE0440</v>
      </c>
      <c r="K322" t="str">
        <f t="shared" si="320"/>
        <v>AE041A</v>
      </c>
    </row>
    <row r="323">
      <c r="A323" s="14">
        <v>321.0</v>
      </c>
      <c r="B323" t="str">
        <f t="shared" ref="B323:K323" si="321">DEC2HEX(HEX2DEC(B322)+1)</f>
        <v>AE0421</v>
      </c>
      <c r="C323" t="str">
        <f t="shared" si="321"/>
        <v>AE0423</v>
      </c>
      <c r="D323" t="str">
        <f t="shared" si="321"/>
        <v>AE0425</v>
      </c>
      <c r="E323" t="str">
        <f t="shared" si="321"/>
        <v>AE0427</v>
      </c>
      <c r="F323" t="str">
        <f t="shared" si="321"/>
        <v>AE0429</v>
      </c>
      <c r="G323" t="str">
        <f t="shared" si="321"/>
        <v>AE043B</v>
      </c>
      <c r="H323" t="str">
        <f t="shared" si="321"/>
        <v>AE043D</v>
      </c>
      <c r="I323" t="str">
        <f t="shared" si="321"/>
        <v>AE043F</v>
      </c>
      <c r="J323" t="str">
        <f t="shared" si="321"/>
        <v>AE0441</v>
      </c>
      <c r="K323" t="str">
        <f t="shared" si="321"/>
        <v>AE041B</v>
      </c>
    </row>
    <row r="324">
      <c r="A324" s="14">
        <v>322.0</v>
      </c>
      <c r="B324" t="str">
        <f t="shared" ref="B324:K324" si="322">DEC2HEX(HEX2DEC(B323)+1)</f>
        <v>AE0422</v>
      </c>
      <c r="C324" t="str">
        <f t="shared" si="322"/>
        <v>AE0424</v>
      </c>
      <c r="D324" t="str">
        <f t="shared" si="322"/>
        <v>AE0426</v>
      </c>
      <c r="E324" t="str">
        <f t="shared" si="322"/>
        <v>AE0428</v>
      </c>
      <c r="F324" t="str">
        <f t="shared" si="322"/>
        <v>AE042A</v>
      </c>
      <c r="G324" t="str">
        <f t="shared" si="322"/>
        <v>AE043C</v>
      </c>
      <c r="H324" t="str">
        <f t="shared" si="322"/>
        <v>AE043E</v>
      </c>
      <c r="I324" t="str">
        <f t="shared" si="322"/>
        <v>AE0440</v>
      </c>
      <c r="J324" t="str">
        <f t="shared" si="322"/>
        <v>AE0442</v>
      </c>
      <c r="K324" t="str">
        <f t="shared" si="322"/>
        <v>AE041C</v>
      </c>
    </row>
    <row r="325">
      <c r="A325" s="14">
        <v>323.0</v>
      </c>
      <c r="B325" t="str">
        <f t="shared" ref="B325:K325" si="323">DEC2HEX(HEX2DEC(B324)+1)</f>
        <v>AE0423</v>
      </c>
      <c r="C325" t="str">
        <f t="shared" si="323"/>
        <v>AE0425</v>
      </c>
      <c r="D325" t="str">
        <f t="shared" si="323"/>
        <v>AE0427</v>
      </c>
      <c r="E325" t="str">
        <f t="shared" si="323"/>
        <v>AE0429</v>
      </c>
      <c r="F325" t="str">
        <f t="shared" si="323"/>
        <v>AE042B</v>
      </c>
      <c r="G325" t="str">
        <f t="shared" si="323"/>
        <v>AE043D</v>
      </c>
      <c r="H325" t="str">
        <f t="shared" si="323"/>
        <v>AE043F</v>
      </c>
      <c r="I325" t="str">
        <f t="shared" si="323"/>
        <v>AE0441</v>
      </c>
      <c r="J325" t="str">
        <f t="shared" si="323"/>
        <v>AE0443</v>
      </c>
      <c r="K325" t="str">
        <f t="shared" si="323"/>
        <v>AE041D</v>
      </c>
    </row>
    <row r="326">
      <c r="A326" s="14">
        <v>324.0</v>
      </c>
      <c r="B326" t="str">
        <f t="shared" ref="B326:K326" si="324">DEC2HEX(HEX2DEC(B325)+1)</f>
        <v>AE0424</v>
      </c>
      <c r="C326" t="str">
        <f t="shared" si="324"/>
        <v>AE0426</v>
      </c>
      <c r="D326" t="str">
        <f t="shared" si="324"/>
        <v>AE0428</v>
      </c>
      <c r="E326" t="str">
        <f t="shared" si="324"/>
        <v>AE042A</v>
      </c>
      <c r="F326" t="str">
        <f t="shared" si="324"/>
        <v>AE042C</v>
      </c>
      <c r="G326" t="str">
        <f t="shared" si="324"/>
        <v>AE043E</v>
      </c>
      <c r="H326" t="str">
        <f t="shared" si="324"/>
        <v>AE0440</v>
      </c>
      <c r="I326" t="str">
        <f t="shared" si="324"/>
        <v>AE0442</v>
      </c>
      <c r="J326" t="str">
        <f t="shared" si="324"/>
        <v>AE0444</v>
      </c>
      <c r="K326" t="str">
        <f t="shared" si="324"/>
        <v>AE041E</v>
      </c>
    </row>
    <row r="327">
      <c r="A327" s="14">
        <v>325.0</v>
      </c>
      <c r="B327" t="str">
        <f t="shared" ref="B327:K327" si="325">DEC2HEX(HEX2DEC(B326)+1)</f>
        <v>AE0425</v>
      </c>
      <c r="C327" t="str">
        <f t="shared" si="325"/>
        <v>AE0427</v>
      </c>
      <c r="D327" t="str">
        <f t="shared" si="325"/>
        <v>AE0429</v>
      </c>
      <c r="E327" t="str">
        <f t="shared" si="325"/>
        <v>AE042B</v>
      </c>
      <c r="F327" t="str">
        <f t="shared" si="325"/>
        <v>AE042D</v>
      </c>
      <c r="G327" t="str">
        <f t="shared" si="325"/>
        <v>AE043F</v>
      </c>
      <c r="H327" t="str">
        <f t="shared" si="325"/>
        <v>AE0441</v>
      </c>
      <c r="I327" t="str">
        <f t="shared" si="325"/>
        <v>AE0443</v>
      </c>
      <c r="J327" t="str">
        <f t="shared" si="325"/>
        <v>AE0445</v>
      </c>
      <c r="K327" t="str">
        <f t="shared" si="325"/>
        <v>AE041F</v>
      </c>
    </row>
    <row r="328">
      <c r="A328" s="14">
        <v>326.0</v>
      </c>
      <c r="B328" t="str">
        <f t="shared" ref="B328:K328" si="326">DEC2HEX(HEX2DEC(B327)+1)</f>
        <v>AE0426</v>
      </c>
      <c r="C328" t="str">
        <f t="shared" si="326"/>
        <v>AE0428</v>
      </c>
      <c r="D328" t="str">
        <f t="shared" si="326"/>
        <v>AE042A</v>
      </c>
      <c r="E328" t="str">
        <f t="shared" si="326"/>
        <v>AE042C</v>
      </c>
      <c r="F328" t="str">
        <f t="shared" si="326"/>
        <v>AE042E</v>
      </c>
      <c r="G328" t="str">
        <f t="shared" si="326"/>
        <v>AE0440</v>
      </c>
      <c r="H328" t="str">
        <f t="shared" si="326"/>
        <v>AE0442</v>
      </c>
      <c r="I328" t="str">
        <f t="shared" si="326"/>
        <v>AE0444</v>
      </c>
      <c r="J328" t="str">
        <f t="shared" si="326"/>
        <v>AE0446</v>
      </c>
      <c r="K328" t="str">
        <f t="shared" si="326"/>
        <v>AE0420</v>
      </c>
    </row>
    <row r="329">
      <c r="A329" s="14">
        <v>327.0</v>
      </c>
      <c r="B329" t="str">
        <f t="shared" ref="B329:K329" si="327">DEC2HEX(HEX2DEC(B328)+1)</f>
        <v>AE0427</v>
      </c>
      <c r="C329" t="str">
        <f t="shared" si="327"/>
        <v>AE0429</v>
      </c>
      <c r="D329" t="str">
        <f t="shared" si="327"/>
        <v>AE042B</v>
      </c>
      <c r="E329" t="str">
        <f t="shared" si="327"/>
        <v>AE042D</v>
      </c>
      <c r="F329" t="str">
        <f t="shared" si="327"/>
        <v>AE042F</v>
      </c>
      <c r="G329" t="str">
        <f t="shared" si="327"/>
        <v>AE0441</v>
      </c>
      <c r="H329" t="str">
        <f t="shared" si="327"/>
        <v>AE0443</v>
      </c>
      <c r="I329" t="str">
        <f t="shared" si="327"/>
        <v>AE0445</v>
      </c>
      <c r="J329" t="str">
        <f t="shared" si="327"/>
        <v>AE0447</v>
      </c>
      <c r="K329" t="str">
        <f t="shared" si="327"/>
        <v>AE0421</v>
      </c>
    </row>
    <row r="330">
      <c r="A330" s="14">
        <v>328.0</v>
      </c>
      <c r="B330" t="str">
        <f t="shared" ref="B330:K330" si="328">DEC2HEX(HEX2DEC(B329)+1)</f>
        <v>AE0428</v>
      </c>
      <c r="C330" t="str">
        <f t="shared" si="328"/>
        <v>AE042A</v>
      </c>
      <c r="D330" t="str">
        <f t="shared" si="328"/>
        <v>AE042C</v>
      </c>
      <c r="E330" t="str">
        <f t="shared" si="328"/>
        <v>AE042E</v>
      </c>
      <c r="F330" t="str">
        <f t="shared" si="328"/>
        <v>AE0430</v>
      </c>
      <c r="G330" t="str">
        <f t="shared" si="328"/>
        <v>AE0442</v>
      </c>
      <c r="H330" t="str">
        <f t="shared" si="328"/>
        <v>AE0444</v>
      </c>
      <c r="I330" t="str">
        <f t="shared" si="328"/>
        <v>AE0446</v>
      </c>
      <c r="J330" t="str">
        <f t="shared" si="328"/>
        <v>AE0448</v>
      </c>
      <c r="K330" t="str">
        <f t="shared" si="328"/>
        <v>AE0422</v>
      </c>
    </row>
    <row r="331">
      <c r="A331" s="14">
        <v>329.0</v>
      </c>
      <c r="B331" t="str">
        <f t="shared" ref="B331:K331" si="329">DEC2HEX(HEX2DEC(B330)+1)</f>
        <v>AE0429</v>
      </c>
      <c r="C331" t="str">
        <f t="shared" si="329"/>
        <v>AE042B</v>
      </c>
      <c r="D331" t="str">
        <f t="shared" si="329"/>
        <v>AE042D</v>
      </c>
      <c r="E331" t="str">
        <f t="shared" si="329"/>
        <v>AE042F</v>
      </c>
      <c r="F331" t="str">
        <f t="shared" si="329"/>
        <v>AE0431</v>
      </c>
      <c r="G331" t="str">
        <f t="shared" si="329"/>
        <v>AE0443</v>
      </c>
      <c r="H331" t="str">
        <f t="shared" si="329"/>
        <v>AE0445</v>
      </c>
      <c r="I331" t="str">
        <f t="shared" si="329"/>
        <v>AE0447</v>
      </c>
      <c r="J331" t="str">
        <f t="shared" si="329"/>
        <v>AE0449</v>
      </c>
      <c r="K331" t="str">
        <f t="shared" si="329"/>
        <v>AE0423</v>
      </c>
    </row>
    <row r="332">
      <c r="A332" s="14">
        <v>330.0</v>
      </c>
      <c r="B332" t="str">
        <f t="shared" ref="B332:K332" si="330">DEC2HEX(HEX2DEC(B331)+1)</f>
        <v>AE042A</v>
      </c>
      <c r="C332" t="str">
        <f t="shared" si="330"/>
        <v>AE042C</v>
      </c>
      <c r="D332" t="str">
        <f t="shared" si="330"/>
        <v>AE042E</v>
      </c>
      <c r="E332" t="str">
        <f t="shared" si="330"/>
        <v>AE0430</v>
      </c>
      <c r="F332" t="str">
        <f t="shared" si="330"/>
        <v>AE0432</v>
      </c>
      <c r="G332" t="str">
        <f t="shared" si="330"/>
        <v>AE0444</v>
      </c>
      <c r="H332" t="str">
        <f t="shared" si="330"/>
        <v>AE0446</v>
      </c>
      <c r="I332" t="str">
        <f t="shared" si="330"/>
        <v>AE0448</v>
      </c>
      <c r="J332" t="str">
        <f t="shared" si="330"/>
        <v>AE044A</v>
      </c>
      <c r="K332" t="str">
        <f t="shared" si="330"/>
        <v>AE0424</v>
      </c>
    </row>
    <row r="333">
      <c r="A333" s="14">
        <v>331.0</v>
      </c>
      <c r="B333" t="str">
        <f t="shared" ref="B333:K333" si="331">DEC2HEX(HEX2DEC(B332)+1)</f>
        <v>AE042B</v>
      </c>
      <c r="C333" t="str">
        <f t="shared" si="331"/>
        <v>AE042D</v>
      </c>
      <c r="D333" t="str">
        <f t="shared" si="331"/>
        <v>AE042F</v>
      </c>
      <c r="E333" t="str">
        <f t="shared" si="331"/>
        <v>AE0431</v>
      </c>
      <c r="F333" t="str">
        <f t="shared" si="331"/>
        <v>AE0433</v>
      </c>
      <c r="G333" t="str">
        <f t="shared" si="331"/>
        <v>AE0445</v>
      </c>
      <c r="H333" t="str">
        <f t="shared" si="331"/>
        <v>AE0447</v>
      </c>
      <c r="I333" t="str">
        <f t="shared" si="331"/>
        <v>AE0449</v>
      </c>
      <c r="J333" t="str">
        <f t="shared" si="331"/>
        <v>AE044B</v>
      </c>
      <c r="K333" t="str">
        <f t="shared" si="331"/>
        <v>AE0425</v>
      </c>
    </row>
    <row r="334">
      <c r="A334" s="14">
        <v>332.0</v>
      </c>
      <c r="B334" t="str">
        <f t="shared" ref="B334:K334" si="332">DEC2HEX(HEX2DEC(B333)+1)</f>
        <v>AE042C</v>
      </c>
      <c r="C334" t="str">
        <f t="shared" si="332"/>
        <v>AE042E</v>
      </c>
      <c r="D334" t="str">
        <f t="shared" si="332"/>
        <v>AE0430</v>
      </c>
      <c r="E334" t="str">
        <f t="shared" si="332"/>
        <v>AE0432</v>
      </c>
      <c r="F334" t="str">
        <f t="shared" si="332"/>
        <v>AE0434</v>
      </c>
      <c r="G334" t="str">
        <f t="shared" si="332"/>
        <v>AE0446</v>
      </c>
      <c r="H334" t="str">
        <f t="shared" si="332"/>
        <v>AE0448</v>
      </c>
      <c r="I334" t="str">
        <f t="shared" si="332"/>
        <v>AE044A</v>
      </c>
      <c r="J334" t="str">
        <f t="shared" si="332"/>
        <v>AE044C</v>
      </c>
      <c r="K334" t="str">
        <f t="shared" si="332"/>
        <v>AE0426</v>
      </c>
    </row>
    <row r="335">
      <c r="A335" s="14">
        <v>333.0</v>
      </c>
      <c r="B335" t="str">
        <f t="shared" ref="B335:K335" si="333">DEC2HEX(HEX2DEC(B334)+1)</f>
        <v>AE042D</v>
      </c>
      <c r="C335" t="str">
        <f t="shared" si="333"/>
        <v>AE042F</v>
      </c>
      <c r="D335" t="str">
        <f t="shared" si="333"/>
        <v>AE0431</v>
      </c>
      <c r="E335" t="str">
        <f t="shared" si="333"/>
        <v>AE0433</v>
      </c>
      <c r="F335" t="str">
        <f t="shared" si="333"/>
        <v>AE0435</v>
      </c>
      <c r="G335" t="str">
        <f t="shared" si="333"/>
        <v>AE0447</v>
      </c>
      <c r="H335" t="str">
        <f t="shared" si="333"/>
        <v>AE0449</v>
      </c>
      <c r="I335" t="str">
        <f t="shared" si="333"/>
        <v>AE044B</v>
      </c>
      <c r="J335" t="str">
        <f t="shared" si="333"/>
        <v>AE044D</v>
      </c>
      <c r="K335" t="str">
        <f t="shared" si="333"/>
        <v>AE0427</v>
      </c>
    </row>
    <row r="336">
      <c r="A336" s="14">
        <v>334.0</v>
      </c>
      <c r="B336" t="str">
        <f t="shared" ref="B336:K336" si="334">DEC2HEX(HEX2DEC(B335)+1)</f>
        <v>AE042E</v>
      </c>
      <c r="C336" t="str">
        <f t="shared" si="334"/>
        <v>AE0430</v>
      </c>
      <c r="D336" t="str">
        <f t="shared" si="334"/>
        <v>AE0432</v>
      </c>
      <c r="E336" t="str">
        <f t="shared" si="334"/>
        <v>AE0434</v>
      </c>
      <c r="F336" t="str">
        <f t="shared" si="334"/>
        <v>AE0436</v>
      </c>
      <c r="G336" t="str">
        <f t="shared" si="334"/>
        <v>AE0448</v>
      </c>
      <c r="H336" t="str">
        <f t="shared" si="334"/>
        <v>AE044A</v>
      </c>
      <c r="I336" t="str">
        <f t="shared" si="334"/>
        <v>AE044C</v>
      </c>
      <c r="J336" t="str">
        <f t="shared" si="334"/>
        <v>AE044E</v>
      </c>
      <c r="K336" t="str">
        <f t="shared" si="334"/>
        <v>AE0428</v>
      </c>
    </row>
    <row r="337">
      <c r="A337" s="14">
        <v>335.0</v>
      </c>
      <c r="B337" t="str">
        <f t="shared" ref="B337:K337" si="335">DEC2HEX(HEX2DEC(B336)+1)</f>
        <v>AE042F</v>
      </c>
      <c r="C337" t="str">
        <f t="shared" si="335"/>
        <v>AE0431</v>
      </c>
      <c r="D337" t="str">
        <f t="shared" si="335"/>
        <v>AE0433</v>
      </c>
      <c r="E337" t="str">
        <f t="shared" si="335"/>
        <v>AE0435</v>
      </c>
      <c r="F337" t="str">
        <f t="shared" si="335"/>
        <v>AE0437</v>
      </c>
      <c r="G337" t="str">
        <f t="shared" si="335"/>
        <v>AE0449</v>
      </c>
      <c r="H337" t="str">
        <f t="shared" si="335"/>
        <v>AE044B</v>
      </c>
      <c r="I337" t="str">
        <f t="shared" si="335"/>
        <v>AE044D</v>
      </c>
      <c r="J337" t="str">
        <f t="shared" si="335"/>
        <v>AE044F</v>
      </c>
      <c r="K337" t="str">
        <f t="shared" si="335"/>
        <v>AE0429</v>
      </c>
    </row>
    <row r="338">
      <c r="A338" s="14">
        <v>336.0</v>
      </c>
      <c r="B338" t="str">
        <f t="shared" ref="B338:K338" si="336">DEC2HEX(HEX2DEC(B337)+1)</f>
        <v>AE0430</v>
      </c>
      <c r="C338" t="str">
        <f t="shared" si="336"/>
        <v>AE0432</v>
      </c>
      <c r="D338" t="str">
        <f t="shared" si="336"/>
        <v>AE0434</v>
      </c>
      <c r="E338" t="str">
        <f t="shared" si="336"/>
        <v>AE0436</v>
      </c>
      <c r="F338" t="str">
        <f t="shared" si="336"/>
        <v>AE0438</v>
      </c>
      <c r="G338" t="str">
        <f t="shared" si="336"/>
        <v>AE044A</v>
      </c>
      <c r="H338" t="str">
        <f t="shared" si="336"/>
        <v>AE044C</v>
      </c>
      <c r="I338" t="str">
        <f t="shared" si="336"/>
        <v>AE044E</v>
      </c>
      <c r="J338" t="str">
        <f t="shared" si="336"/>
        <v>AE0450</v>
      </c>
      <c r="K338" t="str">
        <f t="shared" si="336"/>
        <v>AE042A</v>
      </c>
    </row>
    <row r="339">
      <c r="A339" s="14">
        <v>337.0</v>
      </c>
      <c r="B339" t="str">
        <f t="shared" ref="B339:K339" si="337">DEC2HEX(HEX2DEC(B338)+1)</f>
        <v>AE0431</v>
      </c>
      <c r="C339" t="str">
        <f t="shared" si="337"/>
        <v>AE0433</v>
      </c>
      <c r="D339" t="str">
        <f t="shared" si="337"/>
        <v>AE0435</v>
      </c>
      <c r="E339" t="str">
        <f t="shared" si="337"/>
        <v>AE0437</v>
      </c>
      <c r="F339" t="str">
        <f t="shared" si="337"/>
        <v>AE0439</v>
      </c>
      <c r="G339" t="str">
        <f t="shared" si="337"/>
        <v>AE044B</v>
      </c>
      <c r="H339" t="str">
        <f t="shared" si="337"/>
        <v>AE044D</v>
      </c>
      <c r="I339" t="str">
        <f t="shared" si="337"/>
        <v>AE044F</v>
      </c>
      <c r="J339" t="str">
        <f t="shared" si="337"/>
        <v>AE0451</v>
      </c>
      <c r="K339" t="str">
        <f t="shared" si="337"/>
        <v>AE042B</v>
      </c>
    </row>
    <row r="340">
      <c r="A340" s="14">
        <v>338.0</v>
      </c>
      <c r="B340" t="str">
        <f t="shared" ref="B340:K340" si="338">DEC2HEX(HEX2DEC(B339)+1)</f>
        <v>AE0432</v>
      </c>
      <c r="C340" t="str">
        <f t="shared" si="338"/>
        <v>AE0434</v>
      </c>
      <c r="D340" t="str">
        <f t="shared" si="338"/>
        <v>AE0436</v>
      </c>
      <c r="E340" t="str">
        <f t="shared" si="338"/>
        <v>AE0438</v>
      </c>
      <c r="F340" t="str">
        <f t="shared" si="338"/>
        <v>AE043A</v>
      </c>
      <c r="G340" t="str">
        <f t="shared" si="338"/>
        <v>AE044C</v>
      </c>
      <c r="H340" t="str">
        <f t="shared" si="338"/>
        <v>AE044E</v>
      </c>
      <c r="I340" t="str">
        <f t="shared" si="338"/>
        <v>AE0450</v>
      </c>
      <c r="J340" t="str">
        <f t="shared" si="338"/>
        <v>AE0452</v>
      </c>
      <c r="K340" t="str">
        <f t="shared" si="338"/>
        <v>AE042C</v>
      </c>
    </row>
    <row r="341">
      <c r="A341" s="14">
        <v>339.0</v>
      </c>
      <c r="B341" t="str">
        <f t="shared" ref="B341:K341" si="339">DEC2HEX(HEX2DEC(B340)+1)</f>
        <v>AE0433</v>
      </c>
      <c r="C341" t="str">
        <f t="shared" si="339"/>
        <v>AE0435</v>
      </c>
      <c r="D341" t="str">
        <f t="shared" si="339"/>
        <v>AE0437</v>
      </c>
      <c r="E341" t="str">
        <f t="shared" si="339"/>
        <v>AE0439</v>
      </c>
      <c r="F341" t="str">
        <f t="shared" si="339"/>
        <v>AE043B</v>
      </c>
      <c r="G341" t="str">
        <f t="shared" si="339"/>
        <v>AE044D</v>
      </c>
      <c r="H341" t="str">
        <f t="shared" si="339"/>
        <v>AE044F</v>
      </c>
      <c r="I341" t="str">
        <f t="shared" si="339"/>
        <v>AE0451</v>
      </c>
      <c r="J341" t="str">
        <f t="shared" si="339"/>
        <v>AE0453</v>
      </c>
      <c r="K341" t="str">
        <f t="shared" si="339"/>
        <v>AE042D</v>
      </c>
    </row>
    <row r="342">
      <c r="A342" s="14">
        <v>340.0</v>
      </c>
      <c r="B342" t="str">
        <f t="shared" ref="B342:K342" si="340">DEC2HEX(HEX2DEC(B341)+1)</f>
        <v>AE0434</v>
      </c>
      <c r="C342" t="str">
        <f t="shared" si="340"/>
        <v>AE0436</v>
      </c>
      <c r="D342" t="str">
        <f t="shared" si="340"/>
        <v>AE0438</v>
      </c>
      <c r="E342" t="str">
        <f t="shared" si="340"/>
        <v>AE043A</v>
      </c>
      <c r="F342" t="str">
        <f t="shared" si="340"/>
        <v>AE043C</v>
      </c>
      <c r="G342" t="str">
        <f t="shared" si="340"/>
        <v>AE044E</v>
      </c>
      <c r="H342" t="str">
        <f t="shared" si="340"/>
        <v>AE0450</v>
      </c>
      <c r="I342" t="str">
        <f t="shared" si="340"/>
        <v>AE0452</v>
      </c>
      <c r="J342" t="str">
        <f t="shared" si="340"/>
        <v>AE0454</v>
      </c>
      <c r="K342" t="str">
        <f t="shared" si="340"/>
        <v>AE042E</v>
      </c>
    </row>
    <row r="343">
      <c r="A343" s="14">
        <v>341.0</v>
      </c>
      <c r="B343" t="str">
        <f t="shared" ref="B343:K343" si="341">DEC2HEX(HEX2DEC(B342)+1)</f>
        <v>AE0435</v>
      </c>
      <c r="C343" t="str">
        <f t="shared" si="341"/>
        <v>AE0437</v>
      </c>
      <c r="D343" t="str">
        <f t="shared" si="341"/>
        <v>AE0439</v>
      </c>
      <c r="E343" t="str">
        <f t="shared" si="341"/>
        <v>AE043B</v>
      </c>
      <c r="F343" t="str">
        <f t="shared" si="341"/>
        <v>AE043D</v>
      </c>
      <c r="G343" t="str">
        <f t="shared" si="341"/>
        <v>AE044F</v>
      </c>
      <c r="H343" t="str">
        <f t="shared" si="341"/>
        <v>AE0451</v>
      </c>
      <c r="I343" t="str">
        <f t="shared" si="341"/>
        <v>AE0453</v>
      </c>
      <c r="J343" t="str">
        <f t="shared" si="341"/>
        <v>AE0455</v>
      </c>
      <c r="K343" t="str">
        <f t="shared" si="341"/>
        <v>AE042F</v>
      </c>
    </row>
    <row r="344">
      <c r="A344" s="14">
        <v>342.0</v>
      </c>
      <c r="B344" t="str">
        <f t="shared" ref="B344:K344" si="342">DEC2HEX(HEX2DEC(B343)+1)</f>
        <v>AE0436</v>
      </c>
      <c r="C344" t="str">
        <f t="shared" si="342"/>
        <v>AE0438</v>
      </c>
      <c r="D344" t="str">
        <f t="shared" si="342"/>
        <v>AE043A</v>
      </c>
      <c r="E344" t="str">
        <f t="shared" si="342"/>
        <v>AE043C</v>
      </c>
      <c r="F344" t="str">
        <f t="shared" si="342"/>
        <v>AE043E</v>
      </c>
      <c r="G344" t="str">
        <f t="shared" si="342"/>
        <v>AE0450</v>
      </c>
      <c r="H344" t="str">
        <f t="shared" si="342"/>
        <v>AE0452</v>
      </c>
      <c r="I344" t="str">
        <f t="shared" si="342"/>
        <v>AE0454</v>
      </c>
      <c r="J344" t="str">
        <f t="shared" si="342"/>
        <v>AE0456</v>
      </c>
      <c r="K344" t="str">
        <f t="shared" si="342"/>
        <v>AE0430</v>
      </c>
    </row>
    <row r="345">
      <c r="A345" s="14">
        <v>343.0</v>
      </c>
      <c r="B345" t="str">
        <f t="shared" ref="B345:K345" si="343">DEC2HEX(HEX2DEC(B344)+1)</f>
        <v>AE0437</v>
      </c>
      <c r="C345" t="str">
        <f t="shared" si="343"/>
        <v>AE0439</v>
      </c>
      <c r="D345" t="str">
        <f t="shared" si="343"/>
        <v>AE043B</v>
      </c>
      <c r="E345" t="str">
        <f t="shared" si="343"/>
        <v>AE043D</v>
      </c>
      <c r="F345" t="str">
        <f t="shared" si="343"/>
        <v>AE043F</v>
      </c>
      <c r="G345" t="str">
        <f t="shared" si="343"/>
        <v>AE0451</v>
      </c>
      <c r="H345" t="str">
        <f t="shared" si="343"/>
        <v>AE0453</v>
      </c>
      <c r="I345" t="str">
        <f t="shared" si="343"/>
        <v>AE0455</v>
      </c>
      <c r="J345" t="str">
        <f t="shared" si="343"/>
        <v>AE0457</v>
      </c>
      <c r="K345" t="str">
        <f t="shared" si="343"/>
        <v>AE0431</v>
      </c>
    </row>
    <row r="346">
      <c r="A346" s="14">
        <v>344.0</v>
      </c>
      <c r="B346" t="str">
        <f t="shared" ref="B346:K346" si="344">DEC2HEX(HEX2DEC(B345)+1)</f>
        <v>AE0438</v>
      </c>
      <c r="C346" t="str">
        <f t="shared" si="344"/>
        <v>AE043A</v>
      </c>
      <c r="D346" t="str">
        <f t="shared" si="344"/>
        <v>AE043C</v>
      </c>
      <c r="E346" t="str">
        <f t="shared" si="344"/>
        <v>AE043E</v>
      </c>
      <c r="F346" t="str">
        <f t="shared" si="344"/>
        <v>AE0440</v>
      </c>
      <c r="G346" t="str">
        <f t="shared" si="344"/>
        <v>AE0452</v>
      </c>
      <c r="H346" t="str">
        <f t="shared" si="344"/>
        <v>AE0454</v>
      </c>
      <c r="I346" t="str">
        <f t="shared" si="344"/>
        <v>AE0456</v>
      </c>
      <c r="J346" t="str">
        <f t="shared" si="344"/>
        <v>AE0458</v>
      </c>
      <c r="K346" t="str">
        <f t="shared" si="344"/>
        <v>AE0432</v>
      </c>
    </row>
    <row r="347">
      <c r="A347" s="14">
        <v>345.0</v>
      </c>
      <c r="B347" t="str">
        <f t="shared" ref="B347:K347" si="345">DEC2HEX(HEX2DEC(B346)+1)</f>
        <v>AE0439</v>
      </c>
      <c r="C347" t="str">
        <f t="shared" si="345"/>
        <v>AE043B</v>
      </c>
      <c r="D347" t="str">
        <f t="shared" si="345"/>
        <v>AE043D</v>
      </c>
      <c r="E347" t="str">
        <f t="shared" si="345"/>
        <v>AE043F</v>
      </c>
      <c r="F347" t="str">
        <f t="shared" si="345"/>
        <v>AE0441</v>
      </c>
      <c r="G347" t="str">
        <f t="shared" si="345"/>
        <v>AE0453</v>
      </c>
      <c r="H347" t="str">
        <f t="shared" si="345"/>
        <v>AE0455</v>
      </c>
      <c r="I347" t="str">
        <f t="shared" si="345"/>
        <v>AE0457</v>
      </c>
      <c r="J347" t="str">
        <f t="shared" si="345"/>
        <v>AE0459</v>
      </c>
      <c r="K347" t="str">
        <f t="shared" si="345"/>
        <v>AE0433</v>
      </c>
    </row>
    <row r="348">
      <c r="A348" s="14">
        <v>346.0</v>
      </c>
      <c r="B348" t="str">
        <f t="shared" ref="B348:K348" si="346">DEC2HEX(HEX2DEC(B347)+1)</f>
        <v>AE043A</v>
      </c>
      <c r="C348" t="str">
        <f t="shared" si="346"/>
        <v>AE043C</v>
      </c>
      <c r="D348" t="str">
        <f t="shared" si="346"/>
        <v>AE043E</v>
      </c>
      <c r="E348" t="str">
        <f t="shared" si="346"/>
        <v>AE0440</v>
      </c>
      <c r="F348" t="str">
        <f t="shared" si="346"/>
        <v>AE0442</v>
      </c>
      <c r="G348" t="str">
        <f t="shared" si="346"/>
        <v>AE0454</v>
      </c>
      <c r="H348" t="str">
        <f t="shared" si="346"/>
        <v>AE0456</v>
      </c>
      <c r="I348" t="str">
        <f t="shared" si="346"/>
        <v>AE0458</v>
      </c>
      <c r="J348" t="str">
        <f t="shared" si="346"/>
        <v>AE045A</v>
      </c>
      <c r="K348" t="str">
        <f t="shared" si="346"/>
        <v>AE0434</v>
      </c>
    </row>
    <row r="349">
      <c r="A349" s="14">
        <v>347.0</v>
      </c>
      <c r="B349" t="str">
        <f t="shared" ref="B349:K349" si="347">DEC2HEX(HEX2DEC(B348)+1)</f>
        <v>AE043B</v>
      </c>
      <c r="C349" t="str">
        <f t="shared" si="347"/>
        <v>AE043D</v>
      </c>
      <c r="D349" t="str">
        <f t="shared" si="347"/>
        <v>AE043F</v>
      </c>
      <c r="E349" t="str">
        <f t="shared" si="347"/>
        <v>AE0441</v>
      </c>
      <c r="F349" t="str">
        <f t="shared" si="347"/>
        <v>AE0443</v>
      </c>
      <c r="G349" t="str">
        <f t="shared" si="347"/>
        <v>AE0455</v>
      </c>
      <c r="H349" t="str">
        <f t="shared" si="347"/>
        <v>AE0457</v>
      </c>
      <c r="I349" t="str">
        <f t="shared" si="347"/>
        <v>AE0459</v>
      </c>
      <c r="J349" t="str">
        <f t="shared" si="347"/>
        <v>AE045B</v>
      </c>
      <c r="K349" t="str">
        <f t="shared" si="347"/>
        <v>AE0435</v>
      </c>
    </row>
    <row r="350">
      <c r="A350" s="14">
        <v>348.0</v>
      </c>
      <c r="B350" t="str">
        <f t="shared" ref="B350:K350" si="348">DEC2HEX(HEX2DEC(B349)+1)</f>
        <v>AE043C</v>
      </c>
      <c r="C350" t="str">
        <f t="shared" si="348"/>
        <v>AE043E</v>
      </c>
      <c r="D350" t="str">
        <f t="shared" si="348"/>
        <v>AE0440</v>
      </c>
      <c r="E350" t="str">
        <f t="shared" si="348"/>
        <v>AE0442</v>
      </c>
      <c r="F350" t="str">
        <f t="shared" si="348"/>
        <v>AE0444</v>
      </c>
      <c r="G350" t="str">
        <f t="shared" si="348"/>
        <v>AE0456</v>
      </c>
      <c r="H350" t="str">
        <f t="shared" si="348"/>
        <v>AE0458</v>
      </c>
      <c r="I350" t="str">
        <f t="shared" si="348"/>
        <v>AE045A</v>
      </c>
      <c r="J350" t="str">
        <f t="shared" si="348"/>
        <v>AE045C</v>
      </c>
      <c r="K350" t="str">
        <f t="shared" si="348"/>
        <v>AE0436</v>
      </c>
    </row>
    <row r="351">
      <c r="A351" s="14">
        <v>349.0</v>
      </c>
      <c r="B351" t="str">
        <f t="shared" ref="B351:K351" si="349">DEC2HEX(HEX2DEC(B350)+1)</f>
        <v>AE043D</v>
      </c>
      <c r="C351" t="str">
        <f t="shared" si="349"/>
        <v>AE043F</v>
      </c>
      <c r="D351" t="str">
        <f t="shared" si="349"/>
        <v>AE0441</v>
      </c>
      <c r="E351" t="str">
        <f t="shared" si="349"/>
        <v>AE0443</v>
      </c>
      <c r="F351" t="str">
        <f t="shared" si="349"/>
        <v>AE0445</v>
      </c>
      <c r="G351" t="str">
        <f t="shared" si="349"/>
        <v>AE0457</v>
      </c>
      <c r="H351" t="str">
        <f t="shared" si="349"/>
        <v>AE0459</v>
      </c>
      <c r="I351" t="str">
        <f t="shared" si="349"/>
        <v>AE045B</v>
      </c>
      <c r="J351" t="str">
        <f t="shared" si="349"/>
        <v>AE045D</v>
      </c>
      <c r="K351" t="str">
        <f t="shared" si="349"/>
        <v>AE0437</v>
      </c>
    </row>
    <row r="352">
      <c r="A352" s="14">
        <v>350.0</v>
      </c>
      <c r="B352" t="str">
        <f t="shared" ref="B352:K352" si="350">DEC2HEX(HEX2DEC(B351)+1)</f>
        <v>AE043E</v>
      </c>
      <c r="C352" t="str">
        <f t="shared" si="350"/>
        <v>AE0440</v>
      </c>
      <c r="D352" t="str">
        <f t="shared" si="350"/>
        <v>AE0442</v>
      </c>
      <c r="E352" t="str">
        <f t="shared" si="350"/>
        <v>AE0444</v>
      </c>
      <c r="F352" t="str">
        <f t="shared" si="350"/>
        <v>AE0446</v>
      </c>
      <c r="G352" t="str">
        <f t="shared" si="350"/>
        <v>AE0458</v>
      </c>
      <c r="H352" t="str">
        <f t="shared" si="350"/>
        <v>AE045A</v>
      </c>
      <c r="I352" t="str">
        <f t="shared" si="350"/>
        <v>AE045C</v>
      </c>
      <c r="J352" t="str">
        <f t="shared" si="350"/>
        <v>AE045E</v>
      </c>
      <c r="K352" t="str">
        <f t="shared" si="350"/>
        <v>AE0438</v>
      </c>
    </row>
    <row r="353">
      <c r="A353" s="14">
        <v>351.0</v>
      </c>
      <c r="B353" t="str">
        <f t="shared" ref="B353:K353" si="351">DEC2HEX(HEX2DEC(B352)+1)</f>
        <v>AE043F</v>
      </c>
      <c r="C353" t="str">
        <f t="shared" si="351"/>
        <v>AE0441</v>
      </c>
      <c r="D353" t="str">
        <f t="shared" si="351"/>
        <v>AE0443</v>
      </c>
      <c r="E353" t="str">
        <f t="shared" si="351"/>
        <v>AE0445</v>
      </c>
      <c r="F353" t="str">
        <f t="shared" si="351"/>
        <v>AE0447</v>
      </c>
      <c r="G353" t="str">
        <f t="shared" si="351"/>
        <v>AE0459</v>
      </c>
      <c r="H353" t="str">
        <f t="shared" si="351"/>
        <v>AE045B</v>
      </c>
      <c r="I353" t="str">
        <f t="shared" si="351"/>
        <v>AE045D</v>
      </c>
      <c r="J353" t="str">
        <f t="shared" si="351"/>
        <v>AE045F</v>
      </c>
      <c r="K353" t="str">
        <f t="shared" si="351"/>
        <v>AE0439</v>
      </c>
    </row>
    <row r="354">
      <c r="A354" s="14">
        <v>352.0</v>
      </c>
      <c r="B354" t="str">
        <f t="shared" ref="B354:K354" si="352">DEC2HEX(HEX2DEC(B353)+1)</f>
        <v>AE0440</v>
      </c>
      <c r="C354" t="str">
        <f t="shared" si="352"/>
        <v>AE0442</v>
      </c>
      <c r="D354" t="str">
        <f t="shared" si="352"/>
        <v>AE0444</v>
      </c>
      <c r="E354" t="str">
        <f t="shared" si="352"/>
        <v>AE0446</v>
      </c>
      <c r="F354" t="str">
        <f t="shared" si="352"/>
        <v>AE0448</v>
      </c>
      <c r="G354" t="str">
        <f t="shared" si="352"/>
        <v>AE045A</v>
      </c>
      <c r="H354" t="str">
        <f t="shared" si="352"/>
        <v>AE045C</v>
      </c>
      <c r="I354" t="str">
        <f t="shared" si="352"/>
        <v>AE045E</v>
      </c>
      <c r="J354" t="str">
        <f t="shared" si="352"/>
        <v>AE0460</v>
      </c>
      <c r="K354" t="str">
        <f t="shared" si="352"/>
        <v>AE043A</v>
      </c>
    </row>
    <row r="355">
      <c r="A355" s="14">
        <v>353.0</v>
      </c>
      <c r="B355" t="str">
        <f t="shared" ref="B355:K355" si="353">DEC2HEX(HEX2DEC(B354)+1)</f>
        <v>AE0441</v>
      </c>
      <c r="C355" t="str">
        <f t="shared" si="353"/>
        <v>AE0443</v>
      </c>
      <c r="D355" t="str">
        <f t="shared" si="353"/>
        <v>AE0445</v>
      </c>
      <c r="E355" t="str">
        <f t="shared" si="353"/>
        <v>AE0447</v>
      </c>
      <c r="F355" t="str">
        <f t="shared" si="353"/>
        <v>AE0449</v>
      </c>
      <c r="G355" t="str">
        <f t="shared" si="353"/>
        <v>AE045B</v>
      </c>
      <c r="H355" t="str">
        <f t="shared" si="353"/>
        <v>AE045D</v>
      </c>
      <c r="I355" t="str">
        <f t="shared" si="353"/>
        <v>AE045F</v>
      </c>
      <c r="J355" t="str">
        <f t="shared" si="353"/>
        <v>AE0461</v>
      </c>
      <c r="K355" t="str">
        <f t="shared" si="353"/>
        <v>AE043B</v>
      </c>
    </row>
    <row r="356">
      <c r="A356" s="14">
        <v>354.0</v>
      </c>
      <c r="B356" t="str">
        <f t="shared" ref="B356:K356" si="354">DEC2HEX(HEX2DEC(B355)+1)</f>
        <v>AE0442</v>
      </c>
      <c r="C356" t="str">
        <f t="shared" si="354"/>
        <v>AE0444</v>
      </c>
      <c r="D356" t="str">
        <f t="shared" si="354"/>
        <v>AE0446</v>
      </c>
      <c r="E356" t="str">
        <f t="shared" si="354"/>
        <v>AE0448</v>
      </c>
      <c r="F356" t="str">
        <f t="shared" si="354"/>
        <v>AE044A</v>
      </c>
      <c r="G356" t="str">
        <f t="shared" si="354"/>
        <v>AE045C</v>
      </c>
      <c r="H356" t="str">
        <f t="shared" si="354"/>
        <v>AE045E</v>
      </c>
      <c r="I356" t="str">
        <f t="shared" si="354"/>
        <v>AE0460</v>
      </c>
      <c r="J356" t="str">
        <f t="shared" si="354"/>
        <v>AE0462</v>
      </c>
      <c r="K356" t="str">
        <f t="shared" si="354"/>
        <v>AE043C</v>
      </c>
    </row>
    <row r="357">
      <c r="A357" s="14">
        <v>355.0</v>
      </c>
      <c r="B357" t="str">
        <f t="shared" ref="B357:K357" si="355">DEC2HEX(HEX2DEC(B356)+1)</f>
        <v>AE0443</v>
      </c>
      <c r="C357" t="str">
        <f t="shared" si="355"/>
        <v>AE0445</v>
      </c>
      <c r="D357" t="str">
        <f t="shared" si="355"/>
        <v>AE0447</v>
      </c>
      <c r="E357" t="str">
        <f t="shared" si="355"/>
        <v>AE0449</v>
      </c>
      <c r="F357" t="str">
        <f t="shared" si="355"/>
        <v>AE044B</v>
      </c>
      <c r="G357" t="str">
        <f t="shared" si="355"/>
        <v>AE045D</v>
      </c>
      <c r="H357" t="str">
        <f t="shared" si="355"/>
        <v>AE045F</v>
      </c>
      <c r="I357" t="str">
        <f t="shared" si="355"/>
        <v>AE0461</v>
      </c>
      <c r="J357" t="str">
        <f t="shared" si="355"/>
        <v>AE0463</v>
      </c>
      <c r="K357" t="str">
        <f t="shared" si="355"/>
        <v>AE043D</v>
      </c>
    </row>
    <row r="358">
      <c r="A358" s="14">
        <v>356.0</v>
      </c>
      <c r="B358" t="str">
        <f t="shared" ref="B358:K358" si="356">DEC2HEX(HEX2DEC(B357)+1)</f>
        <v>AE0444</v>
      </c>
      <c r="C358" t="str">
        <f t="shared" si="356"/>
        <v>AE0446</v>
      </c>
      <c r="D358" t="str">
        <f t="shared" si="356"/>
        <v>AE0448</v>
      </c>
      <c r="E358" t="str">
        <f t="shared" si="356"/>
        <v>AE044A</v>
      </c>
      <c r="F358" t="str">
        <f t="shared" si="356"/>
        <v>AE044C</v>
      </c>
      <c r="G358" t="str">
        <f t="shared" si="356"/>
        <v>AE045E</v>
      </c>
      <c r="H358" t="str">
        <f t="shared" si="356"/>
        <v>AE0460</v>
      </c>
      <c r="I358" t="str">
        <f t="shared" si="356"/>
        <v>AE0462</v>
      </c>
      <c r="J358" t="str">
        <f t="shared" si="356"/>
        <v>AE0464</v>
      </c>
      <c r="K358" t="str">
        <f t="shared" si="356"/>
        <v>AE043E</v>
      </c>
    </row>
    <row r="359">
      <c r="A359" s="14">
        <v>357.0</v>
      </c>
      <c r="B359" t="str">
        <f t="shared" ref="B359:K359" si="357">DEC2HEX(HEX2DEC(B358)+1)</f>
        <v>AE0445</v>
      </c>
      <c r="C359" t="str">
        <f t="shared" si="357"/>
        <v>AE0447</v>
      </c>
      <c r="D359" t="str">
        <f t="shared" si="357"/>
        <v>AE0449</v>
      </c>
      <c r="E359" t="str">
        <f t="shared" si="357"/>
        <v>AE044B</v>
      </c>
      <c r="F359" t="str">
        <f t="shared" si="357"/>
        <v>AE044D</v>
      </c>
      <c r="G359" t="str">
        <f t="shared" si="357"/>
        <v>AE045F</v>
      </c>
      <c r="H359" t="str">
        <f t="shared" si="357"/>
        <v>AE0461</v>
      </c>
      <c r="I359" t="str">
        <f t="shared" si="357"/>
        <v>AE0463</v>
      </c>
      <c r="J359" t="str">
        <f t="shared" si="357"/>
        <v>AE0465</v>
      </c>
      <c r="K359" t="str">
        <f t="shared" si="357"/>
        <v>AE043F</v>
      </c>
    </row>
    <row r="360">
      <c r="A360" s="14">
        <v>358.0</v>
      </c>
      <c r="B360" t="str">
        <f t="shared" ref="B360:K360" si="358">DEC2HEX(HEX2DEC(B359)+1)</f>
        <v>AE0446</v>
      </c>
      <c r="C360" t="str">
        <f t="shared" si="358"/>
        <v>AE0448</v>
      </c>
      <c r="D360" t="str">
        <f t="shared" si="358"/>
        <v>AE044A</v>
      </c>
      <c r="E360" t="str">
        <f t="shared" si="358"/>
        <v>AE044C</v>
      </c>
      <c r="F360" t="str">
        <f t="shared" si="358"/>
        <v>AE044E</v>
      </c>
      <c r="G360" t="str">
        <f t="shared" si="358"/>
        <v>AE0460</v>
      </c>
      <c r="H360" t="str">
        <f t="shared" si="358"/>
        <v>AE0462</v>
      </c>
      <c r="I360" t="str">
        <f t="shared" si="358"/>
        <v>AE0464</v>
      </c>
      <c r="J360" t="str">
        <f t="shared" si="358"/>
        <v>AE0466</v>
      </c>
      <c r="K360" t="str">
        <f t="shared" si="358"/>
        <v>AE0440</v>
      </c>
    </row>
    <row r="361">
      <c r="A361" s="14">
        <v>359.0</v>
      </c>
      <c r="B361" t="str">
        <f t="shared" ref="B361:K361" si="359">DEC2HEX(HEX2DEC(B360)+1)</f>
        <v>AE0447</v>
      </c>
      <c r="C361" t="str">
        <f t="shared" si="359"/>
        <v>AE0449</v>
      </c>
      <c r="D361" t="str">
        <f t="shared" si="359"/>
        <v>AE044B</v>
      </c>
      <c r="E361" t="str">
        <f t="shared" si="359"/>
        <v>AE044D</v>
      </c>
      <c r="F361" t="str">
        <f t="shared" si="359"/>
        <v>AE044F</v>
      </c>
      <c r="G361" t="str">
        <f t="shared" si="359"/>
        <v>AE0461</v>
      </c>
      <c r="H361" t="str">
        <f t="shared" si="359"/>
        <v>AE0463</v>
      </c>
      <c r="I361" t="str">
        <f t="shared" si="359"/>
        <v>AE0465</v>
      </c>
      <c r="J361" t="str">
        <f t="shared" si="359"/>
        <v>AE0467</v>
      </c>
      <c r="K361" t="str">
        <f t="shared" si="359"/>
        <v>AE0441</v>
      </c>
    </row>
    <row r="362">
      <c r="A362" s="14">
        <v>360.0</v>
      </c>
      <c r="B362" t="str">
        <f t="shared" ref="B362:K362" si="360">DEC2HEX(HEX2DEC(B361)+1)</f>
        <v>AE0448</v>
      </c>
      <c r="C362" t="str">
        <f t="shared" si="360"/>
        <v>AE044A</v>
      </c>
      <c r="D362" t="str">
        <f t="shared" si="360"/>
        <v>AE044C</v>
      </c>
      <c r="E362" t="str">
        <f t="shared" si="360"/>
        <v>AE044E</v>
      </c>
      <c r="F362" t="str">
        <f t="shared" si="360"/>
        <v>AE0450</v>
      </c>
      <c r="G362" t="str">
        <f t="shared" si="360"/>
        <v>AE0462</v>
      </c>
      <c r="H362" t="str">
        <f t="shared" si="360"/>
        <v>AE0464</v>
      </c>
      <c r="I362" t="str">
        <f t="shared" si="360"/>
        <v>AE0466</v>
      </c>
      <c r="J362" t="str">
        <f t="shared" si="360"/>
        <v>AE0468</v>
      </c>
      <c r="K362" t="str">
        <f t="shared" si="360"/>
        <v>AE0442</v>
      </c>
    </row>
    <row r="363">
      <c r="A363" s="14">
        <v>361.0</v>
      </c>
      <c r="B363" t="str">
        <f t="shared" ref="B363:K363" si="361">DEC2HEX(HEX2DEC(B362)+1)</f>
        <v>AE0449</v>
      </c>
      <c r="C363" t="str">
        <f t="shared" si="361"/>
        <v>AE044B</v>
      </c>
      <c r="D363" t="str">
        <f t="shared" si="361"/>
        <v>AE044D</v>
      </c>
      <c r="E363" t="str">
        <f t="shared" si="361"/>
        <v>AE044F</v>
      </c>
      <c r="F363" t="str">
        <f t="shared" si="361"/>
        <v>AE0451</v>
      </c>
      <c r="G363" t="str">
        <f t="shared" si="361"/>
        <v>AE0463</v>
      </c>
      <c r="H363" t="str">
        <f t="shared" si="361"/>
        <v>AE0465</v>
      </c>
      <c r="I363" t="str">
        <f t="shared" si="361"/>
        <v>AE0467</v>
      </c>
      <c r="J363" t="str">
        <f t="shared" si="361"/>
        <v>AE0469</v>
      </c>
      <c r="K363" t="str">
        <f t="shared" si="361"/>
        <v>AE0443</v>
      </c>
    </row>
    <row r="364">
      <c r="A364" s="14">
        <v>362.0</v>
      </c>
      <c r="B364" t="str">
        <f t="shared" ref="B364:K364" si="362">DEC2HEX(HEX2DEC(B363)+1)</f>
        <v>AE044A</v>
      </c>
      <c r="C364" t="str">
        <f t="shared" si="362"/>
        <v>AE044C</v>
      </c>
      <c r="D364" t="str">
        <f t="shared" si="362"/>
        <v>AE044E</v>
      </c>
      <c r="E364" t="str">
        <f t="shared" si="362"/>
        <v>AE0450</v>
      </c>
      <c r="F364" t="str">
        <f t="shared" si="362"/>
        <v>AE0452</v>
      </c>
      <c r="G364" t="str">
        <f t="shared" si="362"/>
        <v>AE0464</v>
      </c>
      <c r="H364" t="str">
        <f t="shared" si="362"/>
        <v>AE0466</v>
      </c>
      <c r="I364" t="str">
        <f t="shared" si="362"/>
        <v>AE0468</v>
      </c>
      <c r="J364" t="str">
        <f t="shared" si="362"/>
        <v>AE046A</v>
      </c>
      <c r="K364" t="str">
        <f t="shared" si="362"/>
        <v>AE0444</v>
      </c>
    </row>
    <row r="365">
      <c r="A365" s="14">
        <v>363.0</v>
      </c>
      <c r="B365" t="str">
        <f t="shared" ref="B365:K365" si="363">DEC2HEX(HEX2DEC(B364)+1)</f>
        <v>AE044B</v>
      </c>
      <c r="C365" t="str">
        <f t="shared" si="363"/>
        <v>AE044D</v>
      </c>
      <c r="D365" t="str">
        <f t="shared" si="363"/>
        <v>AE044F</v>
      </c>
      <c r="E365" t="str">
        <f t="shared" si="363"/>
        <v>AE0451</v>
      </c>
      <c r="F365" t="str">
        <f t="shared" si="363"/>
        <v>AE0453</v>
      </c>
      <c r="G365" t="str">
        <f t="shared" si="363"/>
        <v>AE0465</v>
      </c>
      <c r="H365" t="str">
        <f t="shared" si="363"/>
        <v>AE0467</v>
      </c>
      <c r="I365" t="str">
        <f t="shared" si="363"/>
        <v>AE0469</v>
      </c>
      <c r="J365" t="str">
        <f t="shared" si="363"/>
        <v>AE046B</v>
      </c>
      <c r="K365" t="str">
        <f t="shared" si="363"/>
        <v>AE0445</v>
      </c>
    </row>
    <row r="366">
      <c r="A366" s="14">
        <v>364.0</v>
      </c>
      <c r="B366" t="str">
        <f t="shared" ref="B366:K366" si="364">DEC2HEX(HEX2DEC(B365)+1)</f>
        <v>AE044C</v>
      </c>
      <c r="C366" t="str">
        <f t="shared" si="364"/>
        <v>AE044E</v>
      </c>
      <c r="D366" t="str">
        <f t="shared" si="364"/>
        <v>AE0450</v>
      </c>
      <c r="E366" t="str">
        <f t="shared" si="364"/>
        <v>AE0452</v>
      </c>
      <c r="F366" t="str">
        <f t="shared" si="364"/>
        <v>AE0454</v>
      </c>
      <c r="G366" t="str">
        <f t="shared" si="364"/>
        <v>AE0466</v>
      </c>
      <c r="H366" t="str">
        <f t="shared" si="364"/>
        <v>AE0468</v>
      </c>
      <c r="I366" t="str">
        <f t="shared" si="364"/>
        <v>AE046A</v>
      </c>
      <c r="J366" t="str">
        <f t="shared" si="364"/>
        <v>AE046C</v>
      </c>
      <c r="K366" t="str">
        <f t="shared" si="364"/>
        <v>AE0446</v>
      </c>
    </row>
    <row r="367">
      <c r="A367" s="14">
        <v>365.0</v>
      </c>
      <c r="B367" t="str">
        <f t="shared" ref="B367:K367" si="365">DEC2HEX(HEX2DEC(B366)+1)</f>
        <v>AE044D</v>
      </c>
      <c r="C367" t="str">
        <f t="shared" si="365"/>
        <v>AE044F</v>
      </c>
      <c r="D367" t="str">
        <f t="shared" si="365"/>
        <v>AE0451</v>
      </c>
      <c r="E367" t="str">
        <f t="shared" si="365"/>
        <v>AE0453</v>
      </c>
      <c r="F367" t="str">
        <f t="shared" si="365"/>
        <v>AE0455</v>
      </c>
      <c r="G367" t="str">
        <f t="shared" si="365"/>
        <v>AE0467</v>
      </c>
      <c r="H367" t="str">
        <f t="shared" si="365"/>
        <v>AE0469</v>
      </c>
      <c r="I367" t="str">
        <f t="shared" si="365"/>
        <v>AE046B</v>
      </c>
      <c r="J367" t="str">
        <f t="shared" si="365"/>
        <v>AE046D</v>
      </c>
      <c r="K367" t="str">
        <f t="shared" si="365"/>
        <v>AE0447</v>
      </c>
    </row>
    <row r="368">
      <c r="A368" s="14">
        <v>366.0</v>
      </c>
      <c r="B368" t="str">
        <f t="shared" ref="B368:K368" si="366">DEC2HEX(HEX2DEC(B367)+1)</f>
        <v>AE044E</v>
      </c>
      <c r="C368" t="str">
        <f t="shared" si="366"/>
        <v>AE0450</v>
      </c>
      <c r="D368" t="str">
        <f t="shared" si="366"/>
        <v>AE0452</v>
      </c>
      <c r="E368" t="str">
        <f t="shared" si="366"/>
        <v>AE0454</v>
      </c>
      <c r="F368" t="str">
        <f t="shared" si="366"/>
        <v>AE0456</v>
      </c>
      <c r="G368" t="str">
        <f t="shared" si="366"/>
        <v>AE0468</v>
      </c>
      <c r="H368" t="str">
        <f t="shared" si="366"/>
        <v>AE046A</v>
      </c>
      <c r="I368" t="str">
        <f t="shared" si="366"/>
        <v>AE046C</v>
      </c>
      <c r="J368" t="str">
        <f t="shared" si="366"/>
        <v>AE046E</v>
      </c>
      <c r="K368" t="str">
        <f t="shared" si="366"/>
        <v>AE0448</v>
      </c>
    </row>
    <row r="369">
      <c r="A369" s="14">
        <v>367.0</v>
      </c>
      <c r="B369" t="str">
        <f t="shared" ref="B369:K369" si="367">DEC2HEX(HEX2DEC(B368)+1)</f>
        <v>AE044F</v>
      </c>
      <c r="C369" t="str">
        <f t="shared" si="367"/>
        <v>AE0451</v>
      </c>
      <c r="D369" t="str">
        <f t="shared" si="367"/>
        <v>AE0453</v>
      </c>
      <c r="E369" t="str">
        <f t="shared" si="367"/>
        <v>AE0455</v>
      </c>
      <c r="F369" t="str">
        <f t="shared" si="367"/>
        <v>AE0457</v>
      </c>
      <c r="G369" t="str">
        <f t="shared" si="367"/>
        <v>AE0469</v>
      </c>
      <c r="H369" t="str">
        <f t="shared" si="367"/>
        <v>AE046B</v>
      </c>
      <c r="I369" t="str">
        <f t="shared" si="367"/>
        <v>AE046D</v>
      </c>
      <c r="J369" t="str">
        <f t="shared" si="367"/>
        <v>AE046F</v>
      </c>
      <c r="K369" t="str">
        <f t="shared" si="367"/>
        <v>AE0449</v>
      </c>
    </row>
    <row r="370">
      <c r="A370" s="14">
        <v>368.0</v>
      </c>
      <c r="B370" t="str">
        <f t="shared" ref="B370:K370" si="368">DEC2HEX(HEX2DEC(B369)+1)</f>
        <v>AE0450</v>
      </c>
      <c r="C370" t="str">
        <f t="shared" si="368"/>
        <v>AE0452</v>
      </c>
      <c r="D370" t="str">
        <f t="shared" si="368"/>
        <v>AE0454</v>
      </c>
      <c r="E370" t="str">
        <f t="shared" si="368"/>
        <v>AE0456</v>
      </c>
      <c r="F370" t="str">
        <f t="shared" si="368"/>
        <v>AE0458</v>
      </c>
      <c r="G370" t="str">
        <f t="shared" si="368"/>
        <v>AE046A</v>
      </c>
      <c r="H370" t="str">
        <f t="shared" si="368"/>
        <v>AE046C</v>
      </c>
      <c r="I370" t="str">
        <f t="shared" si="368"/>
        <v>AE046E</v>
      </c>
      <c r="J370" t="str">
        <f t="shared" si="368"/>
        <v>AE0470</v>
      </c>
      <c r="K370" t="str">
        <f t="shared" si="368"/>
        <v>AE044A</v>
      </c>
    </row>
    <row r="371">
      <c r="A371" s="14">
        <v>369.0</v>
      </c>
      <c r="B371" t="str">
        <f t="shared" ref="B371:K371" si="369">DEC2HEX(HEX2DEC(B370)+1)</f>
        <v>AE0451</v>
      </c>
      <c r="C371" t="str">
        <f t="shared" si="369"/>
        <v>AE0453</v>
      </c>
      <c r="D371" t="str">
        <f t="shared" si="369"/>
        <v>AE0455</v>
      </c>
      <c r="E371" t="str">
        <f t="shared" si="369"/>
        <v>AE0457</v>
      </c>
      <c r="F371" t="str">
        <f t="shared" si="369"/>
        <v>AE0459</v>
      </c>
      <c r="G371" t="str">
        <f t="shared" si="369"/>
        <v>AE046B</v>
      </c>
      <c r="H371" t="str">
        <f t="shared" si="369"/>
        <v>AE046D</v>
      </c>
      <c r="I371" t="str">
        <f t="shared" si="369"/>
        <v>AE046F</v>
      </c>
      <c r="J371" t="str">
        <f t="shared" si="369"/>
        <v>AE0471</v>
      </c>
      <c r="K371" t="str">
        <f t="shared" si="369"/>
        <v>AE044B</v>
      </c>
    </row>
    <row r="372">
      <c r="A372" s="14">
        <v>370.0</v>
      </c>
      <c r="B372" t="str">
        <f t="shared" ref="B372:K372" si="370">DEC2HEX(HEX2DEC(B371)+1)</f>
        <v>AE0452</v>
      </c>
      <c r="C372" t="str">
        <f t="shared" si="370"/>
        <v>AE0454</v>
      </c>
      <c r="D372" t="str">
        <f t="shared" si="370"/>
        <v>AE0456</v>
      </c>
      <c r="E372" t="str">
        <f t="shared" si="370"/>
        <v>AE0458</v>
      </c>
      <c r="F372" t="str">
        <f t="shared" si="370"/>
        <v>AE045A</v>
      </c>
      <c r="G372" t="str">
        <f t="shared" si="370"/>
        <v>AE046C</v>
      </c>
      <c r="H372" t="str">
        <f t="shared" si="370"/>
        <v>AE046E</v>
      </c>
      <c r="I372" t="str">
        <f t="shared" si="370"/>
        <v>AE0470</v>
      </c>
      <c r="J372" t="str">
        <f t="shared" si="370"/>
        <v>AE0472</v>
      </c>
      <c r="K372" t="str">
        <f t="shared" si="370"/>
        <v>AE044C</v>
      </c>
    </row>
    <row r="373">
      <c r="A373" s="14">
        <v>371.0</v>
      </c>
      <c r="B373" t="str">
        <f t="shared" ref="B373:K373" si="371">DEC2HEX(HEX2DEC(B372)+1)</f>
        <v>AE0453</v>
      </c>
      <c r="C373" t="str">
        <f t="shared" si="371"/>
        <v>AE0455</v>
      </c>
      <c r="D373" t="str">
        <f t="shared" si="371"/>
        <v>AE0457</v>
      </c>
      <c r="E373" t="str">
        <f t="shared" si="371"/>
        <v>AE0459</v>
      </c>
      <c r="F373" t="str">
        <f t="shared" si="371"/>
        <v>AE045B</v>
      </c>
      <c r="G373" t="str">
        <f t="shared" si="371"/>
        <v>AE046D</v>
      </c>
      <c r="H373" t="str">
        <f t="shared" si="371"/>
        <v>AE046F</v>
      </c>
      <c r="I373" t="str">
        <f t="shared" si="371"/>
        <v>AE0471</v>
      </c>
      <c r="J373" t="str">
        <f t="shared" si="371"/>
        <v>AE0473</v>
      </c>
      <c r="K373" t="str">
        <f t="shared" si="371"/>
        <v>AE044D</v>
      </c>
    </row>
    <row r="374">
      <c r="A374" s="14">
        <v>372.0</v>
      </c>
      <c r="B374" t="str">
        <f t="shared" ref="B374:K374" si="372">DEC2HEX(HEX2DEC(B373)+1)</f>
        <v>AE0454</v>
      </c>
      <c r="C374" t="str">
        <f t="shared" si="372"/>
        <v>AE0456</v>
      </c>
      <c r="D374" t="str">
        <f t="shared" si="372"/>
        <v>AE0458</v>
      </c>
      <c r="E374" t="str">
        <f t="shared" si="372"/>
        <v>AE045A</v>
      </c>
      <c r="F374" t="str">
        <f t="shared" si="372"/>
        <v>AE045C</v>
      </c>
      <c r="G374" t="str">
        <f t="shared" si="372"/>
        <v>AE046E</v>
      </c>
      <c r="H374" t="str">
        <f t="shared" si="372"/>
        <v>AE0470</v>
      </c>
      <c r="I374" t="str">
        <f t="shared" si="372"/>
        <v>AE0472</v>
      </c>
      <c r="J374" t="str">
        <f t="shared" si="372"/>
        <v>AE0474</v>
      </c>
      <c r="K374" t="str">
        <f t="shared" si="372"/>
        <v>AE044E</v>
      </c>
    </row>
    <row r="375">
      <c r="A375" s="14">
        <v>373.0</v>
      </c>
      <c r="B375" t="str">
        <f t="shared" ref="B375:K375" si="373">DEC2HEX(HEX2DEC(B374)+1)</f>
        <v>AE0455</v>
      </c>
      <c r="C375" t="str">
        <f t="shared" si="373"/>
        <v>AE0457</v>
      </c>
      <c r="D375" t="str">
        <f t="shared" si="373"/>
        <v>AE0459</v>
      </c>
      <c r="E375" t="str">
        <f t="shared" si="373"/>
        <v>AE045B</v>
      </c>
      <c r="F375" t="str">
        <f t="shared" si="373"/>
        <v>AE045D</v>
      </c>
      <c r="G375" t="str">
        <f t="shared" si="373"/>
        <v>AE046F</v>
      </c>
      <c r="H375" t="str">
        <f t="shared" si="373"/>
        <v>AE0471</v>
      </c>
      <c r="I375" t="str">
        <f t="shared" si="373"/>
        <v>AE0473</v>
      </c>
      <c r="J375" t="str">
        <f t="shared" si="373"/>
        <v>AE0475</v>
      </c>
      <c r="K375" t="str">
        <f t="shared" si="373"/>
        <v>AE044F</v>
      </c>
    </row>
    <row r="376">
      <c r="A376" s="14">
        <v>374.0</v>
      </c>
      <c r="B376" t="str">
        <f t="shared" ref="B376:K376" si="374">DEC2HEX(HEX2DEC(B375)+1)</f>
        <v>AE0456</v>
      </c>
      <c r="C376" t="str">
        <f t="shared" si="374"/>
        <v>AE0458</v>
      </c>
      <c r="D376" t="str">
        <f t="shared" si="374"/>
        <v>AE045A</v>
      </c>
      <c r="E376" t="str">
        <f t="shared" si="374"/>
        <v>AE045C</v>
      </c>
      <c r="F376" t="str">
        <f t="shared" si="374"/>
        <v>AE045E</v>
      </c>
      <c r="G376" t="str">
        <f t="shared" si="374"/>
        <v>AE0470</v>
      </c>
      <c r="H376" t="str">
        <f t="shared" si="374"/>
        <v>AE0472</v>
      </c>
      <c r="I376" t="str">
        <f t="shared" si="374"/>
        <v>AE0474</v>
      </c>
      <c r="J376" t="str">
        <f t="shared" si="374"/>
        <v>AE0476</v>
      </c>
      <c r="K376" t="str">
        <f t="shared" si="374"/>
        <v>AE0450</v>
      </c>
    </row>
    <row r="377">
      <c r="A377" s="14">
        <v>375.0</v>
      </c>
      <c r="B377" t="str">
        <f t="shared" ref="B377:K377" si="375">DEC2HEX(HEX2DEC(B376)+1)</f>
        <v>AE0457</v>
      </c>
      <c r="C377" t="str">
        <f t="shared" si="375"/>
        <v>AE0459</v>
      </c>
      <c r="D377" t="str">
        <f t="shared" si="375"/>
        <v>AE045B</v>
      </c>
      <c r="E377" t="str">
        <f t="shared" si="375"/>
        <v>AE045D</v>
      </c>
      <c r="F377" t="str">
        <f t="shared" si="375"/>
        <v>AE045F</v>
      </c>
      <c r="G377" t="str">
        <f t="shared" si="375"/>
        <v>AE0471</v>
      </c>
      <c r="H377" t="str">
        <f t="shared" si="375"/>
        <v>AE0473</v>
      </c>
      <c r="I377" t="str">
        <f t="shared" si="375"/>
        <v>AE0475</v>
      </c>
      <c r="J377" t="str">
        <f t="shared" si="375"/>
        <v>AE0477</v>
      </c>
      <c r="K377" t="str">
        <f t="shared" si="375"/>
        <v>AE0451</v>
      </c>
    </row>
    <row r="378">
      <c r="A378" s="14">
        <v>376.0</v>
      </c>
      <c r="B378" t="str">
        <f t="shared" ref="B378:K378" si="376">DEC2HEX(HEX2DEC(B377)+1)</f>
        <v>AE0458</v>
      </c>
      <c r="C378" t="str">
        <f t="shared" si="376"/>
        <v>AE045A</v>
      </c>
      <c r="D378" t="str">
        <f t="shared" si="376"/>
        <v>AE045C</v>
      </c>
      <c r="E378" t="str">
        <f t="shared" si="376"/>
        <v>AE045E</v>
      </c>
      <c r="F378" t="str">
        <f t="shared" si="376"/>
        <v>AE0460</v>
      </c>
      <c r="G378" t="str">
        <f t="shared" si="376"/>
        <v>AE0472</v>
      </c>
      <c r="H378" t="str">
        <f t="shared" si="376"/>
        <v>AE0474</v>
      </c>
      <c r="I378" t="str">
        <f t="shared" si="376"/>
        <v>AE0476</v>
      </c>
      <c r="J378" t="str">
        <f t="shared" si="376"/>
        <v>AE0478</v>
      </c>
      <c r="K378" t="str">
        <f t="shared" si="376"/>
        <v>AE0452</v>
      </c>
    </row>
    <row r="379">
      <c r="A379" s="14">
        <v>377.0</v>
      </c>
      <c r="B379" t="str">
        <f t="shared" ref="B379:K379" si="377">DEC2HEX(HEX2DEC(B378)+1)</f>
        <v>AE0459</v>
      </c>
      <c r="C379" t="str">
        <f t="shared" si="377"/>
        <v>AE045B</v>
      </c>
      <c r="D379" t="str">
        <f t="shared" si="377"/>
        <v>AE045D</v>
      </c>
      <c r="E379" t="str">
        <f t="shared" si="377"/>
        <v>AE045F</v>
      </c>
      <c r="F379" t="str">
        <f t="shared" si="377"/>
        <v>AE0461</v>
      </c>
      <c r="G379" t="str">
        <f t="shared" si="377"/>
        <v>AE0473</v>
      </c>
      <c r="H379" t="str">
        <f t="shared" si="377"/>
        <v>AE0475</v>
      </c>
      <c r="I379" t="str">
        <f t="shared" si="377"/>
        <v>AE0477</v>
      </c>
      <c r="J379" t="str">
        <f t="shared" si="377"/>
        <v>AE0479</v>
      </c>
      <c r="K379" t="str">
        <f t="shared" si="377"/>
        <v>AE0453</v>
      </c>
    </row>
    <row r="380">
      <c r="A380" s="14">
        <v>378.0</v>
      </c>
      <c r="B380" t="str">
        <f t="shared" ref="B380:K380" si="378">DEC2HEX(HEX2DEC(B379)+1)</f>
        <v>AE045A</v>
      </c>
      <c r="C380" t="str">
        <f t="shared" si="378"/>
        <v>AE045C</v>
      </c>
      <c r="D380" t="str">
        <f t="shared" si="378"/>
        <v>AE045E</v>
      </c>
      <c r="E380" t="str">
        <f t="shared" si="378"/>
        <v>AE0460</v>
      </c>
      <c r="F380" t="str">
        <f t="shared" si="378"/>
        <v>AE0462</v>
      </c>
      <c r="G380" t="str">
        <f t="shared" si="378"/>
        <v>AE0474</v>
      </c>
      <c r="H380" t="str">
        <f t="shared" si="378"/>
        <v>AE0476</v>
      </c>
      <c r="I380" t="str">
        <f t="shared" si="378"/>
        <v>AE0478</v>
      </c>
      <c r="J380" t="str">
        <f t="shared" si="378"/>
        <v>AE047A</v>
      </c>
      <c r="K380" t="str">
        <f t="shared" si="378"/>
        <v>AE0454</v>
      </c>
    </row>
    <row r="381">
      <c r="A381" s="14">
        <v>379.0</v>
      </c>
      <c r="B381" t="str">
        <f t="shared" ref="B381:K381" si="379">DEC2HEX(HEX2DEC(B380)+1)</f>
        <v>AE045B</v>
      </c>
      <c r="C381" t="str">
        <f t="shared" si="379"/>
        <v>AE045D</v>
      </c>
      <c r="D381" t="str">
        <f t="shared" si="379"/>
        <v>AE045F</v>
      </c>
      <c r="E381" t="str">
        <f t="shared" si="379"/>
        <v>AE0461</v>
      </c>
      <c r="F381" t="str">
        <f t="shared" si="379"/>
        <v>AE0463</v>
      </c>
      <c r="G381" t="str">
        <f t="shared" si="379"/>
        <v>AE0475</v>
      </c>
      <c r="H381" t="str">
        <f t="shared" si="379"/>
        <v>AE0477</v>
      </c>
      <c r="I381" t="str">
        <f t="shared" si="379"/>
        <v>AE0479</v>
      </c>
      <c r="J381" t="str">
        <f t="shared" si="379"/>
        <v>AE047B</v>
      </c>
      <c r="K381" t="str">
        <f t="shared" si="379"/>
        <v>AE0455</v>
      </c>
    </row>
    <row r="382">
      <c r="A382" s="14">
        <v>380.0</v>
      </c>
      <c r="B382" t="str">
        <f t="shared" ref="B382:K382" si="380">DEC2HEX(HEX2DEC(B381)+1)</f>
        <v>AE045C</v>
      </c>
      <c r="C382" t="str">
        <f t="shared" si="380"/>
        <v>AE045E</v>
      </c>
      <c r="D382" t="str">
        <f t="shared" si="380"/>
        <v>AE0460</v>
      </c>
      <c r="E382" t="str">
        <f t="shared" si="380"/>
        <v>AE0462</v>
      </c>
      <c r="F382" t="str">
        <f t="shared" si="380"/>
        <v>AE0464</v>
      </c>
      <c r="G382" t="str">
        <f t="shared" si="380"/>
        <v>AE0476</v>
      </c>
      <c r="H382" t="str">
        <f t="shared" si="380"/>
        <v>AE0478</v>
      </c>
      <c r="I382" t="str">
        <f t="shared" si="380"/>
        <v>AE047A</v>
      </c>
      <c r="J382" t="str">
        <f t="shared" si="380"/>
        <v>AE047C</v>
      </c>
      <c r="K382" t="str">
        <f t="shared" si="380"/>
        <v>AE0456</v>
      </c>
    </row>
    <row r="383">
      <c r="A383" s="14">
        <v>381.0</v>
      </c>
      <c r="B383" t="str">
        <f t="shared" ref="B383:K383" si="381">DEC2HEX(HEX2DEC(B382)+1)</f>
        <v>AE045D</v>
      </c>
      <c r="C383" t="str">
        <f t="shared" si="381"/>
        <v>AE045F</v>
      </c>
      <c r="D383" t="str">
        <f t="shared" si="381"/>
        <v>AE0461</v>
      </c>
      <c r="E383" t="str">
        <f t="shared" si="381"/>
        <v>AE0463</v>
      </c>
      <c r="F383" t="str">
        <f t="shared" si="381"/>
        <v>AE0465</v>
      </c>
      <c r="G383" t="str">
        <f t="shared" si="381"/>
        <v>AE0477</v>
      </c>
      <c r="H383" t="str">
        <f t="shared" si="381"/>
        <v>AE0479</v>
      </c>
      <c r="I383" t="str">
        <f t="shared" si="381"/>
        <v>AE047B</v>
      </c>
      <c r="J383" t="str">
        <f t="shared" si="381"/>
        <v>AE047D</v>
      </c>
      <c r="K383" t="str">
        <f t="shared" si="381"/>
        <v>AE0457</v>
      </c>
    </row>
    <row r="384">
      <c r="A384" s="14">
        <v>382.0</v>
      </c>
      <c r="B384" t="str">
        <f t="shared" ref="B384:K384" si="382">DEC2HEX(HEX2DEC(B383)+1)</f>
        <v>AE045E</v>
      </c>
      <c r="C384" t="str">
        <f t="shared" si="382"/>
        <v>AE0460</v>
      </c>
      <c r="D384" t="str">
        <f t="shared" si="382"/>
        <v>AE0462</v>
      </c>
      <c r="E384" t="str">
        <f t="shared" si="382"/>
        <v>AE0464</v>
      </c>
      <c r="F384" t="str">
        <f t="shared" si="382"/>
        <v>AE0466</v>
      </c>
      <c r="G384" t="str">
        <f t="shared" si="382"/>
        <v>AE0478</v>
      </c>
      <c r="H384" t="str">
        <f t="shared" si="382"/>
        <v>AE047A</v>
      </c>
      <c r="I384" t="str">
        <f t="shared" si="382"/>
        <v>AE047C</v>
      </c>
      <c r="J384" t="str">
        <f t="shared" si="382"/>
        <v>AE047E</v>
      </c>
      <c r="K384" t="str">
        <f t="shared" si="382"/>
        <v>AE0458</v>
      </c>
    </row>
    <row r="385">
      <c r="A385" s="14">
        <v>383.0</v>
      </c>
      <c r="B385" t="str">
        <f t="shared" ref="B385:K385" si="383">DEC2HEX(HEX2DEC(B384)+1)</f>
        <v>AE045F</v>
      </c>
      <c r="C385" t="str">
        <f t="shared" si="383"/>
        <v>AE0461</v>
      </c>
      <c r="D385" t="str">
        <f t="shared" si="383"/>
        <v>AE0463</v>
      </c>
      <c r="E385" t="str">
        <f t="shared" si="383"/>
        <v>AE0465</v>
      </c>
      <c r="F385" t="str">
        <f t="shared" si="383"/>
        <v>AE0467</v>
      </c>
      <c r="G385" t="str">
        <f t="shared" si="383"/>
        <v>AE0479</v>
      </c>
      <c r="H385" t="str">
        <f t="shared" si="383"/>
        <v>AE047B</v>
      </c>
      <c r="I385" t="str">
        <f t="shared" si="383"/>
        <v>AE047D</v>
      </c>
      <c r="J385" t="str">
        <f t="shared" si="383"/>
        <v>AE047F</v>
      </c>
      <c r="K385" t="str">
        <f t="shared" si="383"/>
        <v>AE0459</v>
      </c>
    </row>
    <row r="386">
      <c r="A386" s="14">
        <v>384.0</v>
      </c>
      <c r="B386" t="str">
        <f t="shared" ref="B386:K386" si="384">DEC2HEX(HEX2DEC(B385)+1)</f>
        <v>AE0460</v>
      </c>
      <c r="C386" t="str">
        <f t="shared" si="384"/>
        <v>AE0462</v>
      </c>
      <c r="D386" t="str">
        <f t="shared" si="384"/>
        <v>AE0464</v>
      </c>
      <c r="E386" t="str">
        <f t="shared" si="384"/>
        <v>AE0466</v>
      </c>
      <c r="F386" t="str">
        <f t="shared" si="384"/>
        <v>AE0468</v>
      </c>
      <c r="G386" t="str">
        <f t="shared" si="384"/>
        <v>AE047A</v>
      </c>
      <c r="H386" t="str">
        <f t="shared" si="384"/>
        <v>AE047C</v>
      </c>
      <c r="I386" t="str">
        <f t="shared" si="384"/>
        <v>AE047E</v>
      </c>
      <c r="J386" t="str">
        <f t="shared" si="384"/>
        <v>AE0480</v>
      </c>
      <c r="K386" t="str">
        <f t="shared" si="384"/>
        <v>AE045A</v>
      </c>
    </row>
    <row r="387">
      <c r="A387" s="14">
        <v>385.0</v>
      </c>
      <c r="B387" t="str">
        <f t="shared" ref="B387:K387" si="385">DEC2HEX(HEX2DEC(B386)+1)</f>
        <v>AE0461</v>
      </c>
      <c r="C387" t="str">
        <f t="shared" si="385"/>
        <v>AE0463</v>
      </c>
      <c r="D387" t="str">
        <f t="shared" si="385"/>
        <v>AE0465</v>
      </c>
      <c r="E387" t="str">
        <f t="shared" si="385"/>
        <v>AE0467</v>
      </c>
      <c r="F387" t="str">
        <f t="shared" si="385"/>
        <v>AE0469</v>
      </c>
      <c r="G387" t="str">
        <f t="shared" si="385"/>
        <v>AE047B</v>
      </c>
      <c r="H387" t="str">
        <f t="shared" si="385"/>
        <v>AE047D</v>
      </c>
      <c r="I387" t="str">
        <f t="shared" si="385"/>
        <v>AE047F</v>
      </c>
      <c r="J387" t="str">
        <f t="shared" si="385"/>
        <v>AE0481</v>
      </c>
      <c r="K387" t="str">
        <f t="shared" si="385"/>
        <v>AE045B</v>
      </c>
    </row>
    <row r="388">
      <c r="A388" s="14">
        <v>386.0</v>
      </c>
      <c r="B388" t="str">
        <f t="shared" ref="B388:K388" si="386">DEC2HEX(HEX2DEC(B387)+1)</f>
        <v>AE0462</v>
      </c>
      <c r="C388" t="str">
        <f t="shared" si="386"/>
        <v>AE0464</v>
      </c>
      <c r="D388" t="str">
        <f t="shared" si="386"/>
        <v>AE0466</v>
      </c>
      <c r="E388" t="str">
        <f t="shared" si="386"/>
        <v>AE0468</v>
      </c>
      <c r="F388" t="str">
        <f t="shared" si="386"/>
        <v>AE046A</v>
      </c>
      <c r="G388" t="str">
        <f t="shared" si="386"/>
        <v>AE047C</v>
      </c>
      <c r="H388" t="str">
        <f t="shared" si="386"/>
        <v>AE047E</v>
      </c>
      <c r="I388" t="str">
        <f t="shared" si="386"/>
        <v>AE0480</v>
      </c>
      <c r="J388" t="str">
        <f t="shared" si="386"/>
        <v>AE0482</v>
      </c>
      <c r="K388" t="str">
        <f t="shared" si="386"/>
        <v>AE045C</v>
      </c>
    </row>
    <row r="389">
      <c r="A389" s="14">
        <v>387.0</v>
      </c>
      <c r="B389" t="str">
        <f t="shared" ref="B389:K389" si="387">DEC2HEX(HEX2DEC(B388)+1)</f>
        <v>AE0463</v>
      </c>
      <c r="C389" t="str">
        <f t="shared" si="387"/>
        <v>AE0465</v>
      </c>
      <c r="D389" t="str">
        <f t="shared" si="387"/>
        <v>AE0467</v>
      </c>
      <c r="E389" t="str">
        <f t="shared" si="387"/>
        <v>AE0469</v>
      </c>
      <c r="F389" t="str">
        <f t="shared" si="387"/>
        <v>AE046B</v>
      </c>
      <c r="G389" t="str">
        <f t="shared" si="387"/>
        <v>AE047D</v>
      </c>
      <c r="H389" t="str">
        <f t="shared" si="387"/>
        <v>AE047F</v>
      </c>
      <c r="I389" t="str">
        <f t="shared" si="387"/>
        <v>AE0481</v>
      </c>
      <c r="J389" t="str">
        <f t="shared" si="387"/>
        <v>AE0483</v>
      </c>
      <c r="K389" t="str">
        <f t="shared" si="387"/>
        <v>AE045D</v>
      </c>
    </row>
    <row r="390">
      <c r="A390" s="14">
        <v>388.0</v>
      </c>
      <c r="B390" t="str">
        <f t="shared" ref="B390:K390" si="388">DEC2HEX(HEX2DEC(B389)+1)</f>
        <v>AE0464</v>
      </c>
      <c r="C390" t="str">
        <f t="shared" si="388"/>
        <v>AE0466</v>
      </c>
      <c r="D390" t="str">
        <f t="shared" si="388"/>
        <v>AE0468</v>
      </c>
      <c r="E390" t="str">
        <f t="shared" si="388"/>
        <v>AE046A</v>
      </c>
      <c r="F390" t="str">
        <f t="shared" si="388"/>
        <v>AE046C</v>
      </c>
      <c r="G390" t="str">
        <f t="shared" si="388"/>
        <v>AE047E</v>
      </c>
      <c r="H390" t="str">
        <f t="shared" si="388"/>
        <v>AE0480</v>
      </c>
      <c r="I390" t="str">
        <f t="shared" si="388"/>
        <v>AE0482</v>
      </c>
      <c r="J390" t="str">
        <f t="shared" si="388"/>
        <v>AE0484</v>
      </c>
      <c r="K390" t="str">
        <f t="shared" si="388"/>
        <v>AE045E</v>
      </c>
    </row>
    <row r="391">
      <c r="A391" s="14">
        <v>389.0</v>
      </c>
      <c r="B391" t="str">
        <f t="shared" ref="B391:K391" si="389">DEC2HEX(HEX2DEC(B390)+1)</f>
        <v>AE0465</v>
      </c>
      <c r="C391" t="str">
        <f t="shared" si="389"/>
        <v>AE0467</v>
      </c>
      <c r="D391" t="str">
        <f t="shared" si="389"/>
        <v>AE0469</v>
      </c>
      <c r="E391" t="str">
        <f t="shared" si="389"/>
        <v>AE046B</v>
      </c>
      <c r="F391" t="str">
        <f t="shared" si="389"/>
        <v>AE046D</v>
      </c>
      <c r="G391" t="str">
        <f t="shared" si="389"/>
        <v>AE047F</v>
      </c>
      <c r="H391" t="str">
        <f t="shared" si="389"/>
        <v>AE0481</v>
      </c>
      <c r="I391" t="str">
        <f t="shared" si="389"/>
        <v>AE0483</v>
      </c>
      <c r="J391" t="str">
        <f t="shared" si="389"/>
        <v>AE0485</v>
      </c>
      <c r="K391" t="str">
        <f t="shared" si="389"/>
        <v>AE045F</v>
      </c>
    </row>
    <row r="392">
      <c r="A392" s="14">
        <v>390.0</v>
      </c>
      <c r="B392" t="str">
        <f t="shared" ref="B392:K392" si="390">DEC2HEX(HEX2DEC(B391)+1)</f>
        <v>AE0466</v>
      </c>
      <c r="C392" t="str">
        <f t="shared" si="390"/>
        <v>AE0468</v>
      </c>
      <c r="D392" t="str">
        <f t="shared" si="390"/>
        <v>AE046A</v>
      </c>
      <c r="E392" t="str">
        <f t="shared" si="390"/>
        <v>AE046C</v>
      </c>
      <c r="F392" t="str">
        <f t="shared" si="390"/>
        <v>AE046E</v>
      </c>
      <c r="G392" t="str">
        <f t="shared" si="390"/>
        <v>AE0480</v>
      </c>
      <c r="H392" t="str">
        <f t="shared" si="390"/>
        <v>AE0482</v>
      </c>
      <c r="I392" t="str">
        <f t="shared" si="390"/>
        <v>AE0484</v>
      </c>
      <c r="J392" t="str">
        <f t="shared" si="390"/>
        <v>AE0486</v>
      </c>
      <c r="K392" t="str">
        <f t="shared" si="390"/>
        <v>AE0460</v>
      </c>
    </row>
    <row r="393">
      <c r="A393" s="14">
        <v>391.0</v>
      </c>
      <c r="B393" t="str">
        <f t="shared" ref="B393:K393" si="391">DEC2HEX(HEX2DEC(B392)+1)</f>
        <v>AE0467</v>
      </c>
      <c r="C393" t="str">
        <f t="shared" si="391"/>
        <v>AE0469</v>
      </c>
      <c r="D393" t="str">
        <f t="shared" si="391"/>
        <v>AE046B</v>
      </c>
      <c r="E393" t="str">
        <f t="shared" si="391"/>
        <v>AE046D</v>
      </c>
      <c r="F393" t="str">
        <f t="shared" si="391"/>
        <v>AE046F</v>
      </c>
      <c r="G393" t="str">
        <f t="shared" si="391"/>
        <v>AE0481</v>
      </c>
      <c r="H393" t="str">
        <f t="shared" si="391"/>
        <v>AE0483</v>
      </c>
      <c r="I393" t="str">
        <f t="shared" si="391"/>
        <v>AE0485</v>
      </c>
      <c r="J393" t="str">
        <f t="shared" si="391"/>
        <v>AE0487</v>
      </c>
      <c r="K393" t="str">
        <f t="shared" si="391"/>
        <v>AE0461</v>
      </c>
    </row>
    <row r="394">
      <c r="A394" s="14">
        <v>392.0</v>
      </c>
      <c r="B394" t="str">
        <f t="shared" ref="B394:K394" si="392">DEC2HEX(HEX2DEC(B393)+1)</f>
        <v>AE0468</v>
      </c>
      <c r="C394" t="str">
        <f t="shared" si="392"/>
        <v>AE046A</v>
      </c>
      <c r="D394" t="str">
        <f t="shared" si="392"/>
        <v>AE046C</v>
      </c>
      <c r="E394" t="str">
        <f t="shared" si="392"/>
        <v>AE046E</v>
      </c>
      <c r="F394" t="str">
        <f t="shared" si="392"/>
        <v>AE0470</v>
      </c>
      <c r="G394" t="str">
        <f t="shared" si="392"/>
        <v>AE0482</v>
      </c>
      <c r="H394" t="str">
        <f t="shared" si="392"/>
        <v>AE0484</v>
      </c>
      <c r="I394" t="str">
        <f t="shared" si="392"/>
        <v>AE0486</v>
      </c>
      <c r="J394" t="str">
        <f t="shared" si="392"/>
        <v>AE0488</v>
      </c>
      <c r="K394" t="str">
        <f t="shared" si="392"/>
        <v>AE0462</v>
      </c>
    </row>
    <row r="395">
      <c r="A395" s="14">
        <v>393.0</v>
      </c>
      <c r="B395" t="str">
        <f t="shared" ref="B395:K395" si="393">DEC2HEX(HEX2DEC(B394)+1)</f>
        <v>AE0469</v>
      </c>
      <c r="C395" t="str">
        <f t="shared" si="393"/>
        <v>AE046B</v>
      </c>
      <c r="D395" t="str">
        <f t="shared" si="393"/>
        <v>AE046D</v>
      </c>
      <c r="E395" t="str">
        <f t="shared" si="393"/>
        <v>AE046F</v>
      </c>
      <c r="F395" t="str">
        <f t="shared" si="393"/>
        <v>AE0471</v>
      </c>
      <c r="G395" t="str">
        <f t="shared" si="393"/>
        <v>AE0483</v>
      </c>
      <c r="H395" t="str">
        <f t="shared" si="393"/>
        <v>AE0485</v>
      </c>
      <c r="I395" t="str">
        <f t="shared" si="393"/>
        <v>AE0487</v>
      </c>
      <c r="J395" t="str">
        <f t="shared" si="393"/>
        <v>AE0489</v>
      </c>
      <c r="K395" t="str">
        <f t="shared" si="393"/>
        <v>AE0463</v>
      </c>
    </row>
    <row r="396">
      <c r="A396" s="14">
        <v>394.0</v>
      </c>
      <c r="B396" t="str">
        <f t="shared" ref="B396:K396" si="394">DEC2HEX(HEX2DEC(B395)+1)</f>
        <v>AE046A</v>
      </c>
      <c r="C396" t="str">
        <f t="shared" si="394"/>
        <v>AE046C</v>
      </c>
      <c r="D396" t="str">
        <f t="shared" si="394"/>
        <v>AE046E</v>
      </c>
      <c r="E396" t="str">
        <f t="shared" si="394"/>
        <v>AE0470</v>
      </c>
      <c r="F396" t="str">
        <f t="shared" si="394"/>
        <v>AE0472</v>
      </c>
      <c r="G396" t="str">
        <f t="shared" si="394"/>
        <v>AE0484</v>
      </c>
      <c r="H396" t="str">
        <f t="shared" si="394"/>
        <v>AE0486</v>
      </c>
      <c r="I396" t="str">
        <f t="shared" si="394"/>
        <v>AE0488</v>
      </c>
      <c r="J396" t="str">
        <f t="shared" si="394"/>
        <v>AE048A</v>
      </c>
      <c r="K396" t="str">
        <f t="shared" si="394"/>
        <v>AE0464</v>
      </c>
    </row>
    <row r="397">
      <c r="A397" s="14">
        <v>395.0</v>
      </c>
      <c r="B397" t="str">
        <f t="shared" ref="B397:K397" si="395">DEC2HEX(HEX2DEC(B396)+1)</f>
        <v>AE046B</v>
      </c>
      <c r="C397" t="str">
        <f t="shared" si="395"/>
        <v>AE046D</v>
      </c>
      <c r="D397" t="str">
        <f t="shared" si="395"/>
        <v>AE046F</v>
      </c>
      <c r="E397" t="str">
        <f t="shared" si="395"/>
        <v>AE0471</v>
      </c>
      <c r="F397" t="str">
        <f t="shared" si="395"/>
        <v>AE0473</v>
      </c>
      <c r="G397" t="str">
        <f t="shared" si="395"/>
        <v>AE0485</v>
      </c>
      <c r="H397" t="str">
        <f t="shared" si="395"/>
        <v>AE0487</v>
      </c>
      <c r="I397" t="str">
        <f t="shared" si="395"/>
        <v>AE0489</v>
      </c>
      <c r="J397" t="str">
        <f t="shared" si="395"/>
        <v>AE048B</v>
      </c>
      <c r="K397" t="str">
        <f t="shared" si="395"/>
        <v>AE0465</v>
      </c>
    </row>
    <row r="398">
      <c r="A398" s="14">
        <v>396.0</v>
      </c>
      <c r="B398" t="str">
        <f t="shared" ref="B398:K398" si="396">DEC2HEX(HEX2DEC(B397)+1)</f>
        <v>AE046C</v>
      </c>
      <c r="C398" t="str">
        <f t="shared" si="396"/>
        <v>AE046E</v>
      </c>
      <c r="D398" t="str">
        <f t="shared" si="396"/>
        <v>AE0470</v>
      </c>
      <c r="E398" t="str">
        <f t="shared" si="396"/>
        <v>AE0472</v>
      </c>
      <c r="F398" t="str">
        <f t="shared" si="396"/>
        <v>AE0474</v>
      </c>
      <c r="G398" t="str">
        <f t="shared" si="396"/>
        <v>AE0486</v>
      </c>
      <c r="H398" t="str">
        <f t="shared" si="396"/>
        <v>AE0488</v>
      </c>
      <c r="I398" t="str">
        <f t="shared" si="396"/>
        <v>AE048A</v>
      </c>
      <c r="J398" t="str">
        <f t="shared" si="396"/>
        <v>AE048C</v>
      </c>
      <c r="K398" t="str">
        <f t="shared" si="396"/>
        <v>AE0466</v>
      </c>
    </row>
    <row r="399">
      <c r="A399" s="14">
        <v>397.0</v>
      </c>
      <c r="B399" t="str">
        <f t="shared" ref="B399:K399" si="397">DEC2HEX(HEX2DEC(B398)+1)</f>
        <v>AE046D</v>
      </c>
      <c r="C399" t="str">
        <f t="shared" si="397"/>
        <v>AE046F</v>
      </c>
      <c r="D399" t="str">
        <f t="shared" si="397"/>
        <v>AE0471</v>
      </c>
      <c r="E399" t="str">
        <f t="shared" si="397"/>
        <v>AE0473</v>
      </c>
      <c r="F399" t="str">
        <f t="shared" si="397"/>
        <v>AE0475</v>
      </c>
      <c r="G399" t="str">
        <f t="shared" si="397"/>
        <v>AE0487</v>
      </c>
      <c r="H399" t="str">
        <f t="shared" si="397"/>
        <v>AE0489</v>
      </c>
      <c r="I399" t="str">
        <f t="shared" si="397"/>
        <v>AE048B</v>
      </c>
      <c r="J399" t="str">
        <f t="shared" si="397"/>
        <v>AE048D</v>
      </c>
      <c r="K399" t="str">
        <f t="shared" si="397"/>
        <v>AE0467</v>
      </c>
    </row>
    <row r="400">
      <c r="A400" s="14">
        <v>398.0</v>
      </c>
      <c r="B400" t="str">
        <f t="shared" ref="B400:K400" si="398">DEC2HEX(HEX2DEC(B399)+1)</f>
        <v>AE046E</v>
      </c>
      <c r="C400" t="str">
        <f t="shared" si="398"/>
        <v>AE0470</v>
      </c>
      <c r="D400" t="str">
        <f t="shared" si="398"/>
        <v>AE0472</v>
      </c>
      <c r="E400" t="str">
        <f t="shared" si="398"/>
        <v>AE0474</v>
      </c>
      <c r="F400" t="str">
        <f t="shared" si="398"/>
        <v>AE0476</v>
      </c>
      <c r="G400" t="str">
        <f t="shared" si="398"/>
        <v>AE0488</v>
      </c>
      <c r="H400" t="str">
        <f t="shared" si="398"/>
        <v>AE048A</v>
      </c>
      <c r="I400" t="str">
        <f t="shared" si="398"/>
        <v>AE048C</v>
      </c>
      <c r="J400" t="str">
        <f t="shared" si="398"/>
        <v>AE048E</v>
      </c>
      <c r="K400" t="str">
        <f t="shared" si="398"/>
        <v>AE0468</v>
      </c>
    </row>
    <row r="401">
      <c r="A401" s="14">
        <v>399.0</v>
      </c>
      <c r="B401" t="str">
        <f t="shared" ref="B401:K401" si="399">DEC2HEX(HEX2DEC(B400)+1)</f>
        <v>AE046F</v>
      </c>
      <c r="C401" t="str">
        <f t="shared" si="399"/>
        <v>AE0471</v>
      </c>
      <c r="D401" t="str">
        <f t="shared" si="399"/>
        <v>AE0473</v>
      </c>
      <c r="E401" t="str">
        <f t="shared" si="399"/>
        <v>AE0475</v>
      </c>
      <c r="F401" t="str">
        <f t="shared" si="399"/>
        <v>AE0477</v>
      </c>
      <c r="G401" t="str">
        <f t="shared" si="399"/>
        <v>AE0489</v>
      </c>
      <c r="H401" t="str">
        <f t="shared" si="399"/>
        <v>AE048B</v>
      </c>
      <c r="I401" t="str">
        <f t="shared" si="399"/>
        <v>AE048D</v>
      </c>
      <c r="J401" t="str">
        <f t="shared" si="399"/>
        <v>AE048F</v>
      </c>
      <c r="K401" t="str">
        <f t="shared" si="399"/>
        <v>AE0469</v>
      </c>
    </row>
    <row r="402">
      <c r="A402" s="14">
        <v>400.0</v>
      </c>
      <c r="B402" t="str">
        <f t="shared" ref="B402:K402" si="400">DEC2HEX(HEX2DEC(B401)+1)</f>
        <v>AE0470</v>
      </c>
      <c r="C402" t="str">
        <f t="shared" si="400"/>
        <v>AE0472</v>
      </c>
      <c r="D402" t="str">
        <f t="shared" si="400"/>
        <v>AE0474</v>
      </c>
      <c r="E402" t="str">
        <f t="shared" si="400"/>
        <v>AE0476</v>
      </c>
      <c r="F402" t="str">
        <f t="shared" si="400"/>
        <v>AE0478</v>
      </c>
      <c r="G402" t="str">
        <f t="shared" si="400"/>
        <v>AE048A</v>
      </c>
      <c r="H402" t="str">
        <f t="shared" si="400"/>
        <v>AE048C</v>
      </c>
      <c r="I402" t="str">
        <f t="shared" si="400"/>
        <v>AE048E</v>
      </c>
      <c r="J402" t="str">
        <f t="shared" si="400"/>
        <v>AE0490</v>
      </c>
      <c r="K402" t="str">
        <f t="shared" si="400"/>
        <v>AE046A</v>
      </c>
    </row>
    <row r="403">
      <c r="A403" s="14">
        <v>401.0</v>
      </c>
      <c r="B403" t="str">
        <f t="shared" ref="B403:K403" si="401">DEC2HEX(HEX2DEC(B402)+1)</f>
        <v>AE0471</v>
      </c>
      <c r="C403" t="str">
        <f t="shared" si="401"/>
        <v>AE0473</v>
      </c>
      <c r="D403" t="str">
        <f t="shared" si="401"/>
        <v>AE0475</v>
      </c>
      <c r="E403" t="str">
        <f t="shared" si="401"/>
        <v>AE0477</v>
      </c>
      <c r="F403" t="str">
        <f t="shared" si="401"/>
        <v>AE0479</v>
      </c>
      <c r="G403" t="str">
        <f t="shared" si="401"/>
        <v>AE048B</v>
      </c>
      <c r="H403" t="str">
        <f t="shared" si="401"/>
        <v>AE048D</v>
      </c>
      <c r="I403" t="str">
        <f t="shared" si="401"/>
        <v>AE048F</v>
      </c>
      <c r="J403" t="str">
        <f t="shared" si="401"/>
        <v>AE0491</v>
      </c>
      <c r="K403" t="str">
        <f t="shared" si="401"/>
        <v>AE046B</v>
      </c>
    </row>
    <row r="404">
      <c r="A404" s="14">
        <v>402.0</v>
      </c>
      <c r="B404" t="str">
        <f t="shared" ref="B404:K404" si="402">DEC2HEX(HEX2DEC(B403)+1)</f>
        <v>AE0472</v>
      </c>
      <c r="C404" t="str">
        <f t="shared" si="402"/>
        <v>AE0474</v>
      </c>
      <c r="D404" t="str">
        <f t="shared" si="402"/>
        <v>AE0476</v>
      </c>
      <c r="E404" t="str">
        <f t="shared" si="402"/>
        <v>AE0478</v>
      </c>
      <c r="F404" t="str">
        <f t="shared" si="402"/>
        <v>AE047A</v>
      </c>
      <c r="G404" t="str">
        <f t="shared" si="402"/>
        <v>AE048C</v>
      </c>
      <c r="H404" t="str">
        <f t="shared" si="402"/>
        <v>AE048E</v>
      </c>
      <c r="I404" t="str">
        <f t="shared" si="402"/>
        <v>AE0490</v>
      </c>
      <c r="J404" t="str">
        <f t="shared" si="402"/>
        <v>AE0492</v>
      </c>
      <c r="K404" t="str">
        <f t="shared" si="402"/>
        <v>AE046C</v>
      </c>
    </row>
    <row r="405">
      <c r="A405" s="14">
        <v>403.0</v>
      </c>
      <c r="B405" t="str">
        <f t="shared" ref="B405:K405" si="403">DEC2HEX(HEX2DEC(B404)+1)</f>
        <v>AE0473</v>
      </c>
      <c r="C405" t="str">
        <f t="shared" si="403"/>
        <v>AE0475</v>
      </c>
      <c r="D405" t="str">
        <f t="shared" si="403"/>
        <v>AE0477</v>
      </c>
      <c r="E405" t="str">
        <f t="shared" si="403"/>
        <v>AE0479</v>
      </c>
      <c r="F405" t="str">
        <f t="shared" si="403"/>
        <v>AE047B</v>
      </c>
      <c r="G405" t="str">
        <f t="shared" si="403"/>
        <v>AE048D</v>
      </c>
      <c r="H405" t="str">
        <f t="shared" si="403"/>
        <v>AE048F</v>
      </c>
      <c r="I405" t="str">
        <f t="shared" si="403"/>
        <v>AE0491</v>
      </c>
      <c r="J405" t="str">
        <f t="shared" si="403"/>
        <v>AE0493</v>
      </c>
      <c r="K405" t="str">
        <f t="shared" si="403"/>
        <v>AE046D</v>
      </c>
    </row>
    <row r="406">
      <c r="A406" s="14">
        <v>404.0</v>
      </c>
      <c r="B406" t="str">
        <f t="shared" ref="B406:K406" si="404">DEC2HEX(HEX2DEC(B405)+1)</f>
        <v>AE0474</v>
      </c>
      <c r="C406" t="str">
        <f t="shared" si="404"/>
        <v>AE0476</v>
      </c>
      <c r="D406" t="str">
        <f t="shared" si="404"/>
        <v>AE0478</v>
      </c>
      <c r="E406" t="str">
        <f t="shared" si="404"/>
        <v>AE047A</v>
      </c>
      <c r="F406" t="str">
        <f t="shared" si="404"/>
        <v>AE047C</v>
      </c>
      <c r="G406" t="str">
        <f t="shared" si="404"/>
        <v>AE048E</v>
      </c>
      <c r="H406" t="str">
        <f t="shared" si="404"/>
        <v>AE0490</v>
      </c>
      <c r="I406" t="str">
        <f t="shared" si="404"/>
        <v>AE0492</v>
      </c>
      <c r="J406" t="str">
        <f t="shared" si="404"/>
        <v>AE0494</v>
      </c>
      <c r="K406" t="str">
        <f t="shared" si="404"/>
        <v>AE046E</v>
      </c>
    </row>
    <row r="407">
      <c r="A407" s="14">
        <v>405.0</v>
      </c>
      <c r="B407" t="str">
        <f t="shared" ref="B407:K407" si="405">DEC2HEX(HEX2DEC(B406)+1)</f>
        <v>AE0475</v>
      </c>
      <c r="C407" t="str">
        <f t="shared" si="405"/>
        <v>AE0477</v>
      </c>
      <c r="D407" t="str">
        <f t="shared" si="405"/>
        <v>AE0479</v>
      </c>
      <c r="E407" t="str">
        <f t="shared" si="405"/>
        <v>AE047B</v>
      </c>
      <c r="F407" t="str">
        <f t="shared" si="405"/>
        <v>AE047D</v>
      </c>
      <c r="G407" t="str">
        <f t="shared" si="405"/>
        <v>AE048F</v>
      </c>
      <c r="H407" t="str">
        <f t="shared" si="405"/>
        <v>AE0491</v>
      </c>
      <c r="I407" t="str">
        <f t="shared" si="405"/>
        <v>AE0493</v>
      </c>
      <c r="J407" t="str">
        <f t="shared" si="405"/>
        <v>AE0495</v>
      </c>
      <c r="K407" t="str">
        <f t="shared" si="405"/>
        <v>AE046F</v>
      </c>
    </row>
    <row r="408">
      <c r="A408" s="14">
        <v>406.0</v>
      </c>
      <c r="B408" t="str">
        <f t="shared" ref="B408:K408" si="406">DEC2HEX(HEX2DEC(B407)+1)</f>
        <v>AE0476</v>
      </c>
      <c r="C408" t="str">
        <f t="shared" si="406"/>
        <v>AE0478</v>
      </c>
      <c r="D408" t="str">
        <f t="shared" si="406"/>
        <v>AE047A</v>
      </c>
      <c r="E408" t="str">
        <f t="shared" si="406"/>
        <v>AE047C</v>
      </c>
      <c r="F408" t="str">
        <f t="shared" si="406"/>
        <v>AE047E</v>
      </c>
      <c r="G408" t="str">
        <f t="shared" si="406"/>
        <v>AE0490</v>
      </c>
      <c r="H408" t="str">
        <f t="shared" si="406"/>
        <v>AE0492</v>
      </c>
      <c r="I408" t="str">
        <f t="shared" si="406"/>
        <v>AE0494</v>
      </c>
      <c r="J408" t="str">
        <f t="shared" si="406"/>
        <v>AE0496</v>
      </c>
      <c r="K408" t="str">
        <f t="shared" si="406"/>
        <v>AE0470</v>
      </c>
    </row>
    <row r="409">
      <c r="A409" s="14">
        <v>407.0</v>
      </c>
      <c r="B409" t="str">
        <f t="shared" ref="B409:K409" si="407">DEC2HEX(HEX2DEC(B408)+1)</f>
        <v>AE0477</v>
      </c>
      <c r="C409" t="str">
        <f t="shared" si="407"/>
        <v>AE0479</v>
      </c>
      <c r="D409" t="str">
        <f t="shared" si="407"/>
        <v>AE047B</v>
      </c>
      <c r="E409" t="str">
        <f t="shared" si="407"/>
        <v>AE047D</v>
      </c>
      <c r="F409" t="str">
        <f t="shared" si="407"/>
        <v>AE047F</v>
      </c>
      <c r="G409" t="str">
        <f t="shared" si="407"/>
        <v>AE0491</v>
      </c>
      <c r="H409" t="str">
        <f t="shared" si="407"/>
        <v>AE0493</v>
      </c>
      <c r="I409" t="str">
        <f t="shared" si="407"/>
        <v>AE0495</v>
      </c>
      <c r="J409" t="str">
        <f t="shared" si="407"/>
        <v>AE0497</v>
      </c>
      <c r="K409" t="str">
        <f t="shared" si="407"/>
        <v>AE0471</v>
      </c>
    </row>
    <row r="410">
      <c r="A410" s="14">
        <v>408.0</v>
      </c>
      <c r="B410" t="str">
        <f t="shared" ref="B410:K410" si="408">DEC2HEX(HEX2DEC(B409)+1)</f>
        <v>AE0478</v>
      </c>
      <c r="C410" t="str">
        <f t="shared" si="408"/>
        <v>AE047A</v>
      </c>
      <c r="D410" t="str">
        <f t="shared" si="408"/>
        <v>AE047C</v>
      </c>
      <c r="E410" t="str">
        <f t="shared" si="408"/>
        <v>AE047E</v>
      </c>
      <c r="F410" t="str">
        <f t="shared" si="408"/>
        <v>AE0480</v>
      </c>
      <c r="G410" t="str">
        <f t="shared" si="408"/>
        <v>AE0492</v>
      </c>
      <c r="H410" t="str">
        <f t="shared" si="408"/>
        <v>AE0494</v>
      </c>
      <c r="I410" t="str">
        <f t="shared" si="408"/>
        <v>AE0496</v>
      </c>
      <c r="J410" t="str">
        <f t="shared" si="408"/>
        <v>AE0498</v>
      </c>
      <c r="K410" t="str">
        <f t="shared" si="408"/>
        <v>AE0472</v>
      </c>
    </row>
    <row r="411">
      <c r="A411" s="14">
        <v>409.0</v>
      </c>
      <c r="B411" t="str">
        <f t="shared" ref="B411:K411" si="409">DEC2HEX(HEX2DEC(B410)+1)</f>
        <v>AE0479</v>
      </c>
      <c r="C411" t="str">
        <f t="shared" si="409"/>
        <v>AE047B</v>
      </c>
      <c r="D411" t="str">
        <f t="shared" si="409"/>
        <v>AE047D</v>
      </c>
      <c r="E411" t="str">
        <f t="shared" si="409"/>
        <v>AE047F</v>
      </c>
      <c r="F411" t="str">
        <f t="shared" si="409"/>
        <v>AE0481</v>
      </c>
      <c r="G411" t="str">
        <f t="shared" si="409"/>
        <v>AE0493</v>
      </c>
      <c r="H411" t="str">
        <f t="shared" si="409"/>
        <v>AE0495</v>
      </c>
      <c r="I411" t="str">
        <f t="shared" si="409"/>
        <v>AE0497</v>
      </c>
      <c r="J411" t="str">
        <f t="shared" si="409"/>
        <v>AE0499</v>
      </c>
      <c r="K411" t="str">
        <f t="shared" si="409"/>
        <v>AE0473</v>
      </c>
    </row>
    <row r="412">
      <c r="A412" s="14">
        <v>410.0</v>
      </c>
      <c r="B412" t="str">
        <f t="shared" ref="B412:K412" si="410">DEC2HEX(HEX2DEC(B411)+1)</f>
        <v>AE047A</v>
      </c>
      <c r="C412" t="str">
        <f t="shared" si="410"/>
        <v>AE047C</v>
      </c>
      <c r="D412" t="str">
        <f t="shared" si="410"/>
        <v>AE047E</v>
      </c>
      <c r="E412" t="str">
        <f t="shared" si="410"/>
        <v>AE0480</v>
      </c>
      <c r="F412" t="str">
        <f t="shared" si="410"/>
        <v>AE0482</v>
      </c>
      <c r="G412" t="str">
        <f t="shared" si="410"/>
        <v>AE0494</v>
      </c>
      <c r="H412" t="str">
        <f t="shared" si="410"/>
        <v>AE0496</v>
      </c>
      <c r="I412" t="str">
        <f t="shared" si="410"/>
        <v>AE0498</v>
      </c>
      <c r="J412" t="str">
        <f t="shared" si="410"/>
        <v>AE049A</v>
      </c>
      <c r="K412" t="str">
        <f t="shared" si="410"/>
        <v>AE0474</v>
      </c>
    </row>
    <row r="413">
      <c r="A413" s="14">
        <v>411.0</v>
      </c>
      <c r="B413" t="str">
        <f t="shared" ref="B413:K413" si="411">DEC2HEX(HEX2DEC(B412)+1)</f>
        <v>AE047B</v>
      </c>
      <c r="C413" t="str">
        <f t="shared" si="411"/>
        <v>AE047D</v>
      </c>
      <c r="D413" t="str">
        <f t="shared" si="411"/>
        <v>AE047F</v>
      </c>
      <c r="E413" t="str">
        <f t="shared" si="411"/>
        <v>AE0481</v>
      </c>
      <c r="F413" t="str">
        <f t="shared" si="411"/>
        <v>AE0483</v>
      </c>
      <c r="G413" t="str">
        <f t="shared" si="411"/>
        <v>AE0495</v>
      </c>
      <c r="H413" t="str">
        <f t="shared" si="411"/>
        <v>AE0497</v>
      </c>
      <c r="I413" t="str">
        <f t="shared" si="411"/>
        <v>AE0499</v>
      </c>
      <c r="J413" t="str">
        <f t="shared" si="411"/>
        <v>AE049B</v>
      </c>
      <c r="K413" t="str">
        <f t="shared" si="411"/>
        <v>AE0475</v>
      </c>
    </row>
    <row r="414">
      <c r="A414" s="14">
        <v>412.0</v>
      </c>
      <c r="B414" t="str">
        <f t="shared" ref="B414:K414" si="412">DEC2HEX(HEX2DEC(B413)+1)</f>
        <v>AE047C</v>
      </c>
      <c r="C414" t="str">
        <f t="shared" si="412"/>
        <v>AE047E</v>
      </c>
      <c r="D414" t="str">
        <f t="shared" si="412"/>
        <v>AE0480</v>
      </c>
      <c r="E414" t="str">
        <f t="shared" si="412"/>
        <v>AE0482</v>
      </c>
      <c r="F414" t="str">
        <f t="shared" si="412"/>
        <v>AE0484</v>
      </c>
      <c r="G414" t="str">
        <f t="shared" si="412"/>
        <v>AE0496</v>
      </c>
      <c r="H414" t="str">
        <f t="shared" si="412"/>
        <v>AE0498</v>
      </c>
      <c r="I414" t="str">
        <f t="shared" si="412"/>
        <v>AE049A</v>
      </c>
      <c r="J414" t="str">
        <f t="shared" si="412"/>
        <v>AE049C</v>
      </c>
      <c r="K414" t="str">
        <f t="shared" si="412"/>
        <v>AE0476</v>
      </c>
    </row>
    <row r="415">
      <c r="A415" s="14">
        <v>413.0</v>
      </c>
      <c r="B415" t="str">
        <f t="shared" ref="B415:K415" si="413">DEC2HEX(HEX2DEC(B414)+1)</f>
        <v>AE047D</v>
      </c>
      <c r="C415" t="str">
        <f t="shared" si="413"/>
        <v>AE047F</v>
      </c>
      <c r="D415" t="str">
        <f t="shared" si="413"/>
        <v>AE0481</v>
      </c>
      <c r="E415" t="str">
        <f t="shared" si="413"/>
        <v>AE0483</v>
      </c>
      <c r="F415" t="str">
        <f t="shared" si="413"/>
        <v>AE0485</v>
      </c>
      <c r="G415" t="str">
        <f t="shared" si="413"/>
        <v>AE0497</v>
      </c>
      <c r="H415" t="str">
        <f t="shared" si="413"/>
        <v>AE0499</v>
      </c>
      <c r="I415" t="str">
        <f t="shared" si="413"/>
        <v>AE049B</v>
      </c>
      <c r="J415" t="str">
        <f t="shared" si="413"/>
        <v>AE049D</v>
      </c>
      <c r="K415" t="str">
        <f t="shared" si="413"/>
        <v>AE0477</v>
      </c>
    </row>
    <row r="416">
      <c r="A416" s="14">
        <v>414.0</v>
      </c>
      <c r="B416" t="str">
        <f t="shared" ref="B416:K416" si="414">DEC2HEX(HEX2DEC(B415)+1)</f>
        <v>AE047E</v>
      </c>
      <c r="C416" t="str">
        <f t="shared" si="414"/>
        <v>AE0480</v>
      </c>
      <c r="D416" t="str">
        <f t="shared" si="414"/>
        <v>AE0482</v>
      </c>
      <c r="E416" t="str">
        <f t="shared" si="414"/>
        <v>AE0484</v>
      </c>
      <c r="F416" t="str">
        <f t="shared" si="414"/>
        <v>AE0486</v>
      </c>
      <c r="G416" t="str">
        <f t="shared" si="414"/>
        <v>AE0498</v>
      </c>
      <c r="H416" t="str">
        <f t="shared" si="414"/>
        <v>AE049A</v>
      </c>
      <c r="I416" t="str">
        <f t="shared" si="414"/>
        <v>AE049C</v>
      </c>
      <c r="J416" t="str">
        <f t="shared" si="414"/>
        <v>AE049E</v>
      </c>
      <c r="K416" t="str">
        <f t="shared" si="414"/>
        <v>AE0478</v>
      </c>
    </row>
    <row r="417">
      <c r="A417" s="14">
        <v>415.0</v>
      </c>
      <c r="B417" t="str">
        <f t="shared" ref="B417:K417" si="415">DEC2HEX(HEX2DEC(B416)+1)</f>
        <v>AE047F</v>
      </c>
      <c r="C417" t="str">
        <f t="shared" si="415"/>
        <v>AE0481</v>
      </c>
      <c r="D417" t="str">
        <f t="shared" si="415"/>
        <v>AE0483</v>
      </c>
      <c r="E417" t="str">
        <f t="shared" si="415"/>
        <v>AE0485</v>
      </c>
      <c r="F417" t="str">
        <f t="shared" si="415"/>
        <v>AE0487</v>
      </c>
      <c r="G417" t="str">
        <f t="shared" si="415"/>
        <v>AE0499</v>
      </c>
      <c r="H417" t="str">
        <f t="shared" si="415"/>
        <v>AE049B</v>
      </c>
      <c r="I417" t="str">
        <f t="shared" si="415"/>
        <v>AE049D</v>
      </c>
      <c r="J417" t="str">
        <f t="shared" si="415"/>
        <v>AE049F</v>
      </c>
      <c r="K417" t="str">
        <f t="shared" si="415"/>
        <v>AE0479</v>
      </c>
    </row>
    <row r="418">
      <c r="A418" s="14">
        <v>416.0</v>
      </c>
      <c r="B418" t="str">
        <f t="shared" ref="B418:K418" si="416">DEC2HEX(HEX2DEC(B417)+1)</f>
        <v>AE0480</v>
      </c>
      <c r="C418" t="str">
        <f t="shared" si="416"/>
        <v>AE0482</v>
      </c>
      <c r="D418" t="str">
        <f t="shared" si="416"/>
        <v>AE0484</v>
      </c>
      <c r="E418" t="str">
        <f t="shared" si="416"/>
        <v>AE0486</v>
      </c>
      <c r="F418" t="str">
        <f t="shared" si="416"/>
        <v>AE0488</v>
      </c>
      <c r="G418" t="str">
        <f t="shared" si="416"/>
        <v>AE049A</v>
      </c>
      <c r="H418" t="str">
        <f t="shared" si="416"/>
        <v>AE049C</v>
      </c>
      <c r="I418" t="str">
        <f t="shared" si="416"/>
        <v>AE049E</v>
      </c>
      <c r="J418" t="str">
        <f t="shared" si="416"/>
        <v>AE04A0</v>
      </c>
      <c r="K418" t="str">
        <f t="shared" si="416"/>
        <v>AE047A</v>
      </c>
    </row>
    <row r="419">
      <c r="A419" s="14">
        <v>417.0</v>
      </c>
      <c r="B419" t="str">
        <f t="shared" ref="B419:K419" si="417">DEC2HEX(HEX2DEC(B418)+1)</f>
        <v>AE0481</v>
      </c>
      <c r="C419" t="str">
        <f t="shared" si="417"/>
        <v>AE0483</v>
      </c>
      <c r="D419" t="str">
        <f t="shared" si="417"/>
        <v>AE0485</v>
      </c>
      <c r="E419" t="str">
        <f t="shared" si="417"/>
        <v>AE0487</v>
      </c>
      <c r="F419" t="str">
        <f t="shared" si="417"/>
        <v>AE0489</v>
      </c>
      <c r="G419" t="str">
        <f t="shared" si="417"/>
        <v>AE049B</v>
      </c>
      <c r="H419" t="str">
        <f t="shared" si="417"/>
        <v>AE049D</v>
      </c>
      <c r="I419" t="str">
        <f t="shared" si="417"/>
        <v>AE049F</v>
      </c>
      <c r="J419" t="str">
        <f t="shared" si="417"/>
        <v>AE04A1</v>
      </c>
      <c r="K419" t="str">
        <f t="shared" si="417"/>
        <v>AE047B</v>
      </c>
    </row>
    <row r="420">
      <c r="A420" s="14">
        <v>418.0</v>
      </c>
      <c r="B420" t="str">
        <f t="shared" ref="B420:K420" si="418">DEC2HEX(HEX2DEC(B419)+1)</f>
        <v>AE0482</v>
      </c>
      <c r="C420" t="str">
        <f t="shared" si="418"/>
        <v>AE0484</v>
      </c>
      <c r="D420" t="str">
        <f t="shared" si="418"/>
        <v>AE0486</v>
      </c>
      <c r="E420" t="str">
        <f t="shared" si="418"/>
        <v>AE0488</v>
      </c>
      <c r="F420" t="str">
        <f t="shared" si="418"/>
        <v>AE048A</v>
      </c>
      <c r="G420" t="str">
        <f t="shared" si="418"/>
        <v>AE049C</v>
      </c>
      <c r="H420" t="str">
        <f t="shared" si="418"/>
        <v>AE049E</v>
      </c>
      <c r="I420" t="str">
        <f t="shared" si="418"/>
        <v>AE04A0</v>
      </c>
      <c r="J420" t="str">
        <f t="shared" si="418"/>
        <v>AE04A2</v>
      </c>
      <c r="K420" t="str">
        <f t="shared" si="418"/>
        <v>AE047C</v>
      </c>
    </row>
    <row r="421">
      <c r="A421" s="14">
        <v>419.0</v>
      </c>
      <c r="B421" t="str">
        <f t="shared" ref="B421:K421" si="419">DEC2HEX(HEX2DEC(B420)+1)</f>
        <v>AE0483</v>
      </c>
      <c r="C421" t="str">
        <f t="shared" si="419"/>
        <v>AE0485</v>
      </c>
      <c r="D421" t="str">
        <f t="shared" si="419"/>
        <v>AE0487</v>
      </c>
      <c r="E421" t="str">
        <f t="shared" si="419"/>
        <v>AE0489</v>
      </c>
      <c r="F421" t="str">
        <f t="shared" si="419"/>
        <v>AE048B</v>
      </c>
      <c r="G421" t="str">
        <f t="shared" si="419"/>
        <v>AE049D</v>
      </c>
      <c r="H421" t="str">
        <f t="shared" si="419"/>
        <v>AE049F</v>
      </c>
      <c r="I421" t="str">
        <f t="shared" si="419"/>
        <v>AE04A1</v>
      </c>
      <c r="J421" t="str">
        <f t="shared" si="419"/>
        <v>AE04A3</v>
      </c>
      <c r="K421" t="str">
        <f t="shared" si="419"/>
        <v>AE047D</v>
      </c>
    </row>
    <row r="422">
      <c r="A422" s="14">
        <v>420.0</v>
      </c>
      <c r="B422" t="str">
        <f t="shared" ref="B422:K422" si="420">DEC2HEX(HEX2DEC(B421)+1)</f>
        <v>AE0484</v>
      </c>
      <c r="C422" t="str">
        <f t="shared" si="420"/>
        <v>AE0486</v>
      </c>
      <c r="D422" t="str">
        <f t="shared" si="420"/>
        <v>AE0488</v>
      </c>
      <c r="E422" t="str">
        <f t="shared" si="420"/>
        <v>AE048A</v>
      </c>
      <c r="F422" t="str">
        <f t="shared" si="420"/>
        <v>AE048C</v>
      </c>
      <c r="G422" t="str">
        <f t="shared" si="420"/>
        <v>AE049E</v>
      </c>
      <c r="H422" t="str">
        <f t="shared" si="420"/>
        <v>AE04A0</v>
      </c>
      <c r="I422" t="str">
        <f t="shared" si="420"/>
        <v>AE04A2</v>
      </c>
      <c r="J422" t="str">
        <f t="shared" si="420"/>
        <v>AE04A4</v>
      </c>
      <c r="K422" t="str">
        <f t="shared" si="420"/>
        <v>AE047E</v>
      </c>
    </row>
    <row r="423">
      <c r="A423" s="14">
        <v>421.0</v>
      </c>
      <c r="B423" t="str">
        <f t="shared" ref="B423:K423" si="421">DEC2HEX(HEX2DEC(B422)+1)</f>
        <v>AE0485</v>
      </c>
      <c r="C423" t="str">
        <f t="shared" si="421"/>
        <v>AE0487</v>
      </c>
      <c r="D423" t="str">
        <f t="shared" si="421"/>
        <v>AE0489</v>
      </c>
      <c r="E423" t="str">
        <f t="shared" si="421"/>
        <v>AE048B</v>
      </c>
      <c r="F423" t="str">
        <f t="shared" si="421"/>
        <v>AE048D</v>
      </c>
      <c r="G423" t="str">
        <f t="shared" si="421"/>
        <v>AE049F</v>
      </c>
      <c r="H423" t="str">
        <f t="shared" si="421"/>
        <v>AE04A1</v>
      </c>
      <c r="I423" t="str">
        <f t="shared" si="421"/>
        <v>AE04A3</v>
      </c>
      <c r="J423" t="str">
        <f t="shared" si="421"/>
        <v>AE04A5</v>
      </c>
      <c r="K423" t="str">
        <f t="shared" si="421"/>
        <v>AE047F</v>
      </c>
    </row>
    <row r="424">
      <c r="A424" s="14">
        <v>422.0</v>
      </c>
      <c r="B424" t="str">
        <f t="shared" ref="B424:K424" si="422">DEC2HEX(HEX2DEC(B423)+1)</f>
        <v>AE0486</v>
      </c>
      <c r="C424" t="str">
        <f t="shared" si="422"/>
        <v>AE0488</v>
      </c>
      <c r="D424" t="str">
        <f t="shared" si="422"/>
        <v>AE048A</v>
      </c>
      <c r="E424" t="str">
        <f t="shared" si="422"/>
        <v>AE048C</v>
      </c>
      <c r="F424" t="str">
        <f t="shared" si="422"/>
        <v>AE048E</v>
      </c>
      <c r="G424" t="str">
        <f t="shared" si="422"/>
        <v>AE04A0</v>
      </c>
      <c r="H424" t="str">
        <f t="shared" si="422"/>
        <v>AE04A2</v>
      </c>
      <c r="I424" t="str">
        <f t="shared" si="422"/>
        <v>AE04A4</v>
      </c>
      <c r="J424" t="str">
        <f t="shared" si="422"/>
        <v>AE04A6</v>
      </c>
      <c r="K424" t="str">
        <f t="shared" si="422"/>
        <v>AE0480</v>
      </c>
    </row>
    <row r="425">
      <c r="A425" s="14">
        <v>423.0</v>
      </c>
      <c r="B425" t="str">
        <f t="shared" ref="B425:K425" si="423">DEC2HEX(HEX2DEC(B424)+1)</f>
        <v>AE0487</v>
      </c>
      <c r="C425" t="str">
        <f t="shared" si="423"/>
        <v>AE0489</v>
      </c>
      <c r="D425" t="str">
        <f t="shared" si="423"/>
        <v>AE048B</v>
      </c>
      <c r="E425" t="str">
        <f t="shared" si="423"/>
        <v>AE048D</v>
      </c>
      <c r="F425" t="str">
        <f t="shared" si="423"/>
        <v>AE048F</v>
      </c>
      <c r="G425" t="str">
        <f t="shared" si="423"/>
        <v>AE04A1</v>
      </c>
      <c r="H425" t="str">
        <f t="shared" si="423"/>
        <v>AE04A3</v>
      </c>
      <c r="I425" t="str">
        <f t="shared" si="423"/>
        <v>AE04A5</v>
      </c>
      <c r="J425" t="str">
        <f t="shared" si="423"/>
        <v>AE04A7</v>
      </c>
      <c r="K425" t="str">
        <f t="shared" si="423"/>
        <v>AE0481</v>
      </c>
    </row>
    <row r="426">
      <c r="A426" s="14">
        <v>424.0</v>
      </c>
      <c r="B426" t="str">
        <f t="shared" ref="B426:K426" si="424">DEC2HEX(HEX2DEC(B425)+1)</f>
        <v>AE0488</v>
      </c>
      <c r="C426" t="str">
        <f t="shared" si="424"/>
        <v>AE048A</v>
      </c>
      <c r="D426" t="str">
        <f t="shared" si="424"/>
        <v>AE048C</v>
      </c>
      <c r="E426" t="str">
        <f t="shared" si="424"/>
        <v>AE048E</v>
      </c>
      <c r="F426" t="str">
        <f t="shared" si="424"/>
        <v>AE0490</v>
      </c>
      <c r="G426" t="str">
        <f t="shared" si="424"/>
        <v>AE04A2</v>
      </c>
      <c r="H426" t="str">
        <f t="shared" si="424"/>
        <v>AE04A4</v>
      </c>
      <c r="I426" t="str">
        <f t="shared" si="424"/>
        <v>AE04A6</v>
      </c>
      <c r="J426" t="str">
        <f t="shared" si="424"/>
        <v>AE04A8</v>
      </c>
      <c r="K426" t="str">
        <f t="shared" si="424"/>
        <v>AE0482</v>
      </c>
    </row>
    <row r="427">
      <c r="A427" s="14">
        <v>425.0</v>
      </c>
      <c r="B427" t="str">
        <f t="shared" ref="B427:K427" si="425">DEC2HEX(HEX2DEC(B426)+1)</f>
        <v>AE0489</v>
      </c>
      <c r="C427" t="str">
        <f t="shared" si="425"/>
        <v>AE048B</v>
      </c>
      <c r="D427" t="str">
        <f t="shared" si="425"/>
        <v>AE048D</v>
      </c>
      <c r="E427" t="str">
        <f t="shared" si="425"/>
        <v>AE048F</v>
      </c>
      <c r="F427" t="str">
        <f t="shared" si="425"/>
        <v>AE0491</v>
      </c>
      <c r="G427" t="str">
        <f t="shared" si="425"/>
        <v>AE04A3</v>
      </c>
      <c r="H427" t="str">
        <f t="shared" si="425"/>
        <v>AE04A5</v>
      </c>
      <c r="I427" t="str">
        <f t="shared" si="425"/>
        <v>AE04A7</v>
      </c>
      <c r="J427" t="str">
        <f t="shared" si="425"/>
        <v>AE04A9</v>
      </c>
      <c r="K427" t="str">
        <f t="shared" si="425"/>
        <v>AE0483</v>
      </c>
    </row>
    <row r="428">
      <c r="A428" s="14">
        <v>426.0</v>
      </c>
      <c r="B428" t="str">
        <f t="shared" ref="B428:K428" si="426">DEC2HEX(HEX2DEC(B427)+1)</f>
        <v>AE048A</v>
      </c>
      <c r="C428" t="str">
        <f t="shared" si="426"/>
        <v>AE048C</v>
      </c>
      <c r="D428" t="str">
        <f t="shared" si="426"/>
        <v>AE048E</v>
      </c>
      <c r="E428" t="str">
        <f t="shared" si="426"/>
        <v>AE0490</v>
      </c>
      <c r="F428" t="str">
        <f t="shared" si="426"/>
        <v>AE0492</v>
      </c>
      <c r="G428" t="str">
        <f t="shared" si="426"/>
        <v>AE04A4</v>
      </c>
      <c r="H428" t="str">
        <f t="shared" si="426"/>
        <v>AE04A6</v>
      </c>
      <c r="I428" t="str">
        <f t="shared" si="426"/>
        <v>AE04A8</v>
      </c>
      <c r="J428" t="str">
        <f t="shared" si="426"/>
        <v>AE04AA</v>
      </c>
      <c r="K428" t="str">
        <f t="shared" si="426"/>
        <v>AE0484</v>
      </c>
    </row>
    <row r="429">
      <c r="A429" s="14">
        <v>427.0</v>
      </c>
      <c r="B429" t="str">
        <f t="shared" ref="B429:K429" si="427">DEC2HEX(HEX2DEC(B428)+1)</f>
        <v>AE048B</v>
      </c>
      <c r="C429" t="str">
        <f t="shared" si="427"/>
        <v>AE048D</v>
      </c>
      <c r="D429" t="str">
        <f t="shared" si="427"/>
        <v>AE048F</v>
      </c>
      <c r="E429" t="str">
        <f t="shared" si="427"/>
        <v>AE0491</v>
      </c>
      <c r="F429" t="str">
        <f t="shared" si="427"/>
        <v>AE0493</v>
      </c>
      <c r="G429" t="str">
        <f t="shared" si="427"/>
        <v>AE04A5</v>
      </c>
      <c r="H429" t="str">
        <f t="shared" si="427"/>
        <v>AE04A7</v>
      </c>
      <c r="I429" t="str">
        <f t="shared" si="427"/>
        <v>AE04A9</v>
      </c>
      <c r="J429" t="str">
        <f t="shared" si="427"/>
        <v>AE04AB</v>
      </c>
      <c r="K429" t="str">
        <f t="shared" si="427"/>
        <v>AE0485</v>
      </c>
    </row>
    <row r="430">
      <c r="A430" s="14">
        <v>428.0</v>
      </c>
      <c r="B430" t="str">
        <f t="shared" ref="B430:K430" si="428">DEC2HEX(HEX2DEC(B429)+1)</f>
        <v>AE048C</v>
      </c>
      <c r="C430" t="str">
        <f t="shared" si="428"/>
        <v>AE048E</v>
      </c>
      <c r="D430" t="str">
        <f t="shared" si="428"/>
        <v>AE0490</v>
      </c>
      <c r="E430" t="str">
        <f t="shared" si="428"/>
        <v>AE0492</v>
      </c>
      <c r="F430" t="str">
        <f t="shared" si="428"/>
        <v>AE0494</v>
      </c>
      <c r="G430" t="str">
        <f t="shared" si="428"/>
        <v>AE04A6</v>
      </c>
      <c r="H430" t="str">
        <f t="shared" si="428"/>
        <v>AE04A8</v>
      </c>
      <c r="I430" t="str">
        <f t="shared" si="428"/>
        <v>AE04AA</v>
      </c>
      <c r="J430" t="str">
        <f t="shared" si="428"/>
        <v>AE04AC</v>
      </c>
      <c r="K430" t="str">
        <f t="shared" si="428"/>
        <v>AE0486</v>
      </c>
    </row>
    <row r="431">
      <c r="A431" s="14">
        <v>429.0</v>
      </c>
      <c r="B431" t="str">
        <f t="shared" ref="B431:K431" si="429">DEC2HEX(HEX2DEC(B430)+1)</f>
        <v>AE048D</v>
      </c>
      <c r="C431" t="str">
        <f t="shared" si="429"/>
        <v>AE048F</v>
      </c>
      <c r="D431" t="str">
        <f t="shared" si="429"/>
        <v>AE0491</v>
      </c>
      <c r="E431" t="str">
        <f t="shared" si="429"/>
        <v>AE0493</v>
      </c>
      <c r="F431" t="str">
        <f t="shared" si="429"/>
        <v>AE0495</v>
      </c>
      <c r="G431" t="str">
        <f t="shared" si="429"/>
        <v>AE04A7</v>
      </c>
      <c r="H431" t="str">
        <f t="shared" si="429"/>
        <v>AE04A9</v>
      </c>
      <c r="I431" t="str">
        <f t="shared" si="429"/>
        <v>AE04AB</v>
      </c>
      <c r="J431" t="str">
        <f t="shared" si="429"/>
        <v>AE04AD</v>
      </c>
      <c r="K431" t="str">
        <f t="shared" si="429"/>
        <v>AE0487</v>
      </c>
    </row>
    <row r="432">
      <c r="A432" s="14">
        <v>430.0</v>
      </c>
      <c r="B432" t="str">
        <f t="shared" ref="B432:K432" si="430">DEC2HEX(HEX2DEC(B431)+1)</f>
        <v>AE048E</v>
      </c>
      <c r="C432" t="str">
        <f t="shared" si="430"/>
        <v>AE0490</v>
      </c>
      <c r="D432" t="str">
        <f t="shared" si="430"/>
        <v>AE0492</v>
      </c>
      <c r="E432" t="str">
        <f t="shared" si="430"/>
        <v>AE0494</v>
      </c>
      <c r="F432" t="str">
        <f t="shared" si="430"/>
        <v>AE0496</v>
      </c>
      <c r="G432" t="str">
        <f t="shared" si="430"/>
        <v>AE04A8</v>
      </c>
      <c r="H432" t="str">
        <f t="shared" si="430"/>
        <v>AE04AA</v>
      </c>
      <c r="I432" t="str">
        <f t="shared" si="430"/>
        <v>AE04AC</v>
      </c>
      <c r="J432" t="str">
        <f t="shared" si="430"/>
        <v>AE04AE</v>
      </c>
      <c r="K432" t="str">
        <f t="shared" si="430"/>
        <v>AE0488</v>
      </c>
    </row>
    <row r="433">
      <c r="A433" s="14">
        <v>431.0</v>
      </c>
      <c r="B433" t="str">
        <f t="shared" ref="B433:K433" si="431">DEC2HEX(HEX2DEC(B432)+1)</f>
        <v>AE048F</v>
      </c>
      <c r="C433" t="str">
        <f t="shared" si="431"/>
        <v>AE0491</v>
      </c>
      <c r="D433" t="str">
        <f t="shared" si="431"/>
        <v>AE0493</v>
      </c>
      <c r="E433" t="str">
        <f t="shared" si="431"/>
        <v>AE0495</v>
      </c>
      <c r="F433" t="str">
        <f t="shared" si="431"/>
        <v>AE0497</v>
      </c>
      <c r="G433" t="str">
        <f t="shared" si="431"/>
        <v>AE04A9</v>
      </c>
      <c r="H433" t="str">
        <f t="shared" si="431"/>
        <v>AE04AB</v>
      </c>
      <c r="I433" t="str">
        <f t="shared" si="431"/>
        <v>AE04AD</v>
      </c>
      <c r="J433" t="str">
        <f t="shared" si="431"/>
        <v>AE04AF</v>
      </c>
      <c r="K433" t="str">
        <f t="shared" si="431"/>
        <v>AE0489</v>
      </c>
    </row>
    <row r="434">
      <c r="A434" s="14">
        <v>432.0</v>
      </c>
      <c r="B434" t="str">
        <f t="shared" ref="B434:K434" si="432">DEC2HEX(HEX2DEC(B433)+1)</f>
        <v>AE0490</v>
      </c>
      <c r="C434" t="str">
        <f t="shared" si="432"/>
        <v>AE0492</v>
      </c>
      <c r="D434" t="str">
        <f t="shared" si="432"/>
        <v>AE0494</v>
      </c>
      <c r="E434" t="str">
        <f t="shared" si="432"/>
        <v>AE0496</v>
      </c>
      <c r="F434" t="str">
        <f t="shared" si="432"/>
        <v>AE0498</v>
      </c>
      <c r="G434" t="str">
        <f t="shared" si="432"/>
        <v>AE04AA</v>
      </c>
      <c r="H434" t="str">
        <f t="shared" si="432"/>
        <v>AE04AC</v>
      </c>
      <c r="I434" t="str">
        <f t="shared" si="432"/>
        <v>AE04AE</v>
      </c>
      <c r="J434" t="str">
        <f t="shared" si="432"/>
        <v>AE04B0</v>
      </c>
      <c r="K434" t="str">
        <f t="shared" si="432"/>
        <v>AE048A</v>
      </c>
    </row>
    <row r="435">
      <c r="A435" s="14">
        <v>433.0</v>
      </c>
      <c r="B435" t="str">
        <f t="shared" ref="B435:K435" si="433">DEC2HEX(HEX2DEC(B434)+1)</f>
        <v>AE0491</v>
      </c>
      <c r="C435" t="str">
        <f t="shared" si="433"/>
        <v>AE0493</v>
      </c>
      <c r="D435" t="str">
        <f t="shared" si="433"/>
        <v>AE0495</v>
      </c>
      <c r="E435" t="str">
        <f t="shared" si="433"/>
        <v>AE0497</v>
      </c>
      <c r="F435" t="str">
        <f t="shared" si="433"/>
        <v>AE0499</v>
      </c>
      <c r="G435" t="str">
        <f t="shared" si="433"/>
        <v>AE04AB</v>
      </c>
      <c r="H435" t="str">
        <f t="shared" si="433"/>
        <v>AE04AD</v>
      </c>
      <c r="I435" t="str">
        <f t="shared" si="433"/>
        <v>AE04AF</v>
      </c>
      <c r="J435" t="str">
        <f t="shared" si="433"/>
        <v>AE04B1</v>
      </c>
      <c r="K435" t="str">
        <f t="shared" si="433"/>
        <v>AE048B</v>
      </c>
    </row>
    <row r="436">
      <c r="A436" s="14">
        <v>434.0</v>
      </c>
      <c r="B436" t="str">
        <f t="shared" ref="B436:K436" si="434">DEC2HEX(HEX2DEC(B435)+1)</f>
        <v>AE0492</v>
      </c>
      <c r="C436" t="str">
        <f t="shared" si="434"/>
        <v>AE0494</v>
      </c>
      <c r="D436" t="str">
        <f t="shared" si="434"/>
        <v>AE0496</v>
      </c>
      <c r="E436" t="str">
        <f t="shared" si="434"/>
        <v>AE0498</v>
      </c>
      <c r="F436" t="str">
        <f t="shared" si="434"/>
        <v>AE049A</v>
      </c>
      <c r="G436" t="str">
        <f t="shared" si="434"/>
        <v>AE04AC</v>
      </c>
      <c r="H436" t="str">
        <f t="shared" si="434"/>
        <v>AE04AE</v>
      </c>
      <c r="I436" t="str">
        <f t="shared" si="434"/>
        <v>AE04B0</v>
      </c>
      <c r="J436" t="str">
        <f t="shared" si="434"/>
        <v>AE04B2</v>
      </c>
      <c r="K436" t="str">
        <f t="shared" si="434"/>
        <v>AE048C</v>
      </c>
    </row>
    <row r="437">
      <c r="A437" s="14">
        <v>435.0</v>
      </c>
      <c r="B437" t="str">
        <f t="shared" ref="B437:K437" si="435">DEC2HEX(HEX2DEC(B436)+1)</f>
        <v>AE0493</v>
      </c>
      <c r="C437" t="str">
        <f t="shared" si="435"/>
        <v>AE0495</v>
      </c>
      <c r="D437" t="str">
        <f t="shared" si="435"/>
        <v>AE0497</v>
      </c>
      <c r="E437" t="str">
        <f t="shared" si="435"/>
        <v>AE0499</v>
      </c>
      <c r="F437" t="str">
        <f t="shared" si="435"/>
        <v>AE049B</v>
      </c>
      <c r="G437" t="str">
        <f t="shared" si="435"/>
        <v>AE04AD</v>
      </c>
      <c r="H437" t="str">
        <f t="shared" si="435"/>
        <v>AE04AF</v>
      </c>
      <c r="I437" t="str">
        <f t="shared" si="435"/>
        <v>AE04B1</v>
      </c>
      <c r="J437" t="str">
        <f t="shared" si="435"/>
        <v>AE04B3</v>
      </c>
      <c r="K437" t="str">
        <f t="shared" si="435"/>
        <v>AE048D</v>
      </c>
    </row>
    <row r="438">
      <c r="A438" s="14">
        <v>436.0</v>
      </c>
      <c r="B438" t="str">
        <f t="shared" ref="B438:K438" si="436">DEC2HEX(HEX2DEC(B437)+1)</f>
        <v>AE0494</v>
      </c>
      <c r="C438" t="str">
        <f t="shared" si="436"/>
        <v>AE0496</v>
      </c>
      <c r="D438" t="str">
        <f t="shared" si="436"/>
        <v>AE0498</v>
      </c>
      <c r="E438" t="str">
        <f t="shared" si="436"/>
        <v>AE049A</v>
      </c>
      <c r="F438" t="str">
        <f t="shared" si="436"/>
        <v>AE049C</v>
      </c>
      <c r="G438" t="str">
        <f t="shared" si="436"/>
        <v>AE04AE</v>
      </c>
      <c r="H438" t="str">
        <f t="shared" si="436"/>
        <v>AE04B0</v>
      </c>
      <c r="I438" t="str">
        <f t="shared" si="436"/>
        <v>AE04B2</v>
      </c>
      <c r="J438" t="str">
        <f t="shared" si="436"/>
        <v>AE04B4</v>
      </c>
      <c r="K438" t="str">
        <f t="shared" si="436"/>
        <v>AE048E</v>
      </c>
    </row>
    <row r="439">
      <c r="A439" s="14">
        <v>437.0</v>
      </c>
      <c r="B439" t="str">
        <f t="shared" ref="B439:K439" si="437">DEC2HEX(HEX2DEC(B438)+1)</f>
        <v>AE0495</v>
      </c>
      <c r="C439" t="str">
        <f t="shared" si="437"/>
        <v>AE0497</v>
      </c>
      <c r="D439" t="str">
        <f t="shared" si="437"/>
        <v>AE0499</v>
      </c>
      <c r="E439" t="str">
        <f t="shared" si="437"/>
        <v>AE049B</v>
      </c>
      <c r="F439" t="str">
        <f t="shared" si="437"/>
        <v>AE049D</v>
      </c>
      <c r="G439" t="str">
        <f t="shared" si="437"/>
        <v>AE04AF</v>
      </c>
      <c r="H439" t="str">
        <f t="shared" si="437"/>
        <v>AE04B1</v>
      </c>
      <c r="I439" t="str">
        <f t="shared" si="437"/>
        <v>AE04B3</v>
      </c>
      <c r="J439" t="str">
        <f t="shared" si="437"/>
        <v>AE04B5</v>
      </c>
      <c r="K439" t="str">
        <f t="shared" si="437"/>
        <v>AE048F</v>
      </c>
    </row>
    <row r="440">
      <c r="A440" s="14">
        <v>438.0</v>
      </c>
      <c r="B440" t="str">
        <f t="shared" ref="B440:K440" si="438">DEC2HEX(HEX2DEC(B439)+1)</f>
        <v>AE0496</v>
      </c>
      <c r="C440" t="str">
        <f t="shared" si="438"/>
        <v>AE0498</v>
      </c>
      <c r="D440" t="str">
        <f t="shared" si="438"/>
        <v>AE049A</v>
      </c>
      <c r="E440" t="str">
        <f t="shared" si="438"/>
        <v>AE049C</v>
      </c>
      <c r="F440" t="str">
        <f t="shared" si="438"/>
        <v>AE049E</v>
      </c>
      <c r="G440" t="str">
        <f t="shared" si="438"/>
        <v>AE04B0</v>
      </c>
      <c r="H440" t="str">
        <f t="shared" si="438"/>
        <v>AE04B2</v>
      </c>
      <c r="I440" t="str">
        <f t="shared" si="438"/>
        <v>AE04B4</v>
      </c>
      <c r="J440" t="str">
        <f t="shared" si="438"/>
        <v>AE04B6</v>
      </c>
      <c r="K440" t="str">
        <f t="shared" si="438"/>
        <v>AE0490</v>
      </c>
    </row>
    <row r="441">
      <c r="A441" s="14">
        <v>439.0</v>
      </c>
      <c r="B441" t="str">
        <f t="shared" ref="B441:K441" si="439">DEC2HEX(HEX2DEC(B440)+1)</f>
        <v>AE0497</v>
      </c>
      <c r="C441" t="str">
        <f t="shared" si="439"/>
        <v>AE0499</v>
      </c>
      <c r="D441" t="str">
        <f t="shared" si="439"/>
        <v>AE049B</v>
      </c>
      <c r="E441" t="str">
        <f t="shared" si="439"/>
        <v>AE049D</v>
      </c>
      <c r="F441" t="str">
        <f t="shared" si="439"/>
        <v>AE049F</v>
      </c>
      <c r="G441" t="str">
        <f t="shared" si="439"/>
        <v>AE04B1</v>
      </c>
      <c r="H441" t="str">
        <f t="shared" si="439"/>
        <v>AE04B3</v>
      </c>
      <c r="I441" t="str">
        <f t="shared" si="439"/>
        <v>AE04B5</v>
      </c>
      <c r="J441" t="str">
        <f t="shared" si="439"/>
        <v>AE04B7</v>
      </c>
      <c r="K441" t="str">
        <f t="shared" si="439"/>
        <v>AE0491</v>
      </c>
    </row>
    <row r="442">
      <c r="A442" s="14">
        <v>440.0</v>
      </c>
      <c r="B442" t="str">
        <f t="shared" ref="B442:K442" si="440">DEC2HEX(HEX2DEC(B441)+1)</f>
        <v>AE0498</v>
      </c>
      <c r="C442" t="str">
        <f t="shared" si="440"/>
        <v>AE049A</v>
      </c>
      <c r="D442" t="str">
        <f t="shared" si="440"/>
        <v>AE049C</v>
      </c>
      <c r="E442" t="str">
        <f t="shared" si="440"/>
        <v>AE049E</v>
      </c>
      <c r="F442" t="str">
        <f t="shared" si="440"/>
        <v>AE04A0</v>
      </c>
      <c r="G442" t="str">
        <f t="shared" si="440"/>
        <v>AE04B2</v>
      </c>
      <c r="H442" t="str">
        <f t="shared" si="440"/>
        <v>AE04B4</v>
      </c>
      <c r="I442" t="str">
        <f t="shared" si="440"/>
        <v>AE04B6</v>
      </c>
      <c r="J442" t="str">
        <f t="shared" si="440"/>
        <v>AE04B8</v>
      </c>
      <c r="K442" t="str">
        <f t="shared" si="440"/>
        <v>AE0492</v>
      </c>
    </row>
    <row r="443">
      <c r="A443" s="14">
        <v>441.0</v>
      </c>
      <c r="B443" t="str">
        <f t="shared" ref="B443:K443" si="441">DEC2HEX(HEX2DEC(B442)+1)</f>
        <v>AE0499</v>
      </c>
      <c r="C443" t="str">
        <f t="shared" si="441"/>
        <v>AE049B</v>
      </c>
      <c r="D443" t="str">
        <f t="shared" si="441"/>
        <v>AE049D</v>
      </c>
      <c r="E443" t="str">
        <f t="shared" si="441"/>
        <v>AE049F</v>
      </c>
      <c r="F443" t="str">
        <f t="shared" si="441"/>
        <v>AE04A1</v>
      </c>
      <c r="G443" t="str">
        <f t="shared" si="441"/>
        <v>AE04B3</v>
      </c>
      <c r="H443" t="str">
        <f t="shared" si="441"/>
        <v>AE04B5</v>
      </c>
      <c r="I443" t="str">
        <f t="shared" si="441"/>
        <v>AE04B7</v>
      </c>
      <c r="J443" t="str">
        <f t="shared" si="441"/>
        <v>AE04B9</v>
      </c>
      <c r="K443" t="str">
        <f t="shared" si="441"/>
        <v>AE0493</v>
      </c>
    </row>
    <row r="444">
      <c r="A444" s="14">
        <v>442.0</v>
      </c>
      <c r="B444" t="str">
        <f t="shared" ref="B444:K444" si="442">DEC2HEX(HEX2DEC(B443)+1)</f>
        <v>AE049A</v>
      </c>
      <c r="C444" t="str">
        <f t="shared" si="442"/>
        <v>AE049C</v>
      </c>
      <c r="D444" t="str">
        <f t="shared" si="442"/>
        <v>AE049E</v>
      </c>
      <c r="E444" t="str">
        <f t="shared" si="442"/>
        <v>AE04A0</v>
      </c>
      <c r="F444" t="str">
        <f t="shared" si="442"/>
        <v>AE04A2</v>
      </c>
      <c r="G444" t="str">
        <f t="shared" si="442"/>
        <v>AE04B4</v>
      </c>
      <c r="H444" t="str">
        <f t="shared" si="442"/>
        <v>AE04B6</v>
      </c>
      <c r="I444" t="str">
        <f t="shared" si="442"/>
        <v>AE04B8</v>
      </c>
      <c r="J444" t="str">
        <f t="shared" si="442"/>
        <v>AE04BA</v>
      </c>
      <c r="K444" t="str">
        <f t="shared" si="442"/>
        <v>AE0494</v>
      </c>
    </row>
    <row r="445">
      <c r="A445" s="14">
        <v>443.0</v>
      </c>
      <c r="B445" t="str">
        <f t="shared" ref="B445:K445" si="443">DEC2HEX(HEX2DEC(B444)+1)</f>
        <v>AE049B</v>
      </c>
      <c r="C445" t="str">
        <f t="shared" si="443"/>
        <v>AE049D</v>
      </c>
      <c r="D445" t="str">
        <f t="shared" si="443"/>
        <v>AE049F</v>
      </c>
      <c r="E445" t="str">
        <f t="shared" si="443"/>
        <v>AE04A1</v>
      </c>
      <c r="F445" t="str">
        <f t="shared" si="443"/>
        <v>AE04A3</v>
      </c>
      <c r="G445" t="str">
        <f t="shared" si="443"/>
        <v>AE04B5</v>
      </c>
      <c r="H445" t="str">
        <f t="shared" si="443"/>
        <v>AE04B7</v>
      </c>
      <c r="I445" t="str">
        <f t="shared" si="443"/>
        <v>AE04B9</v>
      </c>
      <c r="J445" t="str">
        <f t="shared" si="443"/>
        <v>AE04BB</v>
      </c>
      <c r="K445" t="str">
        <f t="shared" si="443"/>
        <v>AE0495</v>
      </c>
    </row>
    <row r="446">
      <c r="A446" s="14">
        <v>444.0</v>
      </c>
      <c r="B446" t="str">
        <f t="shared" ref="B446:K446" si="444">DEC2HEX(HEX2DEC(B445)+1)</f>
        <v>AE049C</v>
      </c>
      <c r="C446" t="str">
        <f t="shared" si="444"/>
        <v>AE049E</v>
      </c>
      <c r="D446" t="str">
        <f t="shared" si="444"/>
        <v>AE04A0</v>
      </c>
      <c r="E446" t="str">
        <f t="shared" si="444"/>
        <v>AE04A2</v>
      </c>
      <c r="F446" t="str">
        <f t="shared" si="444"/>
        <v>AE04A4</v>
      </c>
      <c r="G446" t="str">
        <f t="shared" si="444"/>
        <v>AE04B6</v>
      </c>
      <c r="H446" t="str">
        <f t="shared" si="444"/>
        <v>AE04B8</v>
      </c>
      <c r="I446" t="str">
        <f t="shared" si="444"/>
        <v>AE04BA</v>
      </c>
      <c r="J446" t="str">
        <f t="shared" si="444"/>
        <v>AE04BC</v>
      </c>
      <c r="K446" t="str">
        <f t="shared" si="444"/>
        <v>AE0496</v>
      </c>
    </row>
    <row r="447">
      <c r="A447" s="14">
        <v>445.0</v>
      </c>
      <c r="B447" t="str">
        <f t="shared" ref="B447:K447" si="445">DEC2HEX(HEX2DEC(B446)+1)</f>
        <v>AE049D</v>
      </c>
      <c r="C447" t="str">
        <f t="shared" si="445"/>
        <v>AE049F</v>
      </c>
      <c r="D447" t="str">
        <f t="shared" si="445"/>
        <v>AE04A1</v>
      </c>
      <c r="E447" t="str">
        <f t="shared" si="445"/>
        <v>AE04A3</v>
      </c>
      <c r="F447" t="str">
        <f t="shared" si="445"/>
        <v>AE04A5</v>
      </c>
      <c r="G447" t="str">
        <f t="shared" si="445"/>
        <v>AE04B7</v>
      </c>
      <c r="H447" t="str">
        <f t="shared" si="445"/>
        <v>AE04B9</v>
      </c>
      <c r="I447" t="str">
        <f t="shared" si="445"/>
        <v>AE04BB</v>
      </c>
      <c r="J447" t="str">
        <f t="shared" si="445"/>
        <v>AE04BD</v>
      </c>
      <c r="K447" t="str">
        <f t="shared" si="445"/>
        <v>AE0497</v>
      </c>
    </row>
    <row r="448">
      <c r="A448" s="14">
        <v>446.0</v>
      </c>
      <c r="B448" t="str">
        <f t="shared" ref="B448:K448" si="446">DEC2HEX(HEX2DEC(B447)+1)</f>
        <v>AE049E</v>
      </c>
      <c r="C448" t="str">
        <f t="shared" si="446"/>
        <v>AE04A0</v>
      </c>
      <c r="D448" t="str">
        <f t="shared" si="446"/>
        <v>AE04A2</v>
      </c>
      <c r="E448" t="str">
        <f t="shared" si="446"/>
        <v>AE04A4</v>
      </c>
      <c r="F448" t="str">
        <f t="shared" si="446"/>
        <v>AE04A6</v>
      </c>
      <c r="G448" t="str">
        <f t="shared" si="446"/>
        <v>AE04B8</v>
      </c>
      <c r="H448" t="str">
        <f t="shared" si="446"/>
        <v>AE04BA</v>
      </c>
      <c r="I448" t="str">
        <f t="shared" si="446"/>
        <v>AE04BC</v>
      </c>
      <c r="J448" t="str">
        <f t="shared" si="446"/>
        <v>AE04BE</v>
      </c>
      <c r="K448" t="str">
        <f t="shared" si="446"/>
        <v>AE0498</v>
      </c>
    </row>
    <row r="449">
      <c r="A449" s="14">
        <v>447.0</v>
      </c>
      <c r="B449" t="str">
        <f t="shared" ref="B449:K449" si="447">DEC2HEX(HEX2DEC(B448)+1)</f>
        <v>AE049F</v>
      </c>
      <c r="C449" t="str">
        <f t="shared" si="447"/>
        <v>AE04A1</v>
      </c>
      <c r="D449" t="str">
        <f t="shared" si="447"/>
        <v>AE04A3</v>
      </c>
      <c r="E449" t="str">
        <f t="shared" si="447"/>
        <v>AE04A5</v>
      </c>
      <c r="F449" t="str">
        <f t="shared" si="447"/>
        <v>AE04A7</v>
      </c>
      <c r="G449" t="str">
        <f t="shared" si="447"/>
        <v>AE04B9</v>
      </c>
      <c r="H449" t="str">
        <f t="shared" si="447"/>
        <v>AE04BB</v>
      </c>
      <c r="I449" t="str">
        <f t="shared" si="447"/>
        <v>AE04BD</v>
      </c>
      <c r="J449" t="str">
        <f t="shared" si="447"/>
        <v>AE04BF</v>
      </c>
      <c r="K449" t="str">
        <f t="shared" si="447"/>
        <v>AE0499</v>
      </c>
    </row>
    <row r="450">
      <c r="A450" s="14">
        <v>448.0</v>
      </c>
      <c r="B450" t="str">
        <f t="shared" ref="B450:K450" si="448">DEC2HEX(HEX2DEC(B449)+1)</f>
        <v>AE04A0</v>
      </c>
      <c r="C450" t="str">
        <f t="shared" si="448"/>
        <v>AE04A2</v>
      </c>
      <c r="D450" t="str">
        <f t="shared" si="448"/>
        <v>AE04A4</v>
      </c>
      <c r="E450" t="str">
        <f t="shared" si="448"/>
        <v>AE04A6</v>
      </c>
      <c r="F450" t="str">
        <f t="shared" si="448"/>
        <v>AE04A8</v>
      </c>
      <c r="G450" t="str">
        <f t="shared" si="448"/>
        <v>AE04BA</v>
      </c>
      <c r="H450" t="str">
        <f t="shared" si="448"/>
        <v>AE04BC</v>
      </c>
      <c r="I450" t="str">
        <f t="shared" si="448"/>
        <v>AE04BE</v>
      </c>
      <c r="J450" t="str">
        <f t="shared" si="448"/>
        <v>AE04C0</v>
      </c>
      <c r="K450" t="str">
        <f t="shared" si="448"/>
        <v>AE049A</v>
      </c>
    </row>
    <row r="451">
      <c r="A451" s="14">
        <v>449.0</v>
      </c>
      <c r="B451" t="str">
        <f t="shared" ref="B451:K451" si="449">DEC2HEX(HEX2DEC(B450)+1)</f>
        <v>AE04A1</v>
      </c>
      <c r="C451" t="str">
        <f t="shared" si="449"/>
        <v>AE04A3</v>
      </c>
      <c r="D451" t="str">
        <f t="shared" si="449"/>
        <v>AE04A5</v>
      </c>
      <c r="E451" t="str">
        <f t="shared" si="449"/>
        <v>AE04A7</v>
      </c>
      <c r="F451" t="str">
        <f t="shared" si="449"/>
        <v>AE04A9</v>
      </c>
      <c r="G451" t="str">
        <f t="shared" si="449"/>
        <v>AE04BB</v>
      </c>
      <c r="H451" t="str">
        <f t="shared" si="449"/>
        <v>AE04BD</v>
      </c>
      <c r="I451" t="str">
        <f t="shared" si="449"/>
        <v>AE04BF</v>
      </c>
      <c r="J451" t="str">
        <f t="shared" si="449"/>
        <v>AE04C1</v>
      </c>
      <c r="K451" t="str">
        <f t="shared" si="449"/>
        <v>AE049B</v>
      </c>
    </row>
    <row r="452">
      <c r="A452" s="14">
        <v>450.0</v>
      </c>
      <c r="B452" t="str">
        <f t="shared" ref="B452:K452" si="450">DEC2HEX(HEX2DEC(B451)+1)</f>
        <v>AE04A2</v>
      </c>
      <c r="C452" t="str">
        <f t="shared" si="450"/>
        <v>AE04A4</v>
      </c>
      <c r="D452" t="str">
        <f t="shared" si="450"/>
        <v>AE04A6</v>
      </c>
      <c r="E452" t="str">
        <f t="shared" si="450"/>
        <v>AE04A8</v>
      </c>
      <c r="F452" t="str">
        <f t="shared" si="450"/>
        <v>AE04AA</v>
      </c>
      <c r="G452" t="str">
        <f t="shared" si="450"/>
        <v>AE04BC</v>
      </c>
      <c r="H452" t="str">
        <f t="shared" si="450"/>
        <v>AE04BE</v>
      </c>
      <c r="I452" t="str">
        <f t="shared" si="450"/>
        <v>AE04C0</v>
      </c>
      <c r="J452" t="str">
        <f t="shared" si="450"/>
        <v>AE04C2</v>
      </c>
      <c r="K452" t="str">
        <f t="shared" si="450"/>
        <v>AE049C</v>
      </c>
    </row>
    <row r="453">
      <c r="A453" s="14">
        <v>451.0</v>
      </c>
      <c r="B453" t="str">
        <f t="shared" ref="B453:K453" si="451">DEC2HEX(HEX2DEC(B452)+1)</f>
        <v>AE04A3</v>
      </c>
      <c r="C453" t="str">
        <f t="shared" si="451"/>
        <v>AE04A5</v>
      </c>
      <c r="D453" t="str">
        <f t="shared" si="451"/>
        <v>AE04A7</v>
      </c>
      <c r="E453" t="str">
        <f t="shared" si="451"/>
        <v>AE04A9</v>
      </c>
      <c r="F453" t="str">
        <f t="shared" si="451"/>
        <v>AE04AB</v>
      </c>
      <c r="G453" t="str">
        <f t="shared" si="451"/>
        <v>AE04BD</v>
      </c>
      <c r="H453" t="str">
        <f t="shared" si="451"/>
        <v>AE04BF</v>
      </c>
      <c r="I453" t="str">
        <f t="shared" si="451"/>
        <v>AE04C1</v>
      </c>
      <c r="J453" t="str">
        <f t="shared" si="451"/>
        <v>AE04C3</v>
      </c>
      <c r="K453" t="str">
        <f t="shared" si="451"/>
        <v>AE049D</v>
      </c>
    </row>
    <row r="454">
      <c r="A454" s="14">
        <v>452.0</v>
      </c>
      <c r="B454" t="str">
        <f t="shared" ref="B454:K454" si="452">DEC2HEX(HEX2DEC(B453)+1)</f>
        <v>AE04A4</v>
      </c>
      <c r="C454" t="str">
        <f t="shared" si="452"/>
        <v>AE04A6</v>
      </c>
      <c r="D454" t="str">
        <f t="shared" si="452"/>
        <v>AE04A8</v>
      </c>
      <c r="E454" t="str">
        <f t="shared" si="452"/>
        <v>AE04AA</v>
      </c>
      <c r="F454" t="str">
        <f t="shared" si="452"/>
        <v>AE04AC</v>
      </c>
      <c r="G454" t="str">
        <f t="shared" si="452"/>
        <v>AE04BE</v>
      </c>
      <c r="H454" t="str">
        <f t="shared" si="452"/>
        <v>AE04C0</v>
      </c>
      <c r="I454" t="str">
        <f t="shared" si="452"/>
        <v>AE04C2</v>
      </c>
      <c r="J454" t="str">
        <f t="shared" si="452"/>
        <v>AE04C4</v>
      </c>
      <c r="K454" t="str">
        <f t="shared" si="452"/>
        <v>AE049E</v>
      </c>
    </row>
    <row r="455">
      <c r="A455" s="14">
        <v>453.0</v>
      </c>
      <c r="B455" t="str">
        <f t="shared" ref="B455:K455" si="453">DEC2HEX(HEX2DEC(B454)+1)</f>
        <v>AE04A5</v>
      </c>
      <c r="C455" t="str">
        <f t="shared" si="453"/>
        <v>AE04A7</v>
      </c>
      <c r="D455" t="str">
        <f t="shared" si="453"/>
        <v>AE04A9</v>
      </c>
      <c r="E455" t="str">
        <f t="shared" si="453"/>
        <v>AE04AB</v>
      </c>
      <c r="F455" t="str">
        <f t="shared" si="453"/>
        <v>AE04AD</v>
      </c>
      <c r="G455" t="str">
        <f t="shared" si="453"/>
        <v>AE04BF</v>
      </c>
      <c r="H455" t="str">
        <f t="shared" si="453"/>
        <v>AE04C1</v>
      </c>
      <c r="I455" t="str">
        <f t="shared" si="453"/>
        <v>AE04C3</v>
      </c>
      <c r="J455" t="str">
        <f t="shared" si="453"/>
        <v>AE04C5</v>
      </c>
      <c r="K455" t="str">
        <f t="shared" si="453"/>
        <v>AE049F</v>
      </c>
    </row>
    <row r="456">
      <c r="A456" s="14">
        <v>454.0</v>
      </c>
      <c r="B456" t="str">
        <f t="shared" ref="B456:K456" si="454">DEC2HEX(HEX2DEC(B455)+1)</f>
        <v>AE04A6</v>
      </c>
      <c r="C456" t="str">
        <f t="shared" si="454"/>
        <v>AE04A8</v>
      </c>
      <c r="D456" t="str">
        <f t="shared" si="454"/>
        <v>AE04AA</v>
      </c>
      <c r="E456" t="str">
        <f t="shared" si="454"/>
        <v>AE04AC</v>
      </c>
      <c r="F456" t="str">
        <f t="shared" si="454"/>
        <v>AE04AE</v>
      </c>
      <c r="G456" t="str">
        <f t="shared" si="454"/>
        <v>AE04C0</v>
      </c>
      <c r="H456" t="str">
        <f t="shared" si="454"/>
        <v>AE04C2</v>
      </c>
      <c r="I456" t="str">
        <f t="shared" si="454"/>
        <v>AE04C4</v>
      </c>
      <c r="J456" t="str">
        <f t="shared" si="454"/>
        <v>AE04C6</v>
      </c>
      <c r="K456" t="str">
        <f t="shared" si="454"/>
        <v>AE04A0</v>
      </c>
    </row>
    <row r="457">
      <c r="A457" s="14">
        <v>455.0</v>
      </c>
      <c r="B457" t="str">
        <f t="shared" ref="B457:K457" si="455">DEC2HEX(HEX2DEC(B456)+1)</f>
        <v>AE04A7</v>
      </c>
      <c r="C457" t="str">
        <f t="shared" si="455"/>
        <v>AE04A9</v>
      </c>
      <c r="D457" t="str">
        <f t="shared" si="455"/>
        <v>AE04AB</v>
      </c>
      <c r="E457" t="str">
        <f t="shared" si="455"/>
        <v>AE04AD</v>
      </c>
      <c r="F457" t="str">
        <f t="shared" si="455"/>
        <v>AE04AF</v>
      </c>
      <c r="G457" t="str">
        <f t="shared" si="455"/>
        <v>AE04C1</v>
      </c>
      <c r="H457" t="str">
        <f t="shared" si="455"/>
        <v>AE04C3</v>
      </c>
      <c r="I457" t="str">
        <f t="shared" si="455"/>
        <v>AE04C5</v>
      </c>
      <c r="J457" t="str">
        <f t="shared" si="455"/>
        <v>AE04C7</v>
      </c>
      <c r="K457" t="str">
        <f t="shared" si="455"/>
        <v>AE04A1</v>
      </c>
    </row>
    <row r="458">
      <c r="A458" s="14">
        <v>456.0</v>
      </c>
      <c r="B458" t="str">
        <f t="shared" ref="B458:K458" si="456">DEC2HEX(HEX2DEC(B457)+1)</f>
        <v>AE04A8</v>
      </c>
      <c r="C458" t="str">
        <f t="shared" si="456"/>
        <v>AE04AA</v>
      </c>
      <c r="D458" t="str">
        <f t="shared" si="456"/>
        <v>AE04AC</v>
      </c>
      <c r="E458" t="str">
        <f t="shared" si="456"/>
        <v>AE04AE</v>
      </c>
      <c r="F458" t="str">
        <f t="shared" si="456"/>
        <v>AE04B0</v>
      </c>
      <c r="G458" t="str">
        <f t="shared" si="456"/>
        <v>AE04C2</v>
      </c>
      <c r="H458" t="str">
        <f t="shared" si="456"/>
        <v>AE04C4</v>
      </c>
      <c r="I458" t="str">
        <f t="shared" si="456"/>
        <v>AE04C6</v>
      </c>
      <c r="J458" t="str">
        <f t="shared" si="456"/>
        <v>AE04C8</v>
      </c>
      <c r="K458" t="str">
        <f t="shared" si="456"/>
        <v>AE04A2</v>
      </c>
    </row>
    <row r="459">
      <c r="A459" s="14">
        <v>457.0</v>
      </c>
      <c r="B459" t="str">
        <f t="shared" ref="B459:K459" si="457">DEC2HEX(HEX2DEC(B458)+1)</f>
        <v>AE04A9</v>
      </c>
      <c r="C459" t="str">
        <f t="shared" si="457"/>
        <v>AE04AB</v>
      </c>
      <c r="D459" t="str">
        <f t="shared" si="457"/>
        <v>AE04AD</v>
      </c>
      <c r="E459" t="str">
        <f t="shared" si="457"/>
        <v>AE04AF</v>
      </c>
      <c r="F459" t="str">
        <f t="shared" si="457"/>
        <v>AE04B1</v>
      </c>
      <c r="G459" t="str">
        <f t="shared" si="457"/>
        <v>AE04C3</v>
      </c>
      <c r="H459" t="str">
        <f t="shared" si="457"/>
        <v>AE04C5</v>
      </c>
      <c r="I459" t="str">
        <f t="shared" si="457"/>
        <v>AE04C7</v>
      </c>
      <c r="J459" t="str">
        <f t="shared" si="457"/>
        <v>AE04C9</v>
      </c>
      <c r="K459" t="str">
        <f t="shared" si="457"/>
        <v>AE04A3</v>
      </c>
    </row>
    <row r="460">
      <c r="A460" s="14">
        <v>458.0</v>
      </c>
      <c r="B460" t="str">
        <f t="shared" ref="B460:K460" si="458">DEC2HEX(HEX2DEC(B459)+1)</f>
        <v>AE04AA</v>
      </c>
      <c r="C460" t="str">
        <f t="shared" si="458"/>
        <v>AE04AC</v>
      </c>
      <c r="D460" t="str">
        <f t="shared" si="458"/>
        <v>AE04AE</v>
      </c>
      <c r="E460" t="str">
        <f t="shared" si="458"/>
        <v>AE04B0</v>
      </c>
      <c r="F460" t="str">
        <f t="shared" si="458"/>
        <v>AE04B2</v>
      </c>
      <c r="G460" t="str">
        <f t="shared" si="458"/>
        <v>AE04C4</v>
      </c>
      <c r="H460" t="str">
        <f t="shared" si="458"/>
        <v>AE04C6</v>
      </c>
      <c r="I460" t="str">
        <f t="shared" si="458"/>
        <v>AE04C8</v>
      </c>
      <c r="J460" t="str">
        <f t="shared" si="458"/>
        <v>AE04CA</v>
      </c>
      <c r="K460" t="str">
        <f t="shared" si="458"/>
        <v>AE04A4</v>
      </c>
    </row>
    <row r="461">
      <c r="A461" s="14">
        <v>459.0</v>
      </c>
      <c r="B461" t="str">
        <f t="shared" ref="B461:K461" si="459">DEC2HEX(HEX2DEC(B460)+1)</f>
        <v>AE04AB</v>
      </c>
      <c r="C461" t="str">
        <f t="shared" si="459"/>
        <v>AE04AD</v>
      </c>
      <c r="D461" t="str">
        <f t="shared" si="459"/>
        <v>AE04AF</v>
      </c>
      <c r="E461" t="str">
        <f t="shared" si="459"/>
        <v>AE04B1</v>
      </c>
      <c r="F461" t="str">
        <f t="shared" si="459"/>
        <v>AE04B3</v>
      </c>
      <c r="G461" t="str">
        <f t="shared" si="459"/>
        <v>AE04C5</v>
      </c>
      <c r="H461" t="str">
        <f t="shared" si="459"/>
        <v>AE04C7</v>
      </c>
      <c r="I461" t="str">
        <f t="shared" si="459"/>
        <v>AE04C9</v>
      </c>
      <c r="J461" t="str">
        <f t="shared" si="459"/>
        <v>AE04CB</v>
      </c>
      <c r="K461" t="str">
        <f t="shared" si="459"/>
        <v>AE04A5</v>
      </c>
    </row>
    <row r="462">
      <c r="A462" s="14">
        <v>460.0</v>
      </c>
      <c r="B462" t="str">
        <f t="shared" ref="B462:K462" si="460">DEC2HEX(HEX2DEC(B461)+1)</f>
        <v>AE04AC</v>
      </c>
      <c r="C462" t="str">
        <f t="shared" si="460"/>
        <v>AE04AE</v>
      </c>
      <c r="D462" t="str">
        <f t="shared" si="460"/>
        <v>AE04B0</v>
      </c>
      <c r="E462" t="str">
        <f t="shared" si="460"/>
        <v>AE04B2</v>
      </c>
      <c r="F462" t="str">
        <f t="shared" si="460"/>
        <v>AE04B4</v>
      </c>
      <c r="G462" t="str">
        <f t="shared" si="460"/>
        <v>AE04C6</v>
      </c>
      <c r="H462" t="str">
        <f t="shared" si="460"/>
        <v>AE04C8</v>
      </c>
      <c r="I462" t="str">
        <f t="shared" si="460"/>
        <v>AE04CA</v>
      </c>
      <c r="J462" t="str">
        <f t="shared" si="460"/>
        <v>AE04CC</v>
      </c>
      <c r="K462" t="str">
        <f t="shared" si="460"/>
        <v>AE04A6</v>
      </c>
    </row>
    <row r="463">
      <c r="A463" s="14">
        <v>461.0</v>
      </c>
      <c r="B463" t="str">
        <f t="shared" ref="B463:K463" si="461">DEC2HEX(HEX2DEC(B462)+1)</f>
        <v>AE04AD</v>
      </c>
      <c r="C463" t="str">
        <f t="shared" si="461"/>
        <v>AE04AF</v>
      </c>
      <c r="D463" t="str">
        <f t="shared" si="461"/>
        <v>AE04B1</v>
      </c>
      <c r="E463" t="str">
        <f t="shared" si="461"/>
        <v>AE04B3</v>
      </c>
      <c r="F463" t="str">
        <f t="shared" si="461"/>
        <v>AE04B5</v>
      </c>
      <c r="G463" t="str">
        <f t="shared" si="461"/>
        <v>AE04C7</v>
      </c>
      <c r="H463" t="str">
        <f t="shared" si="461"/>
        <v>AE04C9</v>
      </c>
      <c r="I463" t="str">
        <f t="shared" si="461"/>
        <v>AE04CB</v>
      </c>
      <c r="J463" t="str">
        <f t="shared" si="461"/>
        <v>AE04CD</v>
      </c>
      <c r="K463" t="str">
        <f t="shared" si="461"/>
        <v>AE04A7</v>
      </c>
    </row>
    <row r="464">
      <c r="A464" s="14">
        <v>462.0</v>
      </c>
      <c r="B464" t="str">
        <f t="shared" ref="B464:K464" si="462">DEC2HEX(HEX2DEC(B463)+1)</f>
        <v>AE04AE</v>
      </c>
      <c r="C464" t="str">
        <f t="shared" si="462"/>
        <v>AE04B0</v>
      </c>
      <c r="D464" t="str">
        <f t="shared" si="462"/>
        <v>AE04B2</v>
      </c>
      <c r="E464" t="str">
        <f t="shared" si="462"/>
        <v>AE04B4</v>
      </c>
      <c r="F464" t="str">
        <f t="shared" si="462"/>
        <v>AE04B6</v>
      </c>
      <c r="G464" t="str">
        <f t="shared" si="462"/>
        <v>AE04C8</v>
      </c>
      <c r="H464" t="str">
        <f t="shared" si="462"/>
        <v>AE04CA</v>
      </c>
      <c r="I464" t="str">
        <f t="shared" si="462"/>
        <v>AE04CC</v>
      </c>
      <c r="J464" t="str">
        <f t="shared" si="462"/>
        <v>AE04CE</v>
      </c>
      <c r="K464" t="str">
        <f t="shared" si="462"/>
        <v>AE04A8</v>
      </c>
    </row>
    <row r="465">
      <c r="A465" s="14">
        <v>463.0</v>
      </c>
      <c r="B465" t="str">
        <f t="shared" ref="B465:K465" si="463">DEC2HEX(HEX2DEC(B464)+1)</f>
        <v>AE04AF</v>
      </c>
      <c r="C465" t="str">
        <f t="shared" si="463"/>
        <v>AE04B1</v>
      </c>
      <c r="D465" t="str">
        <f t="shared" si="463"/>
        <v>AE04B3</v>
      </c>
      <c r="E465" t="str">
        <f t="shared" si="463"/>
        <v>AE04B5</v>
      </c>
      <c r="F465" t="str">
        <f t="shared" si="463"/>
        <v>AE04B7</v>
      </c>
      <c r="G465" t="str">
        <f t="shared" si="463"/>
        <v>AE04C9</v>
      </c>
      <c r="H465" t="str">
        <f t="shared" si="463"/>
        <v>AE04CB</v>
      </c>
      <c r="I465" t="str">
        <f t="shared" si="463"/>
        <v>AE04CD</v>
      </c>
      <c r="J465" t="str">
        <f t="shared" si="463"/>
        <v>AE04CF</v>
      </c>
      <c r="K465" t="str">
        <f t="shared" si="463"/>
        <v>AE04A9</v>
      </c>
    </row>
    <row r="466">
      <c r="A466" s="14">
        <v>464.0</v>
      </c>
      <c r="B466" t="str">
        <f t="shared" ref="B466:K466" si="464">DEC2HEX(HEX2DEC(B465)+1)</f>
        <v>AE04B0</v>
      </c>
      <c r="C466" t="str">
        <f t="shared" si="464"/>
        <v>AE04B2</v>
      </c>
      <c r="D466" t="str">
        <f t="shared" si="464"/>
        <v>AE04B4</v>
      </c>
      <c r="E466" t="str">
        <f t="shared" si="464"/>
        <v>AE04B6</v>
      </c>
      <c r="F466" t="str">
        <f t="shared" si="464"/>
        <v>AE04B8</v>
      </c>
      <c r="G466" t="str">
        <f t="shared" si="464"/>
        <v>AE04CA</v>
      </c>
      <c r="H466" t="str">
        <f t="shared" si="464"/>
        <v>AE04CC</v>
      </c>
      <c r="I466" t="str">
        <f t="shared" si="464"/>
        <v>AE04CE</v>
      </c>
      <c r="J466" t="str">
        <f t="shared" si="464"/>
        <v>AE04D0</v>
      </c>
      <c r="K466" t="str">
        <f t="shared" si="464"/>
        <v>AE04AA</v>
      </c>
    </row>
    <row r="467">
      <c r="A467" s="14">
        <v>465.0</v>
      </c>
      <c r="B467" t="str">
        <f t="shared" ref="B467:K467" si="465">DEC2HEX(HEX2DEC(B466)+1)</f>
        <v>AE04B1</v>
      </c>
      <c r="C467" t="str">
        <f t="shared" si="465"/>
        <v>AE04B3</v>
      </c>
      <c r="D467" t="str">
        <f t="shared" si="465"/>
        <v>AE04B5</v>
      </c>
      <c r="E467" t="str">
        <f t="shared" si="465"/>
        <v>AE04B7</v>
      </c>
      <c r="F467" t="str">
        <f t="shared" si="465"/>
        <v>AE04B9</v>
      </c>
      <c r="G467" t="str">
        <f t="shared" si="465"/>
        <v>AE04CB</v>
      </c>
      <c r="H467" t="str">
        <f t="shared" si="465"/>
        <v>AE04CD</v>
      </c>
      <c r="I467" t="str">
        <f t="shared" si="465"/>
        <v>AE04CF</v>
      </c>
      <c r="J467" t="str">
        <f t="shared" si="465"/>
        <v>AE04D1</v>
      </c>
      <c r="K467" t="str">
        <f t="shared" si="465"/>
        <v>AE04AB</v>
      </c>
    </row>
    <row r="468">
      <c r="A468" s="14">
        <v>466.0</v>
      </c>
      <c r="B468" t="str">
        <f t="shared" ref="B468:K468" si="466">DEC2HEX(HEX2DEC(B467)+1)</f>
        <v>AE04B2</v>
      </c>
      <c r="C468" t="str">
        <f t="shared" si="466"/>
        <v>AE04B4</v>
      </c>
      <c r="D468" t="str">
        <f t="shared" si="466"/>
        <v>AE04B6</v>
      </c>
      <c r="E468" t="str">
        <f t="shared" si="466"/>
        <v>AE04B8</v>
      </c>
      <c r="F468" t="str">
        <f t="shared" si="466"/>
        <v>AE04BA</v>
      </c>
      <c r="G468" t="str">
        <f t="shared" si="466"/>
        <v>AE04CC</v>
      </c>
      <c r="H468" t="str">
        <f t="shared" si="466"/>
        <v>AE04CE</v>
      </c>
      <c r="I468" t="str">
        <f t="shared" si="466"/>
        <v>AE04D0</v>
      </c>
      <c r="J468" t="str">
        <f t="shared" si="466"/>
        <v>AE04D2</v>
      </c>
      <c r="K468" t="str">
        <f t="shared" si="466"/>
        <v>AE04AC</v>
      </c>
    </row>
    <row r="469">
      <c r="A469" s="14">
        <v>467.0</v>
      </c>
      <c r="B469" t="str">
        <f t="shared" ref="B469:K469" si="467">DEC2HEX(HEX2DEC(B468)+1)</f>
        <v>AE04B3</v>
      </c>
      <c r="C469" t="str">
        <f t="shared" si="467"/>
        <v>AE04B5</v>
      </c>
      <c r="D469" t="str">
        <f t="shared" si="467"/>
        <v>AE04B7</v>
      </c>
      <c r="E469" t="str">
        <f t="shared" si="467"/>
        <v>AE04B9</v>
      </c>
      <c r="F469" t="str">
        <f t="shared" si="467"/>
        <v>AE04BB</v>
      </c>
      <c r="G469" t="str">
        <f t="shared" si="467"/>
        <v>AE04CD</v>
      </c>
      <c r="H469" t="str">
        <f t="shared" si="467"/>
        <v>AE04CF</v>
      </c>
      <c r="I469" t="str">
        <f t="shared" si="467"/>
        <v>AE04D1</v>
      </c>
      <c r="J469" t="str">
        <f t="shared" si="467"/>
        <v>AE04D3</v>
      </c>
      <c r="K469" t="str">
        <f t="shared" si="467"/>
        <v>AE04AD</v>
      </c>
    </row>
    <row r="470">
      <c r="A470" s="14">
        <v>468.0</v>
      </c>
      <c r="B470" t="str">
        <f t="shared" ref="B470:K470" si="468">DEC2HEX(HEX2DEC(B469)+1)</f>
        <v>AE04B4</v>
      </c>
      <c r="C470" t="str">
        <f t="shared" si="468"/>
        <v>AE04B6</v>
      </c>
      <c r="D470" t="str">
        <f t="shared" si="468"/>
        <v>AE04B8</v>
      </c>
      <c r="E470" t="str">
        <f t="shared" si="468"/>
        <v>AE04BA</v>
      </c>
      <c r="F470" t="str">
        <f t="shared" si="468"/>
        <v>AE04BC</v>
      </c>
      <c r="G470" t="str">
        <f t="shared" si="468"/>
        <v>AE04CE</v>
      </c>
      <c r="H470" t="str">
        <f t="shared" si="468"/>
        <v>AE04D0</v>
      </c>
      <c r="I470" t="str">
        <f t="shared" si="468"/>
        <v>AE04D2</v>
      </c>
      <c r="J470" t="str">
        <f t="shared" si="468"/>
        <v>AE04D4</v>
      </c>
      <c r="K470" t="str">
        <f t="shared" si="468"/>
        <v>AE04AE</v>
      </c>
    </row>
    <row r="471">
      <c r="A471" s="14">
        <v>469.0</v>
      </c>
      <c r="B471" t="str">
        <f t="shared" ref="B471:K471" si="469">DEC2HEX(HEX2DEC(B470)+1)</f>
        <v>AE04B5</v>
      </c>
      <c r="C471" t="str">
        <f t="shared" si="469"/>
        <v>AE04B7</v>
      </c>
      <c r="D471" t="str">
        <f t="shared" si="469"/>
        <v>AE04B9</v>
      </c>
      <c r="E471" t="str">
        <f t="shared" si="469"/>
        <v>AE04BB</v>
      </c>
      <c r="F471" t="str">
        <f t="shared" si="469"/>
        <v>AE04BD</v>
      </c>
      <c r="G471" t="str">
        <f t="shared" si="469"/>
        <v>AE04CF</v>
      </c>
      <c r="H471" t="str">
        <f t="shared" si="469"/>
        <v>AE04D1</v>
      </c>
      <c r="I471" t="str">
        <f t="shared" si="469"/>
        <v>AE04D3</v>
      </c>
      <c r="J471" t="str">
        <f t="shared" si="469"/>
        <v>AE04D5</v>
      </c>
      <c r="K471" t="str">
        <f t="shared" si="469"/>
        <v>AE04AF</v>
      </c>
    </row>
    <row r="472">
      <c r="A472" s="14">
        <v>470.0</v>
      </c>
      <c r="B472" t="str">
        <f t="shared" ref="B472:K472" si="470">DEC2HEX(HEX2DEC(B471)+1)</f>
        <v>AE04B6</v>
      </c>
      <c r="C472" t="str">
        <f t="shared" si="470"/>
        <v>AE04B8</v>
      </c>
      <c r="D472" t="str">
        <f t="shared" si="470"/>
        <v>AE04BA</v>
      </c>
      <c r="E472" t="str">
        <f t="shared" si="470"/>
        <v>AE04BC</v>
      </c>
      <c r="F472" t="str">
        <f t="shared" si="470"/>
        <v>AE04BE</v>
      </c>
      <c r="G472" t="str">
        <f t="shared" si="470"/>
        <v>AE04D0</v>
      </c>
      <c r="H472" t="str">
        <f t="shared" si="470"/>
        <v>AE04D2</v>
      </c>
      <c r="I472" t="str">
        <f t="shared" si="470"/>
        <v>AE04D4</v>
      </c>
      <c r="J472" t="str">
        <f t="shared" si="470"/>
        <v>AE04D6</v>
      </c>
      <c r="K472" t="str">
        <f t="shared" si="470"/>
        <v>AE04B0</v>
      </c>
    </row>
    <row r="473">
      <c r="A473" s="14">
        <v>471.0</v>
      </c>
      <c r="B473" t="str">
        <f t="shared" ref="B473:K473" si="471">DEC2HEX(HEX2DEC(B472)+1)</f>
        <v>AE04B7</v>
      </c>
      <c r="C473" t="str">
        <f t="shared" si="471"/>
        <v>AE04B9</v>
      </c>
      <c r="D473" t="str">
        <f t="shared" si="471"/>
        <v>AE04BB</v>
      </c>
      <c r="E473" t="str">
        <f t="shared" si="471"/>
        <v>AE04BD</v>
      </c>
      <c r="F473" t="str">
        <f t="shared" si="471"/>
        <v>AE04BF</v>
      </c>
      <c r="G473" t="str">
        <f t="shared" si="471"/>
        <v>AE04D1</v>
      </c>
      <c r="H473" t="str">
        <f t="shared" si="471"/>
        <v>AE04D3</v>
      </c>
      <c r="I473" t="str">
        <f t="shared" si="471"/>
        <v>AE04D5</v>
      </c>
      <c r="J473" t="str">
        <f t="shared" si="471"/>
        <v>AE04D7</v>
      </c>
      <c r="K473" t="str">
        <f t="shared" si="471"/>
        <v>AE04B1</v>
      </c>
    </row>
    <row r="474">
      <c r="A474" s="14">
        <v>472.0</v>
      </c>
      <c r="B474" t="str">
        <f t="shared" ref="B474:K474" si="472">DEC2HEX(HEX2DEC(B473)+1)</f>
        <v>AE04B8</v>
      </c>
      <c r="C474" t="str">
        <f t="shared" si="472"/>
        <v>AE04BA</v>
      </c>
      <c r="D474" t="str">
        <f t="shared" si="472"/>
        <v>AE04BC</v>
      </c>
      <c r="E474" t="str">
        <f t="shared" si="472"/>
        <v>AE04BE</v>
      </c>
      <c r="F474" t="str">
        <f t="shared" si="472"/>
        <v>AE04C0</v>
      </c>
      <c r="G474" t="str">
        <f t="shared" si="472"/>
        <v>AE04D2</v>
      </c>
      <c r="H474" t="str">
        <f t="shared" si="472"/>
        <v>AE04D4</v>
      </c>
      <c r="I474" t="str">
        <f t="shared" si="472"/>
        <v>AE04D6</v>
      </c>
      <c r="J474" t="str">
        <f t="shared" si="472"/>
        <v>AE04D8</v>
      </c>
      <c r="K474" t="str">
        <f t="shared" si="472"/>
        <v>AE04B2</v>
      </c>
    </row>
    <row r="475">
      <c r="A475" s="14">
        <v>473.0</v>
      </c>
      <c r="B475" t="str">
        <f t="shared" ref="B475:K475" si="473">DEC2HEX(HEX2DEC(B474)+1)</f>
        <v>AE04B9</v>
      </c>
      <c r="C475" t="str">
        <f t="shared" si="473"/>
        <v>AE04BB</v>
      </c>
      <c r="D475" t="str">
        <f t="shared" si="473"/>
        <v>AE04BD</v>
      </c>
      <c r="E475" t="str">
        <f t="shared" si="473"/>
        <v>AE04BF</v>
      </c>
      <c r="F475" t="str">
        <f t="shared" si="473"/>
        <v>AE04C1</v>
      </c>
      <c r="G475" t="str">
        <f t="shared" si="473"/>
        <v>AE04D3</v>
      </c>
      <c r="H475" t="str">
        <f t="shared" si="473"/>
        <v>AE04D5</v>
      </c>
      <c r="I475" t="str">
        <f t="shared" si="473"/>
        <v>AE04D7</v>
      </c>
      <c r="J475" t="str">
        <f t="shared" si="473"/>
        <v>AE04D9</v>
      </c>
      <c r="K475" t="str">
        <f t="shared" si="473"/>
        <v>AE04B3</v>
      </c>
    </row>
    <row r="476">
      <c r="A476" s="14">
        <v>474.0</v>
      </c>
      <c r="B476" t="str">
        <f t="shared" ref="B476:K476" si="474">DEC2HEX(HEX2DEC(B475)+1)</f>
        <v>AE04BA</v>
      </c>
      <c r="C476" t="str">
        <f t="shared" si="474"/>
        <v>AE04BC</v>
      </c>
      <c r="D476" t="str">
        <f t="shared" si="474"/>
        <v>AE04BE</v>
      </c>
      <c r="E476" t="str">
        <f t="shared" si="474"/>
        <v>AE04C0</v>
      </c>
      <c r="F476" t="str">
        <f t="shared" si="474"/>
        <v>AE04C2</v>
      </c>
      <c r="G476" t="str">
        <f t="shared" si="474"/>
        <v>AE04D4</v>
      </c>
      <c r="H476" t="str">
        <f t="shared" si="474"/>
        <v>AE04D6</v>
      </c>
      <c r="I476" t="str">
        <f t="shared" si="474"/>
        <v>AE04D8</v>
      </c>
      <c r="J476" t="str">
        <f t="shared" si="474"/>
        <v>AE04DA</v>
      </c>
      <c r="K476" t="str">
        <f t="shared" si="474"/>
        <v>AE04B4</v>
      </c>
    </row>
    <row r="477">
      <c r="A477" s="14">
        <v>475.0</v>
      </c>
      <c r="B477" t="str">
        <f t="shared" ref="B477:K477" si="475">DEC2HEX(HEX2DEC(B476)+1)</f>
        <v>AE04BB</v>
      </c>
      <c r="C477" t="str">
        <f t="shared" si="475"/>
        <v>AE04BD</v>
      </c>
      <c r="D477" t="str">
        <f t="shared" si="475"/>
        <v>AE04BF</v>
      </c>
      <c r="E477" t="str">
        <f t="shared" si="475"/>
        <v>AE04C1</v>
      </c>
      <c r="F477" t="str">
        <f t="shared" si="475"/>
        <v>AE04C3</v>
      </c>
      <c r="G477" t="str">
        <f t="shared" si="475"/>
        <v>AE04D5</v>
      </c>
      <c r="H477" t="str">
        <f t="shared" si="475"/>
        <v>AE04D7</v>
      </c>
      <c r="I477" t="str">
        <f t="shared" si="475"/>
        <v>AE04D9</v>
      </c>
      <c r="J477" t="str">
        <f t="shared" si="475"/>
        <v>AE04DB</v>
      </c>
      <c r="K477" t="str">
        <f t="shared" si="475"/>
        <v>AE04B5</v>
      </c>
    </row>
    <row r="478">
      <c r="A478" s="14">
        <v>476.0</v>
      </c>
      <c r="B478" t="str">
        <f t="shared" ref="B478:K478" si="476">DEC2HEX(HEX2DEC(B477)+1)</f>
        <v>AE04BC</v>
      </c>
      <c r="C478" t="str">
        <f t="shared" si="476"/>
        <v>AE04BE</v>
      </c>
      <c r="D478" t="str">
        <f t="shared" si="476"/>
        <v>AE04C0</v>
      </c>
      <c r="E478" t="str">
        <f t="shared" si="476"/>
        <v>AE04C2</v>
      </c>
      <c r="F478" t="str">
        <f t="shared" si="476"/>
        <v>AE04C4</v>
      </c>
      <c r="G478" t="str">
        <f t="shared" si="476"/>
        <v>AE04D6</v>
      </c>
      <c r="H478" t="str">
        <f t="shared" si="476"/>
        <v>AE04D8</v>
      </c>
      <c r="I478" t="str">
        <f t="shared" si="476"/>
        <v>AE04DA</v>
      </c>
      <c r="J478" t="str">
        <f t="shared" si="476"/>
        <v>AE04DC</v>
      </c>
      <c r="K478" t="str">
        <f t="shared" si="476"/>
        <v>AE04B6</v>
      </c>
    </row>
    <row r="479">
      <c r="A479" s="14">
        <v>477.0</v>
      </c>
      <c r="B479" t="str">
        <f t="shared" ref="B479:K479" si="477">DEC2HEX(HEX2DEC(B478)+1)</f>
        <v>AE04BD</v>
      </c>
      <c r="C479" t="str">
        <f t="shared" si="477"/>
        <v>AE04BF</v>
      </c>
      <c r="D479" t="str">
        <f t="shared" si="477"/>
        <v>AE04C1</v>
      </c>
      <c r="E479" t="str">
        <f t="shared" si="477"/>
        <v>AE04C3</v>
      </c>
      <c r="F479" t="str">
        <f t="shared" si="477"/>
        <v>AE04C5</v>
      </c>
      <c r="G479" t="str">
        <f t="shared" si="477"/>
        <v>AE04D7</v>
      </c>
      <c r="H479" t="str">
        <f t="shared" si="477"/>
        <v>AE04D9</v>
      </c>
      <c r="I479" t="str">
        <f t="shared" si="477"/>
        <v>AE04DB</v>
      </c>
      <c r="J479" t="str">
        <f t="shared" si="477"/>
        <v>AE04DD</v>
      </c>
      <c r="K479" t="str">
        <f t="shared" si="477"/>
        <v>AE04B7</v>
      </c>
    </row>
    <row r="480">
      <c r="A480" s="14">
        <v>478.0</v>
      </c>
      <c r="B480" t="str">
        <f t="shared" ref="B480:K480" si="478">DEC2HEX(HEX2DEC(B479)+1)</f>
        <v>AE04BE</v>
      </c>
      <c r="C480" t="str">
        <f t="shared" si="478"/>
        <v>AE04C0</v>
      </c>
      <c r="D480" t="str">
        <f t="shared" si="478"/>
        <v>AE04C2</v>
      </c>
      <c r="E480" t="str">
        <f t="shared" si="478"/>
        <v>AE04C4</v>
      </c>
      <c r="F480" t="str">
        <f t="shared" si="478"/>
        <v>AE04C6</v>
      </c>
      <c r="G480" t="str">
        <f t="shared" si="478"/>
        <v>AE04D8</v>
      </c>
      <c r="H480" t="str">
        <f t="shared" si="478"/>
        <v>AE04DA</v>
      </c>
      <c r="I480" t="str">
        <f t="shared" si="478"/>
        <v>AE04DC</v>
      </c>
      <c r="J480" t="str">
        <f t="shared" si="478"/>
        <v>AE04DE</v>
      </c>
      <c r="K480" t="str">
        <f t="shared" si="478"/>
        <v>AE04B8</v>
      </c>
    </row>
    <row r="481">
      <c r="A481" s="14">
        <v>479.0</v>
      </c>
      <c r="B481" t="str">
        <f t="shared" ref="B481:K481" si="479">DEC2HEX(HEX2DEC(B480)+1)</f>
        <v>AE04BF</v>
      </c>
      <c r="C481" t="str">
        <f t="shared" si="479"/>
        <v>AE04C1</v>
      </c>
      <c r="D481" t="str">
        <f t="shared" si="479"/>
        <v>AE04C3</v>
      </c>
      <c r="E481" t="str">
        <f t="shared" si="479"/>
        <v>AE04C5</v>
      </c>
      <c r="F481" t="str">
        <f t="shared" si="479"/>
        <v>AE04C7</v>
      </c>
      <c r="G481" t="str">
        <f t="shared" si="479"/>
        <v>AE04D9</v>
      </c>
      <c r="H481" t="str">
        <f t="shared" si="479"/>
        <v>AE04DB</v>
      </c>
      <c r="I481" t="str">
        <f t="shared" si="479"/>
        <v>AE04DD</v>
      </c>
      <c r="J481" t="str">
        <f t="shared" si="479"/>
        <v>AE04DF</v>
      </c>
      <c r="K481" t="str">
        <f t="shared" si="479"/>
        <v>AE04B9</v>
      </c>
    </row>
    <row r="482">
      <c r="A482" s="14">
        <v>480.0</v>
      </c>
      <c r="B482" t="str">
        <f t="shared" ref="B482:K482" si="480">DEC2HEX(HEX2DEC(B481)+1)</f>
        <v>AE04C0</v>
      </c>
      <c r="C482" t="str">
        <f t="shared" si="480"/>
        <v>AE04C2</v>
      </c>
      <c r="D482" t="str">
        <f t="shared" si="480"/>
        <v>AE04C4</v>
      </c>
      <c r="E482" t="str">
        <f t="shared" si="480"/>
        <v>AE04C6</v>
      </c>
      <c r="F482" t="str">
        <f t="shared" si="480"/>
        <v>AE04C8</v>
      </c>
      <c r="G482" t="str">
        <f t="shared" si="480"/>
        <v>AE04DA</v>
      </c>
      <c r="H482" t="str">
        <f t="shared" si="480"/>
        <v>AE04DC</v>
      </c>
      <c r="I482" t="str">
        <f t="shared" si="480"/>
        <v>AE04DE</v>
      </c>
      <c r="J482" t="str">
        <f t="shared" si="480"/>
        <v>AE04E0</v>
      </c>
      <c r="K482" t="str">
        <f t="shared" si="480"/>
        <v>AE04BA</v>
      </c>
    </row>
    <row r="483">
      <c r="A483" s="14">
        <v>481.0</v>
      </c>
      <c r="B483" t="str">
        <f t="shared" ref="B483:K483" si="481">DEC2HEX(HEX2DEC(B482)+1)</f>
        <v>AE04C1</v>
      </c>
      <c r="C483" t="str">
        <f t="shared" si="481"/>
        <v>AE04C3</v>
      </c>
      <c r="D483" t="str">
        <f t="shared" si="481"/>
        <v>AE04C5</v>
      </c>
      <c r="E483" t="str">
        <f t="shared" si="481"/>
        <v>AE04C7</v>
      </c>
      <c r="F483" t="str">
        <f t="shared" si="481"/>
        <v>AE04C9</v>
      </c>
      <c r="G483" t="str">
        <f t="shared" si="481"/>
        <v>AE04DB</v>
      </c>
      <c r="H483" t="str">
        <f t="shared" si="481"/>
        <v>AE04DD</v>
      </c>
      <c r="I483" t="str">
        <f t="shared" si="481"/>
        <v>AE04DF</v>
      </c>
      <c r="J483" t="str">
        <f t="shared" si="481"/>
        <v>AE04E1</v>
      </c>
      <c r="K483" t="str">
        <f t="shared" si="481"/>
        <v>AE04BB</v>
      </c>
    </row>
    <row r="484">
      <c r="A484" s="14">
        <v>482.0</v>
      </c>
      <c r="B484" t="str">
        <f t="shared" ref="B484:K484" si="482">DEC2HEX(HEX2DEC(B483)+1)</f>
        <v>AE04C2</v>
      </c>
      <c r="C484" t="str">
        <f t="shared" si="482"/>
        <v>AE04C4</v>
      </c>
      <c r="D484" t="str">
        <f t="shared" si="482"/>
        <v>AE04C6</v>
      </c>
      <c r="E484" t="str">
        <f t="shared" si="482"/>
        <v>AE04C8</v>
      </c>
      <c r="F484" t="str">
        <f t="shared" si="482"/>
        <v>AE04CA</v>
      </c>
      <c r="G484" t="str">
        <f t="shared" si="482"/>
        <v>AE04DC</v>
      </c>
      <c r="H484" t="str">
        <f t="shared" si="482"/>
        <v>AE04DE</v>
      </c>
      <c r="I484" t="str">
        <f t="shared" si="482"/>
        <v>AE04E0</v>
      </c>
      <c r="J484" t="str">
        <f t="shared" si="482"/>
        <v>AE04E2</v>
      </c>
      <c r="K484" t="str">
        <f t="shared" si="482"/>
        <v>AE04BC</v>
      </c>
    </row>
    <row r="485">
      <c r="A485" s="14">
        <v>483.0</v>
      </c>
      <c r="B485" t="str">
        <f t="shared" ref="B485:K485" si="483">DEC2HEX(HEX2DEC(B484)+1)</f>
        <v>AE04C3</v>
      </c>
      <c r="C485" t="str">
        <f t="shared" si="483"/>
        <v>AE04C5</v>
      </c>
      <c r="D485" t="str">
        <f t="shared" si="483"/>
        <v>AE04C7</v>
      </c>
      <c r="E485" t="str">
        <f t="shared" si="483"/>
        <v>AE04C9</v>
      </c>
      <c r="F485" t="str">
        <f t="shared" si="483"/>
        <v>AE04CB</v>
      </c>
      <c r="G485" t="str">
        <f t="shared" si="483"/>
        <v>AE04DD</v>
      </c>
      <c r="H485" t="str">
        <f t="shared" si="483"/>
        <v>AE04DF</v>
      </c>
      <c r="I485" t="str">
        <f t="shared" si="483"/>
        <v>AE04E1</v>
      </c>
      <c r="J485" t="str">
        <f t="shared" si="483"/>
        <v>AE04E3</v>
      </c>
      <c r="K485" t="str">
        <f t="shared" si="483"/>
        <v>AE04BD</v>
      </c>
    </row>
    <row r="486">
      <c r="A486" s="14">
        <v>484.0</v>
      </c>
      <c r="B486" t="str">
        <f t="shared" ref="B486:K486" si="484">DEC2HEX(HEX2DEC(B485)+1)</f>
        <v>AE04C4</v>
      </c>
      <c r="C486" t="str">
        <f t="shared" si="484"/>
        <v>AE04C6</v>
      </c>
      <c r="D486" t="str">
        <f t="shared" si="484"/>
        <v>AE04C8</v>
      </c>
      <c r="E486" t="str">
        <f t="shared" si="484"/>
        <v>AE04CA</v>
      </c>
      <c r="F486" t="str">
        <f t="shared" si="484"/>
        <v>AE04CC</v>
      </c>
      <c r="G486" t="str">
        <f t="shared" si="484"/>
        <v>AE04DE</v>
      </c>
      <c r="H486" t="str">
        <f t="shared" si="484"/>
        <v>AE04E0</v>
      </c>
      <c r="I486" t="str">
        <f t="shared" si="484"/>
        <v>AE04E2</v>
      </c>
      <c r="J486" t="str">
        <f t="shared" si="484"/>
        <v>AE04E4</v>
      </c>
      <c r="K486" t="str">
        <f t="shared" si="484"/>
        <v>AE04BE</v>
      </c>
    </row>
    <row r="487">
      <c r="A487" s="14">
        <v>485.0</v>
      </c>
      <c r="B487" t="str">
        <f t="shared" ref="B487:K487" si="485">DEC2HEX(HEX2DEC(B486)+1)</f>
        <v>AE04C5</v>
      </c>
      <c r="C487" t="str">
        <f t="shared" si="485"/>
        <v>AE04C7</v>
      </c>
      <c r="D487" t="str">
        <f t="shared" si="485"/>
        <v>AE04C9</v>
      </c>
      <c r="E487" t="str">
        <f t="shared" si="485"/>
        <v>AE04CB</v>
      </c>
      <c r="F487" t="str">
        <f t="shared" si="485"/>
        <v>AE04CD</v>
      </c>
      <c r="G487" t="str">
        <f t="shared" si="485"/>
        <v>AE04DF</v>
      </c>
      <c r="H487" t="str">
        <f t="shared" si="485"/>
        <v>AE04E1</v>
      </c>
      <c r="I487" t="str">
        <f t="shared" si="485"/>
        <v>AE04E3</v>
      </c>
      <c r="J487" t="str">
        <f t="shared" si="485"/>
        <v>AE04E5</v>
      </c>
      <c r="K487" t="str">
        <f t="shared" si="485"/>
        <v>AE04BF</v>
      </c>
    </row>
    <row r="488">
      <c r="A488" s="14">
        <v>486.0</v>
      </c>
      <c r="B488" t="str">
        <f t="shared" ref="B488:K488" si="486">DEC2HEX(HEX2DEC(B487)+1)</f>
        <v>AE04C6</v>
      </c>
      <c r="C488" t="str">
        <f t="shared" si="486"/>
        <v>AE04C8</v>
      </c>
      <c r="D488" t="str">
        <f t="shared" si="486"/>
        <v>AE04CA</v>
      </c>
      <c r="E488" t="str">
        <f t="shared" si="486"/>
        <v>AE04CC</v>
      </c>
      <c r="F488" t="str">
        <f t="shared" si="486"/>
        <v>AE04CE</v>
      </c>
      <c r="G488" t="str">
        <f t="shared" si="486"/>
        <v>AE04E0</v>
      </c>
      <c r="H488" t="str">
        <f t="shared" si="486"/>
        <v>AE04E2</v>
      </c>
      <c r="I488" t="str">
        <f t="shared" si="486"/>
        <v>AE04E4</v>
      </c>
      <c r="J488" t="str">
        <f t="shared" si="486"/>
        <v>AE04E6</v>
      </c>
      <c r="K488" t="str">
        <f t="shared" si="486"/>
        <v>AE04C0</v>
      </c>
    </row>
    <row r="489">
      <c r="A489" s="14">
        <v>487.0</v>
      </c>
      <c r="B489" t="str">
        <f t="shared" ref="B489:K489" si="487">DEC2HEX(HEX2DEC(B488)+1)</f>
        <v>AE04C7</v>
      </c>
      <c r="C489" t="str">
        <f t="shared" si="487"/>
        <v>AE04C9</v>
      </c>
      <c r="D489" t="str">
        <f t="shared" si="487"/>
        <v>AE04CB</v>
      </c>
      <c r="E489" t="str">
        <f t="shared" si="487"/>
        <v>AE04CD</v>
      </c>
      <c r="F489" t="str">
        <f t="shared" si="487"/>
        <v>AE04CF</v>
      </c>
      <c r="G489" t="str">
        <f t="shared" si="487"/>
        <v>AE04E1</v>
      </c>
      <c r="H489" t="str">
        <f t="shared" si="487"/>
        <v>AE04E3</v>
      </c>
      <c r="I489" t="str">
        <f t="shared" si="487"/>
        <v>AE04E5</v>
      </c>
      <c r="J489" t="str">
        <f t="shared" si="487"/>
        <v>AE04E7</v>
      </c>
      <c r="K489" t="str">
        <f t="shared" si="487"/>
        <v>AE04C1</v>
      </c>
    </row>
    <row r="490">
      <c r="A490" s="14">
        <v>488.0</v>
      </c>
      <c r="B490" t="str">
        <f t="shared" ref="B490:K490" si="488">DEC2HEX(HEX2DEC(B489)+1)</f>
        <v>AE04C8</v>
      </c>
      <c r="C490" t="str">
        <f t="shared" si="488"/>
        <v>AE04CA</v>
      </c>
      <c r="D490" t="str">
        <f t="shared" si="488"/>
        <v>AE04CC</v>
      </c>
      <c r="E490" t="str">
        <f t="shared" si="488"/>
        <v>AE04CE</v>
      </c>
      <c r="F490" t="str">
        <f t="shared" si="488"/>
        <v>AE04D0</v>
      </c>
      <c r="G490" t="str">
        <f t="shared" si="488"/>
        <v>AE04E2</v>
      </c>
      <c r="H490" t="str">
        <f t="shared" si="488"/>
        <v>AE04E4</v>
      </c>
      <c r="I490" t="str">
        <f t="shared" si="488"/>
        <v>AE04E6</v>
      </c>
      <c r="J490" t="str">
        <f t="shared" si="488"/>
        <v>AE04E8</v>
      </c>
      <c r="K490" t="str">
        <f t="shared" si="488"/>
        <v>AE04C2</v>
      </c>
    </row>
    <row r="491">
      <c r="A491" s="14">
        <v>489.0</v>
      </c>
      <c r="B491" t="str">
        <f t="shared" ref="B491:K491" si="489">DEC2HEX(HEX2DEC(B490)+1)</f>
        <v>AE04C9</v>
      </c>
      <c r="C491" t="str">
        <f t="shared" si="489"/>
        <v>AE04CB</v>
      </c>
      <c r="D491" t="str">
        <f t="shared" si="489"/>
        <v>AE04CD</v>
      </c>
      <c r="E491" t="str">
        <f t="shared" si="489"/>
        <v>AE04CF</v>
      </c>
      <c r="F491" t="str">
        <f t="shared" si="489"/>
        <v>AE04D1</v>
      </c>
      <c r="G491" t="str">
        <f t="shared" si="489"/>
        <v>AE04E3</v>
      </c>
      <c r="H491" t="str">
        <f t="shared" si="489"/>
        <v>AE04E5</v>
      </c>
      <c r="I491" t="str">
        <f t="shared" si="489"/>
        <v>AE04E7</v>
      </c>
      <c r="J491" t="str">
        <f t="shared" si="489"/>
        <v>AE04E9</v>
      </c>
      <c r="K491" t="str">
        <f t="shared" si="489"/>
        <v>AE04C3</v>
      </c>
    </row>
    <row r="492">
      <c r="A492" s="14">
        <v>490.0</v>
      </c>
      <c r="B492" t="str">
        <f t="shared" ref="B492:K492" si="490">DEC2HEX(HEX2DEC(B491)+1)</f>
        <v>AE04CA</v>
      </c>
      <c r="C492" t="str">
        <f t="shared" si="490"/>
        <v>AE04CC</v>
      </c>
      <c r="D492" t="str">
        <f t="shared" si="490"/>
        <v>AE04CE</v>
      </c>
      <c r="E492" t="str">
        <f t="shared" si="490"/>
        <v>AE04D0</v>
      </c>
      <c r="F492" t="str">
        <f t="shared" si="490"/>
        <v>AE04D2</v>
      </c>
      <c r="G492" t="str">
        <f t="shared" si="490"/>
        <v>AE04E4</v>
      </c>
      <c r="H492" t="str">
        <f t="shared" si="490"/>
        <v>AE04E6</v>
      </c>
      <c r="I492" t="str">
        <f t="shared" si="490"/>
        <v>AE04E8</v>
      </c>
      <c r="J492" t="str">
        <f t="shared" si="490"/>
        <v>AE04EA</v>
      </c>
      <c r="K492" t="str">
        <f t="shared" si="490"/>
        <v>AE04C4</v>
      </c>
    </row>
    <row r="493">
      <c r="A493" s="14">
        <v>491.0</v>
      </c>
      <c r="B493" t="str">
        <f t="shared" ref="B493:K493" si="491">DEC2HEX(HEX2DEC(B492)+1)</f>
        <v>AE04CB</v>
      </c>
      <c r="C493" t="str">
        <f t="shared" si="491"/>
        <v>AE04CD</v>
      </c>
      <c r="D493" t="str">
        <f t="shared" si="491"/>
        <v>AE04CF</v>
      </c>
      <c r="E493" t="str">
        <f t="shared" si="491"/>
        <v>AE04D1</v>
      </c>
      <c r="F493" t="str">
        <f t="shared" si="491"/>
        <v>AE04D3</v>
      </c>
      <c r="G493" t="str">
        <f t="shared" si="491"/>
        <v>AE04E5</v>
      </c>
      <c r="H493" t="str">
        <f t="shared" si="491"/>
        <v>AE04E7</v>
      </c>
      <c r="I493" t="str">
        <f t="shared" si="491"/>
        <v>AE04E9</v>
      </c>
      <c r="J493" t="str">
        <f t="shared" si="491"/>
        <v>AE04EB</v>
      </c>
      <c r="K493" t="str">
        <f t="shared" si="491"/>
        <v>AE04C5</v>
      </c>
    </row>
    <row r="494">
      <c r="A494" s="14">
        <v>492.0</v>
      </c>
      <c r="B494" t="str">
        <f t="shared" ref="B494:K494" si="492">DEC2HEX(HEX2DEC(B493)+1)</f>
        <v>AE04CC</v>
      </c>
      <c r="C494" t="str">
        <f t="shared" si="492"/>
        <v>AE04CE</v>
      </c>
      <c r="D494" t="str">
        <f t="shared" si="492"/>
        <v>AE04D0</v>
      </c>
      <c r="E494" t="str">
        <f t="shared" si="492"/>
        <v>AE04D2</v>
      </c>
      <c r="F494" t="str">
        <f t="shared" si="492"/>
        <v>AE04D4</v>
      </c>
      <c r="G494" t="str">
        <f t="shared" si="492"/>
        <v>AE04E6</v>
      </c>
      <c r="H494" t="str">
        <f t="shared" si="492"/>
        <v>AE04E8</v>
      </c>
      <c r="I494" t="str">
        <f t="shared" si="492"/>
        <v>AE04EA</v>
      </c>
      <c r="J494" t="str">
        <f t="shared" si="492"/>
        <v>AE04EC</v>
      </c>
      <c r="K494" t="str">
        <f t="shared" si="492"/>
        <v>AE04C6</v>
      </c>
    </row>
    <row r="495">
      <c r="A495" s="14">
        <v>493.0</v>
      </c>
      <c r="B495" t="str">
        <f t="shared" ref="B495:K495" si="493">DEC2HEX(HEX2DEC(B494)+1)</f>
        <v>AE04CD</v>
      </c>
      <c r="C495" t="str">
        <f t="shared" si="493"/>
        <v>AE04CF</v>
      </c>
      <c r="D495" t="str">
        <f t="shared" si="493"/>
        <v>AE04D1</v>
      </c>
      <c r="E495" t="str">
        <f t="shared" si="493"/>
        <v>AE04D3</v>
      </c>
      <c r="F495" t="str">
        <f t="shared" si="493"/>
        <v>AE04D5</v>
      </c>
      <c r="G495" t="str">
        <f t="shared" si="493"/>
        <v>AE04E7</v>
      </c>
      <c r="H495" t="str">
        <f t="shared" si="493"/>
        <v>AE04E9</v>
      </c>
      <c r="I495" t="str">
        <f t="shared" si="493"/>
        <v>AE04EB</v>
      </c>
      <c r="J495" t="str">
        <f t="shared" si="493"/>
        <v>AE04ED</v>
      </c>
      <c r="K495" t="str">
        <f t="shared" si="493"/>
        <v>AE04C7</v>
      </c>
    </row>
    <row r="496">
      <c r="A496" s="14">
        <v>494.0</v>
      </c>
      <c r="B496" t="str">
        <f t="shared" ref="B496:K496" si="494">DEC2HEX(HEX2DEC(B495)+1)</f>
        <v>AE04CE</v>
      </c>
      <c r="C496" t="str">
        <f t="shared" si="494"/>
        <v>AE04D0</v>
      </c>
      <c r="D496" t="str">
        <f t="shared" si="494"/>
        <v>AE04D2</v>
      </c>
      <c r="E496" t="str">
        <f t="shared" si="494"/>
        <v>AE04D4</v>
      </c>
      <c r="F496" t="str">
        <f t="shared" si="494"/>
        <v>AE04D6</v>
      </c>
      <c r="G496" t="str">
        <f t="shared" si="494"/>
        <v>AE04E8</v>
      </c>
      <c r="H496" t="str">
        <f t="shared" si="494"/>
        <v>AE04EA</v>
      </c>
      <c r="I496" t="str">
        <f t="shared" si="494"/>
        <v>AE04EC</v>
      </c>
      <c r="J496" t="str">
        <f t="shared" si="494"/>
        <v>AE04EE</v>
      </c>
      <c r="K496" t="str">
        <f t="shared" si="494"/>
        <v>AE04C8</v>
      </c>
    </row>
    <row r="497">
      <c r="A497" s="14">
        <v>495.0</v>
      </c>
      <c r="B497" t="str">
        <f t="shared" ref="B497:K497" si="495">DEC2HEX(HEX2DEC(B496)+1)</f>
        <v>AE04CF</v>
      </c>
      <c r="C497" t="str">
        <f t="shared" si="495"/>
        <v>AE04D1</v>
      </c>
      <c r="D497" t="str">
        <f t="shared" si="495"/>
        <v>AE04D3</v>
      </c>
      <c r="E497" t="str">
        <f t="shared" si="495"/>
        <v>AE04D5</v>
      </c>
      <c r="F497" t="str">
        <f t="shared" si="495"/>
        <v>AE04D7</v>
      </c>
      <c r="G497" t="str">
        <f t="shared" si="495"/>
        <v>AE04E9</v>
      </c>
      <c r="H497" t="str">
        <f t="shared" si="495"/>
        <v>AE04EB</v>
      </c>
      <c r="I497" t="str">
        <f t="shared" si="495"/>
        <v>AE04ED</v>
      </c>
      <c r="J497" t="str">
        <f t="shared" si="495"/>
        <v>AE04EF</v>
      </c>
      <c r="K497" t="str">
        <f t="shared" si="495"/>
        <v>AE04C9</v>
      </c>
    </row>
    <row r="498">
      <c r="A498" s="14">
        <v>496.0</v>
      </c>
      <c r="B498" t="str">
        <f t="shared" ref="B498:K498" si="496">DEC2HEX(HEX2DEC(B497)+1)</f>
        <v>AE04D0</v>
      </c>
      <c r="C498" t="str">
        <f t="shared" si="496"/>
        <v>AE04D2</v>
      </c>
      <c r="D498" t="str">
        <f t="shared" si="496"/>
        <v>AE04D4</v>
      </c>
      <c r="E498" t="str">
        <f t="shared" si="496"/>
        <v>AE04D6</v>
      </c>
      <c r="F498" t="str">
        <f t="shared" si="496"/>
        <v>AE04D8</v>
      </c>
      <c r="G498" t="str">
        <f t="shared" si="496"/>
        <v>AE04EA</v>
      </c>
      <c r="H498" t="str">
        <f t="shared" si="496"/>
        <v>AE04EC</v>
      </c>
      <c r="I498" t="str">
        <f t="shared" si="496"/>
        <v>AE04EE</v>
      </c>
      <c r="J498" t="str">
        <f t="shared" si="496"/>
        <v>AE04F0</v>
      </c>
      <c r="K498" t="str">
        <f t="shared" si="496"/>
        <v>AE04CA</v>
      </c>
    </row>
    <row r="499">
      <c r="A499" s="14">
        <v>497.0</v>
      </c>
      <c r="B499" t="str">
        <f t="shared" ref="B499:K499" si="497">DEC2HEX(HEX2DEC(B498)+1)</f>
        <v>AE04D1</v>
      </c>
      <c r="C499" t="str">
        <f t="shared" si="497"/>
        <v>AE04D3</v>
      </c>
      <c r="D499" t="str">
        <f t="shared" si="497"/>
        <v>AE04D5</v>
      </c>
      <c r="E499" t="str">
        <f t="shared" si="497"/>
        <v>AE04D7</v>
      </c>
      <c r="F499" t="str">
        <f t="shared" si="497"/>
        <v>AE04D9</v>
      </c>
      <c r="G499" t="str">
        <f t="shared" si="497"/>
        <v>AE04EB</v>
      </c>
      <c r="H499" t="str">
        <f t="shared" si="497"/>
        <v>AE04ED</v>
      </c>
      <c r="I499" t="str">
        <f t="shared" si="497"/>
        <v>AE04EF</v>
      </c>
      <c r="J499" t="str">
        <f t="shared" si="497"/>
        <v>AE04F1</v>
      </c>
      <c r="K499" t="str">
        <f t="shared" si="497"/>
        <v>AE04CB</v>
      </c>
    </row>
    <row r="500">
      <c r="A500" s="14">
        <v>498.0</v>
      </c>
      <c r="B500" t="str">
        <f t="shared" ref="B500:K500" si="498">DEC2HEX(HEX2DEC(B499)+1)</f>
        <v>AE04D2</v>
      </c>
      <c r="C500" t="str">
        <f t="shared" si="498"/>
        <v>AE04D4</v>
      </c>
      <c r="D500" t="str">
        <f t="shared" si="498"/>
        <v>AE04D6</v>
      </c>
      <c r="E500" t="str">
        <f t="shared" si="498"/>
        <v>AE04D8</v>
      </c>
      <c r="F500" t="str">
        <f t="shared" si="498"/>
        <v>AE04DA</v>
      </c>
      <c r="G500" t="str">
        <f t="shared" si="498"/>
        <v>AE04EC</v>
      </c>
      <c r="H500" t="str">
        <f t="shared" si="498"/>
        <v>AE04EE</v>
      </c>
      <c r="I500" t="str">
        <f t="shared" si="498"/>
        <v>AE04F0</v>
      </c>
      <c r="J500" t="str">
        <f t="shared" si="498"/>
        <v>AE04F2</v>
      </c>
      <c r="K500" t="str">
        <f t="shared" si="498"/>
        <v>AE04CC</v>
      </c>
    </row>
    <row r="501">
      <c r="A501" s="14">
        <v>499.0</v>
      </c>
      <c r="B501" t="str">
        <f t="shared" ref="B501:K501" si="499">DEC2HEX(HEX2DEC(B500)+1)</f>
        <v>AE04D3</v>
      </c>
      <c r="C501" t="str">
        <f t="shared" si="499"/>
        <v>AE04D5</v>
      </c>
      <c r="D501" t="str">
        <f t="shared" si="499"/>
        <v>AE04D7</v>
      </c>
      <c r="E501" t="str">
        <f t="shared" si="499"/>
        <v>AE04D9</v>
      </c>
      <c r="F501" t="str">
        <f t="shared" si="499"/>
        <v>AE04DB</v>
      </c>
      <c r="G501" t="str">
        <f t="shared" si="499"/>
        <v>AE04ED</v>
      </c>
      <c r="H501" t="str">
        <f t="shared" si="499"/>
        <v>AE04EF</v>
      </c>
      <c r="I501" t="str">
        <f t="shared" si="499"/>
        <v>AE04F1</v>
      </c>
      <c r="J501" t="str">
        <f t="shared" si="499"/>
        <v>AE04F3</v>
      </c>
      <c r="K501" t="str">
        <f t="shared" si="499"/>
        <v>AE04CD</v>
      </c>
    </row>
    <row r="502">
      <c r="A502" s="14">
        <v>500.0</v>
      </c>
      <c r="B502" t="str">
        <f t="shared" ref="B502:K502" si="500">DEC2HEX(HEX2DEC(B501)+1)</f>
        <v>AE04D4</v>
      </c>
      <c r="C502" t="str">
        <f t="shared" si="500"/>
        <v>AE04D6</v>
      </c>
      <c r="D502" t="str">
        <f t="shared" si="500"/>
        <v>AE04D8</v>
      </c>
      <c r="E502" t="str">
        <f t="shared" si="500"/>
        <v>AE04DA</v>
      </c>
      <c r="F502" t="str">
        <f t="shared" si="500"/>
        <v>AE04DC</v>
      </c>
      <c r="G502" t="str">
        <f t="shared" si="500"/>
        <v>AE04EE</v>
      </c>
      <c r="H502" t="str">
        <f t="shared" si="500"/>
        <v>AE04F0</v>
      </c>
      <c r="I502" t="str">
        <f t="shared" si="500"/>
        <v>AE04F2</v>
      </c>
      <c r="J502" t="str">
        <f t="shared" si="500"/>
        <v>AE04F4</v>
      </c>
      <c r="K502" t="str">
        <f t="shared" si="500"/>
        <v>AE04CE</v>
      </c>
    </row>
    <row r="503">
      <c r="A503" s="14">
        <v>501.0</v>
      </c>
      <c r="B503" t="str">
        <f t="shared" ref="B503:K503" si="501">DEC2HEX(HEX2DEC(B502)+1)</f>
        <v>AE04D5</v>
      </c>
      <c r="C503" t="str">
        <f t="shared" si="501"/>
        <v>AE04D7</v>
      </c>
      <c r="D503" t="str">
        <f t="shared" si="501"/>
        <v>AE04D9</v>
      </c>
      <c r="E503" t="str">
        <f t="shared" si="501"/>
        <v>AE04DB</v>
      </c>
      <c r="F503" t="str">
        <f t="shared" si="501"/>
        <v>AE04DD</v>
      </c>
      <c r="G503" t="str">
        <f t="shared" si="501"/>
        <v>AE04EF</v>
      </c>
      <c r="H503" t="str">
        <f t="shared" si="501"/>
        <v>AE04F1</v>
      </c>
      <c r="I503" t="str">
        <f t="shared" si="501"/>
        <v>AE04F3</v>
      </c>
      <c r="J503" t="str">
        <f t="shared" si="501"/>
        <v>AE04F5</v>
      </c>
      <c r="K503" t="str">
        <f t="shared" si="501"/>
        <v>AE04CF</v>
      </c>
    </row>
    <row r="504">
      <c r="A504" s="14">
        <v>502.0</v>
      </c>
      <c r="B504" t="str">
        <f t="shared" ref="B504:K504" si="502">DEC2HEX(HEX2DEC(B503)+1)</f>
        <v>AE04D6</v>
      </c>
      <c r="C504" t="str">
        <f t="shared" si="502"/>
        <v>AE04D8</v>
      </c>
      <c r="D504" t="str">
        <f t="shared" si="502"/>
        <v>AE04DA</v>
      </c>
      <c r="E504" t="str">
        <f t="shared" si="502"/>
        <v>AE04DC</v>
      </c>
      <c r="F504" t="str">
        <f t="shared" si="502"/>
        <v>AE04DE</v>
      </c>
      <c r="G504" t="str">
        <f t="shared" si="502"/>
        <v>AE04F0</v>
      </c>
      <c r="H504" t="str">
        <f t="shared" si="502"/>
        <v>AE04F2</v>
      </c>
      <c r="I504" t="str">
        <f t="shared" si="502"/>
        <v>AE04F4</v>
      </c>
      <c r="J504" t="str">
        <f t="shared" si="502"/>
        <v>AE04F6</v>
      </c>
      <c r="K504" t="str">
        <f t="shared" si="502"/>
        <v>AE04D0</v>
      </c>
    </row>
    <row r="505">
      <c r="A505" s="14">
        <v>503.0</v>
      </c>
      <c r="B505" t="str">
        <f t="shared" ref="B505:K505" si="503">DEC2HEX(HEX2DEC(B504)+1)</f>
        <v>AE04D7</v>
      </c>
      <c r="C505" t="str">
        <f t="shared" si="503"/>
        <v>AE04D9</v>
      </c>
      <c r="D505" t="str">
        <f t="shared" si="503"/>
        <v>AE04DB</v>
      </c>
      <c r="E505" t="str">
        <f t="shared" si="503"/>
        <v>AE04DD</v>
      </c>
      <c r="F505" t="str">
        <f t="shared" si="503"/>
        <v>AE04DF</v>
      </c>
      <c r="G505" t="str">
        <f t="shared" si="503"/>
        <v>AE04F1</v>
      </c>
      <c r="H505" t="str">
        <f t="shared" si="503"/>
        <v>AE04F3</v>
      </c>
      <c r="I505" t="str">
        <f t="shared" si="503"/>
        <v>AE04F5</v>
      </c>
      <c r="J505" t="str">
        <f t="shared" si="503"/>
        <v>AE04F7</v>
      </c>
      <c r="K505" t="str">
        <f t="shared" si="503"/>
        <v>AE04D1</v>
      </c>
    </row>
    <row r="506">
      <c r="A506" s="14">
        <v>504.0</v>
      </c>
      <c r="B506" t="str">
        <f t="shared" ref="B506:K506" si="504">DEC2HEX(HEX2DEC(B505)+1)</f>
        <v>AE04D8</v>
      </c>
      <c r="C506" t="str">
        <f t="shared" si="504"/>
        <v>AE04DA</v>
      </c>
      <c r="D506" t="str">
        <f t="shared" si="504"/>
        <v>AE04DC</v>
      </c>
      <c r="E506" t="str">
        <f t="shared" si="504"/>
        <v>AE04DE</v>
      </c>
      <c r="F506" t="str">
        <f t="shared" si="504"/>
        <v>AE04E0</v>
      </c>
      <c r="G506" t="str">
        <f t="shared" si="504"/>
        <v>AE04F2</v>
      </c>
      <c r="H506" t="str">
        <f t="shared" si="504"/>
        <v>AE04F4</v>
      </c>
      <c r="I506" t="str">
        <f t="shared" si="504"/>
        <v>AE04F6</v>
      </c>
      <c r="J506" t="str">
        <f t="shared" si="504"/>
        <v>AE04F8</v>
      </c>
      <c r="K506" t="str">
        <f t="shared" si="504"/>
        <v>AE04D2</v>
      </c>
    </row>
    <row r="507">
      <c r="A507" s="14">
        <v>505.0</v>
      </c>
      <c r="B507" t="str">
        <f t="shared" ref="B507:K507" si="505">DEC2HEX(HEX2DEC(B506)+1)</f>
        <v>AE04D9</v>
      </c>
      <c r="C507" t="str">
        <f t="shared" si="505"/>
        <v>AE04DB</v>
      </c>
      <c r="D507" t="str">
        <f t="shared" si="505"/>
        <v>AE04DD</v>
      </c>
      <c r="E507" t="str">
        <f t="shared" si="505"/>
        <v>AE04DF</v>
      </c>
      <c r="F507" t="str">
        <f t="shared" si="505"/>
        <v>AE04E1</v>
      </c>
      <c r="G507" t="str">
        <f t="shared" si="505"/>
        <v>AE04F3</v>
      </c>
      <c r="H507" t="str">
        <f t="shared" si="505"/>
        <v>AE04F5</v>
      </c>
      <c r="I507" t="str">
        <f t="shared" si="505"/>
        <v>AE04F7</v>
      </c>
      <c r="J507" t="str">
        <f t="shared" si="505"/>
        <v>AE04F9</v>
      </c>
      <c r="K507" t="str">
        <f t="shared" si="505"/>
        <v>AE04D3</v>
      </c>
    </row>
    <row r="508">
      <c r="A508" s="14">
        <v>506.0</v>
      </c>
      <c r="B508" t="str">
        <f t="shared" ref="B508:K508" si="506">DEC2HEX(HEX2DEC(B507)+1)</f>
        <v>AE04DA</v>
      </c>
      <c r="C508" t="str">
        <f t="shared" si="506"/>
        <v>AE04DC</v>
      </c>
      <c r="D508" t="str">
        <f t="shared" si="506"/>
        <v>AE04DE</v>
      </c>
      <c r="E508" t="str">
        <f t="shared" si="506"/>
        <v>AE04E0</v>
      </c>
      <c r="F508" t="str">
        <f t="shared" si="506"/>
        <v>AE04E2</v>
      </c>
      <c r="G508" t="str">
        <f t="shared" si="506"/>
        <v>AE04F4</v>
      </c>
      <c r="H508" t="str">
        <f t="shared" si="506"/>
        <v>AE04F6</v>
      </c>
      <c r="I508" t="str">
        <f t="shared" si="506"/>
        <v>AE04F8</v>
      </c>
      <c r="J508" t="str">
        <f t="shared" si="506"/>
        <v>AE04FA</v>
      </c>
      <c r="K508" t="str">
        <f t="shared" si="506"/>
        <v>AE04D4</v>
      </c>
    </row>
    <row r="509">
      <c r="A509" s="14">
        <v>507.0</v>
      </c>
      <c r="B509" t="str">
        <f t="shared" ref="B509:K509" si="507">DEC2HEX(HEX2DEC(B508)+1)</f>
        <v>AE04DB</v>
      </c>
      <c r="C509" t="str">
        <f t="shared" si="507"/>
        <v>AE04DD</v>
      </c>
      <c r="D509" t="str">
        <f t="shared" si="507"/>
        <v>AE04DF</v>
      </c>
      <c r="E509" t="str">
        <f t="shared" si="507"/>
        <v>AE04E1</v>
      </c>
      <c r="F509" t="str">
        <f t="shared" si="507"/>
        <v>AE04E3</v>
      </c>
      <c r="G509" t="str">
        <f t="shared" si="507"/>
        <v>AE04F5</v>
      </c>
      <c r="H509" t="str">
        <f t="shared" si="507"/>
        <v>AE04F7</v>
      </c>
      <c r="I509" t="str">
        <f t="shared" si="507"/>
        <v>AE04F9</v>
      </c>
      <c r="J509" t="str">
        <f t="shared" si="507"/>
        <v>AE04FB</v>
      </c>
      <c r="K509" t="str">
        <f t="shared" si="507"/>
        <v>AE04D5</v>
      </c>
    </row>
    <row r="510">
      <c r="A510" s="14">
        <v>508.0</v>
      </c>
      <c r="B510" t="str">
        <f t="shared" ref="B510:K510" si="508">DEC2HEX(HEX2DEC(B509)+1)</f>
        <v>AE04DC</v>
      </c>
      <c r="C510" t="str">
        <f t="shared" si="508"/>
        <v>AE04DE</v>
      </c>
      <c r="D510" t="str">
        <f t="shared" si="508"/>
        <v>AE04E0</v>
      </c>
      <c r="E510" t="str">
        <f t="shared" si="508"/>
        <v>AE04E2</v>
      </c>
      <c r="F510" t="str">
        <f t="shared" si="508"/>
        <v>AE04E4</v>
      </c>
      <c r="G510" t="str">
        <f t="shared" si="508"/>
        <v>AE04F6</v>
      </c>
      <c r="H510" t="str">
        <f t="shared" si="508"/>
        <v>AE04F8</v>
      </c>
      <c r="I510" t="str">
        <f t="shared" si="508"/>
        <v>AE04FA</v>
      </c>
      <c r="J510" t="str">
        <f t="shared" si="508"/>
        <v>AE04FC</v>
      </c>
      <c r="K510" t="str">
        <f t="shared" si="508"/>
        <v>AE04D6</v>
      </c>
    </row>
    <row r="511">
      <c r="A511" s="14">
        <v>509.0</v>
      </c>
      <c r="B511" t="str">
        <f t="shared" ref="B511:K511" si="509">DEC2HEX(HEX2DEC(B510)+1)</f>
        <v>AE04DD</v>
      </c>
      <c r="C511" t="str">
        <f t="shared" si="509"/>
        <v>AE04DF</v>
      </c>
      <c r="D511" t="str">
        <f t="shared" si="509"/>
        <v>AE04E1</v>
      </c>
      <c r="E511" t="str">
        <f t="shared" si="509"/>
        <v>AE04E3</v>
      </c>
      <c r="F511" t="str">
        <f t="shared" si="509"/>
        <v>AE04E5</v>
      </c>
      <c r="G511" t="str">
        <f t="shared" si="509"/>
        <v>AE04F7</v>
      </c>
      <c r="H511" t="str">
        <f t="shared" si="509"/>
        <v>AE04F9</v>
      </c>
      <c r="I511" t="str">
        <f t="shared" si="509"/>
        <v>AE04FB</v>
      </c>
      <c r="J511" t="str">
        <f t="shared" si="509"/>
        <v>AE04FD</v>
      </c>
      <c r="K511" t="str">
        <f t="shared" si="509"/>
        <v>AE04D7</v>
      </c>
    </row>
    <row r="512">
      <c r="A512" s="14">
        <v>510.0</v>
      </c>
      <c r="B512" t="str">
        <f t="shared" ref="B512:K512" si="510">DEC2HEX(HEX2DEC(B511)+1)</f>
        <v>AE04DE</v>
      </c>
      <c r="C512" t="str">
        <f t="shared" si="510"/>
        <v>AE04E0</v>
      </c>
      <c r="D512" t="str">
        <f t="shared" si="510"/>
        <v>AE04E2</v>
      </c>
      <c r="E512" t="str">
        <f t="shared" si="510"/>
        <v>AE04E4</v>
      </c>
      <c r="F512" t="str">
        <f t="shared" si="510"/>
        <v>AE04E6</v>
      </c>
      <c r="G512" t="str">
        <f t="shared" si="510"/>
        <v>AE04F8</v>
      </c>
      <c r="H512" t="str">
        <f t="shared" si="510"/>
        <v>AE04FA</v>
      </c>
      <c r="I512" t="str">
        <f t="shared" si="510"/>
        <v>AE04FC</v>
      </c>
      <c r="J512" t="str">
        <f t="shared" si="510"/>
        <v>AE04FE</v>
      </c>
      <c r="K512" t="str">
        <f t="shared" si="510"/>
        <v>AE04D8</v>
      </c>
    </row>
    <row r="513">
      <c r="A513" s="14">
        <v>511.0</v>
      </c>
      <c r="B513" t="str">
        <f t="shared" ref="B513:K513" si="511">DEC2HEX(HEX2DEC(B512)+1)</f>
        <v>AE04DF</v>
      </c>
      <c r="C513" t="str">
        <f t="shared" si="511"/>
        <v>AE04E1</v>
      </c>
      <c r="D513" t="str">
        <f t="shared" si="511"/>
        <v>AE04E3</v>
      </c>
      <c r="E513" t="str">
        <f t="shared" si="511"/>
        <v>AE04E5</v>
      </c>
      <c r="F513" t="str">
        <f t="shared" si="511"/>
        <v>AE04E7</v>
      </c>
      <c r="G513" t="str">
        <f t="shared" si="511"/>
        <v>AE04F9</v>
      </c>
      <c r="H513" t="str">
        <f t="shared" si="511"/>
        <v>AE04FB</v>
      </c>
      <c r="I513" t="str">
        <f t="shared" si="511"/>
        <v>AE04FD</v>
      </c>
      <c r="J513" t="str">
        <f t="shared" si="511"/>
        <v>AE04FF</v>
      </c>
      <c r="K513" t="str">
        <f t="shared" si="511"/>
        <v>AE04D9</v>
      </c>
    </row>
    <row r="514">
      <c r="A514" s="14">
        <v>512.0</v>
      </c>
      <c r="B514" t="str">
        <f t="shared" ref="B514:K514" si="512">DEC2HEX(HEX2DEC(B513)+1)</f>
        <v>AE04E0</v>
      </c>
      <c r="C514" t="str">
        <f t="shared" si="512"/>
        <v>AE04E2</v>
      </c>
      <c r="D514" t="str">
        <f t="shared" si="512"/>
        <v>AE04E4</v>
      </c>
      <c r="E514" t="str">
        <f t="shared" si="512"/>
        <v>AE04E6</v>
      </c>
      <c r="F514" t="str">
        <f t="shared" si="512"/>
        <v>AE04E8</v>
      </c>
      <c r="G514" t="str">
        <f t="shared" si="512"/>
        <v>AE04FA</v>
      </c>
      <c r="H514" t="str">
        <f t="shared" si="512"/>
        <v>AE04FC</v>
      </c>
      <c r="I514" t="str">
        <f t="shared" si="512"/>
        <v>AE04FE</v>
      </c>
      <c r="J514" t="str">
        <f t="shared" si="512"/>
        <v>AE0500</v>
      </c>
      <c r="K514" t="str">
        <f t="shared" si="512"/>
        <v>AE04DA</v>
      </c>
    </row>
    <row r="515">
      <c r="A515" s="14">
        <v>513.0</v>
      </c>
      <c r="B515" t="str">
        <f t="shared" ref="B515:K515" si="513">DEC2HEX(HEX2DEC(B514)+1)</f>
        <v>AE04E1</v>
      </c>
      <c r="C515" t="str">
        <f t="shared" si="513"/>
        <v>AE04E3</v>
      </c>
      <c r="D515" t="str">
        <f t="shared" si="513"/>
        <v>AE04E5</v>
      </c>
      <c r="E515" t="str">
        <f t="shared" si="513"/>
        <v>AE04E7</v>
      </c>
      <c r="F515" t="str">
        <f t="shared" si="513"/>
        <v>AE04E9</v>
      </c>
      <c r="G515" t="str">
        <f t="shared" si="513"/>
        <v>AE04FB</v>
      </c>
      <c r="H515" t="str">
        <f t="shared" si="513"/>
        <v>AE04FD</v>
      </c>
      <c r="I515" t="str">
        <f t="shared" si="513"/>
        <v>AE04FF</v>
      </c>
      <c r="J515" t="str">
        <f t="shared" si="513"/>
        <v>AE0501</v>
      </c>
      <c r="K515" t="str">
        <f t="shared" si="513"/>
        <v>AE04DB</v>
      </c>
    </row>
    <row r="516">
      <c r="A516" s="14">
        <v>514.0</v>
      </c>
      <c r="B516" t="str">
        <f t="shared" ref="B516:K516" si="514">DEC2HEX(HEX2DEC(B515)+1)</f>
        <v>AE04E2</v>
      </c>
      <c r="C516" t="str">
        <f t="shared" si="514"/>
        <v>AE04E4</v>
      </c>
      <c r="D516" t="str">
        <f t="shared" si="514"/>
        <v>AE04E6</v>
      </c>
      <c r="E516" t="str">
        <f t="shared" si="514"/>
        <v>AE04E8</v>
      </c>
      <c r="F516" t="str">
        <f t="shared" si="514"/>
        <v>AE04EA</v>
      </c>
      <c r="G516" t="str">
        <f t="shared" si="514"/>
        <v>AE04FC</v>
      </c>
      <c r="H516" t="str">
        <f t="shared" si="514"/>
        <v>AE04FE</v>
      </c>
      <c r="I516" t="str">
        <f t="shared" si="514"/>
        <v>AE0500</v>
      </c>
      <c r="J516" t="str">
        <f t="shared" si="514"/>
        <v>AE0502</v>
      </c>
      <c r="K516" t="str">
        <f t="shared" si="514"/>
        <v>AE04DC</v>
      </c>
    </row>
    <row r="517">
      <c r="A517" s="14">
        <v>515.0</v>
      </c>
      <c r="B517" t="str">
        <f t="shared" ref="B517:K517" si="515">DEC2HEX(HEX2DEC(B516)+1)</f>
        <v>AE04E3</v>
      </c>
      <c r="C517" t="str">
        <f t="shared" si="515"/>
        <v>AE04E5</v>
      </c>
      <c r="D517" t="str">
        <f t="shared" si="515"/>
        <v>AE04E7</v>
      </c>
      <c r="E517" t="str">
        <f t="shared" si="515"/>
        <v>AE04E9</v>
      </c>
      <c r="F517" t="str">
        <f t="shared" si="515"/>
        <v>AE04EB</v>
      </c>
      <c r="G517" t="str">
        <f t="shared" si="515"/>
        <v>AE04FD</v>
      </c>
      <c r="H517" t="str">
        <f t="shared" si="515"/>
        <v>AE04FF</v>
      </c>
      <c r="I517" t="str">
        <f t="shared" si="515"/>
        <v>AE0501</v>
      </c>
      <c r="J517" t="str">
        <f t="shared" si="515"/>
        <v>AE0503</v>
      </c>
      <c r="K517" t="str">
        <f t="shared" si="515"/>
        <v>AE04DD</v>
      </c>
    </row>
    <row r="518">
      <c r="A518" s="14">
        <v>516.0</v>
      </c>
      <c r="B518" t="str">
        <f t="shared" ref="B518:K518" si="516">DEC2HEX(HEX2DEC(B517)+1)</f>
        <v>AE04E4</v>
      </c>
      <c r="C518" t="str">
        <f t="shared" si="516"/>
        <v>AE04E6</v>
      </c>
      <c r="D518" t="str">
        <f t="shared" si="516"/>
        <v>AE04E8</v>
      </c>
      <c r="E518" t="str">
        <f t="shared" si="516"/>
        <v>AE04EA</v>
      </c>
      <c r="F518" t="str">
        <f t="shared" si="516"/>
        <v>AE04EC</v>
      </c>
      <c r="G518" t="str">
        <f t="shared" si="516"/>
        <v>AE04FE</v>
      </c>
      <c r="H518" t="str">
        <f t="shared" si="516"/>
        <v>AE0500</v>
      </c>
      <c r="I518" t="str">
        <f t="shared" si="516"/>
        <v>AE0502</v>
      </c>
      <c r="J518" t="str">
        <f t="shared" si="516"/>
        <v>AE0504</v>
      </c>
      <c r="K518" t="str">
        <f t="shared" si="516"/>
        <v>AE04DE</v>
      </c>
    </row>
    <row r="519">
      <c r="A519" s="14">
        <v>517.0</v>
      </c>
      <c r="B519" t="str">
        <f t="shared" ref="B519:K519" si="517">DEC2HEX(HEX2DEC(B518)+1)</f>
        <v>AE04E5</v>
      </c>
      <c r="C519" t="str">
        <f t="shared" si="517"/>
        <v>AE04E7</v>
      </c>
      <c r="D519" t="str">
        <f t="shared" si="517"/>
        <v>AE04E9</v>
      </c>
      <c r="E519" t="str">
        <f t="shared" si="517"/>
        <v>AE04EB</v>
      </c>
      <c r="F519" t="str">
        <f t="shared" si="517"/>
        <v>AE04ED</v>
      </c>
      <c r="G519" t="str">
        <f t="shared" si="517"/>
        <v>AE04FF</v>
      </c>
      <c r="H519" t="str">
        <f t="shared" si="517"/>
        <v>AE0501</v>
      </c>
      <c r="I519" t="str">
        <f t="shared" si="517"/>
        <v>AE0503</v>
      </c>
      <c r="J519" t="str">
        <f t="shared" si="517"/>
        <v>AE0505</v>
      </c>
      <c r="K519" t="str">
        <f t="shared" si="517"/>
        <v>AE04DF</v>
      </c>
    </row>
    <row r="520">
      <c r="A520" s="14">
        <v>518.0</v>
      </c>
      <c r="B520" t="str">
        <f t="shared" ref="B520:K520" si="518">DEC2HEX(HEX2DEC(B519)+1)</f>
        <v>AE04E6</v>
      </c>
      <c r="C520" t="str">
        <f t="shared" si="518"/>
        <v>AE04E8</v>
      </c>
      <c r="D520" t="str">
        <f t="shared" si="518"/>
        <v>AE04EA</v>
      </c>
      <c r="E520" t="str">
        <f t="shared" si="518"/>
        <v>AE04EC</v>
      </c>
      <c r="F520" t="str">
        <f t="shared" si="518"/>
        <v>AE04EE</v>
      </c>
      <c r="G520" t="str">
        <f t="shared" si="518"/>
        <v>AE0500</v>
      </c>
      <c r="H520" t="str">
        <f t="shared" si="518"/>
        <v>AE0502</v>
      </c>
      <c r="I520" t="str">
        <f t="shared" si="518"/>
        <v>AE0504</v>
      </c>
      <c r="J520" t="str">
        <f t="shared" si="518"/>
        <v>AE0506</v>
      </c>
      <c r="K520" t="str">
        <f t="shared" si="518"/>
        <v>AE04E0</v>
      </c>
    </row>
    <row r="521">
      <c r="A521" s="14">
        <v>519.0</v>
      </c>
      <c r="B521" t="str">
        <f t="shared" ref="B521:K521" si="519">DEC2HEX(HEX2DEC(B520)+1)</f>
        <v>AE04E7</v>
      </c>
      <c r="C521" t="str">
        <f t="shared" si="519"/>
        <v>AE04E9</v>
      </c>
      <c r="D521" t="str">
        <f t="shared" si="519"/>
        <v>AE04EB</v>
      </c>
      <c r="E521" t="str">
        <f t="shared" si="519"/>
        <v>AE04ED</v>
      </c>
      <c r="F521" t="str">
        <f t="shared" si="519"/>
        <v>AE04EF</v>
      </c>
      <c r="G521" t="str">
        <f t="shared" si="519"/>
        <v>AE0501</v>
      </c>
      <c r="H521" t="str">
        <f t="shared" si="519"/>
        <v>AE0503</v>
      </c>
      <c r="I521" t="str">
        <f t="shared" si="519"/>
        <v>AE0505</v>
      </c>
      <c r="J521" t="str">
        <f t="shared" si="519"/>
        <v>AE0507</v>
      </c>
      <c r="K521" t="str">
        <f t="shared" si="519"/>
        <v>AE04E1</v>
      </c>
    </row>
    <row r="522">
      <c r="A522" s="14">
        <v>520.0</v>
      </c>
      <c r="B522" t="str">
        <f t="shared" ref="B522:K522" si="520">DEC2HEX(HEX2DEC(B521)+1)</f>
        <v>AE04E8</v>
      </c>
      <c r="C522" t="str">
        <f t="shared" si="520"/>
        <v>AE04EA</v>
      </c>
      <c r="D522" t="str">
        <f t="shared" si="520"/>
        <v>AE04EC</v>
      </c>
      <c r="E522" t="str">
        <f t="shared" si="520"/>
        <v>AE04EE</v>
      </c>
      <c r="F522" t="str">
        <f t="shared" si="520"/>
        <v>AE04F0</v>
      </c>
      <c r="G522" t="str">
        <f t="shared" si="520"/>
        <v>AE0502</v>
      </c>
      <c r="H522" t="str">
        <f t="shared" si="520"/>
        <v>AE0504</v>
      </c>
      <c r="I522" t="str">
        <f t="shared" si="520"/>
        <v>AE0506</v>
      </c>
      <c r="J522" t="str">
        <f t="shared" si="520"/>
        <v>AE0508</v>
      </c>
      <c r="K522" t="str">
        <f t="shared" si="520"/>
        <v>AE04E2</v>
      </c>
    </row>
    <row r="523">
      <c r="A523" s="14">
        <v>521.0</v>
      </c>
      <c r="B523" t="str">
        <f t="shared" ref="B523:K523" si="521">DEC2HEX(HEX2DEC(B522)+1)</f>
        <v>AE04E9</v>
      </c>
      <c r="C523" t="str">
        <f t="shared" si="521"/>
        <v>AE04EB</v>
      </c>
      <c r="D523" t="str">
        <f t="shared" si="521"/>
        <v>AE04ED</v>
      </c>
      <c r="E523" t="str">
        <f t="shared" si="521"/>
        <v>AE04EF</v>
      </c>
      <c r="F523" t="str">
        <f t="shared" si="521"/>
        <v>AE04F1</v>
      </c>
      <c r="G523" t="str">
        <f t="shared" si="521"/>
        <v>AE0503</v>
      </c>
      <c r="H523" t="str">
        <f t="shared" si="521"/>
        <v>AE0505</v>
      </c>
      <c r="I523" t="str">
        <f t="shared" si="521"/>
        <v>AE0507</v>
      </c>
      <c r="J523" t="str">
        <f t="shared" si="521"/>
        <v>AE0509</v>
      </c>
      <c r="K523" t="str">
        <f t="shared" si="521"/>
        <v>AE04E3</v>
      </c>
    </row>
    <row r="524">
      <c r="A524" s="14">
        <v>522.0</v>
      </c>
      <c r="B524" t="str">
        <f t="shared" ref="B524:K524" si="522">DEC2HEX(HEX2DEC(B523)+1)</f>
        <v>AE04EA</v>
      </c>
      <c r="C524" t="str">
        <f t="shared" si="522"/>
        <v>AE04EC</v>
      </c>
      <c r="D524" t="str">
        <f t="shared" si="522"/>
        <v>AE04EE</v>
      </c>
      <c r="E524" t="str">
        <f t="shared" si="522"/>
        <v>AE04F0</v>
      </c>
      <c r="F524" t="str">
        <f t="shared" si="522"/>
        <v>AE04F2</v>
      </c>
      <c r="G524" t="str">
        <f t="shared" si="522"/>
        <v>AE0504</v>
      </c>
      <c r="H524" t="str">
        <f t="shared" si="522"/>
        <v>AE0506</v>
      </c>
      <c r="I524" t="str">
        <f t="shared" si="522"/>
        <v>AE0508</v>
      </c>
      <c r="J524" t="str">
        <f t="shared" si="522"/>
        <v>AE050A</v>
      </c>
      <c r="K524" t="str">
        <f t="shared" si="522"/>
        <v>AE04E4</v>
      </c>
    </row>
    <row r="525">
      <c r="A525" s="14">
        <v>523.0</v>
      </c>
      <c r="B525" t="str">
        <f t="shared" ref="B525:K525" si="523">DEC2HEX(HEX2DEC(B524)+1)</f>
        <v>AE04EB</v>
      </c>
      <c r="C525" t="str">
        <f t="shared" si="523"/>
        <v>AE04ED</v>
      </c>
      <c r="D525" t="str">
        <f t="shared" si="523"/>
        <v>AE04EF</v>
      </c>
      <c r="E525" t="str">
        <f t="shared" si="523"/>
        <v>AE04F1</v>
      </c>
      <c r="F525" t="str">
        <f t="shared" si="523"/>
        <v>AE04F3</v>
      </c>
      <c r="G525" t="str">
        <f t="shared" si="523"/>
        <v>AE0505</v>
      </c>
      <c r="H525" t="str">
        <f t="shared" si="523"/>
        <v>AE0507</v>
      </c>
      <c r="I525" t="str">
        <f t="shared" si="523"/>
        <v>AE0509</v>
      </c>
      <c r="J525" t="str">
        <f t="shared" si="523"/>
        <v>AE050B</v>
      </c>
      <c r="K525" t="str">
        <f t="shared" si="523"/>
        <v>AE04E5</v>
      </c>
    </row>
    <row r="526">
      <c r="A526" s="14">
        <v>524.0</v>
      </c>
      <c r="B526" t="str">
        <f t="shared" ref="B526:K526" si="524">DEC2HEX(HEX2DEC(B525)+1)</f>
        <v>AE04EC</v>
      </c>
      <c r="C526" t="str">
        <f t="shared" si="524"/>
        <v>AE04EE</v>
      </c>
      <c r="D526" t="str">
        <f t="shared" si="524"/>
        <v>AE04F0</v>
      </c>
      <c r="E526" t="str">
        <f t="shared" si="524"/>
        <v>AE04F2</v>
      </c>
      <c r="F526" t="str">
        <f t="shared" si="524"/>
        <v>AE04F4</v>
      </c>
      <c r="G526" t="str">
        <f t="shared" si="524"/>
        <v>AE0506</v>
      </c>
      <c r="H526" t="str">
        <f t="shared" si="524"/>
        <v>AE0508</v>
      </c>
      <c r="I526" t="str">
        <f t="shared" si="524"/>
        <v>AE050A</v>
      </c>
      <c r="J526" t="str">
        <f t="shared" si="524"/>
        <v>AE050C</v>
      </c>
      <c r="K526" t="str">
        <f t="shared" si="524"/>
        <v>AE04E6</v>
      </c>
    </row>
    <row r="527">
      <c r="A527" s="14">
        <v>525.0</v>
      </c>
      <c r="B527" t="str">
        <f t="shared" ref="B527:K527" si="525">DEC2HEX(HEX2DEC(B526)+1)</f>
        <v>AE04ED</v>
      </c>
      <c r="C527" t="str">
        <f t="shared" si="525"/>
        <v>AE04EF</v>
      </c>
      <c r="D527" t="str">
        <f t="shared" si="525"/>
        <v>AE04F1</v>
      </c>
      <c r="E527" t="str">
        <f t="shared" si="525"/>
        <v>AE04F3</v>
      </c>
      <c r="F527" t="str">
        <f t="shared" si="525"/>
        <v>AE04F5</v>
      </c>
      <c r="G527" t="str">
        <f t="shared" si="525"/>
        <v>AE0507</v>
      </c>
      <c r="H527" t="str">
        <f t="shared" si="525"/>
        <v>AE0509</v>
      </c>
      <c r="I527" t="str">
        <f t="shared" si="525"/>
        <v>AE050B</v>
      </c>
      <c r="J527" t="str">
        <f t="shared" si="525"/>
        <v>AE050D</v>
      </c>
      <c r="K527" t="str">
        <f t="shared" si="525"/>
        <v>AE04E7</v>
      </c>
    </row>
    <row r="528">
      <c r="A528" s="14">
        <v>526.0</v>
      </c>
      <c r="B528" t="str">
        <f t="shared" ref="B528:K528" si="526">DEC2HEX(HEX2DEC(B527)+1)</f>
        <v>AE04EE</v>
      </c>
      <c r="C528" t="str">
        <f t="shared" si="526"/>
        <v>AE04F0</v>
      </c>
      <c r="D528" t="str">
        <f t="shared" si="526"/>
        <v>AE04F2</v>
      </c>
      <c r="E528" t="str">
        <f t="shared" si="526"/>
        <v>AE04F4</v>
      </c>
      <c r="F528" t="str">
        <f t="shared" si="526"/>
        <v>AE04F6</v>
      </c>
      <c r="G528" t="str">
        <f t="shared" si="526"/>
        <v>AE0508</v>
      </c>
      <c r="H528" t="str">
        <f t="shared" si="526"/>
        <v>AE050A</v>
      </c>
      <c r="I528" t="str">
        <f t="shared" si="526"/>
        <v>AE050C</v>
      </c>
      <c r="J528" t="str">
        <f t="shared" si="526"/>
        <v>AE050E</v>
      </c>
      <c r="K528" t="str">
        <f t="shared" si="526"/>
        <v>AE04E8</v>
      </c>
    </row>
    <row r="529">
      <c r="A529" s="14">
        <v>527.0</v>
      </c>
      <c r="B529" t="str">
        <f t="shared" ref="B529:K529" si="527">DEC2HEX(HEX2DEC(B528)+1)</f>
        <v>AE04EF</v>
      </c>
      <c r="C529" t="str">
        <f t="shared" si="527"/>
        <v>AE04F1</v>
      </c>
      <c r="D529" t="str">
        <f t="shared" si="527"/>
        <v>AE04F3</v>
      </c>
      <c r="E529" t="str">
        <f t="shared" si="527"/>
        <v>AE04F5</v>
      </c>
      <c r="F529" t="str">
        <f t="shared" si="527"/>
        <v>AE04F7</v>
      </c>
      <c r="G529" t="str">
        <f t="shared" si="527"/>
        <v>AE0509</v>
      </c>
      <c r="H529" t="str">
        <f t="shared" si="527"/>
        <v>AE050B</v>
      </c>
      <c r="I529" t="str">
        <f t="shared" si="527"/>
        <v>AE050D</v>
      </c>
      <c r="J529" t="str">
        <f t="shared" si="527"/>
        <v>AE050F</v>
      </c>
      <c r="K529" t="str">
        <f t="shared" si="527"/>
        <v>AE04E9</v>
      </c>
    </row>
    <row r="530">
      <c r="A530" s="14">
        <v>528.0</v>
      </c>
      <c r="B530" t="str">
        <f t="shared" ref="B530:K530" si="528">DEC2HEX(HEX2DEC(B529)+1)</f>
        <v>AE04F0</v>
      </c>
      <c r="C530" t="str">
        <f t="shared" si="528"/>
        <v>AE04F2</v>
      </c>
      <c r="D530" t="str">
        <f t="shared" si="528"/>
        <v>AE04F4</v>
      </c>
      <c r="E530" t="str">
        <f t="shared" si="528"/>
        <v>AE04F6</v>
      </c>
      <c r="F530" t="str">
        <f t="shared" si="528"/>
        <v>AE04F8</v>
      </c>
      <c r="G530" t="str">
        <f t="shared" si="528"/>
        <v>AE050A</v>
      </c>
      <c r="H530" t="str">
        <f t="shared" si="528"/>
        <v>AE050C</v>
      </c>
      <c r="I530" t="str">
        <f t="shared" si="528"/>
        <v>AE050E</v>
      </c>
      <c r="J530" t="str">
        <f t="shared" si="528"/>
        <v>AE0510</v>
      </c>
      <c r="K530" t="str">
        <f t="shared" si="528"/>
        <v>AE04EA</v>
      </c>
    </row>
    <row r="531">
      <c r="A531" s="14">
        <v>529.0</v>
      </c>
      <c r="B531" t="str">
        <f t="shared" ref="B531:K531" si="529">DEC2HEX(HEX2DEC(B530)+1)</f>
        <v>AE04F1</v>
      </c>
      <c r="C531" t="str">
        <f t="shared" si="529"/>
        <v>AE04F3</v>
      </c>
      <c r="D531" t="str">
        <f t="shared" si="529"/>
        <v>AE04F5</v>
      </c>
      <c r="E531" t="str">
        <f t="shared" si="529"/>
        <v>AE04F7</v>
      </c>
      <c r="F531" t="str">
        <f t="shared" si="529"/>
        <v>AE04F9</v>
      </c>
      <c r="G531" t="str">
        <f t="shared" si="529"/>
        <v>AE050B</v>
      </c>
      <c r="H531" t="str">
        <f t="shared" si="529"/>
        <v>AE050D</v>
      </c>
      <c r="I531" t="str">
        <f t="shared" si="529"/>
        <v>AE050F</v>
      </c>
      <c r="J531" t="str">
        <f t="shared" si="529"/>
        <v>AE0511</v>
      </c>
      <c r="K531" t="str">
        <f t="shared" si="529"/>
        <v>AE04EB</v>
      </c>
    </row>
    <row r="532">
      <c r="A532" s="14">
        <v>530.0</v>
      </c>
      <c r="B532" t="str">
        <f t="shared" ref="B532:K532" si="530">DEC2HEX(HEX2DEC(B531)+1)</f>
        <v>AE04F2</v>
      </c>
      <c r="C532" t="str">
        <f t="shared" si="530"/>
        <v>AE04F4</v>
      </c>
      <c r="D532" t="str">
        <f t="shared" si="530"/>
        <v>AE04F6</v>
      </c>
      <c r="E532" t="str">
        <f t="shared" si="530"/>
        <v>AE04F8</v>
      </c>
      <c r="F532" t="str">
        <f t="shared" si="530"/>
        <v>AE04FA</v>
      </c>
      <c r="G532" t="str">
        <f t="shared" si="530"/>
        <v>AE050C</v>
      </c>
      <c r="H532" t="str">
        <f t="shared" si="530"/>
        <v>AE050E</v>
      </c>
      <c r="I532" t="str">
        <f t="shared" si="530"/>
        <v>AE0510</v>
      </c>
      <c r="J532" t="str">
        <f t="shared" si="530"/>
        <v>AE0512</v>
      </c>
      <c r="K532" t="str">
        <f t="shared" si="530"/>
        <v>AE04EC</v>
      </c>
    </row>
    <row r="533">
      <c r="A533" s="14">
        <v>531.0</v>
      </c>
      <c r="B533" t="str">
        <f t="shared" ref="B533:K533" si="531">DEC2HEX(HEX2DEC(B532)+1)</f>
        <v>AE04F3</v>
      </c>
      <c r="C533" t="str">
        <f t="shared" si="531"/>
        <v>AE04F5</v>
      </c>
      <c r="D533" t="str">
        <f t="shared" si="531"/>
        <v>AE04F7</v>
      </c>
      <c r="E533" t="str">
        <f t="shared" si="531"/>
        <v>AE04F9</v>
      </c>
      <c r="F533" t="str">
        <f t="shared" si="531"/>
        <v>AE04FB</v>
      </c>
      <c r="G533" t="str">
        <f t="shared" si="531"/>
        <v>AE050D</v>
      </c>
      <c r="H533" t="str">
        <f t="shared" si="531"/>
        <v>AE050F</v>
      </c>
      <c r="I533" t="str">
        <f t="shared" si="531"/>
        <v>AE0511</v>
      </c>
      <c r="J533" t="str">
        <f t="shared" si="531"/>
        <v>AE0513</v>
      </c>
      <c r="K533" t="str">
        <f t="shared" si="531"/>
        <v>AE04ED</v>
      </c>
    </row>
    <row r="534">
      <c r="A534" s="14">
        <v>532.0</v>
      </c>
      <c r="B534" t="str">
        <f t="shared" ref="B534:K534" si="532">DEC2HEX(HEX2DEC(B533)+1)</f>
        <v>AE04F4</v>
      </c>
      <c r="C534" t="str">
        <f t="shared" si="532"/>
        <v>AE04F6</v>
      </c>
      <c r="D534" t="str">
        <f t="shared" si="532"/>
        <v>AE04F8</v>
      </c>
      <c r="E534" t="str">
        <f t="shared" si="532"/>
        <v>AE04FA</v>
      </c>
      <c r="F534" t="str">
        <f t="shared" si="532"/>
        <v>AE04FC</v>
      </c>
      <c r="G534" t="str">
        <f t="shared" si="532"/>
        <v>AE050E</v>
      </c>
      <c r="H534" t="str">
        <f t="shared" si="532"/>
        <v>AE0510</v>
      </c>
      <c r="I534" t="str">
        <f t="shared" si="532"/>
        <v>AE0512</v>
      </c>
      <c r="J534" t="str">
        <f t="shared" si="532"/>
        <v>AE0514</v>
      </c>
      <c r="K534" t="str">
        <f t="shared" si="532"/>
        <v>AE04EE</v>
      </c>
    </row>
    <row r="535">
      <c r="A535" s="14">
        <v>533.0</v>
      </c>
      <c r="B535" t="str">
        <f t="shared" ref="B535:K535" si="533">DEC2HEX(HEX2DEC(B534)+1)</f>
        <v>AE04F5</v>
      </c>
      <c r="C535" t="str">
        <f t="shared" si="533"/>
        <v>AE04F7</v>
      </c>
      <c r="D535" t="str">
        <f t="shared" si="533"/>
        <v>AE04F9</v>
      </c>
      <c r="E535" t="str">
        <f t="shared" si="533"/>
        <v>AE04FB</v>
      </c>
      <c r="F535" t="str">
        <f t="shared" si="533"/>
        <v>AE04FD</v>
      </c>
      <c r="G535" t="str">
        <f t="shared" si="533"/>
        <v>AE050F</v>
      </c>
      <c r="H535" t="str">
        <f t="shared" si="533"/>
        <v>AE0511</v>
      </c>
      <c r="I535" t="str">
        <f t="shared" si="533"/>
        <v>AE0513</v>
      </c>
      <c r="J535" t="str">
        <f t="shared" si="533"/>
        <v>AE0515</v>
      </c>
      <c r="K535" t="str">
        <f t="shared" si="533"/>
        <v>AE04EF</v>
      </c>
    </row>
    <row r="536">
      <c r="A536" s="14">
        <v>534.0</v>
      </c>
      <c r="B536" t="str">
        <f t="shared" ref="B536:K536" si="534">DEC2HEX(HEX2DEC(B535)+1)</f>
        <v>AE04F6</v>
      </c>
      <c r="C536" t="str">
        <f t="shared" si="534"/>
        <v>AE04F8</v>
      </c>
      <c r="D536" t="str">
        <f t="shared" si="534"/>
        <v>AE04FA</v>
      </c>
      <c r="E536" t="str">
        <f t="shared" si="534"/>
        <v>AE04FC</v>
      </c>
      <c r="F536" t="str">
        <f t="shared" si="534"/>
        <v>AE04FE</v>
      </c>
      <c r="G536" t="str">
        <f t="shared" si="534"/>
        <v>AE0510</v>
      </c>
      <c r="H536" t="str">
        <f t="shared" si="534"/>
        <v>AE0512</v>
      </c>
      <c r="I536" t="str">
        <f t="shared" si="534"/>
        <v>AE0514</v>
      </c>
      <c r="J536" t="str">
        <f t="shared" si="534"/>
        <v>AE0516</v>
      </c>
      <c r="K536" t="str">
        <f t="shared" si="534"/>
        <v>AE04F0</v>
      </c>
    </row>
    <row r="537">
      <c r="A537" s="14">
        <v>535.0</v>
      </c>
      <c r="B537" t="str">
        <f t="shared" ref="B537:K537" si="535">DEC2HEX(HEX2DEC(B536)+1)</f>
        <v>AE04F7</v>
      </c>
      <c r="C537" t="str">
        <f t="shared" si="535"/>
        <v>AE04F9</v>
      </c>
      <c r="D537" t="str">
        <f t="shared" si="535"/>
        <v>AE04FB</v>
      </c>
      <c r="E537" t="str">
        <f t="shared" si="535"/>
        <v>AE04FD</v>
      </c>
      <c r="F537" t="str">
        <f t="shared" si="535"/>
        <v>AE04FF</v>
      </c>
      <c r="G537" t="str">
        <f t="shared" si="535"/>
        <v>AE0511</v>
      </c>
      <c r="H537" t="str">
        <f t="shared" si="535"/>
        <v>AE0513</v>
      </c>
      <c r="I537" t="str">
        <f t="shared" si="535"/>
        <v>AE0515</v>
      </c>
      <c r="J537" t="str">
        <f t="shared" si="535"/>
        <v>AE0517</v>
      </c>
      <c r="K537" t="str">
        <f t="shared" si="535"/>
        <v>AE04F1</v>
      </c>
    </row>
    <row r="538">
      <c r="A538" s="14">
        <v>536.0</v>
      </c>
      <c r="B538" t="str">
        <f t="shared" ref="B538:K538" si="536">DEC2HEX(HEX2DEC(B537)+1)</f>
        <v>AE04F8</v>
      </c>
      <c r="C538" t="str">
        <f t="shared" si="536"/>
        <v>AE04FA</v>
      </c>
      <c r="D538" t="str">
        <f t="shared" si="536"/>
        <v>AE04FC</v>
      </c>
      <c r="E538" t="str">
        <f t="shared" si="536"/>
        <v>AE04FE</v>
      </c>
      <c r="F538" t="str">
        <f t="shared" si="536"/>
        <v>AE0500</v>
      </c>
      <c r="G538" t="str">
        <f t="shared" si="536"/>
        <v>AE0512</v>
      </c>
      <c r="H538" t="str">
        <f t="shared" si="536"/>
        <v>AE0514</v>
      </c>
      <c r="I538" t="str">
        <f t="shared" si="536"/>
        <v>AE0516</v>
      </c>
      <c r="J538" t="str">
        <f t="shared" si="536"/>
        <v>AE0518</v>
      </c>
      <c r="K538" t="str">
        <f t="shared" si="536"/>
        <v>AE04F2</v>
      </c>
    </row>
    <row r="539">
      <c r="A539" s="14">
        <v>537.0</v>
      </c>
      <c r="B539" t="str">
        <f t="shared" ref="B539:K539" si="537">DEC2HEX(HEX2DEC(B538)+1)</f>
        <v>AE04F9</v>
      </c>
      <c r="C539" t="str">
        <f t="shared" si="537"/>
        <v>AE04FB</v>
      </c>
      <c r="D539" t="str">
        <f t="shared" si="537"/>
        <v>AE04FD</v>
      </c>
      <c r="E539" t="str">
        <f t="shared" si="537"/>
        <v>AE04FF</v>
      </c>
      <c r="F539" t="str">
        <f t="shared" si="537"/>
        <v>AE0501</v>
      </c>
      <c r="G539" t="str">
        <f t="shared" si="537"/>
        <v>AE0513</v>
      </c>
      <c r="H539" t="str">
        <f t="shared" si="537"/>
        <v>AE0515</v>
      </c>
      <c r="I539" t="str">
        <f t="shared" si="537"/>
        <v>AE0517</v>
      </c>
      <c r="J539" t="str">
        <f t="shared" si="537"/>
        <v>AE0519</v>
      </c>
      <c r="K539" t="str">
        <f t="shared" si="537"/>
        <v>AE04F3</v>
      </c>
    </row>
    <row r="540">
      <c r="A540" s="14">
        <v>538.0</v>
      </c>
      <c r="B540" t="str">
        <f t="shared" ref="B540:K540" si="538">DEC2HEX(HEX2DEC(B539)+1)</f>
        <v>AE04FA</v>
      </c>
      <c r="C540" t="str">
        <f t="shared" si="538"/>
        <v>AE04FC</v>
      </c>
      <c r="D540" t="str">
        <f t="shared" si="538"/>
        <v>AE04FE</v>
      </c>
      <c r="E540" t="str">
        <f t="shared" si="538"/>
        <v>AE0500</v>
      </c>
      <c r="F540" t="str">
        <f t="shared" si="538"/>
        <v>AE0502</v>
      </c>
      <c r="G540" t="str">
        <f t="shared" si="538"/>
        <v>AE0514</v>
      </c>
      <c r="H540" t="str">
        <f t="shared" si="538"/>
        <v>AE0516</v>
      </c>
      <c r="I540" t="str">
        <f t="shared" si="538"/>
        <v>AE0518</v>
      </c>
      <c r="J540" t="str">
        <f t="shared" si="538"/>
        <v>AE051A</v>
      </c>
      <c r="K540" t="str">
        <f t="shared" si="538"/>
        <v>AE04F4</v>
      </c>
    </row>
    <row r="541">
      <c r="A541" s="14">
        <v>539.0</v>
      </c>
      <c r="B541" t="str">
        <f t="shared" ref="B541:K541" si="539">DEC2HEX(HEX2DEC(B540)+1)</f>
        <v>AE04FB</v>
      </c>
      <c r="C541" t="str">
        <f t="shared" si="539"/>
        <v>AE04FD</v>
      </c>
      <c r="D541" t="str">
        <f t="shared" si="539"/>
        <v>AE04FF</v>
      </c>
      <c r="E541" t="str">
        <f t="shared" si="539"/>
        <v>AE0501</v>
      </c>
      <c r="F541" t="str">
        <f t="shared" si="539"/>
        <v>AE0503</v>
      </c>
      <c r="G541" t="str">
        <f t="shared" si="539"/>
        <v>AE0515</v>
      </c>
      <c r="H541" t="str">
        <f t="shared" si="539"/>
        <v>AE0517</v>
      </c>
      <c r="I541" t="str">
        <f t="shared" si="539"/>
        <v>AE0519</v>
      </c>
      <c r="J541" t="str">
        <f t="shared" si="539"/>
        <v>AE051B</v>
      </c>
      <c r="K541" t="str">
        <f t="shared" si="539"/>
        <v>AE04F5</v>
      </c>
    </row>
    <row r="542">
      <c r="A542" s="14">
        <v>540.0</v>
      </c>
      <c r="B542" t="str">
        <f t="shared" ref="B542:K542" si="540">DEC2HEX(HEX2DEC(B541)+1)</f>
        <v>AE04FC</v>
      </c>
      <c r="C542" t="str">
        <f t="shared" si="540"/>
        <v>AE04FE</v>
      </c>
      <c r="D542" t="str">
        <f t="shared" si="540"/>
        <v>AE0500</v>
      </c>
      <c r="E542" t="str">
        <f t="shared" si="540"/>
        <v>AE0502</v>
      </c>
      <c r="F542" t="str">
        <f t="shared" si="540"/>
        <v>AE0504</v>
      </c>
      <c r="G542" t="str">
        <f t="shared" si="540"/>
        <v>AE0516</v>
      </c>
      <c r="H542" t="str">
        <f t="shared" si="540"/>
        <v>AE0518</v>
      </c>
      <c r="I542" t="str">
        <f t="shared" si="540"/>
        <v>AE051A</v>
      </c>
      <c r="J542" t="str">
        <f t="shared" si="540"/>
        <v>AE051C</v>
      </c>
      <c r="K542" t="str">
        <f t="shared" si="540"/>
        <v>AE04F6</v>
      </c>
    </row>
    <row r="543">
      <c r="A543" s="14">
        <v>541.0</v>
      </c>
      <c r="B543" t="str">
        <f t="shared" ref="B543:K543" si="541">DEC2HEX(HEX2DEC(B542)+1)</f>
        <v>AE04FD</v>
      </c>
      <c r="C543" t="str">
        <f t="shared" si="541"/>
        <v>AE04FF</v>
      </c>
      <c r="D543" t="str">
        <f t="shared" si="541"/>
        <v>AE0501</v>
      </c>
      <c r="E543" t="str">
        <f t="shared" si="541"/>
        <v>AE0503</v>
      </c>
      <c r="F543" t="str">
        <f t="shared" si="541"/>
        <v>AE0505</v>
      </c>
      <c r="G543" t="str">
        <f t="shared" si="541"/>
        <v>AE0517</v>
      </c>
      <c r="H543" t="str">
        <f t="shared" si="541"/>
        <v>AE0519</v>
      </c>
      <c r="I543" t="str">
        <f t="shared" si="541"/>
        <v>AE051B</v>
      </c>
      <c r="J543" t="str">
        <f t="shared" si="541"/>
        <v>AE051D</v>
      </c>
      <c r="K543" t="str">
        <f t="shared" si="541"/>
        <v>AE04F7</v>
      </c>
    </row>
    <row r="544">
      <c r="A544" s="14">
        <v>542.0</v>
      </c>
      <c r="B544" t="str">
        <f t="shared" ref="B544:K544" si="542">DEC2HEX(HEX2DEC(B543)+1)</f>
        <v>AE04FE</v>
      </c>
      <c r="C544" t="str">
        <f t="shared" si="542"/>
        <v>AE0500</v>
      </c>
      <c r="D544" t="str">
        <f t="shared" si="542"/>
        <v>AE0502</v>
      </c>
      <c r="E544" t="str">
        <f t="shared" si="542"/>
        <v>AE0504</v>
      </c>
      <c r="F544" t="str">
        <f t="shared" si="542"/>
        <v>AE0506</v>
      </c>
      <c r="G544" t="str">
        <f t="shared" si="542"/>
        <v>AE0518</v>
      </c>
      <c r="H544" t="str">
        <f t="shared" si="542"/>
        <v>AE051A</v>
      </c>
      <c r="I544" t="str">
        <f t="shared" si="542"/>
        <v>AE051C</v>
      </c>
      <c r="J544" t="str">
        <f t="shared" si="542"/>
        <v>AE051E</v>
      </c>
      <c r="K544" t="str">
        <f t="shared" si="542"/>
        <v>AE04F8</v>
      </c>
    </row>
    <row r="545">
      <c r="A545" s="14">
        <v>543.0</v>
      </c>
      <c r="B545" t="str">
        <f t="shared" ref="B545:K545" si="543">DEC2HEX(HEX2DEC(B544)+1)</f>
        <v>AE04FF</v>
      </c>
      <c r="C545" t="str">
        <f t="shared" si="543"/>
        <v>AE0501</v>
      </c>
      <c r="D545" t="str">
        <f t="shared" si="543"/>
        <v>AE0503</v>
      </c>
      <c r="E545" t="str">
        <f t="shared" si="543"/>
        <v>AE0505</v>
      </c>
      <c r="F545" t="str">
        <f t="shared" si="543"/>
        <v>AE0507</v>
      </c>
      <c r="G545" t="str">
        <f t="shared" si="543"/>
        <v>AE0519</v>
      </c>
      <c r="H545" t="str">
        <f t="shared" si="543"/>
        <v>AE051B</v>
      </c>
      <c r="I545" t="str">
        <f t="shared" si="543"/>
        <v>AE051D</v>
      </c>
      <c r="J545" t="str">
        <f t="shared" si="543"/>
        <v>AE051F</v>
      </c>
      <c r="K545" t="str">
        <f t="shared" si="543"/>
        <v>AE04F9</v>
      </c>
    </row>
    <row r="546">
      <c r="A546" s="14">
        <v>544.0</v>
      </c>
      <c r="B546" t="str">
        <f t="shared" ref="B546:K546" si="544">DEC2HEX(HEX2DEC(B545)+1)</f>
        <v>AE0500</v>
      </c>
      <c r="C546" t="str">
        <f t="shared" si="544"/>
        <v>AE0502</v>
      </c>
      <c r="D546" t="str">
        <f t="shared" si="544"/>
        <v>AE0504</v>
      </c>
      <c r="E546" t="str">
        <f t="shared" si="544"/>
        <v>AE0506</v>
      </c>
      <c r="F546" t="str">
        <f t="shared" si="544"/>
        <v>AE0508</v>
      </c>
      <c r="G546" t="str">
        <f t="shared" si="544"/>
        <v>AE051A</v>
      </c>
      <c r="H546" t="str">
        <f t="shared" si="544"/>
        <v>AE051C</v>
      </c>
      <c r="I546" t="str">
        <f t="shared" si="544"/>
        <v>AE051E</v>
      </c>
      <c r="J546" t="str">
        <f t="shared" si="544"/>
        <v>AE0520</v>
      </c>
      <c r="K546" t="str">
        <f t="shared" si="544"/>
        <v>AE04FA</v>
      </c>
    </row>
    <row r="547">
      <c r="A547" s="14">
        <v>545.0</v>
      </c>
      <c r="B547" t="str">
        <f t="shared" ref="B547:K547" si="545">DEC2HEX(HEX2DEC(B546)+1)</f>
        <v>AE0501</v>
      </c>
      <c r="C547" t="str">
        <f t="shared" si="545"/>
        <v>AE0503</v>
      </c>
      <c r="D547" t="str">
        <f t="shared" si="545"/>
        <v>AE0505</v>
      </c>
      <c r="E547" t="str">
        <f t="shared" si="545"/>
        <v>AE0507</v>
      </c>
      <c r="F547" t="str">
        <f t="shared" si="545"/>
        <v>AE0509</v>
      </c>
      <c r="G547" t="str">
        <f t="shared" si="545"/>
        <v>AE051B</v>
      </c>
      <c r="H547" t="str">
        <f t="shared" si="545"/>
        <v>AE051D</v>
      </c>
      <c r="I547" t="str">
        <f t="shared" si="545"/>
        <v>AE051F</v>
      </c>
      <c r="J547" t="str">
        <f t="shared" si="545"/>
        <v>AE0521</v>
      </c>
      <c r="K547" t="str">
        <f t="shared" si="545"/>
        <v>AE04FB</v>
      </c>
    </row>
    <row r="548">
      <c r="A548" s="14">
        <v>546.0</v>
      </c>
      <c r="B548" t="str">
        <f t="shared" ref="B548:K548" si="546">DEC2HEX(HEX2DEC(B547)+1)</f>
        <v>AE0502</v>
      </c>
      <c r="C548" t="str">
        <f t="shared" si="546"/>
        <v>AE0504</v>
      </c>
      <c r="D548" t="str">
        <f t="shared" si="546"/>
        <v>AE0506</v>
      </c>
      <c r="E548" t="str">
        <f t="shared" si="546"/>
        <v>AE0508</v>
      </c>
      <c r="F548" t="str">
        <f t="shared" si="546"/>
        <v>AE050A</v>
      </c>
      <c r="G548" t="str">
        <f t="shared" si="546"/>
        <v>AE051C</v>
      </c>
      <c r="H548" t="str">
        <f t="shared" si="546"/>
        <v>AE051E</v>
      </c>
      <c r="I548" t="str">
        <f t="shared" si="546"/>
        <v>AE0520</v>
      </c>
      <c r="J548" t="str">
        <f t="shared" si="546"/>
        <v>AE0522</v>
      </c>
      <c r="K548" t="str">
        <f t="shared" si="546"/>
        <v>AE04FC</v>
      </c>
    </row>
    <row r="549">
      <c r="A549" s="14">
        <v>547.0</v>
      </c>
      <c r="B549" t="str">
        <f t="shared" ref="B549:K549" si="547">DEC2HEX(HEX2DEC(B548)+1)</f>
        <v>AE0503</v>
      </c>
      <c r="C549" t="str">
        <f t="shared" si="547"/>
        <v>AE0505</v>
      </c>
      <c r="D549" t="str">
        <f t="shared" si="547"/>
        <v>AE0507</v>
      </c>
      <c r="E549" t="str">
        <f t="shared" si="547"/>
        <v>AE0509</v>
      </c>
      <c r="F549" t="str">
        <f t="shared" si="547"/>
        <v>AE050B</v>
      </c>
      <c r="G549" t="str">
        <f t="shared" si="547"/>
        <v>AE051D</v>
      </c>
      <c r="H549" t="str">
        <f t="shared" si="547"/>
        <v>AE051F</v>
      </c>
      <c r="I549" t="str">
        <f t="shared" si="547"/>
        <v>AE0521</v>
      </c>
      <c r="J549" t="str">
        <f t="shared" si="547"/>
        <v>AE0523</v>
      </c>
      <c r="K549" t="str">
        <f t="shared" si="547"/>
        <v>AE04FD</v>
      </c>
    </row>
    <row r="550">
      <c r="A550" s="14">
        <v>548.0</v>
      </c>
      <c r="B550" t="str">
        <f t="shared" ref="B550:K550" si="548">DEC2HEX(HEX2DEC(B549)+1)</f>
        <v>AE0504</v>
      </c>
      <c r="C550" t="str">
        <f t="shared" si="548"/>
        <v>AE0506</v>
      </c>
      <c r="D550" t="str">
        <f t="shared" si="548"/>
        <v>AE0508</v>
      </c>
      <c r="E550" t="str">
        <f t="shared" si="548"/>
        <v>AE050A</v>
      </c>
      <c r="F550" t="str">
        <f t="shared" si="548"/>
        <v>AE050C</v>
      </c>
      <c r="G550" t="str">
        <f t="shared" si="548"/>
        <v>AE051E</v>
      </c>
      <c r="H550" t="str">
        <f t="shared" si="548"/>
        <v>AE0520</v>
      </c>
      <c r="I550" t="str">
        <f t="shared" si="548"/>
        <v>AE0522</v>
      </c>
      <c r="J550" t="str">
        <f t="shared" si="548"/>
        <v>AE0524</v>
      </c>
      <c r="K550" t="str">
        <f t="shared" si="548"/>
        <v>AE04FE</v>
      </c>
    </row>
    <row r="551">
      <c r="A551" s="14">
        <v>549.0</v>
      </c>
      <c r="B551" t="str">
        <f t="shared" ref="B551:K551" si="549">DEC2HEX(HEX2DEC(B550)+1)</f>
        <v>AE0505</v>
      </c>
      <c r="C551" t="str">
        <f t="shared" si="549"/>
        <v>AE0507</v>
      </c>
      <c r="D551" t="str">
        <f t="shared" si="549"/>
        <v>AE0509</v>
      </c>
      <c r="E551" t="str">
        <f t="shared" si="549"/>
        <v>AE050B</v>
      </c>
      <c r="F551" t="str">
        <f t="shared" si="549"/>
        <v>AE050D</v>
      </c>
      <c r="G551" t="str">
        <f t="shared" si="549"/>
        <v>AE051F</v>
      </c>
      <c r="H551" t="str">
        <f t="shared" si="549"/>
        <v>AE0521</v>
      </c>
      <c r="I551" t="str">
        <f t="shared" si="549"/>
        <v>AE0523</v>
      </c>
      <c r="J551" t="str">
        <f t="shared" si="549"/>
        <v>AE0525</v>
      </c>
      <c r="K551" t="str">
        <f t="shared" si="549"/>
        <v>AE04FF</v>
      </c>
    </row>
    <row r="552">
      <c r="A552" s="14">
        <v>550.0</v>
      </c>
      <c r="B552" t="str">
        <f t="shared" ref="B552:K552" si="550">DEC2HEX(HEX2DEC(B551)+1)</f>
        <v>AE0506</v>
      </c>
      <c r="C552" t="str">
        <f t="shared" si="550"/>
        <v>AE0508</v>
      </c>
      <c r="D552" t="str">
        <f t="shared" si="550"/>
        <v>AE050A</v>
      </c>
      <c r="E552" t="str">
        <f t="shared" si="550"/>
        <v>AE050C</v>
      </c>
      <c r="F552" t="str">
        <f t="shared" si="550"/>
        <v>AE050E</v>
      </c>
      <c r="G552" t="str">
        <f t="shared" si="550"/>
        <v>AE0520</v>
      </c>
      <c r="H552" t="str">
        <f t="shared" si="550"/>
        <v>AE0522</v>
      </c>
      <c r="I552" t="str">
        <f t="shared" si="550"/>
        <v>AE0524</v>
      </c>
      <c r="J552" t="str">
        <f t="shared" si="550"/>
        <v>AE0526</v>
      </c>
      <c r="K552" t="str">
        <f t="shared" si="550"/>
        <v>AE0500</v>
      </c>
    </row>
    <row r="553">
      <c r="A553" s="14">
        <v>551.0</v>
      </c>
      <c r="B553" t="str">
        <f t="shared" ref="B553:K553" si="551">DEC2HEX(HEX2DEC(B552)+1)</f>
        <v>AE0507</v>
      </c>
      <c r="C553" t="str">
        <f t="shared" si="551"/>
        <v>AE0509</v>
      </c>
      <c r="D553" t="str">
        <f t="shared" si="551"/>
        <v>AE050B</v>
      </c>
      <c r="E553" t="str">
        <f t="shared" si="551"/>
        <v>AE050D</v>
      </c>
      <c r="F553" t="str">
        <f t="shared" si="551"/>
        <v>AE050F</v>
      </c>
      <c r="G553" t="str">
        <f t="shared" si="551"/>
        <v>AE0521</v>
      </c>
      <c r="H553" t="str">
        <f t="shared" si="551"/>
        <v>AE0523</v>
      </c>
      <c r="I553" t="str">
        <f t="shared" si="551"/>
        <v>AE0525</v>
      </c>
      <c r="J553" t="str">
        <f t="shared" si="551"/>
        <v>AE0527</v>
      </c>
      <c r="K553" t="str">
        <f t="shared" si="551"/>
        <v>AE0501</v>
      </c>
    </row>
    <row r="554">
      <c r="A554" s="14">
        <v>552.0</v>
      </c>
      <c r="B554" t="str">
        <f t="shared" ref="B554:K554" si="552">DEC2HEX(HEX2DEC(B553)+1)</f>
        <v>AE0508</v>
      </c>
      <c r="C554" t="str">
        <f t="shared" si="552"/>
        <v>AE050A</v>
      </c>
      <c r="D554" t="str">
        <f t="shared" si="552"/>
        <v>AE050C</v>
      </c>
      <c r="E554" t="str">
        <f t="shared" si="552"/>
        <v>AE050E</v>
      </c>
      <c r="F554" t="str">
        <f t="shared" si="552"/>
        <v>AE0510</v>
      </c>
      <c r="G554" t="str">
        <f t="shared" si="552"/>
        <v>AE0522</v>
      </c>
      <c r="H554" t="str">
        <f t="shared" si="552"/>
        <v>AE0524</v>
      </c>
      <c r="I554" t="str">
        <f t="shared" si="552"/>
        <v>AE0526</v>
      </c>
      <c r="J554" t="str">
        <f t="shared" si="552"/>
        <v>AE0528</v>
      </c>
      <c r="K554" t="str">
        <f t="shared" si="552"/>
        <v>AE0502</v>
      </c>
    </row>
    <row r="555">
      <c r="A555" s="14">
        <v>553.0</v>
      </c>
      <c r="B555" t="str">
        <f t="shared" ref="B555:K555" si="553">DEC2HEX(HEX2DEC(B554)+1)</f>
        <v>AE0509</v>
      </c>
      <c r="C555" t="str">
        <f t="shared" si="553"/>
        <v>AE050B</v>
      </c>
      <c r="D555" t="str">
        <f t="shared" si="553"/>
        <v>AE050D</v>
      </c>
      <c r="E555" t="str">
        <f t="shared" si="553"/>
        <v>AE050F</v>
      </c>
      <c r="F555" t="str">
        <f t="shared" si="553"/>
        <v>AE0511</v>
      </c>
      <c r="G555" t="str">
        <f t="shared" si="553"/>
        <v>AE0523</v>
      </c>
      <c r="H555" t="str">
        <f t="shared" si="553"/>
        <v>AE0525</v>
      </c>
      <c r="I555" t="str">
        <f t="shared" si="553"/>
        <v>AE0527</v>
      </c>
      <c r="J555" t="str">
        <f t="shared" si="553"/>
        <v>AE0529</v>
      </c>
      <c r="K555" t="str">
        <f t="shared" si="553"/>
        <v>AE0503</v>
      </c>
    </row>
    <row r="556">
      <c r="A556" s="14">
        <v>554.0</v>
      </c>
      <c r="B556" t="str">
        <f t="shared" ref="B556:K556" si="554">DEC2HEX(HEX2DEC(B555)+1)</f>
        <v>AE050A</v>
      </c>
      <c r="C556" t="str">
        <f t="shared" si="554"/>
        <v>AE050C</v>
      </c>
      <c r="D556" t="str">
        <f t="shared" si="554"/>
        <v>AE050E</v>
      </c>
      <c r="E556" t="str">
        <f t="shared" si="554"/>
        <v>AE0510</v>
      </c>
      <c r="F556" t="str">
        <f t="shared" si="554"/>
        <v>AE0512</v>
      </c>
      <c r="G556" t="str">
        <f t="shared" si="554"/>
        <v>AE0524</v>
      </c>
      <c r="H556" t="str">
        <f t="shared" si="554"/>
        <v>AE0526</v>
      </c>
      <c r="I556" t="str">
        <f t="shared" si="554"/>
        <v>AE0528</v>
      </c>
      <c r="J556" t="str">
        <f t="shared" si="554"/>
        <v>AE052A</v>
      </c>
      <c r="K556" t="str">
        <f t="shared" si="554"/>
        <v>AE0504</v>
      </c>
    </row>
    <row r="557">
      <c r="A557" s="14">
        <v>555.0</v>
      </c>
      <c r="B557" t="str">
        <f t="shared" ref="B557:K557" si="555">DEC2HEX(HEX2DEC(B556)+1)</f>
        <v>AE050B</v>
      </c>
      <c r="C557" t="str">
        <f t="shared" si="555"/>
        <v>AE050D</v>
      </c>
      <c r="D557" t="str">
        <f t="shared" si="555"/>
        <v>AE050F</v>
      </c>
      <c r="E557" t="str">
        <f t="shared" si="555"/>
        <v>AE0511</v>
      </c>
      <c r="F557" t="str">
        <f t="shared" si="555"/>
        <v>AE0513</v>
      </c>
      <c r="G557" t="str">
        <f t="shared" si="555"/>
        <v>AE0525</v>
      </c>
      <c r="H557" t="str">
        <f t="shared" si="555"/>
        <v>AE0527</v>
      </c>
      <c r="I557" t="str">
        <f t="shared" si="555"/>
        <v>AE0529</v>
      </c>
      <c r="J557" t="str">
        <f t="shared" si="555"/>
        <v>AE052B</v>
      </c>
      <c r="K557" t="str">
        <f t="shared" si="555"/>
        <v>AE0505</v>
      </c>
    </row>
    <row r="558">
      <c r="A558" s="14">
        <v>556.0</v>
      </c>
      <c r="B558" t="str">
        <f t="shared" ref="B558:K558" si="556">DEC2HEX(HEX2DEC(B557)+1)</f>
        <v>AE050C</v>
      </c>
      <c r="C558" t="str">
        <f t="shared" si="556"/>
        <v>AE050E</v>
      </c>
      <c r="D558" t="str">
        <f t="shared" si="556"/>
        <v>AE0510</v>
      </c>
      <c r="E558" t="str">
        <f t="shared" si="556"/>
        <v>AE0512</v>
      </c>
      <c r="F558" t="str">
        <f t="shared" si="556"/>
        <v>AE0514</v>
      </c>
      <c r="G558" t="str">
        <f t="shared" si="556"/>
        <v>AE0526</v>
      </c>
      <c r="H558" t="str">
        <f t="shared" si="556"/>
        <v>AE0528</v>
      </c>
      <c r="I558" t="str">
        <f t="shared" si="556"/>
        <v>AE052A</v>
      </c>
      <c r="J558" t="str">
        <f t="shared" si="556"/>
        <v>AE052C</v>
      </c>
      <c r="K558" t="str">
        <f t="shared" si="556"/>
        <v>AE0506</v>
      </c>
    </row>
    <row r="559">
      <c r="A559" s="14">
        <v>557.0</v>
      </c>
      <c r="B559" t="str">
        <f t="shared" ref="B559:K559" si="557">DEC2HEX(HEX2DEC(B558)+1)</f>
        <v>AE050D</v>
      </c>
      <c r="C559" t="str">
        <f t="shared" si="557"/>
        <v>AE050F</v>
      </c>
      <c r="D559" t="str">
        <f t="shared" si="557"/>
        <v>AE0511</v>
      </c>
      <c r="E559" t="str">
        <f t="shared" si="557"/>
        <v>AE0513</v>
      </c>
      <c r="F559" t="str">
        <f t="shared" si="557"/>
        <v>AE0515</v>
      </c>
      <c r="G559" t="str">
        <f t="shared" si="557"/>
        <v>AE0527</v>
      </c>
      <c r="H559" t="str">
        <f t="shared" si="557"/>
        <v>AE0529</v>
      </c>
      <c r="I559" t="str">
        <f t="shared" si="557"/>
        <v>AE052B</v>
      </c>
      <c r="J559" t="str">
        <f t="shared" si="557"/>
        <v>AE052D</v>
      </c>
      <c r="K559" t="str">
        <f t="shared" si="557"/>
        <v>AE0507</v>
      </c>
    </row>
    <row r="560">
      <c r="A560" s="14">
        <v>558.0</v>
      </c>
      <c r="B560" t="str">
        <f t="shared" ref="B560:K560" si="558">DEC2HEX(HEX2DEC(B559)+1)</f>
        <v>AE050E</v>
      </c>
      <c r="C560" t="str">
        <f t="shared" si="558"/>
        <v>AE0510</v>
      </c>
      <c r="D560" t="str">
        <f t="shared" si="558"/>
        <v>AE0512</v>
      </c>
      <c r="E560" t="str">
        <f t="shared" si="558"/>
        <v>AE0514</v>
      </c>
      <c r="F560" t="str">
        <f t="shared" si="558"/>
        <v>AE0516</v>
      </c>
      <c r="G560" t="str">
        <f t="shared" si="558"/>
        <v>AE0528</v>
      </c>
      <c r="H560" t="str">
        <f t="shared" si="558"/>
        <v>AE052A</v>
      </c>
      <c r="I560" t="str">
        <f t="shared" si="558"/>
        <v>AE052C</v>
      </c>
      <c r="J560" t="str">
        <f t="shared" si="558"/>
        <v>AE052E</v>
      </c>
      <c r="K560" t="str">
        <f t="shared" si="558"/>
        <v>AE0508</v>
      </c>
    </row>
    <row r="561">
      <c r="A561" s="14">
        <v>559.0</v>
      </c>
      <c r="B561" t="str">
        <f t="shared" ref="B561:K561" si="559">DEC2HEX(HEX2DEC(B560)+1)</f>
        <v>AE050F</v>
      </c>
      <c r="C561" t="str">
        <f t="shared" si="559"/>
        <v>AE0511</v>
      </c>
      <c r="D561" t="str">
        <f t="shared" si="559"/>
        <v>AE0513</v>
      </c>
      <c r="E561" t="str">
        <f t="shared" si="559"/>
        <v>AE0515</v>
      </c>
      <c r="F561" t="str">
        <f t="shared" si="559"/>
        <v>AE0517</v>
      </c>
      <c r="G561" t="str">
        <f t="shared" si="559"/>
        <v>AE0529</v>
      </c>
      <c r="H561" t="str">
        <f t="shared" si="559"/>
        <v>AE052B</v>
      </c>
      <c r="I561" t="str">
        <f t="shared" si="559"/>
        <v>AE052D</v>
      </c>
      <c r="J561" t="str">
        <f t="shared" si="559"/>
        <v>AE052F</v>
      </c>
      <c r="K561" t="str">
        <f t="shared" si="559"/>
        <v>AE0509</v>
      </c>
    </row>
    <row r="562">
      <c r="A562" s="14">
        <v>560.0</v>
      </c>
      <c r="B562" t="str">
        <f t="shared" ref="B562:K562" si="560">DEC2HEX(HEX2DEC(B561)+1)</f>
        <v>AE0510</v>
      </c>
      <c r="C562" t="str">
        <f t="shared" si="560"/>
        <v>AE0512</v>
      </c>
      <c r="D562" t="str">
        <f t="shared" si="560"/>
        <v>AE0514</v>
      </c>
      <c r="E562" t="str">
        <f t="shared" si="560"/>
        <v>AE0516</v>
      </c>
      <c r="F562" t="str">
        <f t="shared" si="560"/>
        <v>AE0518</v>
      </c>
      <c r="G562" t="str">
        <f t="shared" si="560"/>
        <v>AE052A</v>
      </c>
      <c r="H562" t="str">
        <f t="shared" si="560"/>
        <v>AE052C</v>
      </c>
      <c r="I562" t="str">
        <f t="shared" si="560"/>
        <v>AE052E</v>
      </c>
      <c r="J562" t="str">
        <f t="shared" si="560"/>
        <v>AE0530</v>
      </c>
      <c r="K562" t="str">
        <f t="shared" si="560"/>
        <v>AE050A</v>
      </c>
    </row>
    <row r="563">
      <c r="A563" s="14">
        <v>561.0</v>
      </c>
      <c r="B563" t="str">
        <f t="shared" ref="B563:K563" si="561">DEC2HEX(HEX2DEC(B562)+1)</f>
        <v>AE0511</v>
      </c>
      <c r="C563" t="str">
        <f t="shared" si="561"/>
        <v>AE0513</v>
      </c>
      <c r="D563" t="str">
        <f t="shared" si="561"/>
        <v>AE0515</v>
      </c>
      <c r="E563" t="str">
        <f t="shared" si="561"/>
        <v>AE0517</v>
      </c>
      <c r="F563" t="str">
        <f t="shared" si="561"/>
        <v>AE0519</v>
      </c>
      <c r="G563" t="str">
        <f t="shared" si="561"/>
        <v>AE052B</v>
      </c>
      <c r="H563" t="str">
        <f t="shared" si="561"/>
        <v>AE052D</v>
      </c>
      <c r="I563" t="str">
        <f t="shared" si="561"/>
        <v>AE052F</v>
      </c>
      <c r="J563" t="str">
        <f t="shared" si="561"/>
        <v>AE0531</v>
      </c>
      <c r="K563" t="str">
        <f t="shared" si="561"/>
        <v>AE050B</v>
      </c>
    </row>
    <row r="564">
      <c r="A564" s="14">
        <v>562.0</v>
      </c>
      <c r="B564" t="str">
        <f t="shared" ref="B564:K564" si="562">DEC2HEX(HEX2DEC(B563)+1)</f>
        <v>AE0512</v>
      </c>
      <c r="C564" t="str">
        <f t="shared" si="562"/>
        <v>AE0514</v>
      </c>
      <c r="D564" t="str">
        <f t="shared" si="562"/>
        <v>AE0516</v>
      </c>
      <c r="E564" t="str">
        <f t="shared" si="562"/>
        <v>AE0518</v>
      </c>
      <c r="F564" t="str">
        <f t="shared" si="562"/>
        <v>AE051A</v>
      </c>
      <c r="G564" t="str">
        <f t="shared" si="562"/>
        <v>AE052C</v>
      </c>
      <c r="H564" t="str">
        <f t="shared" si="562"/>
        <v>AE052E</v>
      </c>
      <c r="I564" t="str">
        <f t="shared" si="562"/>
        <v>AE0530</v>
      </c>
      <c r="J564" t="str">
        <f t="shared" si="562"/>
        <v>AE0532</v>
      </c>
      <c r="K564" t="str">
        <f t="shared" si="562"/>
        <v>AE050C</v>
      </c>
    </row>
    <row r="565">
      <c r="A565" s="14">
        <v>563.0</v>
      </c>
      <c r="B565" t="str">
        <f t="shared" ref="B565:K565" si="563">DEC2HEX(HEX2DEC(B564)+1)</f>
        <v>AE0513</v>
      </c>
      <c r="C565" t="str">
        <f t="shared" si="563"/>
        <v>AE0515</v>
      </c>
      <c r="D565" t="str">
        <f t="shared" si="563"/>
        <v>AE0517</v>
      </c>
      <c r="E565" t="str">
        <f t="shared" si="563"/>
        <v>AE0519</v>
      </c>
      <c r="F565" t="str">
        <f t="shared" si="563"/>
        <v>AE051B</v>
      </c>
      <c r="G565" t="str">
        <f t="shared" si="563"/>
        <v>AE052D</v>
      </c>
      <c r="H565" t="str">
        <f t="shared" si="563"/>
        <v>AE052F</v>
      </c>
      <c r="I565" t="str">
        <f t="shared" si="563"/>
        <v>AE0531</v>
      </c>
      <c r="J565" t="str">
        <f t="shared" si="563"/>
        <v>AE0533</v>
      </c>
      <c r="K565" t="str">
        <f t="shared" si="563"/>
        <v>AE050D</v>
      </c>
    </row>
    <row r="566">
      <c r="A566" s="14">
        <v>564.0</v>
      </c>
      <c r="B566" t="str">
        <f t="shared" ref="B566:K566" si="564">DEC2HEX(HEX2DEC(B565)+1)</f>
        <v>AE0514</v>
      </c>
      <c r="C566" t="str">
        <f t="shared" si="564"/>
        <v>AE0516</v>
      </c>
      <c r="D566" t="str">
        <f t="shared" si="564"/>
        <v>AE0518</v>
      </c>
      <c r="E566" t="str">
        <f t="shared" si="564"/>
        <v>AE051A</v>
      </c>
      <c r="F566" t="str">
        <f t="shared" si="564"/>
        <v>AE051C</v>
      </c>
      <c r="G566" t="str">
        <f t="shared" si="564"/>
        <v>AE052E</v>
      </c>
      <c r="H566" t="str">
        <f t="shared" si="564"/>
        <v>AE0530</v>
      </c>
      <c r="I566" t="str">
        <f t="shared" si="564"/>
        <v>AE0532</v>
      </c>
      <c r="J566" t="str">
        <f t="shared" si="564"/>
        <v>AE0534</v>
      </c>
      <c r="K566" t="str">
        <f t="shared" si="564"/>
        <v>AE050E</v>
      </c>
    </row>
    <row r="567">
      <c r="A567" s="14">
        <v>565.0</v>
      </c>
      <c r="B567" t="str">
        <f t="shared" ref="B567:K567" si="565">DEC2HEX(HEX2DEC(B566)+1)</f>
        <v>AE0515</v>
      </c>
      <c r="C567" t="str">
        <f t="shared" si="565"/>
        <v>AE0517</v>
      </c>
      <c r="D567" t="str">
        <f t="shared" si="565"/>
        <v>AE0519</v>
      </c>
      <c r="E567" t="str">
        <f t="shared" si="565"/>
        <v>AE051B</v>
      </c>
      <c r="F567" t="str">
        <f t="shared" si="565"/>
        <v>AE051D</v>
      </c>
      <c r="G567" t="str">
        <f t="shared" si="565"/>
        <v>AE052F</v>
      </c>
      <c r="H567" t="str">
        <f t="shared" si="565"/>
        <v>AE0531</v>
      </c>
      <c r="I567" t="str">
        <f t="shared" si="565"/>
        <v>AE0533</v>
      </c>
      <c r="J567" t="str">
        <f t="shared" si="565"/>
        <v>AE0535</v>
      </c>
      <c r="K567" t="str">
        <f t="shared" si="565"/>
        <v>AE050F</v>
      </c>
    </row>
    <row r="568">
      <c r="A568" s="14">
        <v>566.0</v>
      </c>
      <c r="B568" t="str">
        <f t="shared" ref="B568:K568" si="566">DEC2HEX(HEX2DEC(B567)+1)</f>
        <v>AE0516</v>
      </c>
      <c r="C568" t="str">
        <f t="shared" si="566"/>
        <v>AE0518</v>
      </c>
      <c r="D568" t="str">
        <f t="shared" si="566"/>
        <v>AE051A</v>
      </c>
      <c r="E568" t="str">
        <f t="shared" si="566"/>
        <v>AE051C</v>
      </c>
      <c r="F568" t="str">
        <f t="shared" si="566"/>
        <v>AE051E</v>
      </c>
      <c r="G568" t="str">
        <f t="shared" si="566"/>
        <v>AE0530</v>
      </c>
      <c r="H568" t="str">
        <f t="shared" si="566"/>
        <v>AE0532</v>
      </c>
      <c r="I568" t="str">
        <f t="shared" si="566"/>
        <v>AE0534</v>
      </c>
      <c r="J568" t="str">
        <f t="shared" si="566"/>
        <v>AE0536</v>
      </c>
      <c r="K568" t="str">
        <f t="shared" si="566"/>
        <v>AE0510</v>
      </c>
    </row>
    <row r="569">
      <c r="A569" s="14">
        <v>567.0</v>
      </c>
      <c r="B569" t="str">
        <f t="shared" ref="B569:K569" si="567">DEC2HEX(HEX2DEC(B568)+1)</f>
        <v>AE0517</v>
      </c>
      <c r="C569" t="str">
        <f t="shared" si="567"/>
        <v>AE0519</v>
      </c>
      <c r="D569" t="str">
        <f t="shared" si="567"/>
        <v>AE051B</v>
      </c>
      <c r="E569" t="str">
        <f t="shared" si="567"/>
        <v>AE051D</v>
      </c>
      <c r="F569" t="str">
        <f t="shared" si="567"/>
        <v>AE051F</v>
      </c>
      <c r="G569" t="str">
        <f t="shared" si="567"/>
        <v>AE0531</v>
      </c>
      <c r="H569" t="str">
        <f t="shared" si="567"/>
        <v>AE0533</v>
      </c>
      <c r="I569" t="str">
        <f t="shared" si="567"/>
        <v>AE0535</v>
      </c>
      <c r="J569" t="str">
        <f t="shared" si="567"/>
        <v>AE0537</v>
      </c>
      <c r="K569" t="str">
        <f t="shared" si="567"/>
        <v>AE0511</v>
      </c>
    </row>
    <row r="570">
      <c r="A570" s="14">
        <v>568.0</v>
      </c>
      <c r="B570" t="str">
        <f t="shared" ref="B570:K570" si="568">DEC2HEX(HEX2DEC(B569)+1)</f>
        <v>AE0518</v>
      </c>
      <c r="C570" t="str">
        <f t="shared" si="568"/>
        <v>AE051A</v>
      </c>
      <c r="D570" t="str">
        <f t="shared" si="568"/>
        <v>AE051C</v>
      </c>
      <c r="E570" t="str">
        <f t="shared" si="568"/>
        <v>AE051E</v>
      </c>
      <c r="F570" t="str">
        <f t="shared" si="568"/>
        <v>AE0520</v>
      </c>
      <c r="G570" t="str">
        <f t="shared" si="568"/>
        <v>AE0532</v>
      </c>
      <c r="H570" t="str">
        <f t="shared" si="568"/>
        <v>AE0534</v>
      </c>
      <c r="I570" t="str">
        <f t="shared" si="568"/>
        <v>AE0536</v>
      </c>
      <c r="J570" t="str">
        <f t="shared" si="568"/>
        <v>AE0538</v>
      </c>
      <c r="K570" t="str">
        <f t="shared" si="568"/>
        <v>AE0512</v>
      </c>
    </row>
    <row r="571">
      <c r="A571" s="14">
        <v>569.0</v>
      </c>
      <c r="B571" t="str">
        <f t="shared" ref="B571:K571" si="569">DEC2HEX(HEX2DEC(B570)+1)</f>
        <v>AE0519</v>
      </c>
      <c r="C571" t="str">
        <f t="shared" si="569"/>
        <v>AE051B</v>
      </c>
      <c r="D571" t="str">
        <f t="shared" si="569"/>
        <v>AE051D</v>
      </c>
      <c r="E571" t="str">
        <f t="shared" si="569"/>
        <v>AE051F</v>
      </c>
      <c r="F571" t="str">
        <f t="shared" si="569"/>
        <v>AE0521</v>
      </c>
      <c r="G571" t="str">
        <f t="shared" si="569"/>
        <v>AE0533</v>
      </c>
      <c r="H571" t="str">
        <f t="shared" si="569"/>
        <v>AE0535</v>
      </c>
      <c r="I571" t="str">
        <f t="shared" si="569"/>
        <v>AE0537</v>
      </c>
      <c r="J571" t="str">
        <f t="shared" si="569"/>
        <v>AE0539</v>
      </c>
      <c r="K571" t="str">
        <f t="shared" si="569"/>
        <v>AE0513</v>
      </c>
    </row>
    <row r="572">
      <c r="A572" s="14">
        <v>570.0</v>
      </c>
      <c r="B572" t="str">
        <f t="shared" ref="B572:K572" si="570">DEC2HEX(HEX2DEC(B571)+1)</f>
        <v>AE051A</v>
      </c>
      <c r="C572" t="str">
        <f t="shared" si="570"/>
        <v>AE051C</v>
      </c>
      <c r="D572" t="str">
        <f t="shared" si="570"/>
        <v>AE051E</v>
      </c>
      <c r="E572" t="str">
        <f t="shared" si="570"/>
        <v>AE0520</v>
      </c>
      <c r="F572" t="str">
        <f t="shared" si="570"/>
        <v>AE0522</v>
      </c>
      <c r="G572" t="str">
        <f t="shared" si="570"/>
        <v>AE0534</v>
      </c>
      <c r="H572" t="str">
        <f t="shared" si="570"/>
        <v>AE0536</v>
      </c>
      <c r="I572" t="str">
        <f t="shared" si="570"/>
        <v>AE0538</v>
      </c>
      <c r="J572" t="str">
        <f t="shared" si="570"/>
        <v>AE053A</v>
      </c>
      <c r="K572" t="str">
        <f t="shared" si="570"/>
        <v>AE0514</v>
      </c>
    </row>
    <row r="573">
      <c r="A573" s="14">
        <v>571.0</v>
      </c>
      <c r="B573" t="str">
        <f t="shared" ref="B573:K573" si="571">DEC2HEX(HEX2DEC(B572)+1)</f>
        <v>AE051B</v>
      </c>
      <c r="C573" t="str">
        <f t="shared" si="571"/>
        <v>AE051D</v>
      </c>
      <c r="D573" t="str">
        <f t="shared" si="571"/>
        <v>AE051F</v>
      </c>
      <c r="E573" t="str">
        <f t="shared" si="571"/>
        <v>AE0521</v>
      </c>
      <c r="F573" t="str">
        <f t="shared" si="571"/>
        <v>AE0523</v>
      </c>
      <c r="G573" t="str">
        <f t="shared" si="571"/>
        <v>AE0535</v>
      </c>
      <c r="H573" t="str">
        <f t="shared" si="571"/>
        <v>AE0537</v>
      </c>
      <c r="I573" t="str">
        <f t="shared" si="571"/>
        <v>AE0539</v>
      </c>
      <c r="J573" t="str">
        <f t="shared" si="571"/>
        <v>AE053B</v>
      </c>
      <c r="K573" t="str">
        <f t="shared" si="571"/>
        <v>AE0515</v>
      </c>
    </row>
    <row r="574">
      <c r="A574" s="14">
        <v>572.0</v>
      </c>
      <c r="B574" t="str">
        <f t="shared" ref="B574:K574" si="572">DEC2HEX(HEX2DEC(B573)+1)</f>
        <v>AE051C</v>
      </c>
      <c r="C574" t="str">
        <f t="shared" si="572"/>
        <v>AE051E</v>
      </c>
      <c r="D574" t="str">
        <f t="shared" si="572"/>
        <v>AE0520</v>
      </c>
      <c r="E574" t="str">
        <f t="shared" si="572"/>
        <v>AE0522</v>
      </c>
      <c r="F574" t="str">
        <f t="shared" si="572"/>
        <v>AE0524</v>
      </c>
      <c r="G574" t="str">
        <f t="shared" si="572"/>
        <v>AE0536</v>
      </c>
      <c r="H574" t="str">
        <f t="shared" si="572"/>
        <v>AE0538</v>
      </c>
      <c r="I574" t="str">
        <f t="shared" si="572"/>
        <v>AE053A</v>
      </c>
      <c r="J574" t="str">
        <f t="shared" si="572"/>
        <v>AE053C</v>
      </c>
      <c r="K574" t="str">
        <f t="shared" si="572"/>
        <v>AE0516</v>
      </c>
    </row>
    <row r="575">
      <c r="A575" s="14">
        <v>573.0</v>
      </c>
      <c r="B575" t="str">
        <f t="shared" ref="B575:K575" si="573">DEC2HEX(HEX2DEC(B574)+1)</f>
        <v>AE051D</v>
      </c>
      <c r="C575" t="str">
        <f t="shared" si="573"/>
        <v>AE051F</v>
      </c>
      <c r="D575" t="str">
        <f t="shared" si="573"/>
        <v>AE0521</v>
      </c>
      <c r="E575" t="str">
        <f t="shared" si="573"/>
        <v>AE0523</v>
      </c>
      <c r="F575" t="str">
        <f t="shared" si="573"/>
        <v>AE0525</v>
      </c>
      <c r="G575" t="str">
        <f t="shared" si="573"/>
        <v>AE0537</v>
      </c>
      <c r="H575" t="str">
        <f t="shared" si="573"/>
        <v>AE0539</v>
      </c>
      <c r="I575" t="str">
        <f t="shared" si="573"/>
        <v>AE053B</v>
      </c>
      <c r="J575" t="str">
        <f t="shared" si="573"/>
        <v>AE053D</v>
      </c>
      <c r="K575" t="str">
        <f t="shared" si="573"/>
        <v>AE0517</v>
      </c>
    </row>
    <row r="576">
      <c r="A576" s="14">
        <v>574.0</v>
      </c>
      <c r="B576" t="str">
        <f t="shared" ref="B576:K576" si="574">DEC2HEX(HEX2DEC(B575)+1)</f>
        <v>AE051E</v>
      </c>
      <c r="C576" t="str">
        <f t="shared" si="574"/>
        <v>AE0520</v>
      </c>
      <c r="D576" t="str">
        <f t="shared" si="574"/>
        <v>AE0522</v>
      </c>
      <c r="E576" t="str">
        <f t="shared" si="574"/>
        <v>AE0524</v>
      </c>
      <c r="F576" t="str">
        <f t="shared" si="574"/>
        <v>AE0526</v>
      </c>
      <c r="G576" t="str">
        <f t="shared" si="574"/>
        <v>AE0538</v>
      </c>
      <c r="H576" t="str">
        <f t="shared" si="574"/>
        <v>AE053A</v>
      </c>
      <c r="I576" t="str">
        <f t="shared" si="574"/>
        <v>AE053C</v>
      </c>
      <c r="J576" t="str">
        <f t="shared" si="574"/>
        <v>AE053E</v>
      </c>
      <c r="K576" t="str">
        <f t="shared" si="574"/>
        <v>AE0518</v>
      </c>
    </row>
    <row r="577">
      <c r="A577" s="14">
        <v>575.0</v>
      </c>
      <c r="B577" t="str">
        <f t="shared" ref="B577:K577" si="575">DEC2HEX(HEX2DEC(B576)+1)</f>
        <v>AE051F</v>
      </c>
      <c r="C577" t="str">
        <f t="shared" si="575"/>
        <v>AE0521</v>
      </c>
      <c r="D577" t="str">
        <f t="shared" si="575"/>
        <v>AE0523</v>
      </c>
      <c r="E577" t="str">
        <f t="shared" si="575"/>
        <v>AE0525</v>
      </c>
      <c r="F577" t="str">
        <f t="shared" si="575"/>
        <v>AE0527</v>
      </c>
      <c r="G577" t="str">
        <f t="shared" si="575"/>
        <v>AE0539</v>
      </c>
      <c r="H577" t="str">
        <f t="shared" si="575"/>
        <v>AE053B</v>
      </c>
      <c r="I577" t="str">
        <f t="shared" si="575"/>
        <v>AE053D</v>
      </c>
      <c r="J577" t="str">
        <f t="shared" si="575"/>
        <v>AE053F</v>
      </c>
      <c r="K577" t="str">
        <f t="shared" si="575"/>
        <v>AE0519</v>
      </c>
    </row>
    <row r="578">
      <c r="A578" s="14">
        <v>576.0</v>
      </c>
      <c r="B578" t="str">
        <f t="shared" ref="B578:K578" si="576">DEC2HEX(HEX2DEC(B577)+1)</f>
        <v>AE0520</v>
      </c>
      <c r="C578" t="str">
        <f t="shared" si="576"/>
        <v>AE0522</v>
      </c>
      <c r="D578" t="str">
        <f t="shared" si="576"/>
        <v>AE0524</v>
      </c>
      <c r="E578" t="str">
        <f t="shared" si="576"/>
        <v>AE0526</v>
      </c>
      <c r="F578" t="str">
        <f t="shared" si="576"/>
        <v>AE0528</v>
      </c>
      <c r="G578" t="str">
        <f t="shared" si="576"/>
        <v>AE053A</v>
      </c>
      <c r="H578" t="str">
        <f t="shared" si="576"/>
        <v>AE053C</v>
      </c>
      <c r="I578" t="str">
        <f t="shared" si="576"/>
        <v>AE053E</v>
      </c>
      <c r="J578" t="str">
        <f t="shared" si="576"/>
        <v>AE0540</v>
      </c>
      <c r="K578" t="str">
        <f t="shared" si="576"/>
        <v>AE051A</v>
      </c>
    </row>
    <row r="579">
      <c r="A579" s="14">
        <v>577.0</v>
      </c>
      <c r="B579" t="str">
        <f t="shared" ref="B579:K579" si="577">DEC2HEX(HEX2DEC(B578)+1)</f>
        <v>AE0521</v>
      </c>
      <c r="C579" t="str">
        <f t="shared" si="577"/>
        <v>AE0523</v>
      </c>
      <c r="D579" t="str">
        <f t="shared" si="577"/>
        <v>AE0525</v>
      </c>
      <c r="E579" t="str">
        <f t="shared" si="577"/>
        <v>AE0527</v>
      </c>
      <c r="F579" t="str">
        <f t="shared" si="577"/>
        <v>AE0529</v>
      </c>
      <c r="G579" t="str">
        <f t="shared" si="577"/>
        <v>AE053B</v>
      </c>
      <c r="H579" t="str">
        <f t="shared" si="577"/>
        <v>AE053D</v>
      </c>
      <c r="I579" t="str">
        <f t="shared" si="577"/>
        <v>AE053F</v>
      </c>
      <c r="J579" t="str">
        <f t="shared" si="577"/>
        <v>AE0541</v>
      </c>
      <c r="K579" t="str">
        <f t="shared" si="577"/>
        <v>AE051B</v>
      </c>
    </row>
    <row r="580">
      <c r="A580" s="14">
        <v>578.0</v>
      </c>
      <c r="B580" t="str">
        <f t="shared" ref="B580:K580" si="578">DEC2HEX(HEX2DEC(B579)+1)</f>
        <v>AE0522</v>
      </c>
      <c r="C580" t="str">
        <f t="shared" si="578"/>
        <v>AE0524</v>
      </c>
      <c r="D580" t="str">
        <f t="shared" si="578"/>
        <v>AE0526</v>
      </c>
      <c r="E580" t="str">
        <f t="shared" si="578"/>
        <v>AE0528</v>
      </c>
      <c r="F580" t="str">
        <f t="shared" si="578"/>
        <v>AE052A</v>
      </c>
      <c r="G580" t="str">
        <f t="shared" si="578"/>
        <v>AE053C</v>
      </c>
      <c r="H580" t="str">
        <f t="shared" si="578"/>
        <v>AE053E</v>
      </c>
      <c r="I580" t="str">
        <f t="shared" si="578"/>
        <v>AE0540</v>
      </c>
      <c r="J580" t="str">
        <f t="shared" si="578"/>
        <v>AE0542</v>
      </c>
      <c r="K580" t="str">
        <f t="shared" si="578"/>
        <v>AE051C</v>
      </c>
    </row>
    <row r="581">
      <c r="A581" s="14">
        <v>579.0</v>
      </c>
      <c r="B581" t="str">
        <f t="shared" ref="B581:K581" si="579">DEC2HEX(HEX2DEC(B580)+1)</f>
        <v>AE0523</v>
      </c>
      <c r="C581" t="str">
        <f t="shared" si="579"/>
        <v>AE0525</v>
      </c>
      <c r="D581" t="str">
        <f t="shared" si="579"/>
        <v>AE0527</v>
      </c>
      <c r="E581" t="str">
        <f t="shared" si="579"/>
        <v>AE0529</v>
      </c>
      <c r="F581" t="str">
        <f t="shared" si="579"/>
        <v>AE052B</v>
      </c>
      <c r="G581" t="str">
        <f t="shared" si="579"/>
        <v>AE053D</v>
      </c>
      <c r="H581" t="str">
        <f t="shared" si="579"/>
        <v>AE053F</v>
      </c>
      <c r="I581" t="str">
        <f t="shared" si="579"/>
        <v>AE0541</v>
      </c>
      <c r="J581" t="str">
        <f t="shared" si="579"/>
        <v>AE0543</v>
      </c>
      <c r="K581" t="str">
        <f t="shared" si="579"/>
        <v>AE051D</v>
      </c>
    </row>
    <row r="582">
      <c r="A582" s="14">
        <v>580.0</v>
      </c>
      <c r="B582" t="str">
        <f t="shared" ref="B582:K582" si="580">DEC2HEX(HEX2DEC(B581)+1)</f>
        <v>AE0524</v>
      </c>
      <c r="C582" t="str">
        <f t="shared" si="580"/>
        <v>AE0526</v>
      </c>
      <c r="D582" t="str">
        <f t="shared" si="580"/>
        <v>AE0528</v>
      </c>
      <c r="E582" t="str">
        <f t="shared" si="580"/>
        <v>AE052A</v>
      </c>
      <c r="F582" t="str">
        <f t="shared" si="580"/>
        <v>AE052C</v>
      </c>
      <c r="G582" t="str">
        <f t="shared" si="580"/>
        <v>AE053E</v>
      </c>
      <c r="H582" t="str">
        <f t="shared" si="580"/>
        <v>AE0540</v>
      </c>
      <c r="I582" t="str">
        <f t="shared" si="580"/>
        <v>AE0542</v>
      </c>
      <c r="J582" t="str">
        <f t="shared" si="580"/>
        <v>AE0544</v>
      </c>
      <c r="K582" t="str">
        <f t="shared" si="580"/>
        <v>AE051E</v>
      </c>
    </row>
    <row r="583">
      <c r="A583" s="14">
        <v>581.0</v>
      </c>
      <c r="B583" t="str">
        <f t="shared" ref="B583:K583" si="581">DEC2HEX(HEX2DEC(B582)+1)</f>
        <v>AE0525</v>
      </c>
      <c r="C583" t="str">
        <f t="shared" si="581"/>
        <v>AE0527</v>
      </c>
      <c r="D583" t="str">
        <f t="shared" si="581"/>
        <v>AE0529</v>
      </c>
      <c r="E583" t="str">
        <f t="shared" si="581"/>
        <v>AE052B</v>
      </c>
      <c r="F583" t="str">
        <f t="shared" si="581"/>
        <v>AE052D</v>
      </c>
      <c r="G583" t="str">
        <f t="shared" si="581"/>
        <v>AE053F</v>
      </c>
      <c r="H583" t="str">
        <f t="shared" si="581"/>
        <v>AE0541</v>
      </c>
      <c r="I583" t="str">
        <f t="shared" si="581"/>
        <v>AE0543</v>
      </c>
      <c r="J583" t="str">
        <f t="shared" si="581"/>
        <v>AE0545</v>
      </c>
      <c r="K583" t="str">
        <f t="shared" si="581"/>
        <v>AE051F</v>
      </c>
    </row>
    <row r="584">
      <c r="A584" s="14">
        <v>582.0</v>
      </c>
      <c r="B584" t="str">
        <f t="shared" ref="B584:K584" si="582">DEC2HEX(HEX2DEC(B583)+1)</f>
        <v>AE0526</v>
      </c>
      <c r="C584" t="str">
        <f t="shared" si="582"/>
        <v>AE0528</v>
      </c>
      <c r="D584" t="str">
        <f t="shared" si="582"/>
        <v>AE052A</v>
      </c>
      <c r="E584" t="str">
        <f t="shared" si="582"/>
        <v>AE052C</v>
      </c>
      <c r="F584" t="str">
        <f t="shared" si="582"/>
        <v>AE052E</v>
      </c>
      <c r="G584" t="str">
        <f t="shared" si="582"/>
        <v>AE0540</v>
      </c>
      <c r="H584" t="str">
        <f t="shared" si="582"/>
        <v>AE0542</v>
      </c>
      <c r="I584" t="str">
        <f t="shared" si="582"/>
        <v>AE0544</v>
      </c>
      <c r="J584" t="str">
        <f t="shared" si="582"/>
        <v>AE0546</v>
      </c>
      <c r="K584" t="str">
        <f t="shared" si="582"/>
        <v>AE0520</v>
      </c>
    </row>
    <row r="585">
      <c r="A585" s="14">
        <v>583.0</v>
      </c>
      <c r="B585" t="str">
        <f t="shared" ref="B585:K585" si="583">DEC2HEX(HEX2DEC(B584)+1)</f>
        <v>AE0527</v>
      </c>
      <c r="C585" t="str">
        <f t="shared" si="583"/>
        <v>AE0529</v>
      </c>
      <c r="D585" t="str">
        <f t="shared" si="583"/>
        <v>AE052B</v>
      </c>
      <c r="E585" t="str">
        <f t="shared" si="583"/>
        <v>AE052D</v>
      </c>
      <c r="F585" t="str">
        <f t="shared" si="583"/>
        <v>AE052F</v>
      </c>
      <c r="G585" t="str">
        <f t="shared" si="583"/>
        <v>AE0541</v>
      </c>
      <c r="H585" t="str">
        <f t="shared" si="583"/>
        <v>AE0543</v>
      </c>
      <c r="I585" t="str">
        <f t="shared" si="583"/>
        <v>AE0545</v>
      </c>
      <c r="J585" t="str">
        <f t="shared" si="583"/>
        <v>AE0547</v>
      </c>
      <c r="K585" t="str">
        <f t="shared" si="583"/>
        <v>AE0521</v>
      </c>
    </row>
    <row r="586">
      <c r="A586" s="14">
        <v>584.0</v>
      </c>
      <c r="B586" t="str">
        <f t="shared" ref="B586:K586" si="584">DEC2HEX(HEX2DEC(B585)+1)</f>
        <v>AE0528</v>
      </c>
      <c r="C586" t="str">
        <f t="shared" si="584"/>
        <v>AE052A</v>
      </c>
      <c r="D586" t="str">
        <f t="shared" si="584"/>
        <v>AE052C</v>
      </c>
      <c r="E586" t="str">
        <f t="shared" si="584"/>
        <v>AE052E</v>
      </c>
      <c r="F586" t="str">
        <f t="shared" si="584"/>
        <v>AE0530</v>
      </c>
      <c r="G586" t="str">
        <f t="shared" si="584"/>
        <v>AE0542</v>
      </c>
      <c r="H586" t="str">
        <f t="shared" si="584"/>
        <v>AE0544</v>
      </c>
      <c r="I586" t="str">
        <f t="shared" si="584"/>
        <v>AE0546</v>
      </c>
      <c r="J586" t="str">
        <f t="shared" si="584"/>
        <v>AE0548</v>
      </c>
      <c r="K586" t="str">
        <f t="shared" si="584"/>
        <v>AE0522</v>
      </c>
    </row>
    <row r="587">
      <c r="A587" s="14">
        <v>585.0</v>
      </c>
      <c r="B587" t="str">
        <f t="shared" ref="B587:K587" si="585">DEC2HEX(HEX2DEC(B586)+1)</f>
        <v>AE0529</v>
      </c>
      <c r="C587" t="str">
        <f t="shared" si="585"/>
        <v>AE052B</v>
      </c>
      <c r="D587" t="str">
        <f t="shared" si="585"/>
        <v>AE052D</v>
      </c>
      <c r="E587" t="str">
        <f t="shared" si="585"/>
        <v>AE052F</v>
      </c>
      <c r="F587" t="str">
        <f t="shared" si="585"/>
        <v>AE0531</v>
      </c>
      <c r="G587" t="str">
        <f t="shared" si="585"/>
        <v>AE0543</v>
      </c>
      <c r="H587" t="str">
        <f t="shared" si="585"/>
        <v>AE0545</v>
      </c>
      <c r="I587" t="str">
        <f t="shared" si="585"/>
        <v>AE0547</v>
      </c>
      <c r="J587" t="str">
        <f t="shared" si="585"/>
        <v>AE0549</v>
      </c>
      <c r="K587" t="str">
        <f t="shared" si="585"/>
        <v>AE0523</v>
      </c>
    </row>
    <row r="588">
      <c r="A588" s="14">
        <v>586.0</v>
      </c>
      <c r="B588" t="str">
        <f t="shared" ref="B588:K588" si="586">DEC2HEX(HEX2DEC(B587)+1)</f>
        <v>AE052A</v>
      </c>
      <c r="C588" t="str">
        <f t="shared" si="586"/>
        <v>AE052C</v>
      </c>
      <c r="D588" t="str">
        <f t="shared" si="586"/>
        <v>AE052E</v>
      </c>
      <c r="E588" t="str">
        <f t="shared" si="586"/>
        <v>AE0530</v>
      </c>
      <c r="F588" t="str">
        <f t="shared" si="586"/>
        <v>AE0532</v>
      </c>
      <c r="G588" t="str">
        <f t="shared" si="586"/>
        <v>AE0544</v>
      </c>
      <c r="H588" t="str">
        <f t="shared" si="586"/>
        <v>AE0546</v>
      </c>
      <c r="I588" t="str">
        <f t="shared" si="586"/>
        <v>AE0548</v>
      </c>
      <c r="J588" t="str">
        <f t="shared" si="586"/>
        <v>AE054A</v>
      </c>
      <c r="K588" t="str">
        <f t="shared" si="586"/>
        <v>AE0524</v>
      </c>
    </row>
    <row r="589">
      <c r="A589" s="14">
        <v>587.0</v>
      </c>
      <c r="B589" t="str">
        <f t="shared" ref="B589:K589" si="587">DEC2HEX(HEX2DEC(B588)+1)</f>
        <v>AE052B</v>
      </c>
      <c r="C589" t="str">
        <f t="shared" si="587"/>
        <v>AE052D</v>
      </c>
      <c r="D589" t="str">
        <f t="shared" si="587"/>
        <v>AE052F</v>
      </c>
      <c r="E589" t="str">
        <f t="shared" si="587"/>
        <v>AE0531</v>
      </c>
      <c r="F589" t="str">
        <f t="shared" si="587"/>
        <v>AE0533</v>
      </c>
      <c r="G589" t="str">
        <f t="shared" si="587"/>
        <v>AE0545</v>
      </c>
      <c r="H589" t="str">
        <f t="shared" si="587"/>
        <v>AE0547</v>
      </c>
      <c r="I589" t="str">
        <f t="shared" si="587"/>
        <v>AE0549</v>
      </c>
      <c r="J589" t="str">
        <f t="shared" si="587"/>
        <v>AE054B</v>
      </c>
      <c r="K589" t="str">
        <f t="shared" si="587"/>
        <v>AE0525</v>
      </c>
    </row>
    <row r="590">
      <c r="A590" s="14">
        <v>588.0</v>
      </c>
      <c r="B590" t="str">
        <f t="shared" ref="B590:K590" si="588">DEC2HEX(HEX2DEC(B589)+1)</f>
        <v>AE052C</v>
      </c>
      <c r="C590" t="str">
        <f t="shared" si="588"/>
        <v>AE052E</v>
      </c>
      <c r="D590" t="str">
        <f t="shared" si="588"/>
        <v>AE0530</v>
      </c>
      <c r="E590" t="str">
        <f t="shared" si="588"/>
        <v>AE0532</v>
      </c>
      <c r="F590" t="str">
        <f t="shared" si="588"/>
        <v>AE0534</v>
      </c>
      <c r="G590" t="str">
        <f t="shared" si="588"/>
        <v>AE0546</v>
      </c>
      <c r="H590" t="str">
        <f t="shared" si="588"/>
        <v>AE0548</v>
      </c>
      <c r="I590" t="str">
        <f t="shared" si="588"/>
        <v>AE054A</v>
      </c>
      <c r="J590" t="str">
        <f t="shared" si="588"/>
        <v>AE054C</v>
      </c>
      <c r="K590" t="str">
        <f t="shared" si="588"/>
        <v>AE0526</v>
      </c>
    </row>
    <row r="591">
      <c r="A591" s="14">
        <v>589.0</v>
      </c>
      <c r="B591" t="str">
        <f t="shared" ref="B591:K591" si="589">DEC2HEX(HEX2DEC(B590)+1)</f>
        <v>AE052D</v>
      </c>
      <c r="C591" t="str">
        <f t="shared" si="589"/>
        <v>AE052F</v>
      </c>
      <c r="D591" t="str">
        <f t="shared" si="589"/>
        <v>AE0531</v>
      </c>
      <c r="E591" t="str">
        <f t="shared" si="589"/>
        <v>AE0533</v>
      </c>
      <c r="F591" t="str">
        <f t="shared" si="589"/>
        <v>AE0535</v>
      </c>
      <c r="G591" t="str">
        <f t="shared" si="589"/>
        <v>AE0547</v>
      </c>
      <c r="H591" t="str">
        <f t="shared" si="589"/>
        <v>AE0549</v>
      </c>
      <c r="I591" t="str">
        <f t="shared" si="589"/>
        <v>AE054B</v>
      </c>
      <c r="J591" t="str">
        <f t="shared" si="589"/>
        <v>AE054D</v>
      </c>
      <c r="K591" t="str">
        <f t="shared" si="589"/>
        <v>AE0527</v>
      </c>
    </row>
    <row r="592">
      <c r="A592" s="14">
        <v>590.0</v>
      </c>
      <c r="B592" t="str">
        <f t="shared" ref="B592:K592" si="590">DEC2HEX(HEX2DEC(B591)+1)</f>
        <v>AE052E</v>
      </c>
      <c r="C592" t="str">
        <f t="shared" si="590"/>
        <v>AE0530</v>
      </c>
      <c r="D592" t="str">
        <f t="shared" si="590"/>
        <v>AE0532</v>
      </c>
      <c r="E592" t="str">
        <f t="shared" si="590"/>
        <v>AE0534</v>
      </c>
      <c r="F592" t="str">
        <f t="shared" si="590"/>
        <v>AE0536</v>
      </c>
      <c r="G592" t="str">
        <f t="shared" si="590"/>
        <v>AE0548</v>
      </c>
      <c r="H592" t="str">
        <f t="shared" si="590"/>
        <v>AE054A</v>
      </c>
      <c r="I592" t="str">
        <f t="shared" si="590"/>
        <v>AE054C</v>
      </c>
      <c r="J592" t="str">
        <f t="shared" si="590"/>
        <v>AE054E</v>
      </c>
      <c r="K592" t="str">
        <f t="shared" si="590"/>
        <v>AE0528</v>
      </c>
    </row>
    <row r="593">
      <c r="A593" s="14">
        <v>591.0</v>
      </c>
      <c r="B593" t="str">
        <f t="shared" ref="B593:K593" si="591">DEC2HEX(HEX2DEC(B592)+1)</f>
        <v>AE052F</v>
      </c>
      <c r="C593" t="str">
        <f t="shared" si="591"/>
        <v>AE0531</v>
      </c>
      <c r="D593" t="str">
        <f t="shared" si="591"/>
        <v>AE0533</v>
      </c>
      <c r="E593" t="str">
        <f t="shared" si="591"/>
        <v>AE0535</v>
      </c>
      <c r="F593" t="str">
        <f t="shared" si="591"/>
        <v>AE0537</v>
      </c>
      <c r="G593" t="str">
        <f t="shared" si="591"/>
        <v>AE0549</v>
      </c>
      <c r="H593" t="str">
        <f t="shared" si="591"/>
        <v>AE054B</v>
      </c>
      <c r="I593" t="str">
        <f t="shared" si="591"/>
        <v>AE054D</v>
      </c>
      <c r="J593" t="str">
        <f t="shared" si="591"/>
        <v>AE054F</v>
      </c>
      <c r="K593" t="str">
        <f t="shared" si="591"/>
        <v>AE0529</v>
      </c>
    </row>
    <row r="594">
      <c r="A594" s="14">
        <v>592.0</v>
      </c>
      <c r="B594" t="str">
        <f t="shared" ref="B594:K594" si="592">DEC2HEX(HEX2DEC(B593)+1)</f>
        <v>AE0530</v>
      </c>
      <c r="C594" t="str">
        <f t="shared" si="592"/>
        <v>AE0532</v>
      </c>
      <c r="D594" t="str">
        <f t="shared" si="592"/>
        <v>AE0534</v>
      </c>
      <c r="E594" t="str">
        <f t="shared" si="592"/>
        <v>AE0536</v>
      </c>
      <c r="F594" t="str">
        <f t="shared" si="592"/>
        <v>AE0538</v>
      </c>
      <c r="G594" t="str">
        <f t="shared" si="592"/>
        <v>AE054A</v>
      </c>
      <c r="H594" t="str">
        <f t="shared" si="592"/>
        <v>AE054C</v>
      </c>
      <c r="I594" t="str">
        <f t="shared" si="592"/>
        <v>AE054E</v>
      </c>
      <c r="J594" t="str">
        <f t="shared" si="592"/>
        <v>AE0550</v>
      </c>
      <c r="K594" t="str">
        <f t="shared" si="592"/>
        <v>AE052A</v>
      </c>
    </row>
    <row r="595">
      <c r="A595" s="14">
        <v>593.0</v>
      </c>
      <c r="B595" t="str">
        <f t="shared" ref="B595:K595" si="593">DEC2HEX(HEX2DEC(B594)+1)</f>
        <v>AE0531</v>
      </c>
      <c r="C595" t="str">
        <f t="shared" si="593"/>
        <v>AE0533</v>
      </c>
      <c r="D595" t="str">
        <f t="shared" si="593"/>
        <v>AE0535</v>
      </c>
      <c r="E595" t="str">
        <f t="shared" si="593"/>
        <v>AE0537</v>
      </c>
      <c r="F595" t="str">
        <f t="shared" si="593"/>
        <v>AE0539</v>
      </c>
      <c r="G595" t="str">
        <f t="shared" si="593"/>
        <v>AE054B</v>
      </c>
      <c r="H595" t="str">
        <f t="shared" si="593"/>
        <v>AE054D</v>
      </c>
      <c r="I595" t="str">
        <f t="shared" si="593"/>
        <v>AE054F</v>
      </c>
      <c r="J595" t="str">
        <f t="shared" si="593"/>
        <v>AE0551</v>
      </c>
      <c r="K595" t="str">
        <f t="shared" si="593"/>
        <v>AE052B</v>
      </c>
    </row>
    <row r="596">
      <c r="A596" s="14">
        <v>594.0</v>
      </c>
      <c r="B596" t="str">
        <f t="shared" ref="B596:K596" si="594">DEC2HEX(HEX2DEC(B595)+1)</f>
        <v>AE0532</v>
      </c>
      <c r="C596" t="str">
        <f t="shared" si="594"/>
        <v>AE0534</v>
      </c>
      <c r="D596" t="str">
        <f t="shared" si="594"/>
        <v>AE0536</v>
      </c>
      <c r="E596" t="str">
        <f t="shared" si="594"/>
        <v>AE0538</v>
      </c>
      <c r="F596" t="str">
        <f t="shared" si="594"/>
        <v>AE053A</v>
      </c>
      <c r="G596" t="str">
        <f t="shared" si="594"/>
        <v>AE054C</v>
      </c>
      <c r="H596" t="str">
        <f t="shared" si="594"/>
        <v>AE054E</v>
      </c>
      <c r="I596" t="str">
        <f t="shared" si="594"/>
        <v>AE0550</v>
      </c>
      <c r="J596" t="str">
        <f t="shared" si="594"/>
        <v>AE0552</v>
      </c>
      <c r="K596" t="str">
        <f t="shared" si="594"/>
        <v>AE052C</v>
      </c>
    </row>
    <row r="597">
      <c r="A597" s="14">
        <v>595.0</v>
      </c>
      <c r="B597" t="str">
        <f t="shared" ref="B597:K597" si="595">DEC2HEX(HEX2DEC(B596)+1)</f>
        <v>AE0533</v>
      </c>
      <c r="C597" t="str">
        <f t="shared" si="595"/>
        <v>AE0535</v>
      </c>
      <c r="D597" t="str">
        <f t="shared" si="595"/>
        <v>AE0537</v>
      </c>
      <c r="E597" t="str">
        <f t="shared" si="595"/>
        <v>AE0539</v>
      </c>
      <c r="F597" t="str">
        <f t="shared" si="595"/>
        <v>AE053B</v>
      </c>
      <c r="G597" t="str">
        <f t="shared" si="595"/>
        <v>AE054D</v>
      </c>
      <c r="H597" t="str">
        <f t="shared" si="595"/>
        <v>AE054F</v>
      </c>
      <c r="I597" t="str">
        <f t="shared" si="595"/>
        <v>AE0551</v>
      </c>
      <c r="J597" t="str">
        <f t="shared" si="595"/>
        <v>AE0553</v>
      </c>
      <c r="K597" t="str">
        <f t="shared" si="595"/>
        <v>AE052D</v>
      </c>
    </row>
    <row r="598">
      <c r="A598" s="14">
        <v>596.0</v>
      </c>
      <c r="B598" t="str">
        <f t="shared" ref="B598:K598" si="596">DEC2HEX(HEX2DEC(B597)+1)</f>
        <v>AE0534</v>
      </c>
      <c r="C598" t="str">
        <f t="shared" si="596"/>
        <v>AE0536</v>
      </c>
      <c r="D598" t="str">
        <f t="shared" si="596"/>
        <v>AE0538</v>
      </c>
      <c r="E598" t="str">
        <f t="shared" si="596"/>
        <v>AE053A</v>
      </c>
      <c r="F598" t="str">
        <f t="shared" si="596"/>
        <v>AE053C</v>
      </c>
      <c r="G598" t="str">
        <f t="shared" si="596"/>
        <v>AE054E</v>
      </c>
      <c r="H598" t="str">
        <f t="shared" si="596"/>
        <v>AE0550</v>
      </c>
      <c r="I598" t="str">
        <f t="shared" si="596"/>
        <v>AE0552</v>
      </c>
      <c r="J598" t="str">
        <f t="shared" si="596"/>
        <v>AE0554</v>
      </c>
      <c r="K598" t="str">
        <f t="shared" si="596"/>
        <v>AE052E</v>
      </c>
    </row>
    <row r="599">
      <c r="A599" s="14">
        <v>597.0</v>
      </c>
      <c r="B599" t="str">
        <f t="shared" ref="B599:K599" si="597">DEC2HEX(HEX2DEC(B598)+1)</f>
        <v>AE0535</v>
      </c>
      <c r="C599" t="str">
        <f t="shared" si="597"/>
        <v>AE0537</v>
      </c>
      <c r="D599" t="str">
        <f t="shared" si="597"/>
        <v>AE0539</v>
      </c>
      <c r="E599" t="str">
        <f t="shared" si="597"/>
        <v>AE053B</v>
      </c>
      <c r="F599" t="str">
        <f t="shared" si="597"/>
        <v>AE053D</v>
      </c>
      <c r="G599" t="str">
        <f t="shared" si="597"/>
        <v>AE054F</v>
      </c>
      <c r="H599" t="str">
        <f t="shared" si="597"/>
        <v>AE0551</v>
      </c>
      <c r="I599" t="str">
        <f t="shared" si="597"/>
        <v>AE0553</v>
      </c>
      <c r="J599" t="str">
        <f t="shared" si="597"/>
        <v>AE0555</v>
      </c>
      <c r="K599" t="str">
        <f t="shared" si="597"/>
        <v>AE052F</v>
      </c>
    </row>
    <row r="600">
      <c r="A600" s="14">
        <v>598.0</v>
      </c>
      <c r="B600" t="str">
        <f t="shared" ref="B600:K600" si="598">DEC2HEX(HEX2DEC(B599)+1)</f>
        <v>AE0536</v>
      </c>
      <c r="C600" t="str">
        <f t="shared" si="598"/>
        <v>AE0538</v>
      </c>
      <c r="D600" t="str">
        <f t="shared" si="598"/>
        <v>AE053A</v>
      </c>
      <c r="E600" t="str">
        <f t="shared" si="598"/>
        <v>AE053C</v>
      </c>
      <c r="F600" t="str">
        <f t="shared" si="598"/>
        <v>AE053E</v>
      </c>
      <c r="G600" t="str">
        <f t="shared" si="598"/>
        <v>AE0550</v>
      </c>
      <c r="H600" t="str">
        <f t="shared" si="598"/>
        <v>AE0552</v>
      </c>
      <c r="I600" t="str">
        <f t="shared" si="598"/>
        <v>AE0554</v>
      </c>
      <c r="J600" t="str">
        <f t="shared" si="598"/>
        <v>AE0556</v>
      </c>
      <c r="K600" t="str">
        <f t="shared" si="598"/>
        <v>AE0530</v>
      </c>
    </row>
    <row r="601">
      <c r="A601" s="14">
        <v>599.0</v>
      </c>
      <c r="B601" t="str">
        <f t="shared" ref="B601:K601" si="599">DEC2HEX(HEX2DEC(B600)+1)</f>
        <v>AE0537</v>
      </c>
      <c r="C601" t="str">
        <f t="shared" si="599"/>
        <v>AE0539</v>
      </c>
      <c r="D601" t="str">
        <f t="shared" si="599"/>
        <v>AE053B</v>
      </c>
      <c r="E601" t="str">
        <f t="shared" si="599"/>
        <v>AE053D</v>
      </c>
      <c r="F601" t="str">
        <f t="shared" si="599"/>
        <v>AE053F</v>
      </c>
      <c r="G601" t="str">
        <f t="shared" si="599"/>
        <v>AE0551</v>
      </c>
      <c r="H601" t="str">
        <f t="shared" si="599"/>
        <v>AE0553</v>
      </c>
      <c r="I601" t="str">
        <f t="shared" si="599"/>
        <v>AE0555</v>
      </c>
      <c r="J601" t="str">
        <f t="shared" si="599"/>
        <v>AE0557</v>
      </c>
      <c r="K601" t="str">
        <f t="shared" si="599"/>
        <v>AE0531</v>
      </c>
    </row>
    <row r="602">
      <c r="A602" s="14">
        <v>600.0</v>
      </c>
      <c r="B602" t="str">
        <f t="shared" ref="B602:K602" si="600">DEC2HEX(HEX2DEC(B601)+1)</f>
        <v>AE0538</v>
      </c>
      <c r="C602" t="str">
        <f t="shared" si="600"/>
        <v>AE053A</v>
      </c>
      <c r="D602" t="str">
        <f t="shared" si="600"/>
        <v>AE053C</v>
      </c>
      <c r="E602" t="str">
        <f t="shared" si="600"/>
        <v>AE053E</v>
      </c>
      <c r="F602" t="str">
        <f t="shared" si="600"/>
        <v>AE0540</v>
      </c>
      <c r="G602" t="str">
        <f t="shared" si="600"/>
        <v>AE0552</v>
      </c>
      <c r="H602" t="str">
        <f t="shared" si="600"/>
        <v>AE0554</v>
      </c>
      <c r="I602" t="str">
        <f t="shared" si="600"/>
        <v>AE0556</v>
      </c>
      <c r="J602" t="str">
        <f t="shared" si="600"/>
        <v>AE0558</v>
      </c>
      <c r="K602" t="str">
        <f t="shared" si="600"/>
        <v>AE0532</v>
      </c>
    </row>
    <row r="603">
      <c r="A603" s="14">
        <v>601.0</v>
      </c>
      <c r="B603" t="str">
        <f t="shared" ref="B603:K603" si="601">DEC2HEX(HEX2DEC(B602)+1)</f>
        <v>AE0539</v>
      </c>
      <c r="C603" t="str">
        <f t="shared" si="601"/>
        <v>AE053B</v>
      </c>
      <c r="D603" t="str">
        <f t="shared" si="601"/>
        <v>AE053D</v>
      </c>
      <c r="E603" t="str">
        <f t="shared" si="601"/>
        <v>AE053F</v>
      </c>
      <c r="F603" t="str">
        <f t="shared" si="601"/>
        <v>AE0541</v>
      </c>
      <c r="G603" t="str">
        <f t="shared" si="601"/>
        <v>AE0553</v>
      </c>
      <c r="H603" t="str">
        <f t="shared" si="601"/>
        <v>AE0555</v>
      </c>
      <c r="I603" t="str">
        <f t="shared" si="601"/>
        <v>AE0557</v>
      </c>
      <c r="J603" t="str">
        <f t="shared" si="601"/>
        <v>AE0559</v>
      </c>
      <c r="K603" t="str">
        <f t="shared" si="601"/>
        <v>AE0533</v>
      </c>
    </row>
    <row r="604">
      <c r="A604" s="14">
        <v>602.0</v>
      </c>
      <c r="B604" t="str">
        <f t="shared" ref="B604:K604" si="602">DEC2HEX(HEX2DEC(B603)+1)</f>
        <v>AE053A</v>
      </c>
      <c r="C604" t="str">
        <f t="shared" si="602"/>
        <v>AE053C</v>
      </c>
      <c r="D604" t="str">
        <f t="shared" si="602"/>
        <v>AE053E</v>
      </c>
      <c r="E604" t="str">
        <f t="shared" si="602"/>
        <v>AE0540</v>
      </c>
      <c r="F604" t="str">
        <f t="shared" si="602"/>
        <v>AE0542</v>
      </c>
      <c r="G604" t="str">
        <f t="shared" si="602"/>
        <v>AE0554</v>
      </c>
      <c r="H604" t="str">
        <f t="shared" si="602"/>
        <v>AE0556</v>
      </c>
      <c r="I604" t="str">
        <f t="shared" si="602"/>
        <v>AE0558</v>
      </c>
      <c r="J604" t="str">
        <f t="shared" si="602"/>
        <v>AE055A</v>
      </c>
      <c r="K604" t="str">
        <f t="shared" si="602"/>
        <v>AE0534</v>
      </c>
    </row>
    <row r="605">
      <c r="A605" s="14">
        <v>603.0</v>
      </c>
      <c r="B605" t="str">
        <f t="shared" ref="B605:K605" si="603">DEC2HEX(HEX2DEC(B604)+1)</f>
        <v>AE053B</v>
      </c>
      <c r="C605" t="str">
        <f t="shared" si="603"/>
        <v>AE053D</v>
      </c>
      <c r="D605" t="str">
        <f t="shared" si="603"/>
        <v>AE053F</v>
      </c>
      <c r="E605" t="str">
        <f t="shared" si="603"/>
        <v>AE0541</v>
      </c>
      <c r="F605" t="str">
        <f t="shared" si="603"/>
        <v>AE0543</v>
      </c>
      <c r="G605" t="str">
        <f t="shared" si="603"/>
        <v>AE0555</v>
      </c>
      <c r="H605" t="str">
        <f t="shared" si="603"/>
        <v>AE0557</v>
      </c>
      <c r="I605" t="str">
        <f t="shared" si="603"/>
        <v>AE0559</v>
      </c>
      <c r="J605" t="str">
        <f t="shared" si="603"/>
        <v>AE055B</v>
      </c>
      <c r="K605" t="str">
        <f t="shared" si="603"/>
        <v>AE0535</v>
      </c>
    </row>
    <row r="606">
      <c r="A606" s="14">
        <v>604.0</v>
      </c>
      <c r="B606" t="str">
        <f t="shared" ref="B606:K606" si="604">DEC2HEX(HEX2DEC(B605)+1)</f>
        <v>AE053C</v>
      </c>
      <c r="C606" t="str">
        <f t="shared" si="604"/>
        <v>AE053E</v>
      </c>
      <c r="D606" t="str">
        <f t="shared" si="604"/>
        <v>AE0540</v>
      </c>
      <c r="E606" t="str">
        <f t="shared" si="604"/>
        <v>AE0542</v>
      </c>
      <c r="F606" t="str">
        <f t="shared" si="604"/>
        <v>AE0544</v>
      </c>
      <c r="G606" t="str">
        <f t="shared" si="604"/>
        <v>AE0556</v>
      </c>
      <c r="H606" t="str">
        <f t="shared" si="604"/>
        <v>AE0558</v>
      </c>
      <c r="I606" t="str">
        <f t="shared" si="604"/>
        <v>AE055A</v>
      </c>
      <c r="J606" t="str">
        <f t="shared" si="604"/>
        <v>AE055C</v>
      </c>
      <c r="K606" t="str">
        <f t="shared" si="604"/>
        <v>AE0536</v>
      </c>
    </row>
    <row r="607">
      <c r="A607" s="14">
        <v>605.0</v>
      </c>
      <c r="B607" t="str">
        <f t="shared" ref="B607:K607" si="605">DEC2HEX(HEX2DEC(B606)+1)</f>
        <v>AE053D</v>
      </c>
      <c r="C607" t="str">
        <f t="shared" si="605"/>
        <v>AE053F</v>
      </c>
      <c r="D607" t="str">
        <f t="shared" si="605"/>
        <v>AE0541</v>
      </c>
      <c r="E607" t="str">
        <f t="shared" si="605"/>
        <v>AE0543</v>
      </c>
      <c r="F607" t="str">
        <f t="shared" si="605"/>
        <v>AE0545</v>
      </c>
      <c r="G607" t="str">
        <f t="shared" si="605"/>
        <v>AE0557</v>
      </c>
      <c r="H607" t="str">
        <f t="shared" si="605"/>
        <v>AE0559</v>
      </c>
      <c r="I607" t="str">
        <f t="shared" si="605"/>
        <v>AE055B</v>
      </c>
      <c r="J607" t="str">
        <f t="shared" si="605"/>
        <v>AE055D</v>
      </c>
      <c r="K607" t="str">
        <f t="shared" si="605"/>
        <v>AE0537</v>
      </c>
    </row>
    <row r="608">
      <c r="A608" s="14">
        <v>606.0</v>
      </c>
      <c r="B608" t="str">
        <f t="shared" ref="B608:K608" si="606">DEC2HEX(HEX2DEC(B607)+1)</f>
        <v>AE053E</v>
      </c>
      <c r="C608" t="str">
        <f t="shared" si="606"/>
        <v>AE0540</v>
      </c>
      <c r="D608" t="str">
        <f t="shared" si="606"/>
        <v>AE0542</v>
      </c>
      <c r="E608" t="str">
        <f t="shared" si="606"/>
        <v>AE0544</v>
      </c>
      <c r="F608" t="str">
        <f t="shared" si="606"/>
        <v>AE0546</v>
      </c>
      <c r="G608" t="str">
        <f t="shared" si="606"/>
        <v>AE0558</v>
      </c>
      <c r="H608" t="str">
        <f t="shared" si="606"/>
        <v>AE055A</v>
      </c>
      <c r="I608" t="str">
        <f t="shared" si="606"/>
        <v>AE055C</v>
      </c>
      <c r="J608" t="str">
        <f t="shared" si="606"/>
        <v>AE055E</v>
      </c>
      <c r="K608" t="str">
        <f t="shared" si="606"/>
        <v>AE0538</v>
      </c>
    </row>
    <row r="609">
      <c r="A609" s="14">
        <v>607.0</v>
      </c>
      <c r="B609" t="str">
        <f t="shared" ref="B609:K609" si="607">DEC2HEX(HEX2DEC(B608)+1)</f>
        <v>AE053F</v>
      </c>
      <c r="C609" t="str">
        <f t="shared" si="607"/>
        <v>AE0541</v>
      </c>
      <c r="D609" t="str">
        <f t="shared" si="607"/>
        <v>AE0543</v>
      </c>
      <c r="E609" t="str">
        <f t="shared" si="607"/>
        <v>AE0545</v>
      </c>
      <c r="F609" t="str">
        <f t="shared" si="607"/>
        <v>AE0547</v>
      </c>
      <c r="G609" t="str">
        <f t="shared" si="607"/>
        <v>AE0559</v>
      </c>
      <c r="H609" t="str">
        <f t="shared" si="607"/>
        <v>AE055B</v>
      </c>
      <c r="I609" t="str">
        <f t="shared" si="607"/>
        <v>AE055D</v>
      </c>
      <c r="J609" t="str">
        <f t="shared" si="607"/>
        <v>AE055F</v>
      </c>
      <c r="K609" t="str">
        <f t="shared" si="607"/>
        <v>AE0539</v>
      </c>
    </row>
    <row r="610">
      <c r="A610" s="14">
        <v>608.0</v>
      </c>
      <c r="B610" t="str">
        <f t="shared" ref="B610:K610" si="608">DEC2HEX(HEX2DEC(B609)+1)</f>
        <v>AE0540</v>
      </c>
      <c r="C610" t="str">
        <f t="shared" si="608"/>
        <v>AE0542</v>
      </c>
      <c r="D610" t="str">
        <f t="shared" si="608"/>
        <v>AE0544</v>
      </c>
      <c r="E610" t="str">
        <f t="shared" si="608"/>
        <v>AE0546</v>
      </c>
      <c r="F610" t="str">
        <f t="shared" si="608"/>
        <v>AE0548</v>
      </c>
      <c r="G610" t="str">
        <f t="shared" si="608"/>
        <v>AE055A</v>
      </c>
      <c r="H610" t="str">
        <f t="shared" si="608"/>
        <v>AE055C</v>
      </c>
      <c r="I610" t="str">
        <f t="shared" si="608"/>
        <v>AE055E</v>
      </c>
      <c r="J610" t="str">
        <f t="shared" si="608"/>
        <v>AE0560</v>
      </c>
      <c r="K610" t="str">
        <f t="shared" si="608"/>
        <v>AE053A</v>
      </c>
    </row>
    <row r="611">
      <c r="A611" s="14">
        <v>609.0</v>
      </c>
      <c r="B611" t="str">
        <f t="shared" ref="B611:K611" si="609">DEC2HEX(HEX2DEC(B610)+1)</f>
        <v>AE0541</v>
      </c>
      <c r="C611" t="str">
        <f t="shared" si="609"/>
        <v>AE0543</v>
      </c>
      <c r="D611" t="str">
        <f t="shared" si="609"/>
        <v>AE0545</v>
      </c>
      <c r="E611" t="str">
        <f t="shared" si="609"/>
        <v>AE0547</v>
      </c>
      <c r="F611" t="str">
        <f t="shared" si="609"/>
        <v>AE0549</v>
      </c>
      <c r="G611" t="str">
        <f t="shared" si="609"/>
        <v>AE055B</v>
      </c>
      <c r="H611" t="str">
        <f t="shared" si="609"/>
        <v>AE055D</v>
      </c>
      <c r="I611" t="str">
        <f t="shared" si="609"/>
        <v>AE055F</v>
      </c>
      <c r="J611" t="str">
        <f t="shared" si="609"/>
        <v>AE0561</v>
      </c>
      <c r="K611" t="str">
        <f t="shared" si="609"/>
        <v>AE053B</v>
      </c>
    </row>
    <row r="612">
      <c r="A612" s="14">
        <v>610.0</v>
      </c>
      <c r="B612" t="str">
        <f t="shared" ref="B612:K612" si="610">DEC2HEX(HEX2DEC(B611)+1)</f>
        <v>AE0542</v>
      </c>
      <c r="C612" t="str">
        <f t="shared" si="610"/>
        <v>AE0544</v>
      </c>
      <c r="D612" t="str">
        <f t="shared" si="610"/>
        <v>AE0546</v>
      </c>
      <c r="E612" t="str">
        <f t="shared" si="610"/>
        <v>AE0548</v>
      </c>
      <c r="F612" t="str">
        <f t="shared" si="610"/>
        <v>AE054A</v>
      </c>
      <c r="G612" t="str">
        <f t="shared" si="610"/>
        <v>AE055C</v>
      </c>
      <c r="H612" t="str">
        <f t="shared" si="610"/>
        <v>AE055E</v>
      </c>
      <c r="I612" t="str">
        <f t="shared" si="610"/>
        <v>AE0560</v>
      </c>
      <c r="J612" t="str">
        <f t="shared" si="610"/>
        <v>AE0562</v>
      </c>
      <c r="K612" t="str">
        <f t="shared" si="610"/>
        <v>AE053C</v>
      </c>
    </row>
    <row r="613">
      <c r="A613" s="14">
        <v>611.0</v>
      </c>
      <c r="B613" t="str">
        <f t="shared" ref="B613:K613" si="611">DEC2HEX(HEX2DEC(B612)+1)</f>
        <v>AE0543</v>
      </c>
      <c r="C613" t="str">
        <f t="shared" si="611"/>
        <v>AE0545</v>
      </c>
      <c r="D613" t="str">
        <f t="shared" si="611"/>
        <v>AE0547</v>
      </c>
      <c r="E613" t="str">
        <f t="shared" si="611"/>
        <v>AE0549</v>
      </c>
      <c r="F613" t="str">
        <f t="shared" si="611"/>
        <v>AE054B</v>
      </c>
      <c r="G613" t="str">
        <f t="shared" si="611"/>
        <v>AE055D</v>
      </c>
      <c r="H613" t="str">
        <f t="shared" si="611"/>
        <v>AE055F</v>
      </c>
      <c r="I613" t="str">
        <f t="shared" si="611"/>
        <v>AE0561</v>
      </c>
      <c r="J613" t="str">
        <f t="shared" si="611"/>
        <v>AE0563</v>
      </c>
      <c r="K613" t="str">
        <f t="shared" si="611"/>
        <v>AE053D</v>
      </c>
    </row>
    <row r="614">
      <c r="A614" s="14">
        <v>612.0</v>
      </c>
      <c r="B614" t="str">
        <f t="shared" ref="B614:K614" si="612">DEC2HEX(HEX2DEC(B613)+1)</f>
        <v>AE0544</v>
      </c>
      <c r="C614" t="str">
        <f t="shared" si="612"/>
        <v>AE0546</v>
      </c>
      <c r="D614" t="str">
        <f t="shared" si="612"/>
        <v>AE0548</v>
      </c>
      <c r="E614" t="str">
        <f t="shared" si="612"/>
        <v>AE054A</v>
      </c>
      <c r="F614" t="str">
        <f t="shared" si="612"/>
        <v>AE054C</v>
      </c>
      <c r="G614" t="str">
        <f t="shared" si="612"/>
        <v>AE055E</v>
      </c>
      <c r="H614" t="str">
        <f t="shared" si="612"/>
        <v>AE0560</v>
      </c>
      <c r="I614" t="str">
        <f t="shared" si="612"/>
        <v>AE0562</v>
      </c>
      <c r="J614" t="str">
        <f t="shared" si="612"/>
        <v>AE0564</v>
      </c>
      <c r="K614" t="str">
        <f t="shared" si="612"/>
        <v>AE053E</v>
      </c>
    </row>
    <row r="615">
      <c r="A615" s="14">
        <v>613.0</v>
      </c>
      <c r="B615" t="str">
        <f t="shared" ref="B615:K615" si="613">DEC2HEX(HEX2DEC(B614)+1)</f>
        <v>AE0545</v>
      </c>
      <c r="C615" t="str">
        <f t="shared" si="613"/>
        <v>AE0547</v>
      </c>
      <c r="D615" t="str">
        <f t="shared" si="613"/>
        <v>AE0549</v>
      </c>
      <c r="E615" t="str">
        <f t="shared" si="613"/>
        <v>AE054B</v>
      </c>
      <c r="F615" t="str">
        <f t="shared" si="613"/>
        <v>AE054D</v>
      </c>
      <c r="G615" t="str">
        <f t="shared" si="613"/>
        <v>AE055F</v>
      </c>
      <c r="H615" t="str">
        <f t="shared" si="613"/>
        <v>AE0561</v>
      </c>
      <c r="I615" t="str">
        <f t="shared" si="613"/>
        <v>AE0563</v>
      </c>
      <c r="J615" t="str">
        <f t="shared" si="613"/>
        <v>AE0565</v>
      </c>
      <c r="K615" t="str">
        <f t="shared" si="613"/>
        <v>AE053F</v>
      </c>
    </row>
    <row r="616">
      <c r="A616" s="14">
        <v>614.0</v>
      </c>
      <c r="B616" t="str">
        <f t="shared" ref="B616:K616" si="614">DEC2HEX(HEX2DEC(B615)+1)</f>
        <v>AE0546</v>
      </c>
      <c r="C616" t="str">
        <f t="shared" si="614"/>
        <v>AE0548</v>
      </c>
      <c r="D616" t="str">
        <f t="shared" si="614"/>
        <v>AE054A</v>
      </c>
      <c r="E616" t="str">
        <f t="shared" si="614"/>
        <v>AE054C</v>
      </c>
      <c r="F616" t="str">
        <f t="shared" si="614"/>
        <v>AE054E</v>
      </c>
      <c r="G616" t="str">
        <f t="shared" si="614"/>
        <v>AE0560</v>
      </c>
      <c r="H616" t="str">
        <f t="shared" si="614"/>
        <v>AE0562</v>
      </c>
      <c r="I616" t="str">
        <f t="shared" si="614"/>
        <v>AE0564</v>
      </c>
      <c r="J616" t="str">
        <f t="shared" si="614"/>
        <v>AE0566</v>
      </c>
      <c r="K616" t="str">
        <f t="shared" si="614"/>
        <v>AE0540</v>
      </c>
    </row>
    <row r="617">
      <c r="A617" s="14">
        <v>615.0</v>
      </c>
      <c r="B617" t="str">
        <f t="shared" ref="B617:K617" si="615">DEC2HEX(HEX2DEC(B616)+1)</f>
        <v>AE0547</v>
      </c>
      <c r="C617" t="str">
        <f t="shared" si="615"/>
        <v>AE0549</v>
      </c>
      <c r="D617" t="str">
        <f t="shared" si="615"/>
        <v>AE054B</v>
      </c>
      <c r="E617" t="str">
        <f t="shared" si="615"/>
        <v>AE054D</v>
      </c>
      <c r="F617" t="str">
        <f t="shared" si="615"/>
        <v>AE054F</v>
      </c>
      <c r="G617" t="str">
        <f t="shared" si="615"/>
        <v>AE0561</v>
      </c>
      <c r="H617" t="str">
        <f t="shared" si="615"/>
        <v>AE0563</v>
      </c>
      <c r="I617" t="str">
        <f t="shared" si="615"/>
        <v>AE0565</v>
      </c>
      <c r="J617" t="str">
        <f t="shared" si="615"/>
        <v>AE0567</v>
      </c>
      <c r="K617" t="str">
        <f t="shared" si="615"/>
        <v>AE0541</v>
      </c>
    </row>
    <row r="618">
      <c r="A618" s="14">
        <v>616.0</v>
      </c>
      <c r="B618" t="str">
        <f t="shared" ref="B618:K618" si="616">DEC2HEX(HEX2DEC(B617)+1)</f>
        <v>AE0548</v>
      </c>
      <c r="C618" t="str">
        <f t="shared" si="616"/>
        <v>AE054A</v>
      </c>
      <c r="D618" t="str">
        <f t="shared" si="616"/>
        <v>AE054C</v>
      </c>
      <c r="E618" t="str">
        <f t="shared" si="616"/>
        <v>AE054E</v>
      </c>
      <c r="F618" t="str">
        <f t="shared" si="616"/>
        <v>AE0550</v>
      </c>
      <c r="G618" t="str">
        <f t="shared" si="616"/>
        <v>AE0562</v>
      </c>
      <c r="H618" t="str">
        <f t="shared" si="616"/>
        <v>AE0564</v>
      </c>
      <c r="I618" t="str">
        <f t="shared" si="616"/>
        <v>AE0566</v>
      </c>
      <c r="J618" t="str">
        <f t="shared" si="616"/>
        <v>AE0568</v>
      </c>
      <c r="K618" t="str">
        <f t="shared" si="616"/>
        <v>AE0542</v>
      </c>
    </row>
    <row r="619">
      <c r="A619" s="14">
        <v>617.0</v>
      </c>
      <c r="B619" t="str">
        <f t="shared" ref="B619:K619" si="617">DEC2HEX(HEX2DEC(B618)+1)</f>
        <v>AE0549</v>
      </c>
      <c r="C619" t="str">
        <f t="shared" si="617"/>
        <v>AE054B</v>
      </c>
      <c r="D619" t="str">
        <f t="shared" si="617"/>
        <v>AE054D</v>
      </c>
      <c r="E619" t="str">
        <f t="shared" si="617"/>
        <v>AE054F</v>
      </c>
      <c r="F619" t="str">
        <f t="shared" si="617"/>
        <v>AE0551</v>
      </c>
      <c r="G619" t="str">
        <f t="shared" si="617"/>
        <v>AE0563</v>
      </c>
      <c r="H619" t="str">
        <f t="shared" si="617"/>
        <v>AE0565</v>
      </c>
      <c r="I619" t="str">
        <f t="shared" si="617"/>
        <v>AE0567</v>
      </c>
      <c r="J619" t="str">
        <f t="shared" si="617"/>
        <v>AE0569</v>
      </c>
      <c r="K619" t="str">
        <f t="shared" si="617"/>
        <v>AE0543</v>
      </c>
    </row>
    <row r="620">
      <c r="A620" s="14">
        <v>618.0</v>
      </c>
      <c r="B620" t="str">
        <f t="shared" ref="B620:K620" si="618">DEC2HEX(HEX2DEC(B619)+1)</f>
        <v>AE054A</v>
      </c>
      <c r="C620" t="str">
        <f t="shared" si="618"/>
        <v>AE054C</v>
      </c>
      <c r="D620" t="str">
        <f t="shared" si="618"/>
        <v>AE054E</v>
      </c>
      <c r="E620" t="str">
        <f t="shared" si="618"/>
        <v>AE0550</v>
      </c>
      <c r="F620" t="str">
        <f t="shared" si="618"/>
        <v>AE0552</v>
      </c>
      <c r="G620" t="str">
        <f t="shared" si="618"/>
        <v>AE0564</v>
      </c>
      <c r="H620" t="str">
        <f t="shared" si="618"/>
        <v>AE0566</v>
      </c>
      <c r="I620" t="str">
        <f t="shared" si="618"/>
        <v>AE0568</v>
      </c>
      <c r="J620" t="str">
        <f t="shared" si="618"/>
        <v>AE056A</v>
      </c>
      <c r="K620" t="str">
        <f t="shared" si="618"/>
        <v>AE0544</v>
      </c>
    </row>
    <row r="621">
      <c r="A621" s="14">
        <v>619.0</v>
      </c>
      <c r="B621" t="str">
        <f t="shared" ref="B621:K621" si="619">DEC2HEX(HEX2DEC(B620)+1)</f>
        <v>AE054B</v>
      </c>
      <c r="C621" t="str">
        <f t="shared" si="619"/>
        <v>AE054D</v>
      </c>
      <c r="D621" t="str">
        <f t="shared" si="619"/>
        <v>AE054F</v>
      </c>
      <c r="E621" t="str">
        <f t="shared" si="619"/>
        <v>AE0551</v>
      </c>
      <c r="F621" t="str">
        <f t="shared" si="619"/>
        <v>AE0553</v>
      </c>
      <c r="G621" t="str">
        <f t="shared" si="619"/>
        <v>AE0565</v>
      </c>
      <c r="H621" t="str">
        <f t="shared" si="619"/>
        <v>AE0567</v>
      </c>
      <c r="I621" t="str">
        <f t="shared" si="619"/>
        <v>AE0569</v>
      </c>
      <c r="J621" t="str">
        <f t="shared" si="619"/>
        <v>AE056B</v>
      </c>
      <c r="K621" t="str">
        <f t="shared" si="619"/>
        <v>AE0545</v>
      </c>
    </row>
    <row r="622">
      <c r="A622" s="14">
        <v>620.0</v>
      </c>
      <c r="B622" t="str">
        <f t="shared" ref="B622:K622" si="620">DEC2HEX(HEX2DEC(B621)+1)</f>
        <v>AE054C</v>
      </c>
      <c r="C622" t="str">
        <f t="shared" si="620"/>
        <v>AE054E</v>
      </c>
      <c r="D622" t="str">
        <f t="shared" si="620"/>
        <v>AE0550</v>
      </c>
      <c r="E622" t="str">
        <f t="shared" si="620"/>
        <v>AE0552</v>
      </c>
      <c r="F622" t="str">
        <f t="shared" si="620"/>
        <v>AE0554</v>
      </c>
      <c r="G622" t="str">
        <f t="shared" si="620"/>
        <v>AE0566</v>
      </c>
      <c r="H622" t="str">
        <f t="shared" si="620"/>
        <v>AE0568</v>
      </c>
      <c r="I622" t="str">
        <f t="shared" si="620"/>
        <v>AE056A</v>
      </c>
      <c r="J622" t="str">
        <f t="shared" si="620"/>
        <v>AE056C</v>
      </c>
      <c r="K622" t="str">
        <f t="shared" si="620"/>
        <v>AE0546</v>
      </c>
    </row>
    <row r="623">
      <c r="A623" s="14">
        <v>621.0</v>
      </c>
      <c r="B623" t="str">
        <f t="shared" ref="B623:K623" si="621">DEC2HEX(HEX2DEC(B622)+1)</f>
        <v>AE054D</v>
      </c>
      <c r="C623" t="str">
        <f t="shared" si="621"/>
        <v>AE054F</v>
      </c>
      <c r="D623" t="str">
        <f t="shared" si="621"/>
        <v>AE0551</v>
      </c>
      <c r="E623" t="str">
        <f t="shared" si="621"/>
        <v>AE0553</v>
      </c>
      <c r="F623" t="str">
        <f t="shared" si="621"/>
        <v>AE0555</v>
      </c>
      <c r="G623" t="str">
        <f t="shared" si="621"/>
        <v>AE0567</v>
      </c>
      <c r="H623" t="str">
        <f t="shared" si="621"/>
        <v>AE0569</v>
      </c>
      <c r="I623" t="str">
        <f t="shared" si="621"/>
        <v>AE056B</v>
      </c>
      <c r="J623" t="str">
        <f t="shared" si="621"/>
        <v>AE056D</v>
      </c>
      <c r="K623" t="str">
        <f t="shared" si="621"/>
        <v>AE0547</v>
      </c>
    </row>
    <row r="624">
      <c r="A624" s="14">
        <v>622.0</v>
      </c>
      <c r="B624" t="str">
        <f t="shared" ref="B624:K624" si="622">DEC2HEX(HEX2DEC(B623)+1)</f>
        <v>AE054E</v>
      </c>
      <c r="C624" t="str">
        <f t="shared" si="622"/>
        <v>AE0550</v>
      </c>
      <c r="D624" t="str">
        <f t="shared" si="622"/>
        <v>AE0552</v>
      </c>
      <c r="E624" t="str">
        <f t="shared" si="622"/>
        <v>AE0554</v>
      </c>
      <c r="F624" t="str">
        <f t="shared" si="622"/>
        <v>AE0556</v>
      </c>
      <c r="G624" t="str">
        <f t="shared" si="622"/>
        <v>AE0568</v>
      </c>
      <c r="H624" t="str">
        <f t="shared" si="622"/>
        <v>AE056A</v>
      </c>
      <c r="I624" t="str">
        <f t="shared" si="622"/>
        <v>AE056C</v>
      </c>
      <c r="J624" t="str">
        <f t="shared" si="622"/>
        <v>AE056E</v>
      </c>
      <c r="K624" t="str">
        <f t="shared" si="622"/>
        <v>AE0548</v>
      </c>
    </row>
    <row r="625">
      <c r="A625" s="14">
        <v>623.0</v>
      </c>
      <c r="B625" t="str">
        <f t="shared" ref="B625:K625" si="623">DEC2HEX(HEX2DEC(B624)+1)</f>
        <v>AE054F</v>
      </c>
      <c r="C625" t="str">
        <f t="shared" si="623"/>
        <v>AE0551</v>
      </c>
      <c r="D625" t="str">
        <f t="shared" si="623"/>
        <v>AE0553</v>
      </c>
      <c r="E625" t="str">
        <f t="shared" si="623"/>
        <v>AE0555</v>
      </c>
      <c r="F625" t="str">
        <f t="shared" si="623"/>
        <v>AE0557</v>
      </c>
      <c r="G625" t="str">
        <f t="shared" si="623"/>
        <v>AE0569</v>
      </c>
      <c r="H625" t="str">
        <f t="shared" si="623"/>
        <v>AE056B</v>
      </c>
      <c r="I625" t="str">
        <f t="shared" si="623"/>
        <v>AE056D</v>
      </c>
      <c r="J625" t="str">
        <f t="shared" si="623"/>
        <v>AE056F</v>
      </c>
      <c r="K625" t="str">
        <f t="shared" si="623"/>
        <v>AE0549</v>
      </c>
    </row>
    <row r="626">
      <c r="A626" s="14">
        <v>624.0</v>
      </c>
      <c r="B626" t="str">
        <f t="shared" ref="B626:K626" si="624">DEC2HEX(HEX2DEC(B625)+1)</f>
        <v>AE0550</v>
      </c>
      <c r="C626" t="str">
        <f t="shared" si="624"/>
        <v>AE0552</v>
      </c>
      <c r="D626" t="str">
        <f t="shared" si="624"/>
        <v>AE0554</v>
      </c>
      <c r="E626" t="str">
        <f t="shared" si="624"/>
        <v>AE0556</v>
      </c>
      <c r="F626" t="str">
        <f t="shared" si="624"/>
        <v>AE0558</v>
      </c>
      <c r="G626" t="str">
        <f t="shared" si="624"/>
        <v>AE056A</v>
      </c>
      <c r="H626" t="str">
        <f t="shared" si="624"/>
        <v>AE056C</v>
      </c>
      <c r="I626" t="str">
        <f t="shared" si="624"/>
        <v>AE056E</v>
      </c>
      <c r="J626" t="str">
        <f t="shared" si="624"/>
        <v>AE0570</v>
      </c>
      <c r="K626" t="str">
        <f t="shared" si="624"/>
        <v>AE054A</v>
      </c>
    </row>
    <row r="627">
      <c r="A627" s="14">
        <v>625.0</v>
      </c>
      <c r="B627" t="str">
        <f t="shared" ref="B627:K627" si="625">DEC2HEX(HEX2DEC(B626)+1)</f>
        <v>AE0551</v>
      </c>
      <c r="C627" t="str">
        <f t="shared" si="625"/>
        <v>AE0553</v>
      </c>
      <c r="D627" t="str">
        <f t="shared" si="625"/>
        <v>AE0555</v>
      </c>
      <c r="E627" t="str">
        <f t="shared" si="625"/>
        <v>AE0557</v>
      </c>
      <c r="F627" t="str">
        <f t="shared" si="625"/>
        <v>AE0559</v>
      </c>
      <c r="G627" t="str">
        <f t="shared" si="625"/>
        <v>AE056B</v>
      </c>
      <c r="H627" t="str">
        <f t="shared" si="625"/>
        <v>AE056D</v>
      </c>
      <c r="I627" t="str">
        <f t="shared" si="625"/>
        <v>AE056F</v>
      </c>
      <c r="J627" t="str">
        <f t="shared" si="625"/>
        <v>AE0571</v>
      </c>
      <c r="K627" t="str">
        <f t="shared" si="625"/>
        <v>AE054B</v>
      </c>
    </row>
    <row r="628">
      <c r="A628" s="14">
        <v>626.0</v>
      </c>
      <c r="B628" t="str">
        <f t="shared" ref="B628:K628" si="626">DEC2HEX(HEX2DEC(B627)+1)</f>
        <v>AE0552</v>
      </c>
      <c r="C628" t="str">
        <f t="shared" si="626"/>
        <v>AE0554</v>
      </c>
      <c r="D628" t="str">
        <f t="shared" si="626"/>
        <v>AE0556</v>
      </c>
      <c r="E628" t="str">
        <f t="shared" si="626"/>
        <v>AE0558</v>
      </c>
      <c r="F628" t="str">
        <f t="shared" si="626"/>
        <v>AE055A</v>
      </c>
      <c r="G628" t="str">
        <f t="shared" si="626"/>
        <v>AE056C</v>
      </c>
      <c r="H628" t="str">
        <f t="shared" si="626"/>
        <v>AE056E</v>
      </c>
      <c r="I628" t="str">
        <f t="shared" si="626"/>
        <v>AE0570</v>
      </c>
      <c r="J628" t="str">
        <f t="shared" si="626"/>
        <v>AE0572</v>
      </c>
      <c r="K628" t="str">
        <f t="shared" si="626"/>
        <v>AE054C</v>
      </c>
    </row>
    <row r="629">
      <c r="A629" s="14">
        <v>627.0</v>
      </c>
      <c r="B629" t="str">
        <f t="shared" ref="B629:K629" si="627">DEC2HEX(HEX2DEC(B628)+1)</f>
        <v>AE0553</v>
      </c>
      <c r="C629" t="str">
        <f t="shared" si="627"/>
        <v>AE0555</v>
      </c>
      <c r="D629" t="str">
        <f t="shared" si="627"/>
        <v>AE0557</v>
      </c>
      <c r="E629" t="str">
        <f t="shared" si="627"/>
        <v>AE0559</v>
      </c>
      <c r="F629" t="str">
        <f t="shared" si="627"/>
        <v>AE055B</v>
      </c>
      <c r="G629" t="str">
        <f t="shared" si="627"/>
        <v>AE056D</v>
      </c>
      <c r="H629" t="str">
        <f t="shared" si="627"/>
        <v>AE056F</v>
      </c>
      <c r="I629" t="str">
        <f t="shared" si="627"/>
        <v>AE0571</v>
      </c>
      <c r="J629" t="str">
        <f t="shared" si="627"/>
        <v>AE0573</v>
      </c>
      <c r="K629" t="str">
        <f t="shared" si="627"/>
        <v>AE054D</v>
      </c>
    </row>
    <row r="630">
      <c r="A630" s="14">
        <v>628.0</v>
      </c>
      <c r="B630" t="str">
        <f t="shared" ref="B630:K630" si="628">DEC2HEX(HEX2DEC(B629)+1)</f>
        <v>AE0554</v>
      </c>
      <c r="C630" t="str">
        <f t="shared" si="628"/>
        <v>AE0556</v>
      </c>
      <c r="D630" t="str">
        <f t="shared" si="628"/>
        <v>AE0558</v>
      </c>
      <c r="E630" t="str">
        <f t="shared" si="628"/>
        <v>AE055A</v>
      </c>
      <c r="F630" t="str">
        <f t="shared" si="628"/>
        <v>AE055C</v>
      </c>
      <c r="G630" t="str">
        <f t="shared" si="628"/>
        <v>AE056E</v>
      </c>
      <c r="H630" t="str">
        <f t="shared" si="628"/>
        <v>AE0570</v>
      </c>
      <c r="I630" t="str">
        <f t="shared" si="628"/>
        <v>AE0572</v>
      </c>
      <c r="J630" t="str">
        <f t="shared" si="628"/>
        <v>AE0574</v>
      </c>
      <c r="K630" t="str">
        <f t="shared" si="628"/>
        <v>AE054E</v>
      </c>
    </row>
    <row r="631">
      <c r="A631" s="14">
        <v>629.0</v>
      </c>
      <c r="B631" t="str">
        <f t="shared" ref="B631:K631" si="629">DEC2HEX(HEX2DEC(B630)+1)</f>
        <v>AE0555</v>
      </c>
      <c r="C631" t="str">
        <f t="shared" si="629"/>
        <v>AE0557</v>
      </c>
      <c r="D631" t="str">
        <f t="shared" si="629"/>
        <v>AE0559</v>
      </c>
      <c r="E631" t="str">
        <f t="shared" si="629"/>
        <v>AE055B</v>
      </c>
      <c r="F631" t="str">
        <f t="shared" si="629"/>
        <v>AE055D</v>
      </c>
      <c r="G631" t="str">
        <f t="shared" si="629"/>
        <v>AE056F</v>
      </c>
      <c r="H631" t="str">
        <f t="shared" si="629"/>
        <v>AE0571</v>
      </c>
      <c r="I631" t="str">
        <f t="shared" si="629"/>
        <v>AE0573</v>
      </c>
      <c r="J631" t="str">
        <f t="shared" si="629"/>
        <v>AE0575</v>
      </c>
      <c r="K631" t="str">
        <f t="shared" si="629"/>
        <v>AE054F</v>
      </c>
    </row>
    <row r="632">
      <c r="A632" s="14">
        <v>630.0</v>
      </c>
      <c r="B632" t="str">
        <f t="shared" ref="B632:K632" si="630">DEC2HEX(HEX2DEC(B631)+1)</f>
        <v>AE0556</v>
      </c>
      <c r="C632" t="str">
        <f t="shared" si="630"/>
        <v>AE0558</v>
      </c>
      <c r="D632" t="str">
        <f t="shared" si="630"/>
        <v>AE055A</v>
      </c>
      <c r="E632" t="str">
        <f t="shared" si="630"/>
        <v>AE055C</v>
      </c>
      <c r="F632" t="str">
        <f t="shared" si="630"/>
        <v>AE055E</v>
      </c>
      <c r="G632" t="str">
        <f t="shared" si="630"/>
        <v>AE0570</v>
      </c>
      <c r="H632" t="str">
        <f t="shared" si="630"/>
        <v>AE0572</v>
      </c>
      <c r="I632" t="str">
        <f t="shared" si="630"/>
        <v>AE0574</v>
      </c>
      <c r="J632" t="str">
        <f t="shared" si="630"/>
        <v>AE0576</v>
      </c>
      <c r="K632" t="str">
        <f t="shared" si="630"/>
        <v>AE0550</v>
      </c>
    </row>
    <row r="633">
      <c r="A633" s="14">
        <v>631.0</v>
      </c>
      <c r="B633" t="str">
        <f t="shared" ref="B633:K633" si="631">DEC2HEX(HEX2DEC(B632)+1)</f>
        <v>AE0557</v>
      </c>
      <c r="C633" t="str">
        <f t="shared" si="631"/>
        <v>AE0559</v>
      </c>
      <c r="D633" t="str">
        <f t="shared" si="631"/>
        <v>AE055B</v>
      </c>
      <c r="E633" t="str">
        <f t="shared" si="631"/>
        <v>AE055D</v>
      </c>
      <c r="F633" t="str">
        <f t="shared" si="631"/>
        <v>AE055F</v>
      </c>
      <c r="G633" t="str">
        <f t="shared" si="631"/>
        <v>AE0571</v>
      </c>
      <c r="H633" t="str">
        <f t="shared" si="631"/>
        <v>AE0573</v>
      </c>
      <c r="I633" t="str">
        <f t="shared" si="631"/>
        <v>AE0575</v>
      </c>
      <c r="J633" t="str">
        <f t="shared" si="631"/>
        <v>AE0577</v>
      </c>
      <c r="K633" t="str">
        <f t="shared" si="631"/>
        <v>AE0551</v>
      </c>
    </row>
    <row r="634">
      <c r="A634" s="14">
        <v>632.0</v>
      </c>
      <c r="B634" t="str">
        <f t="shared" ref="B634:K634" si="632">DEC2HEX(HEX2DEC(B633)+1)</f>
        <v>AE0558</v>
      </c>
      <c r="C634" t="str">
        <f t="shared" si="632"/>
        <v>AE055A</v>
      </c>
      <c r="D634" t="str">
        <f t="shared" si="632"/>
        <v>AE055C</v>
      </c>
      <c r="E634" t="str">
        <f t="shared" si="632"/>
        <v>AE055E</v>
      </c>
      <c r="F634" t="str">
        <f t="shared" si="632"/>
        <v>AE0560</v>
      </c>
      <c r="G634" t="str">
        <f t="shared" si="632"/>
        <v>AE0572</v>
      </c>
      <c r="H634" t="str">
        <f t="shared" si="632"/>
        <v>AE0574</v>
      </c>
      <c r="I634" t="str">
        <f t="shared" si="632"/>
        <v>AE0576</v>
      </c>
      <c r="J634" t="str">
        <f t="shared" si="632"/>
        <v>AE0578</v>
      </c>
      <c r="K634" t="str">
        <f t="shared" si="632"/>
        <v>AE0552</v>
      </c>
    </row>
    <row r="635">
      <c r="A635" s="14">
        <v>633.0</v>
      </c>
      <c r="B635" t="str">
        <f t="shared" ref="B635:K635" si="633">DEC2HEX(HEX2DEC(B634)+1)</f>
        <v>AE0559</v>
      </c>
      <c r="C635" t="str">
        <f t="shared" si="633"/>
        <v>AE055B</v>
      </c>
      <c r="D635" t="str">
        <f t="shared" si="633"/>
        <v>AE055D</v>
      </c>
      <c r="E635" t="str">
        <f t="shared" si="633"/>
        <v>AE055F</v>
      </c>
      <c r="F635" t="str">
        <f t="shared" si="633"/>
        <v>AE0561</v>
      </c>
      <c r="G635" t="str">
        <f t="shared" si="633"/>
        <v>AE0573</v>
      </c>
      <c r="H635" t="str">
        <f t="shared" si="633"/>
        <v>AE0575</v>
      </c>
      <c r="I635" t="str">
        <f t="shared" si="633"/>
        <v>AE0577</v>
      </c>
      <c r="J635" t="str">
        <f t="shared" si="633"/>
        <v>AE0579</v>
      </c>
      <c r="K635" t="str">
        <f t="shared" si="633"/>
        <v>AE0553</v>
      </c>
    </row>
    <row r="636">
      <c r="A636" s="14">
        <v>634.0</v>
      </c>
      <c r="B636" t="str">
        <f t="shared" ref="B636:K636" si="634">DEC2HEX(HEX2DEC(B635)+1)</f>
        <v>AE055A</v>
      </c>
      <c r="C636" t="str">
        <f t="shared" si="634"/>
        <v>AE055C</v>
      </c>
      <c r="D636" t="str">
        <f t="shared" si="634"/>
        <v>AE055E</v>
      </c>
      <c r="E636" t="str">
        <f t="shared" si="634"/>
        <v>AE0560</v>
      </c>
      <c r="F636" t="str">
        <f t="shared" si="634"/>
        <v>AE0562</v>
      </c>
      <c r="G636" t="str">
        <f t="shared" si="634"/>
        <v>AE0574</v>
      </c>
      <c r="H636" t="str">
        <f t="shared" si="634"/>
        <v>AE0576</v>
      </c>
      <c r="I636" t="str">
        <f t="shared" si="634"/>
        <v>AE0578</v>
      </c>
      <c r="J636" t="str">
        <f t="shared" si="634"/>
        <v>AE057A</v>
      </c>
      <c r="K636" t="str">
        <f t="shared" si="634"/>
        <v>AE0554</v>
      </c>
    </row>
    <row r="637">
      <c r="A637" s="14">
        <v>635.0</v>
      </c>
      <c r="B637" t="str">
        <f t="shared" ref="B637:K637" si="635">DEC2HEX(HEX2DEC(B636)+1)</f>
        <v>AE055B</v>
      </c>
      <c r="C637" t="str">
        <f t="shared" si="635"/>
        <v>AE055D</v>
      </c>
      <c r="D637" t="str">
        <f t="shared" si="635"/>
        <v>AE055F</v>
      </c>
      <c r="E637" t="str">
        <f t="shared" si="635"/>
        <v>AE0561</v>
      </c>
      <c r="F637" t="str">
        <f t="shared" si="635"/>
        <v>AE0563</v>
      </c>
      <c r="G637" t="str">
        <f t="shared" si="635"/>
        <v>AE0575</v>
      </c>
      <c r="H637" t="str">
        <f t="shared" si="635"/>
        <v>AE0577</v>
      </c>
      <c r="I637" t="str">
        <f t="shared" si="635"/>
        <v>AE0579</v>
      </c>
      <c r="J637" t="str">
        <f t="shared" si="635"/>
        <v>AE057B</v>
      </c>
      <c r="K637" t="str">
        <f t="shared" si="635"/>
        <v>AE0555</v>
      </c>
    </row>
    <row r="638">
      <c r="A638" s="14">
        <v>636.0</v>
      </c>
      <c r="B638" t="str">
        <f t="shared" ref="B638:K638" si="636">DEC2HEX(HEX2DEC(B637)+1)</f>
        <v>AE055C</v>
      </c>
      <c r="C638" t="str">
        <f t="shared" si="636"/>
        <v>AE055E</v>
      </c>
      <c r="D638" t="str">
        <f t="shared" si="636"/>
        <v>AE0560</v>
      </c>
      <c r="E638" t="str">
        <f t="shared" si="636"/>
        <v>AE0562</v>
      </c>
      <c r="F638" t="str">
        <f t="shared" si="636"/>
        <v>AE0564</v>
      </c>
      <c r="G638" t="str">
        <f t="shared" si="636"/>
        <v>AE0576</v>
      </c>
      <c r="H638" t="str">
        <f t="shared" si="636"/>
        <v>AE0578</v>
      </c>
      <c r="I638" t="str">
        <f t="shared" si="636"/>
        <v>AE057A</v>
      </c>
      <c r="J638" t="str">
        <f t="shared" si="636"/>
        <v>AE057C</v>
      </c>
      <c r="K638" t="str">
        <f t="shared" si="636"/>
        <v>AE0556</v>
      </c>
    </row>
    <row r="639">
      <c r="A639" s="14">
        <v>637.0</v>
      </c>
      <c r="B639" t="str">
        <f t="shared" ref="B639:K639" si="637">DEC2HEX(HEX2DEC(B638)+1)</f>
        <v>AE055D</v>
      </c>
      <c r="C639" t="str">
        <f t="shared" si="637"/>
        <v>AE055F</v>
      </c>
      <c r="D639" t="str">
        <f t="shared" si="637"/>
        <v>AE0561</v>
      </c>
      <c r="E639" t="str">
        <f t="shared" si="637"/>
        <v>AE0563</v>
      </c>
      <c r="F639" t="str">
        <f t="shared" si="637"/>
        <v>AE0565</v>
      </c>
      <c r="G639" t="str">
        <f t="shared" si="637"/>
        <v>AE0577</v>
      </c>
      <c r="H639" t="str">
        <f t="shared" si="637"/>
        <v>AE0579</v>
      </c>
      <c r="I639" t="str">
        <f t="shared" si="637"/>
        <v>AE057B</v>
      </c>
      <c r="J639" t="str">
        <f t="shared" si="637"/>
        <v>AE057D</v>
      </c>
      <c r="K639" t="str">
        <f t="shared" si="637"/>
        <v>AE0557</v>
      </c>
    </row>
    <row r="640">
      <c r="A640" s="14">
        <v>638.0</v>
      </c>
      <c r="B640" t="str">
        <f t="shared" ref="B640:K640" si="638">DEC2HEX(HEX2DEC(B639)+1)</f>
        <v>AE055E</v>
      </c>
      <c r="C640" t="str">
        <f t="shared" si="638"/>
        <v>AE0560</v>
      </c>
      <c r="D640" t="str">
        <f t="shared" si="638"/>
        <v>AE0562</v>
      </c>
      <c r="E640" t="str">
        <f t="shared" si="638"/>
        <v>AE0564</v>
      </c>
      <c r="F640" t="str">
        <f t="shared" si="638"/>
        <v>AE0566</v>
      </c>
      <c r="G640" t="str">
        <f t="shared" si="638"/>
        <v>AE0578</v>
      </c>
      <c r="H640" t="str">
        <f t="shared" si="638"/>
        <v>AE057A</v>
      </c>
      <c r="I640" t="str">
        <f t="shared" si="638"/>
        <v>AE057C</v>
      </c>
      <c r="J640" t="str">
        <f t="shared" si="638"/>
        <v>AE057E</v>
      </c>
      <c r="K640" t="str">
        <f t="shared" si="638"/>
        <v>AE0558</v>
      </c>
    </row>
    <row r="641">
      <c r="A641" s="14">
        <v>639.0</v>
      </c>
      <c r="B641" t="str">
        <f t="shared" ref="B641:K641" si="639">DEC2HEX(HEX2DEC(B640)+1)</f>
        <v>AE055F</v>
      </c>
      <c r="C641" t="str">
        <f t="shared" si="639"/>
        <v>AE0561</v>
      </c>
      <c r="D641" t="str">
        <f t="shared" si="639"/>
        <v>AE0563</v>
      </c>
      <c r="E641" t="str">
        <f t="shared" si="639"/>
        <v>AE0565</v>
      </c>
      <c r="F641" t="str">
        <f t="shared" si="639"/>
        <v>AE0567</v>
      </c>
      <c r="G641" t="str">
        <f t="shared" si="639"/>
        <v>AE0579</v>
      </c>
      <c r="H641" t="str">
        <f t="shared" si="639"/>
        <v>AE057B</v>
      </c>
      <c r="I641" t="str">
        <f t="shared" si="639"/>
        <v>AE057D</v>
      </c>
      <c r="J641" t="str">
        <f t="shared" si="639"/>
        <v>AE057F</v>
      </c>
      <c r="K641" t="str">
        <f t="shared" si="639"/>
        <v>AE0559</v>
      </c>
    </row>
    <row r="642">
      <c r="A642" s="14">
        <v>640.0</v>
      </c>
      <c r="B642" t="str">
        <f t="shared" ref="B642:K642" si="640">DEC2HEX(HEX2DEC(B641)+1)</f>
        <v>AE0560</v>
      </c>
      <c r="C642" t="str">
        <f t="shared" si="640"/>
        <v>AE0562</v>
      </c>
      <c r="D642" t="str">
        <f t="shared" si="640"/>
        <v>AE0564</v>
      </c>
      <c r="E642" t="str">
        <f t="shared" si="640"/>
        <v>AE0566</v>
      </c>
      <c r="F642" t="str">
        <f t="shared" si="640"/>
        <v>AE0568</v>
      </c>
      <c r="G642" t="str">
        <f t="shared" si="640"/>
        <v>AE057A</v>
      </c>
      <c r="H642" t="str">
        <f t="shared" si="640"/>
        <v>AE057C</v>
      </c>
      <c r="I642" t="str">
        <f t="shared" si="640"/>
        <v>AE057E</v>
      </c>
      <c r="J642" t="str">
        <f t="shared" si="640"/>
        <v>AE0580</v>
      </c>
      <c r="K642" t="str">
        <f t="shared" si="640"/>
        <v>AE055A</v>
      </c>
    </row>
    <row r="643">
      <c r="A643" s="14">
        <v>641.0</v>
      </c>
      <c r="B643" t="str">
        <f t="shared" ref="B643:K643" si="641">DEC2HEX(HEX2DEC(B642)+1)</f>
        <v>AE0561</v>
      </c>
      <c r="C643" t="str">
        <f t="shared" si="641"/>
        <v>AE0563</v>
      </c>
      <c r="D643" t="str">
        <f t="shared" si="641"/>
        <v>AE0565</v>
      </c>
      <c r="E643" t="str">
        <f t="shared" si="641"/>
        <v>AE0567</v>
      </c>
      <c r="F643" t="str">
        <f t="shared" si="641"/>
        <v>AE0569</v>
      </c>
      <c r="G643" t="str">
        <f t="shared" si="641"/>
        <v>AE057B</v>
      </c>
      <c r="H643" t="str">
        <f t="shared" si="641"/>
        <v>AE057D</v>
      </c>
      <c r="I643" t="str">
        <f t="shared" si="641"/>
        <v>AE057F</v>
      </c>
      <c r="J643" t="str">
        <f t="shared" si="641"/>
        <v>AE0581</v>
      </c>
      <c r="K643" t="str">
        <f t="shared" si="641"/>
        <v>AE055B</v>
      </c>
    </row>
    <row r="644">
      <c r="A644" s="14">
        <v>642.0</v>
      </c>
      <c r="B644" t="str">
        <f t="shared" ref="B644:K644" si="642">DEC2HEX(HEX2DEC(B643)+1)</f>
        <v>AE0562</v>
      </c>
      <c r="C644" t="str">
        <f t="shared" si="642"/>
        <v>AE0564</v>
      </c>
      <c r="D644" t="str">
        <f t="shared" si="642"/>
        <v>AE0566</v>
      </c>
      <c r="E644" t="str">
        <f t="shared" si="642"/>
        <v>AE0568</v>
      </c>
      <c r="F644" t="str">
        <f t="shared" si="642"/>
        <v>AE056A</v>
      </c>
      <c r="G644" t="str">
        <f t="shared" si="642"/>
        <v>AE057C</v>
      </c>
      <c r="H644" t="str">
        <f t="shared" si="642"/>
        <v>AE057E</v>
      </c>
      <c r="I644" t="str">
        <f t="shared" si="642"/>
        <v>AE0580</v>
      </c>
      <c r="J644" t="str">
        <f t="shared" si="642"/>
        <v>AE0582</v>
      </c>
      <c r="K644" t="str">
        <f t="shared" si="642"/>
        <v>AE055C</v>
      </c>
    </row>
    <row r="645">
      <c r="A645" s="14">
        <v>643.0</v>
      </c>
      <c r="B645" t="str">
        <f t="shared" ref="B645:K645" si="643">DEC2HEX(HEX2DEC(B644)+1)</f>
        <v>AE0563</v>
      </c>
      <c r="C645" t="str">
        <f t="shared" si="643"/>
        <v>AE0565</v>
      </c>
      <c r="D645" t="str">
        <f t="shared" si="643"/>
        <v>AE0567</v>
      </c>
      <c r="E645" t="str">
        <f t="shared" si="643"/>
        <v>AE0569</v>
      </c>
      <c r="F645" t="str">
        <f t="shared" si="643"/>
        <v>AE056B</v>
      </c>
      <c r="G645" t="str">
        <f t="shared" si="643"/>
        <v>AE057D</v>
      </c>
      <c r="H645" t="str">
        <f t="shared" si="643"/>
        <v>AE057F</v>
      </c>
      <c r="I645" t="str">
        <f t="shared" si="643"/>
        <v>AE0581</v>
      </c>
      <c r="J645" t="str">
        <f t="shared" si="643"/>
        <v>AE0583</v>
      </c>
      <c r="K645" t="str">
        <f t="shared" si="643"/>
        <v>AE055D</v>
      </c>
    </row>
    <row r="646">
      <c r="A646" s="14">
        <v>644.0</v>
      </c>
      <c r="B646" t="str">
        <f t="shared" ref="B646:K646" si="644">DEC2HEX(HEX2DEC(B645)+1)</f>
        <v>AE0564</v>
      </c>
      <c r="C646" t="str">
        <f t="shared" si="644"/>
        <v>AE0566</v>
      </c>
      <c r="D646" t="str">
        <f t="shared" si="644"/>
        <v>AE0568</v>
      </c>
      <c r="E646" t="str">
        <f t="shared" si="644"/>
        <v>AE056A</v>
      </c>
      <c r="F646" t="str">
        <f t="shared" si="644"/>
        <v>AE056C</v>
      </c>
      <c r="G646" t="str">
        <f t="shared" si="644"/>
        <v>AE057E</v>
      </c>
      <c r="H646" t="str">
        <f t="shared" si="644"/>
        <v>AE0580</v>
      </c>
      <c r="I646" t="str">
        <f t="shared" si="644"/>
        <v>AE0582</v>
      </c>
      <c r="J646" t="str">
        <f t="shared" si="644"/>
        <v>AE0584</v>
      </c>
      <c r="K646" t="str">
        <f t="shared" si="644"/>
        <v>AE055E</v>
      </c>
    </row>
    <row r="647">
      <c r="A647" s="14">
        <v>645.0</v>
      </c>
      <c r="B647" t="str">
        <f t="shared" ref="B647:K647" si="645">DEC2HEX(HEX2DEC(B646)+1)</f>
        <v>AE0565</v>
      </c>
      <c r="C647" t="str">
        <f t="shared" si="645"/>
        <v>AE0567</v>
      </c>
      <c r="D647" t="str">
        <f t="shared" si="645"/>
        <v>AE0569</v>
      </c>
      <c r="E647" t="str">
        <f t="shared" si="645"/>
        <v>AE056B</v>
      </c>
      <c r="F647" t="str">
        <f t="shared" si="645"/>
        <v>AE056D</v>
      </c>
      <c r="G647" t="str">
        <f t="shared" si="645"/>
        <v>AE057F</v>
      </c>
      <c r="H647" t="str">
        <f t="shared" si="645"/>
        <v>AE0581</v>
      </c>
      <c r="I647" t="str">
        <f t="shared" si="645"/>
        <v>AE0583</v>
      </c>
      <c r="J647" t="str">
        <f t="shared" si="645"/>
        <v>AE0585</v>
      </c>
      <c r="K647" t="str">
        <f t="shared" si="645"/>
        <v>AE055F</v>
      </c>
    </row>
    <row r="648">
      <c r="A648" s="14">
        <v>646.0</v>
      </c>
      <c r="B648" t="str">
        <f t="shared" ref="B648:K648" si="646">DEC2HEX(HEX2DEC(B647)+1)</f>
        <v>AE0566</v>
      </c>
      <c r="C648" t="str">
        <f t="shared" si="646"/>
        <v>AE0568</v>
      </c>
      <c r="D648" t="str">
        <f t="shared" si="646"/>
        <v>AE056A</v>
      </c>
      <c r="E648" t="str">
        <f t="shared" si="646"/>
        <v>AE056C</v>
      </c>
      <c r="F648" t="str">
        <f t="shared" si="646"/>
        <v>AE056E</v>
      </c>
      <c r="G648" t="str">
        <f t="shared" si="646"/>
        <v>AE0580</v>
      </c>
      <c r="H648" t="str">
        <f t="shared" si="646"/>
        <v>AE0582</v>
      </c>
      <c r="I648" t="str">
        <f t="shared" si="646"/>
        <v>AE0584</v>
      </c>
      <c r="J648" t="str">
        <f t="shared" si="646"/>
        <v>AE0586</v>
      </c>
      <c r="K648" t="str">
        <f t="shared" si="646"/>
        <v>AE0560</v>
      </c>
    </row>
    <row r="649">
      <c r="A649" s="14">
        <v>647.0</v>
      </c>
      <c r="B649" t="str">
        <f t="shared" ref="B649:K649" si="647">DEC2HEX(HEX2DEC(B648)+1)</f>
        <v>AE0567</v>
      </c>
      <c r="C649" t="str">
        <f t="shared" si="647"/>
        <v>AE0569</v>
      </c>
      <c r="D649" t="str">
        <f t="shared" si="647"/>
        <v>AE056B</v>
      </c>
      <c r="E649" t="str">
        <f t="shared" si="647"/>
        <v>AE056D</v>
      </c>
      <c r="F649" t="str">
        <f t="shared" si="647"/>
        <v>AE056F</v>
      </c>
      <c r="G649" t="str">
        <f t="shared" si="647"/>
        <v>AE0581</v>
      </c>
      <c r="H649" t="str">
        <f t="shared" si="647"/>
        <v>AE0583</v>
      </c>
      <c r="I649" t="str">
        <f t="shared" si="647"/>
        <v>AE0585</v>
      </c>
      <c r="J649" t="str">
        <f t="shared" si="647"/>
        <v>AE0587</v>
      </c>
      <c r="K649" t="str">
        <f t="shared" si="647"/>
        <v>AE0561</v>
      </c>
    </row>
    <row r="650">
      <c r="A650" s="14">
        <v>648.0</v>
      </c>
      <c r="B650" t="str">
        <f t="shared" ref="B650:K650" si="648">DEC2HEX(HEX2DEC(B649)+1)</f>
        <v>AE0568</v>
      </c>
      <c r="C650" t="str">
        <f t="shared" si="648"/>
        <v>AE056A</v>
      </c>
      <c r="D650" t="str">
        <f t="shared" si="648"/>
        <v>AE056C</v>
      </c>
      <c r="E650" t="str">
        <f t="shared" si="648"/>
        <v>AE056E</v>
      </c>
      <c r="F650" t="str">
        <f t="shared" si="648"/>
        <v>AE0570</v>
      </c>
      <c r="G650" t="str">
        <f t="shared" si="648"/>
        <v>AE0582</v>
      </c>
      <c r="H650" t="str">
        <f t="shared" si="648"/>
        <v>AE0584</v>
      </c>
      <c r="I650" t="str">
        <f t="shared" si="648"/>
        <v>AE0586</v>
      </c>
      <c r="J650" t="str">
        <f t="shared" si="648"/>
        <v>AE0588</v>
      </c>
      <c r="K650" t="str">
        <f t="shared" si="648"/>
        <v>AE0562</v>
      </c>
    </row>
    <row r="651">
      <c r="A651" s="14">
        <v>649.0</v>
      </c>
      <c r="B651" t="str">
        <f t="shared" ref="B651:K651" si="649">DEC2HEX(HEX2DEC(B650)+1)</f>
        <v>AE0569</v>
      </c>
      <c r="C651" t="str">
        <f t="shared" si="649"/>
        <v>AE056B</v>
      </c>
      <c r="D651" t="str">
        <f t="shared" si="649"/>
        <v>AE056D</v>
      </c>
      <c r="E651" t="str">
        <f t="shared" si="649"/>
        <v>AE056F</v>
      </c>
      <c r="F651" t="str">
        <f t="shared" si="649"/>
        <v>AE0571</v>
      </c>
      <c r="G651" t="str">
        <f t="shared" si="649"/>
        <v>AE0583</v>
      </c>
      <c r="H651" t="str">
        <f t="shared" si="649"/>
        <v>AE0585</v>
      </c>
      <c r="I651" t="str">
        <f t="shared" si="649"/>
        <v>AE0587</v>
      </c>
      <c r="J651" t="str">
        <f t="shared" si="649"/>
        <v>AE0589</v>
      </c>
      <c r="K651" t="str">
        <f t="shared" si="649"/>
        <v>AE0563</v>
      </c>
    </row>
    <row r="652">
      <c r="A652" s="14">
        <v>650.0</v>
      </c>
      <c r="B652" t="str">
        <f t="shared" ref="B652:K652" si="650">DEC2HEX(HEX2DEC(B651)+1)</f>
        <v>AE056A</v>
      </c>
      <c r="C652" t="str">
        <f t="shared" si="650"/>
        <v>AE056C</v>
      </c>
      <c r="D652" t="str">
        <f t="shared" si="650"/>
        <v>AE056E</v>
      </c>
      <c r="E652" t="str">
        <f t="shared" si="650"/>
        <v>AE0570</v>
      </c>
      <c r="F652" t="str">
        <f t="shared" si="650"/>
        <v>AE0572</v>
      </c>
      <c r="G652" t="str">
        <f t="shared" si="650"/>
        <v>AE0584</v>
      </c>
      <c r="H652" t="str">
        <f t="shared" si="650"/>
        <v>AE0586</v>
      </c>
      <c r="I652" t="str">
        <f t="shared" si="650"/>
        <v>AE0588</v>
      </c>
      <c r="J652" t="str">
        <f t="shared" si="650"/>
        <v>AE058A</v>
      </c>
      <c r="K652" t="str">
        <f t="shared" si="650"/>
        <v>AE0564</v>
      </c>
    </row>
    <row r="653">
      <c r="A653" s="14">
        <v>651.0</v>
      </c>
      <c r="B653" t="str">
        <f t="shared" ref="B653:K653" si="651">DEC2HEX(HEX2DEC(B652)+1)</f>
        <v>AE056B</v>
      </c>
      <c r="C653" t="str">
        <f t="shared" si="651"/>
        <v>AE056D</v>
      </c>
      <c r="D653" t="str">
        <f t="shared" si="651"/>
        <v>AE056F</v>
      </c>
      <c r="E653" t="str">
        <f t="shared" si="651"/>
        <v>AE0571</v>
      </c>
      <c r="F653" t="str">
        <f t="shared" si="651"/>
        <v>AE0573</v>
      </c>
      <c r="G653" t="str">
        <f t="shared" si="651"/>
        <v>AE0585</v>
      </c>
      <c r="H653" t="str">
        <f t="shared" si="651"/>
        <v>AE0587</v>
      </c>
      <c r="I653" t="str">
        <f t="shared" si="651"/>
        <v>AE0589</v>
      </c>
      <c r="J653" t="str">
        <f t="shared" si="651"/>
        <v>AE058B</v>
      </c>
      <c r="K653" t="str">
        <f t="shared" si="651"/>
        <v>AE0565</v>
      </c>
    </row>
    <row r="654">
      <c r="A654" s="14">
        <v>652.0</v>
      </c>
      <c r="B654" t="str">
        <f t="shared" ref="B654:K654" si="652">DEC2HEX(HEX2DEC(B653)+1)</f>
        <v>AE056C</v>
      </c>
      <c r="C654" t="str">
        <f t="shared" si="652"/>
        <v>AE056E</v>
      </c>
      <c r="D654" t="str">
        <f t="shared" si="652"/>
        <v>AE0570</v>
      </c>
      <c r="E654" t="str">
        <f t="shared" si="652"/>
        <v>AE0572</v>
      </c>
      <c r="F654" t="str">
        <f t="shared" si="652"/>
        <v>AE0574</v>
      </c>
      <c r="G654" t="str">
        <f t="shared" si="652"/>
        <v>AE0586</v>
      </c>
      <c r="H654" t="str">
        <f t="shared" si="652"/>
        <v>AE0588</v>
      </c>
      <c r="I654" t="str">
        <f t="shared" si="652"/>
        <v>AE058A</v>
      </c>
      <c r="J654" t="str">
        <f t="shared" si="652"/>
        <v>AE058C</v>
      </c>
      <c r="K654" t="str">
        <f t="shared" si="652"/>
        <v>AE0566</v>
      </c>
    </row>
    <row r="655">
      <c r="A655" s="14">
        <v>653.0</v>
      </c>
      <c r="B655" t="str">
        <f t="shared" ref="B655:K655" si="653">DEC2HEX(HEX2DEC(B654)+1)</f>
        <v>AE056D</v>
      </c>
      <c r="C655" t="str">
        <f t="shared" si="653"/>
        <v>AE056F</v>
      </c>
      <c r="D655" t="str">
        <f t="shared" si="653"/>
        <v>AE0571</v>
      </c>
      <c r="E655" t="str">
        <f t="shared" si="653"/>
        <v>AE0573</v>
      </c>
      <c r="F655" t="str">
        <f t="shared" si="653"/>
        <v>AE0575</v>
      </c>
      <c r="G655" t="str">
        <f t="shared" si="653"/>
        <v>AE0587</v>
      </c>
      <c r="H655" t="str">
        <f t="shared" si="653"/>
        <v>AE0589</v>
      </c>
      <c r="I655" t="str">
        <f t="shared" si="653"/>
        <v>AE058B</v>
      </c>
      <c r="J655" t="str">
        <f t="shared" si="653"/>
        <v>AE058D</v>
      </c>
      <c r="K655" t="str">
        <f t="shared" si="653"/>
        <v>AE0567</v>
      </c>
    </row>
    <row r="656">
      <c r="A656" s="14">
        <v>654.0</v>
      </c>
      <c r="B656" t="str">
        <f t="shared" ref="B656:K656" si="654">DEC2HEX(HEX2DEC(B655)+1)</f>
        <v>AE056E</v>
      </c>
      <c r="C656" t="str">
        <f t="shared" si="654"/>
        <v>AE0570</v>
      </c>
      <c r="D656" t="str">
        <f t="shared" si="654"/>
        <v>AE0572</v>
      </c>
      <c r="E656" t="str">
        <f t="shared" si="654"/>
        <v>AE0574</v>
      </c>
      <c r="F656" t="str">
        <f t="shared" si="654"/>
        <v>AE0576</v>
      </c>
      <c r="G656" t="str">
        <f t="shared" si="654"/>
        <v>AE0588</v>
      </c>
      <c r="H656" t="str">
        <f t="shared" si="654"/>
        <v>AE058A</v>
      </c>
      <c r="I656" t="str">
        <f t="shared" si="654"/>
        <v>AE058C</v>
      </c>
      <c r="J656" t="str">
        <f t="shared" si="654"/>
        <v>AE058E</v>
      </c>
      <c r="K656" t="str">
        <f t="shared" si="654"/>
        <v>AE0568</v>
      </c>
    </row>
    <row r="657">
      <c r="A657" s="14">
        <v>655.0</v>
      </c>
      <c r="B657" t="str">
        <f t="shared" ref="B657:K657" si="655">DEC2HEX(HEX2DEC(B656)+1)</f>
        <v>AE056F</v>
      </c>
      <c r="C657" t="str">
        <f t="shared" si="655"/>
        <v>AE0571</v>
      </c>
      <c r="D657" t="str">
        <f t="shared" si="655"/>
        <v>AE0573</v>
      </c>
      <c r="E657" t="str">
        <f t="shared" si="655"/>
        <v>AE0575</v>
      </c>
      <c r="F657" t="str">
        <f t="shared" si="655"/>
        <v>AE0577</v>
      </c>
      <c r="G657" t="str">
        <f t="shared" si="655"/>
        <v>AE0589</v>
      </c>
      <c r="H657" t="str">
        <f t="shared" si="655"/>
        <v>AE058B</v>
      </c>
      <c r="I657" t="str">
        <f t="shared" si="655"/>
        <v>AE058D</v>
      </c>
      <c r="J657" t="str">
        <f t="shared" si="655"/>
        <v>AE058F</v>
      </c>
      <c r="K657" t="str">
        <f t="shared" si="655"/>
        <v>AE0569</v>
      </c>
    </row>
    <row r="658">
      <c r="A658" s="14">
        <v>656.0</v>
      </c>
      <c r="B658" t="str">
        <f t="shared" ref="B658:K658" si="656">DEC2HEX(HEX2DEC(B657)+1)</f>
        <v>AE0570</v>
      </c>
      <c r="C658" t="str">
        <f t="shared" si="656"/>
        <v>AE0572</v>
      </c>
      <c r="D658" t="str">
        <f t="shared" si="656"/>
        <v>AE0574</v>
      </c>
      <c r="E658" t="str">
        <f t="shared" si="656"/>
        <v>AE0576</v>
      </c>
      <c r="F658" t="str">
        <f t="shared" si="656"/>
        <v>AE0578</v>
      </c>
      <c r="G658" t="str">
        <f t="shared" si="656"/>
        <v>AE058A</v>
      </c>
      <c r="H658" t="str">
        <f t="shared" si="656"/>
        <v>AE058C</v>
      </c>
      <c r="I658" t="str">
        <f t="shared" si="656"/>
        <v>AE058E</v>
      </c>
      <c r="J658" t="str">
        <f t="shared" si="656"/>
        <v>AE0590</v>
      </c>
      <c r="K658" t="str">
        <f t="shared" si="656"/>
        <v>AE056A</v>
      </c>
    </row>
    <row r="659">
      <c r="A659" s="14">
        <v>657.0</v>
      </c>
      <c r="B659" t="str">
        <f t="shared" ref="B659:K659" si="657">DEC2HEX(HEX2DEC(B658)+1)</f>
        <v>AE0571</v>
      </c>
      <c r="C659" t="str">
        <f t="shared" si="657"/>
        <v>AE0573</v>
      </c>
      <c r="D659" t="str">
        <f t="shared" si="657"/>
        <v>AE0575</v>
      </c>
      <c r="E659" t="str">
        <f t="shared" si="657"/>
        <v>AE0577</v>
      </c>
      <c r="F659" t="str">
        <f t="shared" si="657"/>
        <v>AE0579</v>
      </c>
      <c r="G659" t="str">
        <f t="shared" si="657"/>
        <v>AE058B</v>
      </c>
      <c r="H659" t="str">
        <f t="shared" si="657"/>
        <v>AE058D</v>
      </c>
      <c r="I659" t="str">
        <f t="shared" si="657"/>
        <v>AE058F</v>
      </c>
      <c r="J659" t="str">
        <f t="shared" si="657"/>
        <v>AE0591</v>
      </c>
      <c r="K659" t="str">
        <f t="shared" si="657"/>
        <v>AE056B</v>
      </c>
    </row>
    <row r="660">
      <c r="A660" s="14">
        <v>658.0</v>
      </c>
      <c r="B660" t="str">
        <f t="shared" ref="B660:K660" si="658">DEC2HEX(HEX2DEC(B659)+1)</f>
        <v>AE0572</v>
      </c>
      <c r="C660" t="str">
        <f t="shared" si="658"/>
        <v>AE0574</v>
      </c>
      <c r="D660" t="str">
        <f t="shared" si="658"/>
        <v>AE0576</v>
      </c>
      <c r="E660" t="str">
        <f t="shared" si="658"/>
        <v>AE0578</v>
      </c>
      <c r="F660" t="str">
        <f t="shared" si="658"/>
        <v>AE057A</v>
      </c>
      <c r="G660" t="str">
        <f t="shared" si="658"/>
        <v>AE058C</v>
      </c>
      <c r="H660" t="str">
        <f t="shared" si="658"/>
        <v>AE058E</v>
      </c>
      <c r="I660" t="str">
        <f t="shared" si="658"/>
        <v>AE0590</v>
      </c>
      <c r="J660" t="str">
        <f t="shared" si="658"/>
        <v>AE0592</v>
      </c>
      <c r="K660" t="str">
        <f t="shared" si="658"/>
        <v>AE056C</v>
      </c>
    </row>
    <row r="661">
      <c r="A661" s="14">
        <v>659.0</v>
      </c>
      <c r="B661" t="str">
        <f t="shared" ref="B661:K661" si="659">DEC2HEX(HEX2DEC(B660)+1)</f>
        <v>AE0573</v>
      </c>
      <c r="C661" t="str">
        <f t="shared" si="659"/>
        <v>AE0575</v>
      </c>
      <c r="D661" t="str">
        <f t="shared" si="659"/>
        <v>AE0577</v>
      </c>
      <c r="E661" t="str">
        <f t="shared" si="659"/>
        <v>AE0579</v>
      </c>
      <c r="F661" t="str">
        <f t="shared" si="659"/>
        <v>AE057B</v>
      </c>
      <c r="G661" t="str">
        <f t="shared" si="659"/>
        <v>AE058D</v>
      </c>
      <c r="H661" t="str">
        <f t="shared" si="659"/>
        <v>AE058F</v>
      </c>
      <c r="I661" t="str">
        <f t="shared" si="659"/>
        <v>AE0591</v>
      </c>
      <c r="J661" t="str">
        <f t="shared" si="659"/>
        <v>AE0593</v>
      </c>
      <c r="K661" t="str">
        <f t="shared" si="659"/>
        <v>AE056D</v>
      </c>
    </row>
    <row r="662">
      <c r="A662" s="14">
        <v>660.0</v>
      </c>
      <c r="B662" t="str">
        <f t="shared" ref="B662:K662" si="660">DEC2HEX(HEX2DEC(B661)+1)</f>
        <v>AE0574</v>
      </c>
      <c r="C662" t="str">
        <f t="shared" si="660"/>
        <v>AE0576</v>
      </c>
      <c r="D662" t="str">
        <f t="shared" si="660"/>
        <v>AE0578</v>
      </c>
      <c r="E662" t="str">
        <f t="shared" si="660"/>
        <v>AE057A</v>
      </c>
      <c r="F662" t="str">
        <f t="shared" si="660"/>
        <v>AE057C</v>
      </c>
      <c r="G662" t="str">
        <f t="shared" si="660"/>
        <v>AE058E</v>
      </c>
      <c r="H662" t="str">
        <f t="shared" si="660"/>
        <v>AE0590</v>
      </c>
      <c r="I662" t="str">
        <f t="shared" si="660"/>
        <v>AE0592</v>
      </c>
      <c r="J662" t="str">
        <f t="shared" si="660"/>
        <v>AE0594</v>
      </c>
      <c r="K662" t="str">
        <f t="shared" si="660"/>
        <v>AE056E</v>
      </c>
    </row>
    <row r="663">
      <c r="A663" s="14">
        <v>661.0</v>
      </c>
      <c r="B663" t="str">
        <f t="shared" ref="B663:K663" si="661">DEC2HEX(HEX2DEC(B662)+1)</f>
        <v>AE0575</v>
      </c>
      <c r="C663" t="str">
        <f t="shared" si="661"/>
        <v>AE0577</v>
      </c>
      <c r="D663" t="str">
        <f t="shared" si="661"/>
        <v>AE0579</v>
      </c>
      <c r="E663" t="str">
        <f t="shared" si="661"/>
        <v>AE057B</v>
      </c>
      <c r="F663" t="str">
        <f t="shared" si="661"/>
        <v>AE057D</v>
      </c>
      <c r="G663" t="str">
        <f t="shared" si="661"/>
        <v>AE058F</v>
      </c>
      <c r="H663" t="str">
        <f t="shared" si="661"/>
        <v>AE0591</v>
      </c>
      <c r="I663" t="str">
        <f t="shared" si="661"/>
        <v>AE0593</v>
      </c>
      <c r="J663" t="str">
        <f t="shared" si="661"/>
        <v>AE0595</v>
      </c>
      <c r="K663" t="str">
        <f t="shared" si="661"/>
        <v>AE056F</v>
      </c>
    </row>
    <row r="664">
      <c r="A664" s="14">
        <v>662.0</v>
      </c>
      <c r="B664" t="str">
        <f t="shared" ref="B664:K664" si="662">DEC2HEX(HEX2DEC(B663)+1)</f>
        <v>AE0576</v>
      </c>
      <c r="C664" t="str">
        <f t="shared" si="662"/>
        <v>AE0578</v>
      </c>
      <c r="D664" t="str">
        <f t="shared" si="662"/>
        <v>AE057A</v>
      </c>
      <c r="E664" t="str">
        <f t="shared" si="662"/>
        <v>AE057C</v>
      </c>
      <c r="F664" t="str">
        <f t="shared" si="662"/>
        <v>AE057E</v>
      </c>
      <c r="G664" t="str">
        <f t="shared" si="662"/>
        <v>AE0590</v>
      </c>
      <c r="H664" t="str">
        <f t="shared" si="662"/>
        <v>AE0592</v>
      </c>
      <c r="I664" t="str">
        <f t="shared" si="662"/>
        <v>AE0594</v>
      </c>
      <c r="J664" t="str">
        <f t="shared" si="662"/>
        <v>AE0596</v>
      </c>
      <c r="K664" t="str">
        <f t="shared" si="662"/>
        <v>AE0570</v>
      </c>
    </row>
    <row r="665">
      <c r="A665" s="14">
        <v>663.0</v>
      </c>
      <c r="B665" t="str">
        <f t="shared" ref="B665:K665" si="663">DEC2HEX(HEX2DEC(B664)+1)</f>
        <v>AE0577</v>
      </c>
      <c r="C665" t="str">
        <f t="shared" si="663"/>
        <v>AE0579</v>
      </c>
      <c r="D665" t="str">
        <f t="shared" si="663"/>
        <v>AE057B</v>
      </c>
      <c r="E665" t="str">
        <f t="shared" si="663"/>
        <v>AE057D</v>
      </c>
      <c r="F665" t="str">
        <f t="shared" si="663"/>
        <v>AE057F</v>
      </c>
      <c r="G665" t="str">
        <f t="shared" si="663"/>
        <v>AE0591</v>
      </c>
      <c r="H665" t="str">
        <f t="shared" si="663"/>
        <v>AE0593</v>
      </c>
      <c r="I665" t="str">
        <f t="shared" si="663"/>
        <v>AE0595</v>
      </c>
      <c r="J665" t="str">
        <f t="shared" si="663"/>
        <v>AE0597</v>
      </c>
      <c r="K665" t="str">
        <f t="shared" si="663"/>
        <v>AE0571</v>
      </c>
    </row>
    <row r="666">
      <c r="A666" s="14">
        <v>664.0</v>
      </c>
      <c r="B666" t="str">
        <f t="shared" ref="B666:K666" si="664">DEC2HEX(HEX2DEC(B665)+1)</f>
        <v>AE0578</v>
      </c>
      <c r="C666" t="str">
        <f t="shared" si="664"/>
        <v>AE057A</v>
      </c>
      <c r="D666" t="str">
        <f t="shared" si="664"/>
        <v>AE057C</v>
      </c>
      <c r="E666" t="str">
        <f t="shared" si="664"/>
        <v>AE057E</v>
      </c>
      <c r="F666" t="str">
        <f t="shared" si="664"/>
        <v>AE0580</v>
      </c>
      <c r="G666" t="str">
        <f t="shared" si="664"/>
        <v>AE0592</v>
      </c>
      <c r="H666" t="str">
        <f t="shared" si="664"/>
        <v>AE0594</v>
      </c>
      <c r="I666" t="str">
        <f t="shared" si="664"/>
        <v>AE0596</v>
      </c>
      <c r="J666" t="str">
        <f t="shared" si="664"/>
        <v>AE0598</v>
      </c>
      <c r="K666" t="str">
        <f t="shared" si="664"/>
        <v>AE0572</v>
      </c>
    </row>
    <row r="667">
      <c r="A667" s="14">
        <v>665.0</v>
      </c>
      <c r="B667" t="str">
        <f t="shared" ref="B667:K667" si="665">DEC2HEX(HEX2DEC(B666)+1)</f>
        <v>AE0579</v>
      </c>
      <c r="C667" t="str">
        <f t="shared" si="665"/>
        <v>AE057B</v>
      </c>
      <c r="D667" t="str">
        <f t="shared" si="665"/>
        <v>AE057D</v>
      </c>
      <c r="E667" t="str">
        <f t="shared" si="665"/>
        <v>AE057F</v>
      </c>
      <c r="F667" t="str">
        <f t="shared" si="665"/>
        <v>AE0581</v>
      </c>
      <c r="G667" t="str">
        <f t="shared" si="665"/>
        <v>AE0593</v>
      </c>
      <c r="H667" t="str">
        <f t="shared" si="665"/>
        <v>AE0595</v>
      </c>
      <c r="I667" t="str">
        <f t="shared" si="665"/>
        <v>AE0597</v>
      </c>
      <c r="J667" t="str">
        <f t="shared" si="665"/>
        <v>AE0599</v>
      </c>
      <c r="K667" t="str">
        <f t="shared" si="665"/>
        <v>AE0573</v>
      </c>
    </row>
    <row r="668">
      <c r="A668" s="14">
        <v>666.0</v>
      </c>
      <c r="B668" t="str">
        <f t="shared" ref="B668:K668" si="666">DEC2HEX(HEX2DEC(B667)+1)</f>
        <v>AE057A</v>
      </c>
      <c r="C668" t="str">
        <f t="shared" si="666"/>
        <v>AE057C</v>
      </c>
      <c r="D668" t="str">
        <f t="shared" si="666"/>
        <v>AE057E</v>
      </c>
      <c r="E668" t="str">
        <f t="shared" si="666"/>
        <v>AE0580</v>
      </c>
      <c r="F668" t="str">
        <f t="shared" si="666"/>
        <v>AE0582</v>
      </c>
      <c r="G668" t="str">
        <f t="shared" si="666"/>
        <v>AE0594</v>
      </c>
      <c r="H668" t="str">
        <f t="shared" si="666"/>
        <v>AE0596</v>
      </c>
      <c r="I668" t="str">
        <f t="shared" si="666"/>
        <v>AE0598</v>
      </c>
      <c r="J668" t="str">
        <f t="shared" si="666"/>
        <v>AE059A</v>
      </c>
      <c r="K668" t="str">
        <f t="shared" si="666"/>
        <v>AE0574</v>
      </c>
    </row>
    <row r="669">
      <c r="A669" s="14">
        <v>667.0</v>
      </c>
      <c r="B669" t="str">
        <f t="shared" ref="B669:K669" si="667">DEC2HEX(HEX2DEC(B668)+1)</f>
        <v>AE057B</v>
      </c>
      <c r="C669" t="str">
        <f t="shared" si="667"/>
        <v>AE057D</v>
      </c>
      <c r="D669" t="str">
        <f t="shared" si="667"/>
        <v>AE057F</v>
      </c>
      <c r="E669" t="str">
        <f t="shared" si="667"/>
        <v>AE0581</v>
      </c>
      <c r="F669" t="str">
        <f t="shared" si="667"/>
        <v>AE0583</v>
      </c>
      <c r="G669" t="str">
        <f t="shared" si="667"/>
        <v>AE0595</v>
      </c>
      <c r="H669" t="str">
        <f t="shared" si="667"/>
        <v>AE0597</v>
      </c>
      <c r="I669" t="str">
        <f t="shared" si="667"/>
        <v>AE0599</v>
      </c>
      <c r="J669" t="str">
        <f t="shared" si="667"/>
        <v>AE059B</v>
      </c>
      <c r="K669" t="str">
        <f t="shared" si="667"/>
        <v>AE0575</v>
      </c>
    </row>
    <row r="670">
      <c r="A670" s="14">
        <v>668.0</v>
      </c>
      <c r="B670" t="str">
        <f t="shared" ref="B670:K670" si="668">DEC2HEX(HEX2DEC(B669)+1)</f>
        <v>AE057C</v>
      </c>
      <c r="C670" t="str">
        <f t="shared" si="668"/>
        <v>AE057E</v>
      </c>
      <c r="D670" t="str">
        <f t="shared" si="668"/>
        <v>AE0580</v>
      </c>
      <c r="E670" t="str">
        <f t="shared" si="668"/>
        <v>AE0582</v>
      </c>
      <c r="F670" t="str">
        <f t="shared" si="668"/>
        <v>AE0584</v>
      </c>
      <c r="G670" t="str">
        <f t="shared" si="668"/>
        <v>AE0596</v>
      </c>
      <c r="H670" t="str">
        <f t="shared" si="668"/>
        <v>AE0598</v>
      </c>
      <c r="I670" t="str">
        <f t="shared" si="668"/>
        <v>AE059A</v>
      </c>
      <c r="J670" t="str">
        <f t="shared" si="668"/>
        <v>AE059C</v>
      </c>
      <c r="K670" t="str">
        <f t="shared" si="668"/>
        <v>AE0576</v>
      </c>
    </row>
    <row r="671">
      <c r="A671" s="14">
        <v>669.0</v>
      </c>
      <c r="B671" t="str">
        <f t="shared" ref="B671:K671" si="669">DEC2HEX(HEX2DEC(B670)+1)</f>
        <v>AE057D</v>
      </c>
      <c r="C671" t="str">
        <f t="shared" si="669"/>
        <v>AE057F</v>
      </c>
      <c r="D671" t="str">
        <f t="shared" si="669"/>
        <v>AE0581</v>
      </c>
      <c r="E671" t="str">
        <f t="shared" si="669"/>
        <v>AE0583</v>
      </c>
      <c r="F671" t="str">
        <f t="shared" si="669"/>
        <v>AE0585</v>
      </c>
      <c r="G671" t="str">
        <f t="shared" si="669"/>
        <v>AE0597</v>
      </c>
      <c r="H671" t="str">
        <f t="shared" si="669"/>
        <v>AE0599</v>
      </c>
      <c r="I671" t="str">
        <f t="shared" si="669"/>
        <v>AE059B</v>
      </c>
      <c r="J671" t="str">
        <f t="shared" si="669"/>
        <v>AE059D</v>
      </c>
      <c r="K671" t="str">
        <f t="shared" si="669"/>
        <v>AE0577</v>
      </c>
    </row>
    <row r="672">
      <c r="A672" s="14">
        <v>670.0</v>
      </c>
      <c r="B672" t="str">
        <f t="shared" ref="B672:K672" si="670">DEC2HEX(HEX2DEC(B671)+1)</f>
        <v>AE057E</v>
      </c>
      <c r="C672" t="str">
        <f t="shared" si="670"/>
        <v>AE0580</v>
      </c>
      <c r="D672" t="str">
        <f t="shared" si="670"/>
        <v>AE0582</v>
      </c>
      <c r="E672" t="str">
        <f t="shared" si="670"/>
        <v>AE0584</v>
      </c>
      <c r="F672" t="str">
        <f t="shared" si="670"/>
        <v>AE0586</v>
      </c>
      <c r="G672" t="str">
        <f t="shared" si="670"/>
        <v>AE0598</v>
      </c>
      <c r="H672" t="str">
        <f t="shared" si="670"/>
        <v>AE059A</v>
      </c>
      <c r="I672" t="str">
        <f t="shared" si="670"/>
        <v>AE059C</v>
      </c>
      <c r="J672" t="str">
        <f t="shared" si="670"/>
        <v>AE059E</v>
      </c>
      <c r="K672" t="str">
        <f t="shared" si="670"/>
        <v>AE0578</v>
      </c>
    </row>
    <row r="673">
      <c r="A673" s="14">
        <v>671.0</v>
      </c>
      <c r="B673" t="str">
        <f t="shared" ref="B673:K673" si="671">DEC2HEX(HEX2DEC(B672)+1)</f>
        <v>AE057F</v>
      </c>
      <c r="C673" t="str">
        <f t="shared" si="671"/>
        <v>AE0581</v>
      </c>
      <c r="D673" t="str">
        <f t="shared" si="671"/>
        <v>AE0583</v>
      </c>
      <c r="E673" t="str">
        <f t="shared" si="671"/>
        <v>AE0585</v>
      </c>
      <c r="F673" t="str">
        <f t="shared" si="671"/>
        <v>AE0587</v>
      </c>
      <c r="G673" t="str">
        <f t="shared" si="671"/>
        <v>AE0599</v>
      </c>
      <c r="H673" t="str">
        <f t="shared" si="671"/>
        <v>AE059B</v>
      </c>
      <c r="I673" t="str">
        <f t="shared" si="671"/>
        <v>AE059D</v>
      </c>
      <c r="J673" t="str">
        <f t="shared" si="671"/>
        <v>AE059F</v>
      </c>
      <c r="K673" t="str">
        <f t="shared" si="671"/>
        <v>AE0579</v>
      </c>
    </row>
    <row r="674">
      <c r="A674" s="14">
        <v>672.0</v>
      </c>
      <c r="B674" t="str">
        <f t="shared" ref="B674:K674" si="672">DEC2HEX(HEX2DEC(B673)+1)</f>
        <v>AE0580</v>
      </c>
      <c r="C674" t="str">
        <f t="shared" si="672"/>
        <v>AE0582</v>
      </c>
      <c r="D674" t="str">
        <f t="shared" si="672"/>
        <v>AE0584</v>
      </c>
      <c r="E674" t="str">
        <f t="shared" si="672"/>
        <v>AE0586</v>
      </c>
      <c r="F674" t="str">
        <f t="shared" si="672"/>
        <v>AE0588</v>
      </c>
      <c r="G674" t="str">
        <f t="shared" si="672"/>
        <v>AE059A</v>
      </c>
      <c r="H674" t="str">
        <f t="shared" si="672"/>
        <v>AE059C</v>
      </c>
      <c r="I674" t="str">
        <f t="shared" si="672"/>
        <v>AE059E</v>
      </c>
      <c r="J674" t="str">
        <f t="shared" si="672"/>
        <v>AE05A0</v>
      </c>
      <c r="K674" t="str">
        <f t="shared" si="672"/>
        <v>AE057A</v>
      </c>
    </row>
    <row r="675">
      <c r="A675" s="14">
        <v>673.0</v>
      </c>
      <c r="B675" t="str">
        <f t="shared" ref="B675:K675" si="673">DEC2HEX(HEX2DEC(B674)+1)</f>
        <v>AE0581</v>
      </c>
      <c r="C675" t="str">
        <f t="shared" si="673"/>
        <v>AE0583</v>
      </c>
      <c r="D675" t="str">
        <f t="shared" si="673"/>
        <v>AE0585</v>
      </c>
      <c r="E675" t="str">
        <f t="shared" si="673"/>
        <v>AE0587</v>
      </c>
      <c r="F675" t="str">
        <f t="shared" si="673"/>
        <v>AE0589</v>
      </c>
      <c r="G675" t="str">
        <f t="shared" si="673"/>
        <v>AE059B</v>
      </c>
      <c r="H675" t="str">
        <f t="shared" si="673"/>
        <v>AE059D</v>
      </c>
      <c r="I675" t="str">
        <f t="shared" si="673"/>
        <v>AE059F</v>
      </c>
      <c r="J675" t="str">
        <f t="shared" si="673"/>
        <v>AE05A1</v>
      </c>
      <c r="K675" t="str">
        <f t="shared" si="673"/>
        <v>AE057B</v>
      </c>
    </row>
    <row r="676">
      <c r="A676" s="14">
        <v>674.0</v>
      </c>
      <c r="B676" t="str">
        <f t="shared" ref="B676:K676" si="674">DEC2HEX(HEX2DEC(B675)+1)</f>
        <v>AE0582</v>
      </c>
      <c r="C676" t="str">
        <f t="shared" si="674"/>
        <v>AE0584</v>
      </c>
      <c r="D676" t="str">
        <f t="shared" si="674"/>
        <v>AE0586</v>
      </c>
      <c r="E676" t="str">
        <f t="shared" si="674"/>
        <v>AE0588</v>
      </c>
      <c r="F676" t="str">
        <f t="shared" si="674"/>
        <v>AE058A</v>
      </c>
      <c r="G676" t="str">
        <f t="shared" si="674"/>
        <v>AE059C</v>
      </c>
      <c r="H676" t="str">
        <f t="shared" si="674"/>
        <v>AE059E</v>
      </c>
      <c r="I676" t="str">
        <f t="shared" si="674"/>
        <v>AE05A0</v>
      </c>
      <c r="J676" t="str">
        <f t="shared" si="674"/>
        <v>AE05A2</v>
      </c>
      <c r="K676" t="str">
        <f t="shared" si="674"/>
        <v>AE057C</v>
      </c>
    </row>
    <row r="677">
      <c r="A677" s="14">
        <v>675.0</v>
      </c>
      <c r="B677" t="str">
        <f t="shared" ref="B677:K677" si="675">DEC2HEX(HEX2DEC(B676)+1)</f>
        <v>AE0583</v>
      </c>
      <c r="C677" t="str">
        <f t="shared" si="675"/>
        <v>AE0585</v>
      </c>
      <c r="D677" t="str">
        <f t="shared" si="675"/>
        <v>AE0587</v>
      </c>
      <c r="E677" t="str">
        <f t="shared" si="675"/>
        <v>AE0589</v>
      </c>
      <c r="F677" t="str">
        <f t="shared" si="675"/>
        <v>AE058B</v>
      </c>
      <c r="G677" t="str">
        <f t="shared" si="675"/>
        <v>AE059D</v>
      </c>
      <c r="H677" t="str">
        <f t="shared" si="675"/>
        <v>AE059F</v>
      </c>
      <c r="I677" t="str">
        <f t="shared" si="675"/>
        <v>AE05A1</v>
      </c>
      <c r="J677" t="str">
        <f t="shared" si="675"/>
        <v>AE05A3</v>
      </c>
      <c r="K677" t="str">
        <f t="shared" si="675"/>
        <v>AE057D</v>
      </c>
    </row>
    <row r="678">
      <c r="A678" s="14">
        <v>676.0</v>
      </c>
      <c r="B678" t="str">
        <f t="shared" ref="B678:K678" si="676">DEC2HEX(HEX2DEC(B677)+1)</f>
        <v>AE0584</v>
      </c>
      <c r="C678" t="str">
        <f t="shared" si="676"/>
        <v>AE0586</v>
      </c>
      <c r="D678" t="str">
        <f t="shared" si="676"/>
        <v>AE0588</v>
      </c>
      <c r="E678" t="str">
        <f t="shared" si="676"/>
        <v>AE058A</v>
      </c>
      <c r="F678" t="str">
        <f t="shared" si="676"/>
        <v>AE058C</v>
      </c>
      <c r="G678" t="str">
        <f t="shared" si="676"/>
        <v>AE059E</v>
      </c>
      <c r="H678" t="str">
        <f t="shared" si="676"/>
        <v>AE05A0</v>
      </c>
      <c r="I678" t="str">
        <f t="shared" si="676"/>
        <v>AE05A2</v>
      </c>
      <c r="J678" t="str">
        <f t="shared" si="676"/>
        <v>AE05A4</v>
      </c>
      <c r="K678" t="str">
        <f t="shared" si="676"/>
        <v>AE057E</v>
      </c>
    </row>
    <row r="679">
      <c r="A679" s="14">
        <v>677.0</v>
      </c>
      <c r="B679" t="str">
        <f t="shared" ref="B679:K679" si="677">DEC2HEX(HEX2DEC(B678)+1)</f>
        <v>AE0585</v>
      </c>
      <c r="C679" t="str">
        <f t="shared" si="677"/>
        <v>AE0587</v>
      </c>
      <c r="D679" t="str">
        <f t="shared" si="677"/>
        <v>AE0589</v>
      </c>
      <c r="E679" t="str">
        <f t="shared" si="677"/>
        <v>AE058B</v>
      </c>
      <c r="F679" t="str">
        <f t="shared" si="677"/>
        <v>AE058D</v>
      </c>
      <c r="G679" t="str">
        <f t="shared" si="677"/>
        <v>AE059F</v>
      </c>
      <c r="H679" t="str">
        <f t="shared" si="677"/>
        <v>AE05A1</v>
      </c>
      <c r="I679" t="str">
        <f t="shared" si="677"/>
        <v>AE05A3</v>
      </c>
      <c r="J679" t="str">
        <f t="shared" si="677"/>
        <v>AE05A5</v>
      </c>
      <c r="K679" t="str">
        <f t="shared" si="677"/>
        <v>AE057F</v>
      </c>
    </row>
    <row r="680">
      <c r="A680" s="14">
        <v>678.0</v>
      </c>
      <c r="B680" t="str">
        <f t="shared" ref="B680:K680" si="678">DEC2HEX(HEX2DEC(B679)+1)</f>
        <v>AE0586</v>
      </c>
      <c r="C680" t="str">
        <f t="shared" si="678"/>
        <v>AE0588</v>
      </c>
      <c r="D680" t="str">
        <f t="shared" si="678"/>
        <v>AE058A</v>
      </c>
      <c r="E680" t="str">
        <f t="shared" si="678"/>
        <v>AE058C</v>
      </c>
      <c r="F680" t="str">
        <f t="shared" si="678"/>
        <v>AE058E</v>
      </c>
      <c r="G680" t="str">
        <f t="shared" si="678"/>
        <v>AE05A0</v>
      </c>
      <c r="H680" t="str">
        <f t="shared" si="678"/>
        <v>AE05A2</v>
      </c>
      <c r="I680" t="str">
        <f t="shared" si="678"/>
        <v>AE05A4</v>
      </c>
      <c r="J680" t="str">
        <f t="shared" si="678"/>
        <v>AE05A6</v>
      </c>
      <c r="K680" t="str">
        <f t="shared" si="678"/>
        <v>AE0580</v>
      </c>
    </row>
    <row r="681">
      <c r="A681" s="14">
        <v>679.0</v>
      </c>
      <c r="B681" t="str">
        <f t="shared" ref="B681:K681" si="679">DEC2HEX(HEX2DEC(B680)+1)</f>
        <v>AE0587</v>
      </c>
      <c r="C681" t="str">
        <f t="shared" si="679"/>
        <v>AE0589</v>
      </c>
      <c r="D681" t="str">
        <f t="shared" si="679"/>
        <v>AE058B</v>
      </c>
      <c r="E681" t="str">
        <f t="shared" si="679"/>
        <v>AE058D</v>
      </c>
      <c r="F681" t="str">
        <f t="shared" si="679"/>
        <v>AE058F</v>
      </c>
      <c r="G681" t="str">
        <f t="shared" si="679"/>
        <v>AE05A1</v>
      </c>
      <c r="H681" t="str">
        <f t="shared" si="679"/>
        <v>AE05A3</v>
      </c>
      <c r="I681" t="str">
        <f t="shared" si="679"/>
        <v>AE05A5</v>
      </c>
      <c r="J681" t="str">
        <f t="shared" si="679"/>
        <v>AE05A7</v>
      </c>
      <c r="K681" t="str">
        <f t="shared" si="679"/>
        <v>AE0581</v>
      </c>
    </row>
    <row r="682">
      <c r="A682" s="14">
        <v>680.0</v>
      </c>
      <c r="B682" t="str">
        <f t="shared" ref="B682:K682" si="680">DEC2HEX(HEX2DEC(B681)+1)</f>
        <v>AE0588</v>
      </c>
      <c r="C682" t="str">
        <f t="shared" si="680"/>
        <v>AE058A</v>
      </c>
      <c r="D682" t="str">
        <f t="shared" si="680"/>
        <v>AE058C</v>
      </c>
      <c r="E682" t="str">
        <f t="shared" si="680"/>
        <v>AE058E</v>
      </c>
      <c r="F682" t="str">
        <f t="shared" si="680"/>
        <v>AE0590</v>
      </c>
      <c r="G682" t="str">
        <f t="shared" si="680"/>
        <v>AE05A2</v>
      </c>
      <c r="H682" t="str">
        <f t="shared" si="680"/>
        <v>AE05A4</v>
      </c>
      <c r="I682" t="str">
        <f t="shared" si="680"/>
        <v>AE05A6</v>
      </c>
      <c r="J682" t="str">
        <f t="shared" si="680"/>
        <v>AE05A8</v>
      </c>
      <c r="K682" t="str">
        <f t="shared" si="680"/>
        <v>AE0582</v>
      </c>
    </row>
    <row r="683">
      <c r="A683" s="14">
        <v>681.0</v>
      </c>
      <c r="B683" t="str">
        <f t="shared" ref="B683:K683" si="681">DEC2HEX(HEX2DEC(B682)+1)</f>
        <v>AE0589</v>
      </c>
      <c r="C683" t="str">
        <f t="shared" si="681"/>
        <v>AE058B</v>
      </c>
      <c r="D683" t="str">
        <f t="shared" si="681"/>
        <v>AE058D</v>
      </c>
      <c r="E683" t="str">
        <f t="shared" si="681"/>
        <v>AE058F</v>
      </c>
      <c r="F683" t="str">
        <f t="shared" si="681"/>
        <v>AE0591</v>
      </c>
      <c r="G683" t="str">
        <f t="shared" si="681"/>
        <v>AE05A3</v>
      </c>
      <c r="H683" t="str">
        <f t="shared" si="681"/>
        <v>AE05A5</v>
      </c>
      <c r="I683" t="str">
        <f t="shared" si="681"/>
        <v>AE05A7</v>
      </c>
      <c r="J683" t="str">
        <f t="shared" si="681"/>
        <v>AE05A9</v>
      </c>
      <c r="K683" t="str">
        <f t="shared" si="681"/>
        <v>AE0583</v>
      </c>
    </row>
    <row r="684">
      <c r="A684" s="14">
        <v>682.0</v>
      </c>
      <c r="B684" t="str">
        <f t="shared" ref="B684:K684" si="682">DEC2HEX(HEX2DEC(B683)+1)</f>
        <v>AE058A</v>
      </c>
      <c r="C684" t="str">
        <f t="shared" si="682"/>
        <v>AE058C</v>
      </c>
      <c r="D684" t="str">
        <f t="shared" si="682"/>
        <v>AE058E</v>
      </c>
      <c r="E684" t="str">
        <f t="shared" si="682"/>
        <v>AE0590</v>
      </c>
      <c r="F684" t="str">
        <f t="shared" si="682"/>
        <v>AE0592</v>
      </c>
      <c r="G684" t="str">
        <f t="shared" si="682"/>
        <v>AE05A4</v>
      </c>
      <c r="H684" t="str">
        <f t="shared" si="682"/>
        <v>AE05A6</v>
      </c>
      <c r="I684" t="str">
        <f t="shared" si="682"/>
        <v>AE05A8</v>
      </c>
      <c r="J684" t="str">
        <f t="shared" si="682"/>
        <v>AE05AA</v>
      </c>
      <c r="K684" t="str">
        <f t="shared" si="682"/>
        <v>AE0584</v>
      </c>
    </row>
    <row r="685">
      <c r="A685" s="14">
        <v>683.0</v>
      </c>
      <c r="B685" t="str">
        <f t="shared" ref="B685:K685" si="683">DEC2HEX(HEX2DEC(B684)+1)</f>
        <v>AE058B</v>
      </c>
      <c r="C685" t="str">
        <f t="shared" si="683"/>
        <v>AE058D</v>
      </c>
      <c r="D685" t="str">
        <f t="shared" si="683"/>
        <v>AE058F</v>
      </c>
      <c r="E685" t="str">
        <f t="shared" si="683"/>
        <v>AE0591</v>
      </c>
      <c r="F685" t="str">
        <f t="shared" si="683"/>
        <v>AE0593</v>
      </c>
      <c r="G685" t="str">
        <f t="shared" si="683"/>
        <v>AE05A5</v>
      </c>
      <c r="H685" t="str">
        <f t="shared" si="683"/>
        <v>AE05A7</v>
      </c>
      <c r="I685" t="str">
        <f t="shared" si="683"/>
        <v>AE05A9</v>
      </c>
      <c r="J685" t="str">
        <f t="shared" si="683"/>
        <v>AE05AB</v>
      </c>
      <c r="K685" t="str">
        <f t="shared" si="683"/>
        <v>AE0585</v>
      </c>
    </row>
    <row r="686">
      <c r="A686" s="14">
        <v>684.0</v>
      </c>
      <c r="B686" t="str">
        <f t="shared" ref="B686:K686" si="684">DEC2HEX(HEX2DEC(B685)+1)</f>
        <v>AE058C</v>
      </c>
      <c r="C686" t="str">
        <f t="shared" si="684"/>
        <v>AE058E</v>
      </c>
      <c r="D686" t="str">
        <f t="shared" si="684"/>
        <v>AE0590</v>
      </c>
      <c r="E686" t="str">
        <f t="shared" si="684"/>
        <v>AE0592</v>
      </c>
      <c r="F686" t="str">
        <f t="shared" si="684"/>
        <v>AE0594</v>
      </c>
      <c r="G686" t="str">
        <f t="shared" si="684"/>
        <v>AE05A6</v>
      </c>
      <c r="H686" t="str">
        <f t="shared" si="684"/>
        <v>AE05A8</v>
      </c>
      <c r="I686" t="str">
        <f t="shared" si="684"/>
        <v>AE05AA</v>
      </c>
      <c r="J686" t="str">
        <f t="shared" si="684"/>
        <v>AE05AC</v>
      </c>
      <c r="K686" t="str">
        <f t="shared" si="684"/>
        <v>AE0586</v>
      </c>
    </row>
    <row r="687">
      <c r="A687" s="14">
        <v>685.0</v>
      </c>
      <c r="B687" t="str">
        <f t="shared" ref="B687:K687" si="685">DEC2HEX(HEX2DEC(B686)+1)</f>
        <v>AE058D</v>
      </c>
      <c r="C687" t="str">
        <f t="shared" si="685"/>
        <v>AE058F</v>
      </c>
      <c r="D687" t="str">
        <f t="shared" si="685"/>
        <v>AE0591</v>
      </c>
      <c r="E687" t="str">
        <f t="shared" si="685"/>
        <v>AE0593</v>
      </c>
      <c r="F687" t="str">
        <f t="shared" si="685"/>
        <v>AE0595</v>
      </c>
      <c r="G687" t="str">
        <f t="shared" si="685"/>
        <v>AE05A7</v>
      </c>
      <c r="H687" t="str">
        <f t="shared" si="685"/>
        <v>AE05A9</v>
      </c>
      <c r="I687" t="str">
        <f t="shared" si="685"/>
        <v>AE05AB</v>
      </c>
      <c r="J687" t="str">
        <f t="shared" si="685"/>
        <v>AE05AD</v>
      </c>
      <c r="K687" t="str">
        <f t="shared" si="685"/>
        <v>AE0587</v>
      </c>
    </row>
    <row r="688">
      <c r="A688" s="14">
        <v>686.0</v>
      </c>
      <c r="B688" t="str">
        <f t="shared" ref="B688:K688" si="686">DEC2HEX(HEX2DEC(B687)+1)</f>
        <v>AE058E</v>
      </c>
      <c r="C688" t="str">
        <f t="shared" si="686"/>
        <v>AE0590</v>
      </c>
      <c r="D688" t="str">
        <f t="shared" si="686"/>
        <v>AE0592</v>
      </c>
      <c r="E688" t="str">
        <f t="shared" si="686"/>
        <v>AE0594</v>
      </c>
      <c r="F688" t="str">
        <f t="shared" si="686"/>
        <v>AE0596</v>
      </c>
      <c r="G688" t="str">
        <f t="shared" si="686"/>
        <v>AE05A8</v>
      </c>
      <c r="H688" t="str">
        <f t="shared" si="686"/>
        <v>AE05AA</v>
      </c>
      <c r="I688" t="str">
        <f t="shared" si="686"/>
        <v>AE05AC</v>
      </c>
      <c r="J688" t="str">
        <f t="shared" si="686"/>
        <v>AE05AE</v>
      </c>
      <c r="K688" t="str">
        <f t="shared" si="686"/>
        <v>AE0588</v>
      </c>
    </row>
    <row r="689">
      <c r="A689" s="14">
        <v>687.0</v>
      </c>
      <c r="B689" t="str">
        <f t="shared" ref="B689:K689" si="687">DEC2HEX(HEX2DEC(B688)+1)</f>
        <v>AE058F</v>
      </c>
      <c r="C689" t="str">
        <f t="shared" si="687"/>
        <v>AE0591</v>
      </c>
      <c r="D689" t="str">
        <f t="shared" si="687"/>
        <v>AE0593</v>
      </c>
      <c r="E689" t="str">
        <f t="shared" si="687"/>
        <v>AE0595</v>
      </c>
      <c r="F689" t="str">
        <f t="shared" si="687"/>
        <v>AE0597</v>
      </c>
      <c r="G689" t="str">
        <f t="shared" si="687"/>
        <v>AE05A9</v>
      </c>
      <c r="H689" t="str">
        <f t="shared" si="687"/>
        <v>AE05AB</v>
      </c>
      <c r="I689" t="str">
        <f t="shared" si="687"/>
        <v>AE05AD</v>
      </c>
      <c r="J689" t="str">
        <f t="shared" si="687"/>
        <v>AE05AF</v>
      </c>
      <c r="K689" t="str">
        <f t="shared" si="687"/>
        <v>AE0589</v>
      </c>
    </row>
    <row r="690">
      <c r="A690" s="14">
        <v>688.0</v>
      </c>
      <c r="B690" t="str">
        <f t="shared" ref="B690:K690" si="688">DEC2HEX(HEX2DEC(B689)+1)</f>
        <v>AE0590</v>
      </c>
      <c r="C690" t="str">
        <f t="shared" si="688"/>
        <v>AE0592</v>
      </c>
      <c r="D690" t="str">
        <f t="shared" si="688"/>
        <v>AE0594</v>
      </c>
      <c r="E690" t="str">
        <f t="shared" si="688"/>
        <v>AE0596</v>
      </c>
      <c r="F690" t="str">
        <f t="shared" si="688"/>
        <v>AE0598</v>
      </c>
      <c r="G690" t="str">
        <f t="shared" si="688"/>
        <v>AE05AA</v>
      </c>
      <c r="H690" t="str">
        <f t="shared" si="688"/>
        <v>AE05AC</v>
      </c>
      <c r="I690" t="str">
        <f t="shared" si="688"/>
        <v>AE05AE</v>
      </c>
      <c r="J690" t="str">
        <f t="shared" si="688"/>
        <v>AE05B0</v>
      </c>
      <c r="K690" t="str">
        <f t="shared" si="688"/>
        <v>AE058A</v>
      </c>
    </row>
    <row r="691">
      <c r="A691" s="14">
        <v>689.0</v>
      </c>
      <c r="B691" t="str">
        <f t="shared" ref="B691:K691" si="689">DEC2HEX(HEX2DEC(B690)+1)</f>
        <v>AE0591</v>
      </c>
      <c r="C691" t="str">
        <f t="shared" si="689"/>
        <v>AE0593</v>
      </c>
      <c r="D691" t="str">
        <f t="shared" si="689"/>
        <v>AE0595</v>
      </c>
      <c r="E691" t="str">
        <f t="shared" si="689"/>
        <v>AE0597</v>
      </c>
      <c r="F691" t="str">
        <f t="shared" si="689"/>
        <v>AE0599</v>
      </c>
      <c r="G691" t="str">
        <f t="shared" si="689"/>
        <v>AE05AB</v>
      </c>
      <c r="H691" t="str">
        <f t="shared" si="689"/>
        <v>AE05AD</v>
      </c>
      <c r="I691" t="str">
        <f t="shared" si="689"/>
        <v>AE05AF</v>
      </c>
      <c r="J691" t="str">
        <f t="shared" si="689"/>
        <v>AE05B1</v>
      </c>
      <c r="K691" t="str">
        <f t="shared" si="689"/>
        <v>AE058B</v>
      </c>
    </row>
    <row r="692">
      <c r="A692" s="14">
        <v>690.0</v>
      </c>
      <c r="B692" t="str">
        <f t="shared" ref="B692:K692" si="690">DEC2HEX(HEX2DEC(B691)+1)</f>
        <v>AE0592</v>
      </c>
      <c r="C692" t="str">
        <f t="shared" si="690"/>
        <v>AE0594</v>
      </c>
      <c r="D692" t="str">
        <f t="shared" si="690"/>
        <v>AE0596</v>
      </c>
      <c r="E692" t="str">
        <f t="shared" si="690"/>
        <v>AE0598</v>
      </c>
      <c r="F692" t="str">
        <f t="shared" si="690"/>
        <v>AE059A</v>
      </c>
      <c r="G692" t="str">
        <f t="shared" si="690"/>
        <v>AE05AC</v>
      </c>
      <c r="H692" t="str">
        <f t="shared" si="690"/>
        <v>AE05AE</v>
      </c>
      <c r="I692" t="str">
        <f t="shared" si="690"/>
        <v>AE05B0</v>
      </c>
      <c r="J692" t="str">
        <f t="shared" si="690"/>
        <v>AE05B2</v>
      </c>
      <c r="K692" t="str">
        <f t="shared" si="690"/>
        <v>AE058C</v>
      </c>
    </row>
    <row r="693">
      <c r="A693" s="14">
        <v>691.0</v>
      </c>
      <c r="B693" t="str">
        <f t="shared" ref="B693:K693" si="691">DEC2HEX(HEX2DEC(B692)+1)</f>
        <v>AE0593</v>
      </c>
      <c r="C693" t="str">
        <f t="shared" si="691"/>
        <v>AE0595</v>
      </c>
      <c r="D693" t="str">
        <f t="shared" si="691"/>
        <v>AE0597</v>
      </c>
      <c r="E693" t="str">
        <f t="shared" si="691"/>
        <v>AE0599</v>
      </c>
      <c r="F693" t="str">
        <f t="shared" si="691"/>
        <v>AE059B</v>
      </c>
      <c r="G693" t="str">
        <f t="shared" si="691"/>
        <v>AE05AD</v>
      </c>
      <c r="H693" t="str">
        <f t="shared" si="691"/>
        <v>AE05AF</v>
      </c>
      <c r="I693" t="str">
        <f t="shared" si="691"/>
        <v>AE05B1</v>
      </c>
      <c r="J693" t="str">
        <f t="shared" si="691"/>
        <v>AE05B3</v>
      </c>
      <c r="K693" t="str">
        <f t="shared" si="691"/>
        <v>AE058D</v>
      </c>
    </row>
    <row r="694">
      <c r="A694" s="14">
        <v>692.0</v>
      </c>
      <c r="B694" t="str">
        <f t="shared" ref="B694:K694" si="692">DEC2HEX(HEX2DEC(B693)+1)</f>
        <v>AE0594</v>
      </c>
      <c r="C694" t="str">
        <f t="shared" si="692"/>
        <v>AE0596</v>
      </c>
      <c r="D694" t="str">
        <f t="shared" si="692"/>
        <v>AE0598</v>
      </c>
      <c r="E694" t="str">
        <f t="shared" si="692"/>
        <v>AE059A</v>
      </c>
      <c r="F694" t="str">
        <f t="shared" si="692"/>
        <v>AE059C</v>
      </c>
      <c r="G694" t="str">
        <f t="shared" si="692"/>
        <v>AE05AE</v>
      </c>
      <c r="H694" t="str">
        <f t="shared" si="692"/>
        <v>AE05B0</v>
      </c>
      <c r="I694" t="str">
        <f t="shared" si="692"/>
        <v>AE05B2</v>
      </c>
      <c r="J694" t="str">
        <f t="shared" si="692"/>
        <v>AE05B4</v>
      </c>
      <c r="K694" t="str">
        <f t="shared" si="692"/>
        <v>AE058E</v>
      </c>
    </row>
    <row r="695">
      <c r="A695" s="14">
        <v>693.0</v>
      </c>
      <c r="B695" t="str">
        <f t="shared" ref="B695:K695" si="693">DEC2HEX(HEX2DEC(B694)+1)</f>
        <v>AE0595</v>
      </c>
      <c r="C695" t="str">
        <f t="shared" si="693"/>
        <v>AE0597</v>
      </c>
      <c r="D695" t="str">
        <f t="shared" si="693"/>
        <v>AE0599</v>
      </c>
      <c r="E695" t="str">
        <f t="shared" si="693"/>
        <v>AE059B</v>
      </c>
      <c r="F695" t="str">
        <f t="shared" si="693"/>
        <v>AE059D</v>
      </c>
      <c r="G695" t="str">
        <f t="shared" si="693"/>
        <v>AE05AF</v>
      </c>
      <c r="H695" t="str">
        <f t="shared" si="693"/>
        <v>AE05B1</v>
      </c>
      <c r="I695" t="str">
        <f t="shared" si="693"/>
        <v>AE05B3</v>
      </c>
      <c r="J695" t="str">
        <f t="shared" si="693"/>
        <v>AE05B5</v>
      </c>
      <c r="K695" t="str">
        <f t="shared" si="693"/>
        <v>AE058F</v>
      </c>
    </row>
    <row r="696">
      <c r="A696" s="14">
        <v>694.0</v>
      </c>
      <c r="B696" t="str">
        <f t="shared" ref="B696:K696" si="694">DEC2HEX(HEX2DEC(B695)+1)</f>
        <v>AE0596</v>
      </c>
      <c r="C696" t="str">
        <f t="shared" si="694"/>
        <v>AE0598</v>
      </c>
      <c r="D696" t="str">
        <f t="shared" si="694"/>
        <v>AE059A</v>
      </c>
      <c r="E696" t="str">
        <f t="shared" si="694"/>
        <v>AE059C</v>
      </c>
      <c r="F696" t="str">
        <f t="shared" si="694"/>
        <v>AE059E</v>
      </c>
      <c r="G696" t="str">
        <f t="shared" si="694"/>
        <v>AE05B0</v>
      </c>
      <c r="H696" t="str">
        <f t="shared" si="694"/>
        <v>AE05B2</v>
      </c>
      <c r="I696" t="str">
        <f t="shared" si="694"/>
        <v>AE05B4</v>
      </c>
      <c r="J696" t="str">
        <f t="shared" si="694"/>
        <v>AE05B6</v>
      </c>
      <c r="K696" t="str">
        <f t="shared" si="694"/>
        <v>AE0590</v>
      </c>
    </row>
    <row r="697">
      <c r="A697" s="14">
        <v>695.0</v>
      </c>
      <c r="B697" t="str">
        <f t="shared" ref="B697:K697" si="695">DEC2HEX(HEX2DEC(B696)+1)</f>
        <v>AE0597</v>
      </c>
      <c r="C697" t="str">
        <f t="shared" si="695"/>
        <v>AE0599</v>
      </c>
      <c r="D697" t="str">
        <f t="shared" si="695"/>
        <v>AE059B</v>
      </c>
      <c r="E697" t="str">
        <f t="shared" si="695"/>
        <v>AE059D</v>
      </c>
      <c r="F697" t="str">
        <f t="shared" si="695"/>
        <v>AE059F</v>
      </c>
      <c r="G697" t="str">
        <f t="shared" si="695"/>
        <v>AE05B1</v>
      </c>
      <c r="H697" t="str">
        <f t="shared" si="695"/>
        <v>AE05B3</v>
      </c>
      <c r="I697" t="str">
        <f t="shared" si="695"/>
        <v>AE05B5</v>
      </c>
      <c r="J697" t="str">
        <f t="shared" si="695"/>
        <v>AE05B7</v>
      </c>
      <c r="K697" t="str">
        <f t="shared" si="695"/>
        <v>AE0591</v>
      </c>
    </row>
    <row r="698">
      <c r="A698" s="14">
        <v>696.0</v>
      </c>
      <c r="B698" t="str">
        <f t="shared" ref="B698:K698" si="696">DEC2HEX(HEX2DEC(B697)+1)</f>
        <v>AE0598</v>
      </c>
      <c r="C698" t="str">
        <f t="shared" si="696"/>
        <v>AE059A</v>
      </c>
      <c r="D698" t="str">
        <f t="shared" si="696"/>
        <v>AE059C</v>
      </c>
      <c r="E698" t="str">
        <f t="shared" si="696"/>
        <v>AE059E</v>
      </c>
      <c r="F698" t="str">
        <f t="shared" si="696"/>
        <v>AE05A0</v>
      </c>
      <c r="G698" t="str">
        <f t="shared" si="696"/>
        <v>AE05B2</v>
      </c>
      <c r="H698" t="str">
        <f t="shared" si="696"/>
        <v>AE05B4</v>
      </c>
      <c r="I698" t="str">
        <f t="shared" si="696"/>
        <v>AE05B6</v>
      </c>
      <c r="J698" t="str">
        <f t="shared" si="696"/>
        <v>AE05B8</v>
      </c>
      <c r="K698" t="str">
        <f t="shared" si="696"/>
        <v>AE0592</v>
      </c>
    </row>
    <row r="699">
      <c r="A699" s="14">
        <v>697.0</v>
      </c>
      <c r="B699" t="str">
        <f t="shared" ref="B699:K699" si="697">DEC2HEX(HEX2DEC(B698)+1)</f>
        <v>AE0599</v>
      </c>
      <c r="C699" t="str">
        <f t="shared" si="697"/>
        <v>AE059B</v>
      </c>
      <c r="D699" t="str">
        <f t="shared" si="697"/>
        <v>AE059D</v>
      </c>
      <c r="E699" t="str">
        <f t="shared" si="697"/>
        <v>AE059F</v>
      </c>
      <c r="F699" t="str">
        <f t="shared" si="697"/>
        <v>AE05A1</v>
      </c>
      <c r="G699" t="str">
        <f t="shared" si="697"/>
        <v>AE05B3</v>
      </c>
      <c r="H699" t="str">
        <f t="shared" si="697"/>
        <v>AE05B5</v>
      </c>
      <c r="I699" t="str">
        <f t="shared" si="697"/>
        <v>AE05B7</v>
      </c>
      <c r="J699" t="str">
        <f t="shared" si="697"/>
        <v>AE05B9</v>
      </c>
      <c r="K699" t="str">
        <f t="shared" si="697"/>
        <v>AE0593</v>
      </c>
    </row>
    <row r="700">
      <c r="A700" s="14">
        <v>698.0</v>
      </c>
      <c r="B700" t="str">
        <f t="shared" ref="B700:K700" si="698">DEC2HEX(HEX2DEC(B699)+1)</f>
        <v>AE059A</v>
      </c>
      <c r="C700" t="str">
        <f t="shared" si="698"/>
        <v>AE059C</v>
      </c>
      <c r="D700" t="str">
        <f t="shared" si="698"/>
        <v>AE059E</v>
      </c>
      <c r="E700" t="str">
        <f t="shared" si="698"/>
        <v>AE05A0</v>
      </c>
      <c r="F700" t="str">
        <f t="shared" si="698"/>
        <v>AE05A2</v>
      </c>
      <c r="G700" t="str">
        <f t="shared" si="698"/>
        <v>AE05B4</v>
      </c>
      <c r="H700" t="str">
        <f t="shared" si="698"/>
        <v>AE05B6</v>
      </c>
      <c r="I700" t="str">
        <f t="shared" si="698"/>
        <v>AE05B8</v>
      </c>
      <c r="J700" t="str">
        <f t="shared" si="698"/>
        <v>AE05BA</v>
      </c>
      <c r="K700" t="str">
        <f t="shared" si="698"/>
        <v>AE0594</v>
      </c>
    </row>
    <row r="701">
      <c r="A701" s="14">
        <v>699.0</v>
      </c>
      <c r="B701" t="str">
        <f t="shared" ref="B701:K701" si="699">DEC2HEX(HEX2DEC(B700)+1)</f>
        <v>AE059B</v>
      </c>
      <c r="C701" t="str">
        <f t="shared" si="699"/>
        <v>AE059D</v>
      </c>
      <c r="D701" t="str">
        <f t="shared" si="699"/>
        <v>AE059F</v>
      </c>
      <c r="E701" t="str">
        <f t="shared" si="699"/>
        <v>AE05A1</v>
      </c>
      <c r="F701" t="str">
        <f t="shared" si="699"/>
        <v>AE05A3</v>
      </c>
      <c r="G701" t="str">
        <f t="shared" si="699"/>
        <v>AE05B5</v>
      </c>
      <c r="H701" t="str">
        <f t="shared" si="699"/>
        <v>AE05B7</v>
      </c>
      <c r="I701" t="str">
        <f t="shared" si="699"/>
        <v>AE05B9</v>
      </c>
      <c r="J701" t="str">
        <f t="shared" si="699"/>
        <v>AE05BB</v>
      </c>
      <c r="K701" t="str">
        <f t="shared" si="699"/>
        <v>AE0595</v>
      </c>
    </row>
    <row r="702">
      <c r="A702" s="14">
        <v>700.0</v>
      </c>
      <c r="B702" t="str">
        <f t="shared" ref="B702:K702" si="700">DEC2HEX(HEX2DEC(B701)+1)</f>
        <v>AE059C</v>
      </c>
      <c r="C702" t="str">
        <f t="shared" si="700"/>
        <v>AE059E</v>
      </c>
      <c r="D702" t="str">
        <f t="shared" si="700"/>
        <v>AE05A0</v>
      </c>
      <c r="E702" t="str">
        <f t="shared" si="700"/>
        <v>AE05A2</v>
      </c>
      <c r="F702" t="str">
        <f t="shared" si="700"/>
        <v>AE05A4</v>
      </c>
      <c r="G702" t="str">
        <f t="shared" si="700"/>
        <v>AE05B6</v>
      </c>
      <c r="H702" t="str">
        <f t="shared" si="700"/>
        <v>AE05B8</v>
      </c>
      <c r="I702" t="str">
        <f t="shared" si="700"/>
        <v>AE05BA</v>
      </c>
      <c r="J702" t="str">
        <f t="shared" si="700"/>
        <v>AE05BC</v>
      </c>
      <c r="K702" t="str">
        <f t="shared" si="700"/>
        <v>AE0596</v>
      </c>
    </row>
    <row r="703">
      <c r="A703" s="14">
        <v>701.0</v>
      </c>
      <c r="B703" t="str">
        <f t="shared" ref="B703:K703" si="701">DEC2HEX(HEX2DEC(B702)+1)</f>
        <v>AE059D</v>
      </c>
      <c r="C703" t="str">
        <f t="shared" si="701"/>
        <v>AE059F</v>
      </c>
      <c r="D703" t="str">
        <f t="shared" si="701"/>
        <v>AE05A1</v>
      </c>
      <c r="E703" t="str">
        <f t="shared" si="701"/>
        <v>AE05A3</v>
      </c>
      <c r="F703" t="str">
        <f t="shared" si="701"/>
        <v>AE05A5</v>
      </c>
      <c r="G703" t="str">
        <f t="shared" si="701"/>
        <v>AE05B7</v>
      </c>
      <c r="H703" t="str">
        <f t="shared" si="701"/>
        <v>AE05B9</v>
      </c>
      <c r="I703" t="str">
        <f t="shared" si="701"/>
        <v>AE05BB</v>
      </c>
      <c r="J703" t="str">
        <f t="shared" si="701"/>
        <v>AE05BD</v>
      </c>
      <c r="K703" t="str">
        <f t="shared" si="701"/>
        <v>AE0597</v>
      </c>
    </row>
    <row r="704">
      <c r="A704" s="14">
        <v>702.0</v>
      </c>
      <c r="B704" t="str">
        <f t="shared" ref="B704:K704" si="702">DEC2HEX(HEX2DEC(B703)+1)</f>
        <v>AE059E</v>
      </c>
      <c r="C704" t="str">
        <f t="shared" si="702"/>
        <v>AE05A0</v>
      </c>
      <c r="D704" t="str">
        <f t="shared" si="702"/>
        <v>AE05A2</v>
      </c>
      <c r="E704" t="str">
        <f t="shared" si="702"/>
        <v>AE05A4</v>
      </c>
      <c r="F704" t="str">
        <f t="shared" si="702"/>
        <v>AE05A6</v>
      </c>
      <c r="G704" t="str">
        <f t="shared" si="702"/>
        <v>AE05B8</v>
      </c>
      <c r="H704" t="str">
        <f t="shared" si="702"/>
        <v>AE05BA</v>
      </c>
      <c r="I704" t="str">
        <f t="shared" si="702"/>
        <v>AE05BC</v>
      </c>
      <c r="J704" t="str">
        <f t="shared" si="702"/>
        <v>AE05BE</v>
      </c>
      <c r="K704" t="str">
        <f t="shared" si="702"/>
        <v>AE0598</v>
      </c>
    </row>
    <row r="705">
      <c r="A705" s="14">
        <v>703.0</v>
      </c>
      <c r="B705" t="str">
        <f t="shared" ref="B705:K705" si="703">DEC2HEX(HEX2DEC(B704)+1)</f>
        <v>AE059F</v>
      </c>
      <c r="C705" t="str">
        <f t="shared" si="703"/>
        <v>AE05A1</v>
      </c>
      <c r="D705" t="str">
        <f t="shared" si="703"/>
        <v>AE05A3</v>
      </c>
      <c r="E705" t="str">
        <f t="shared" si="703"/>
        <v>AE05A5</v>
      </c>
      <c r="F705" t="str">
        <f t="shared" si="703"/>
        <v>AE05A7</v>
      </c>
      <c r="G705" t="str">
        <f t="shared" si="703"/>
        <v>AE05B9</v>
      </c>
      <c r="H705" t="str">
        <f t="shared" si="703"/>
        <v>AE05BB</v>
      </c>
      <c r="I705" t="str">
        <f t="shared" si="703"/>
        <v>AE05BD</v>
      </c>
      <c r="J705" t="str">
        <f t="shared" si="703"/>
        <v>AE05BF</v>
      </c>
      <c r="K705" t="str">
        <f t="shared" si="703"/>
        <v>AE0599</v>
      </c>
    </row>
    <row r="706">
      <c r="A706" s="14">
        <v>704.0</v>
      </c>
      <c r="B706" t="str">
        <f t="shared" ref="B706:K706" si="704">DEC2HEX(HEX2DEC(B705)+1)</f>
        <v>AE05A0</v>
      </c>
      <c r="C706" t="str">
        <f t="shared" si="704"/>
        <v>AE05A2</v>
      </c>
      <c r="D706" t="str">
        <f t="shared" si="704"/>
        <v>AE05A4</v>
      </c>
      <c r="E706" t="str">
        <f t="shared" si="704"/>
        <v>AE05A6</v>
      </c>
      <c r="F706" t="str">
        <f t="shared" si="704"/>
        <v>AE05A8</v>
      </c>
      <c r="G706" t="str">
        <f t="shared" si="704"/>
        <v>AE05BA</v>
      </c>
      <c r="H706" t="str">
        <f t="shared" si="704"/>
        <v>AE05BC</v>
      </c>
      <c r="I706" t="str">
        <f t="shared" si="704"/>
        <v>AE05BE</v>
      </c>
      <c r="J706" t="str">
        <f t="shared" si="704"/>
        <v>AE05C0</v>
      </c>
      <c r="K706" t="str">
        <f t="shared" si="704"/>
        <v>AE059A</v>
      </c>
    </row>
    <row r="707">
      <c r="A707" s="14">
        <v>705.0</v>
      </c>
      <c r="B707" t="str">
        <f t="shared" ref="B707:K707" si="705">DEC2HEX(HEX2DEC(B706)+1)</f>
        <v>AE05A1</v>
      </c>
      <c r="C707" t="str">
        <f t="shared" si="705"/>
        <v>AE05A3</v>
      </c>
      <c r="D707" t="str">
        <f t="shared" si="705"/>
        <v>AE05A5</v>
      </c>
      <c r="E707" t="str">
        <f t="shared" si="705"/>
        <v>AE05A7</v>
      </c>
      <c r="F707" t="str">
        <f t="shared" si="705"/>
        <v>AE05A9</v>
      </c>
      <c r="G707" t="str">
        <f t="shared" si="705"/>
        <v>AE05BB</v>
      </c>
      <c r="H707" t="str">
        <f t="shared" si="705"/>
        <v>AE05BD</v>
      </c>
      <c r="I707" t="str">
        <f t="shared" si="705"/>
        <v>AE05BF</v>
      </c>
      <c r="J707" t="str">
        <f t="shared" si="705"/>
        <v>AE05C1</v>
      </c>
      <c r="K707" t="str">
        <f t="shared" si="705"/>
        <v>AE059B</v>
      </c>
    </row>
    <row r="708">
      <c r="A708" s="14">
        <v>706.0</v>
      </c>
      <c r="B708" t="str">
        <f t="shared" ref="B708:K708" si="706">DEC2HEX(HEX2DEC(B707)+1)</f>
        <v>AE05A2</v>
      </c>
      <c r="C708" t="str">
        <f t="shared" si="706"/>
        <v>AE05A4</v>
      </c>
      <c r="D708" t="str">
        <f t="shared" si="706"/>
        <v>AE05A6</v>
      </c>
      <c r="E708" t="str">
        <f t="shared" si="706"/>
        <v>AE05A8</v>
      </c>
      <c r="F708" t="str">
        <f t="shared" si="706"/>
        <v>AE05AA</v>
      </c>
      <c r="G708" t="str">
        <f t="shared" si="706"/>
        <v>AE05BC</v>
      </c>
      <c r="H708" t="str">
        <f t="shared" si="706"/>
        <v>AE05BE</v>
      </c>
      <c r="I708" t="str">
        <f t="shared" si="706"/>
        <v>AE05C0</v>
      </c>
      <c r="J708" t="str">
        <f t="shared" si="706"/>
        <v>AE05C2</v>
      </c>
      <c r="K708" t="str">
        <f t="shared" si="706"/>
        <v>AE059C</v>
      </c>
    </row>
    <row r="709">
      <c r="A709" s="14">
        <v>707.0</v>
      </c>
      <c r="B709" t="str">
        <f t="shared" ref="B709:K709" si="707">DEC2HEX(HEX2DEC(B708)+1)</f>
        <v>AE05A3</v>
      </c>
      <c r="C709" t="str">
        <f t="shared" si="707"/>
        <v>AE05A5</v>
      </c>
      <c r="D709" t="str">
        <f t="shared" si="707"/>
        <v>AE05A7</v>
      </c>
      <c r="E709" t="str">
        <f t="shared" si="707"/>
        <v>AE05A9</v>
      </c>
      <c r="F709" t="str">
        <f t="shared" si="707"/>
        <v>AE05AB</v>
      </c>
      <c r="G709" t="str">
        <f t="shared" si="707"/>
        <v>AE05BD</v>
      </c>
      <c r="H709" t="str">
        <f t="shared" si="707"/>
        <v>AE05BF</v>
      </c>
      <c r="I709" t="str">
        <f t="shared" si="707"/>
        <v>AE05C1</v>
      </c>
      <c r="J709" t="str">
        <f t="shared" si="707"/>
        <v>AE05C3</v>
      </c>
      <c r="K709" t="str">
        <f t="shared" si="707"/>
        <v>AE059D</v>
      </c>
    </row>
    <row r="710">
      <c r="A710" s="14">
        <v>708.0</v>
      </c>
      <c r="B710" t="str">
        <f t="shared" ref="B710:K710" si="708">DEC2HEX(HEX2DEC(B709)+1)</f>
        <v>AE05A4</v>
      </c>
      <c r="C710" t="str">
        <f t="shared" si="708"/>
        <v>AE05A6</v>
      </c>
      <c r="D710" t="str">
        <f t="shared" si="708"/>
        <v>AE05A8</v>
      </c>
      <c r="E710" t="str">
        <f t="shared" si="708"/>
        <v>AE05AA</v>
      </c>
      <c r="F710" t="str">
        <f t="shared" si="708"/>
        <v>AE05AC</v>
      </c>
      <c r="G710" t="str">
        <f t="shared" si="708"/>
        <v>AE05BE</v>
      </c>
      <c r="H710" t="str">
        <f t="shared" si="708"/>
        <v>AE05C0</v>
      </c>
      <c r="I710" t="str">
        <f t="shared" si="708"/>
        <v>AE05C2</v>
      </c>
      <c r="J710" t="str">
        <f t="shared" si="708"/>
        <v>AE05C4</v>
      </c>
      <c r="K710" t="str">
        <f t="shared" si="708"/>
        <v>AE059E</v>
      </c>
    </row>
    <row r="711">
      <c r="A711" s="14">
        <v>709.0</v>
      </c>
      <c r="B711" t="str">
        <f t="shared" ref="B711:K711" si="709">DEC2HEX(HEX2DEC(B710)+1)</f>
        <v>AE05A5</v>
      </c>
      <c r="C711" t="str">
        <f t="shared" si="709"/>
        <v>AE05A7</v>
      </c>
      <c r="D711" t="str">
        <f t="shared" si="709"/>
        <v>AE05A9</v>
      </c>
      <c r="E711" t="str">
        <f t="shared" si="709"/>
        <v>AE05AB</v>
      </c>
      <c r="F711" t="str">
        <f t="shared" si="709"/>
        <v>AE05AD</v>
      </c>
      <c r="G711" t="str">
        <f t="shared" si="709"/>
        <v>AE05BF</v>
      </c>
      <c r="H711" t="str">
        <f t="shared" si="709"/>
        <v>AE05C1</v>
      </c>
      <c r="I711" t="str">
        <f t="shared" si="709"/>
        <v>AE05C3</v>
      </c>
      <c r="J711" t="str">
        <f t="shared" si="709"/>
        <v>AE05C5</v>
      </c>
      <c r="K711" t="str">
        <f t="shared" si="709"/>
        <v>AE059F</v>
      </c>
    </row>
    <row r="712">
      <c r="A712" s="14">
        <v>710.0</v>
      </c>
      <c r="B712" t="str">
        <f t="shared" ref="B712:K712" si="710">DEC2HEX(HEX2DEC(B711)+1)</f>
        <v>AE05A6</v>
      </c>
      <c r="C712" t="str">
        <f t="shared" si="710"/>
        <v>AE05A8</v>
      </c>
      <c r="D712" t="str">
        <f t="shared" si="710"/>
        <v>AE05AA</v>
      </c>
      <c r="E712" t="str">
        <f t="shared" si="710"/>
        <v>AE05AC</v>
      </c>
      <c r="F712" t="str">
        <f t="shared" si="710"/>
        <v>AE05AE</v>
      </c>
      <c r="G712" t="str">
        <f t="shared" si="710"/>
        <v>AE05C0</v>
      </c>
      <c r="H712" t="str">
        <f t="shared" si="710"/>
        <v>AE05C2</v>
      </c>
      <c r="I712" t="str">
        <f t="shared" si="710"/>
        <v>AE05C4</v>
      </c>
      <c r="J712" t="str">
        <f t="shared" si="710"/>
        <v>AE05C6</v>
      </c>
      <c r="K712" t="str">
        <f t="shared" si="710"/>
        <v>AE05A0</v>
      </c>
    </row>
    <row r="713">
      <c r="A713" s="14">
        <v>711.0</v>
      </c>
      <c r="B713" t="str">
        <f t="shared" ref="B713:K713" si="711">DEC2HEX(HEX2DEC(B712)+1)</f>
        <v>AE05A7</v>
      </c>
      <c r="C713" t="str">
        <f t="shared" si="711"/>
        <v>AE05A9</v>
      </c>
      <c r="D713" t="str">
        <f t="shared" si="711"/>
        <v>AE05AB</v>
      </c>
      <c r="E713" t="str">
        <f t="shared" si="711"/>
        <v>AE05AD</v>
      </c>
      <c r="F713" t="str">
        <f t="shared" si="711"/>
        <v>AE05AF</v>
      </c>
      <c r="G713" t="str">
        <f t="shared" si="711"/>
        <v>AE05C1</v>
      </c>
      <c r="H713" t="str">
        <f t="shared" si="711"/>
        <v>AE05C3</v>
      </c>
      <c r="I713" t="str">
        <f t="shared" si="711"/>
        <v>AE05C5</v>
      </c>
      <c r="J713" t="str">
        <f t="shared" si="711"/>
        <v>AE05C7</v>
      </c>
      <c r="K713" t="str">
        <f t="shared" si="711"/>
        <v>AE05A1</v>
      </c>
    </row>
    <row r="714">
      <c r="A714" s="14">
        <v>712.0</v>
      </c>
      <c r="B714" t="str">
        <f t="shared" ref="B714:K714" si="712">DEC2HEX(HEX2DEC(B713)+1)</f>
        <v>AE05A8</v>
      </c>
      <c r="C714" t="str">
        <f t="shared" si="712"/>
        <v>AE05AA</v>
      </c>
      <c r="D714" t="str">
        <f t="shared" si="712"/>
        <v>AE05AC</v>
      </c>
      <c r="E714" t="str">
        <f t="shared" si="712"/>
        <v>AE05AE</v>
      </c>
      <c r="F714" t="str">
        <f t="shared" si="712"/>
        <v>AE05B0</v>
      </c>
      <c r="G714" t="str">
        <f t="shared" si="712"/>
        <v>AE05C2</v>
      </c>
      <c r="H714" t="str">
        <f t="shared" si="712"/>
        <v>AE05C4</v>
      </c>
      <c r="I714" t="str">
        <f t="shared" si="712"/>
        <v>AE05C6</v>
      </c>
      <c r="J714" t="str">
        <f t="shared" si="712"/>
        <v>AE05C8</v>
      </c>
      <c r="K714" t="str">
        <f t="shared" si="712"/>
        <v>AE05A2</v>
      </c>
    </row>
    <row r="715">
      <c r="A715" s="14">
        <v>713.0</v>
      </c>
      <c r="B715" t="str">
        <f t="shared" ref="B715:K715" si="713">DEC2HEX(HEX2DEC(B714)+1)</f>
        <v>AE05A9</v>
      </c>
      <c r="C715" t="str">
        <f t="shared" si="713"/>
        <v>AE05AB</v>
      </c>
      <c r="D715" t="str">
        <f t="shared" si="713"/>
        <v>AE05AD</v>
      </c>
      <c r="E715" t="str">
        <f t="shared" si="713"/>
        <v>AE05AF</v>
      </c>
      <c r="F715" t="str">
        <f t="shared" si="713"/>
        <v>AE05B1</v>
      </c>
      <c r="G715" t="str">
        <f t="shared" si="713"/>
        <v>AE05C3</v>
      </c>
      <c r="H715" t="str">
        <f t="shared" si="713"/>
        <v>AE05C5</v>
      </c>
      <c r="I715" t="str">
        <f t="shared" si="713"/>
        <v>AE05C7</v>
      </c>
      <c r="J715" t="str">
        <f t="shared" si="713"/>
        <v>AE05C9</v>
      </c>
      <c r="K715" t="str">
        <f t="shared" si="713"/>
        <v>AE05A3</v>
      </c>
    </row>
    <row r="716">
      <c r="A716" s="14">
        <v>714.0</v>
      </c>
      <c r="B716" t="str">
        <f t="shared" ref="B716:K716" si="714">DEC2HEX(HEX2DEC(B715)+1)</f>
        <v>AE05AA</v>
      </c>
      <c r="C716" t="str">
        <f t="shared" si="714"/>
        <v>AE05AC</v>
      </c>
      <c r="D716" t="str">
        <f t="shared" si="714"/>
        <v>AE05AE</v>
      </c>
      <c r="E716" t="str">
        <f t="shared" si="714"/>
        <v>AE05B0</v>
      </c>
      <c r="F716" t="str">
        <f t="shared" si="714"/>
        <v>AE05B2</v>
      </c>
      <c r="G716" t="str">
        <f t="shared" si="714"/>
        <v>AE05C4</v>
      </c>
      <c r="H716" t="str">
        <f t="shared" si="714"/>
        <v>AE05C6</v>
      </c>
      <c r="I716" t="str">
        <f t="shared" si="714"/>
        <v>AE05C8</v>
      </c>
      <c r="J716" t="str">
        <f t="shared" si="714"/>
        <v>AE05CA</v>
      </c>
      <c r="K716" t="str">
        <f t="shared" si="714"/>
        <v>AE05A4</v>
      </c>
    </row>
    <row r="717">
      <c r="A717" s="14">
        <v>715.0</v>
      </c>
      <c r="B717" t="str">
        <f t="shared" ref="B717:K717" si="715">DEC2HEX(HEX2DEC(B716)+1)</f>
        <v>AE05AB</v>
      </c>
      <c r="C717" t="str">
        <f t="shared" si="715"/>
        <v>AE05AD</v>
      </c>
      <c r="D717" t="str">
        <f t="shared" si="715"/>
        <v>AE05AF</v>
      </c>
      <c r="E717" t="str">
        <f t="shared" si="715"/>
        <v>AE05B1</v>
      </c>
      <c r="F717" t="str">
        <f t="shared" si="715"/>
        <v>AE05B3</v>
      </c>
      <c r="G717" t="str">
        <f t="shared" si="715"/>
        <v>AE05C5</v>
      </c>
      <c r="H717" t="str">
        <f t="shared" si="715"/>
        <v>AE05C7</v>
      </c>
      <c r="I717" t="str">
        <f t="shared" si="715"/>
        <v>AE05C9</v>
      </c>
      <c r="J717" t="str">
        <f t="shared" si="715"/>
        <v>AE05CB</v>
      </c>
      <c r="K717" t="str">
        <f t="shared" si="715"/>
        <v>AE05A5</v>
      </c>
    </row>
    <row r="718">
      <c r="A718" s="14">
        <v>716.0</v>
      </c>
      <c r="B718" t="str">
        <f t="shared" ref="B718:K718" si="716">DEC2HEX(HEX2DEC(B717)+1)</f>
        <v>AE05AC</v>
      </c>
      <c r="C718" t="str">
        <f t="shared" si="716"/>
        <v>AE05AE</v>
      </c>
      <c r="D718" t="str">
        <f t="shared" si="716"/>
        <v>AE05B0</v>
      </c>
      <c r="E718" t="str">
        <f t="shared" si="716"/>
        <v>AE05B2</v>
      </c>
      <c r="F718" t="str">
        <f t="shared" si="716"/>
        <v>AE05B4</v>
      </c>
      <c r="G718" t="str">
        <f t="shared" si="716"/>
        <v>AE05C6</v>
      </c>
      <c r="H718" t="str">
        <f t="shared" si="716"/>
        <v>AE05C8</v>
      </c>
      <c r="I718" t="str">
        <f t="shared" si="716"/>
        <v>AE05CA</v>
      </c>
      <c r="J718" t="str">
        <f t="shared" si="716"/>
        <v>AE05CC</v>
      </c>
      <c r="K718" t="str">
        <f t="shared" si="716"/>
        <v>AE05A6</v>
      </c>
    </row>
    <row r="719">
      <c r="A719" s="14">
        <v>717.0</v>
      </c>
      <c r="B719" t="str">
        <f t="shared" ref="B719:K719" si="717">DEC2HEX(HEX2DEC(B718)+1)</f>
        <v>AE05AD</v>
      </c>
      <c r="C719" t="str">
        <f t="shared" si="717"/>
        <v>AE05AF</v>
      </c>
      <c r="D719" t="str">
        <f t="shared" si="717"/>
        <v>AE05B1</v>
      </c>
      <c r="E719" t="str">
        <f t="shared" si="717"/>
        <v>AE05B3</v>
      </c>
      <c r="F719" t="str">
        <f t="shared" si="717"/>
        <v>AE05B5</v>
      </c>
      <c r="G719" t="str">
        <f t="shared" si="717"/>
        <v>AE05C7</v>
      </c>
      <c r="H719" t="str">
        <f t="shared" si="717"/>
        <v>AE05C9</v>
      </c>
      <c r="I719" t="str">
        <f t="shared" si="717"/>
        <v>AE05CB</v>
      </c>
      <c r="J719" t="str">
        <f t="shared" si="717"/>
        <v>AE05CD</v>
      </c>
      <c r="K719" t="str">
        <f t="shared" si="717"/>
        <v>AE05A7</v>
      </c>
    </row>
    <row r="720">
      <c r="A720" s="14">
        <v>718.0</v>
      </c>
      <c r="B720" t="str">
        <f t="shared" ref="B720:K720" si="718">DEC2HEX(HEX2DEC(B719)+1)</f>
        <v>AE05AE</v>
      </c>
      <c r="C720" t="str">
        <f t="shared" si="718"/>
        <v>AE05B0</v>
      </c>
      <c r="D720" t="str">
        <f t="shared" si="718"/>
        <v>AE05B2</v>
      </c>
      <c r="E720" t="str">
        <f t="shared" si="718"/>
        <v>AE05B4</v>
      </c>
      <c r="F720" t="str">
        <f t="shared" si="718"/>
        <v>AE05B6</v>
      </c>
      <c r="G720" t="str">
        <f t="shared" si="718"/>
        <v>AE05C8</v>
      </c>
      <c r="H720" t="str">
        <f t="shared" si="718"/>
        <v>AE05CA</v>
      </c>
      <c r="I720" t="str">
        <f t="shared" si="718"/>
        <v>AE05CC</v>
      </c>
      <c r="J720" t="str">
        <f t="shared" si="718"/>
        <v>AE05CE</v>
      </c>
      <c r="K720" t="str">
        <f t="shared" si="718"/>
        <v>AE05A8</v>
      </c>
    </row>
    <row r="721">
      <c r="A721" s="14">
        <v>719.0</v>
      </c>
      <c r="B721" t="str">
        <f t="shared" ref="B721:K721" si="719">DEC2HEX(HEX2DEC(B720)+1)</f>
        <v>AE05AF</v>
      </c>
      <c r="C721" t="str">
        <f t="shared" si="719"/>
        <v>AE05B1</v>
      </c>
      <c r="D721" t="str">
        <f t="shared" si="719"/>
        <v>AE05B3</v>
      </c>
      <c r="E721" t="str">
        <f t="shared" si="719"/>
        <v>AE05B5</v>
      </c>
      <c r="F721" t="str">
        <f t="shared" si="719"/>
        <v>AE05B7</v>
      </c>
      <c r="G721" t="str">
        <f t="shared" si="719"/>
        <v>AE05C9</v>
      </c>
      <c r="H721" t="str">
        <f t="shared" si="719"/>
        <v>AE05CB</v>
      </c>
      <c r="I721" t="str">
        <f t="shared" si="719"/>
        <v>AE05CD</v>
      </c>
      <c r="J721" t="str">
        <f t="shared" si="719"/>
        <v>AE05CF</v>
      </c>
      <c r="K721" t="str">
        <f t="shared" si="719"/>
        <v>AE05A9</v>
      </c>
    </row>
    <row r="722">
      <c r="A722" s="14">
        <v>720.0</v>
      </c>
      <c r="B722" t="str">
        <f t="shared" ref="B722:K722" si="720">DEC2HEX(HEX2DEC(B721)+1)</f>
        <v>AE05B0</v>
      </c>
      <c r="C722" t="str">
        <f t="shared" si="720"/>
        <v>AE05B2</v>
      </c>
      <c r="D722" t="str">
        <f t="shared" si="720"/>
        <v>AE05B4</v>
      </c>
      <c r="E722" t="str">
        <f t="shared" si="720"/>
        <v>AE05B6</v>
      </c>
      <c r="F722" t="str">
        <f t="shared" si="720"/>
        <v>AE05B8</v>
      </c>
      <c r="G722" t="str">
        <f t="shared" si="720"/>
        <v>AE05CA</v>
      </c>
      <c r="H722" t="str">
        <f t="shared" si="720"/>
        <v>AE05CC</v>
      </c>
      <c r="I722" t="str">
        <f t="shared" si="720"/>
        <v>AE05CE</v>
      </c>
      <c r="J722" t="str">
        <f t="shared" si="720"/>
        <v>AE05D0</v>
      </c>
      <c r="K722" t="str">
        <f t="shared" si="720"/>
        <v>AE05AA</v>
      </c>
    </row>
    <row r="723">
      <c r="A723" s="14">
        <v>721.0</v>
      </c>
      <c r="B723" t="str">
        <f t="shared" ref="B723:K723" si="721">DEC2HEX(HEX2DEC(B722)+1)</f>
        <v>AE05B1</v>
      </c>
      <c r="C723" t="str">
        <f t="shared" si="721"/>
        <v>AE05B3</v>
      </c>
      <c r="D723" t="str">
        <f t="shared" si="721"/>
        <v>AE05B5</v>
      </c>
      <c r="E723" t="str">
        <f t="shared" si="721"/>
        <v>AE05B7</v>
      </c>
      <c r="F723" t="str">
        <f t="shared" si="721"/>
        <v>AE05B9</v>
      </c>
      <c r="G723" t="str">
        <f t="shared" si="721"/>
        <v>AE05CB</v>
      </c>
      <c r="H723" t="str">
        <f t="shared" si="721"/>
        <v>AE05CD</v>
      </c>
      <c r="I723" t="str">
        <f t="shared" si="721"/>
        <v>AE05CF</v>
      </c>
      <c r="J723" t="str">
        <f t="shared" si="721"/>
        <v>AE05D1</v>
      </c>
      <c r="K723" t="str">
        <f t="shared" si="721"/>
        <v>AE05AB</v>
      </c>
    </row>
    <row r="724">
      <c r="A724" s="14">
        <v>722.0</v>
      </c>
      <c r="B724" t="str">
        <f t="shared" ref="B724:K724" si="722">DEC2HEX(HEX2DEC(B723)+1)</f>
        <v>AE05B2</v>
      </c>
      <c r="C724" t="str">
        <f t="shared" si="722"/>
        <v>AE05B4</v>
      </c>
      <c r="D724" t="str">
        <f t="shared" si="722"/>
        <v>AE05B6</v>
      </c>
      <c r="E724" t="str">
        <f t="shared" si="722"/>
        <v>AE05B8</v>
      </c>
      <c r="F724" t="str">
        <f t="shared" si="722"/>
        <v>AE05BA</v>
      </c>
      <c r="G724" t="str">
        <f t="shared" si="722"/>
        <v>AE05CC</v>
      </c>
      <c r="H724" t="str">
        <f t="shared" si="722"/>
        <v>AE05CE</v>
      </c>
      <c r="I724" t="str">
        <f t="shared" si="722"/>
        <v>AE05D0</v>
      </c>
      <c r="J724" t="str">
        <f t="shared" si="722"/>
        <v>AE05D2</v>
      </c>
      <c r="K724" t="str">
        <f t="shared" si="722"/>
        <v>AE05AC</v>
      </c>
    </row>
    <row r="725">
      <c r="A725" s="14">
        <v>723.0</v>
      </c>
      <c r="B725" t="str">
        <f t="shared" ref="B725:K725" si="723">DEC2HEX(HEX2DEC(B724)+1)</f>
        <v>AE05B3</v>
      </c>
      <c r="C725" t="str">
        <f t="shared" si="723"/>
        <v>AE05B5</v>
      </c>
      <c r="D725" t="str">
        <f t="shared" si="723"/>
        <v>AE05B7</v>
      </c>
      <c r="E725" t="str">
        <f t="shared" si="723"/>
        <v>AE05B9</v>
      </c>
      <c r="F725" t="str">
        <f t="shared" si="723"/>
        <v>AE05BB</v>
      </c>
      <c r="G725" t="str">
        <f t="shared" si="723"/>
        <v>AE05CD</v>
      </c>
      <c r="H725" t="str">
        <f t="shared" si="723"/>
        <v>AE05CF</v>
      </c>
      <c r="I725" t="str">
        <f t="shared" si="723"/>
        <v>AE05D1</v>
      </c>
      <c r="J725" t="str">
        <f t="shared" si="723"/>
        <v>AE05D3</v>
      </c>
      <c r="K725" t="str">
        <f t="shared" si="723"/>
        <v>AE05AD</v>
      </c>
    </row>
    <row r="726">
      <c r="A726" s="14">
        <v>724.0</v>
      </c>
      <c r="B726" t="str">
        <f t="shared" ref="B726:K726" si="724">DEC2HEX(HEX2DEC(B725)+1)</f>
        <v>AE05B4</v>
      </c>
      <c r="C726" t="str">
        <f t="shared" si="724"/>
        <v>AE05B6</v>
      </c>
      <c r="D726" t="str">
        <f t="shared" si="724"/>
        <v>AE05B8</v>
      </c>
      <c r="E726" t="str">
        <f t="shared" si="724"/>
        <v>AE05BA</v>
      </c>
      <c r="F726" t="str">
        <f t="shared" si="724"/>
        <v>AE05BC</v>
      </c>
      <c r="G726" t="str">
        <f t="shared" si="724"/>
        <v>AE05CE</v>
      </c>
      <c r="H726" t="str">
        <f t="shared" si="724"/>
        <v>AE05D0</v>
      </c>
      <c r="I726" t="str">
        <f t="shared" si="724"/>
        <v>AE05D2</v>
      </c>
      <c r="J726" t="str">
        <f t="shared" si="724"/>
        <v>AE05D4</v>
      </c>
      <c r="K726" t="str">
        <f t="shared" si="724"/>
        <v>AE05AE</v>
      </c>
    </row>
    <row r="727">
      <c r="A727" s="14">
        <v>725.0</v>
      </c>
      <c r="B727" t="str">
        <f t="shared" ref="B727:K727" si="725">DEC2HEX(HEX2DEC(B726)+1)</f>
        <v>AE05B5</v>
      </c>
      <c r="C727" t="str">
        <f t="shared" si="725"/>
        <v>AE05B7</v>
      </c>
      <c r="D727" t="str">
        <f t="shared" si="725"/>
        <v>AE05B9</v>
      </c>
      <c r="E727" t="str">
        <f t="shared" si="725"/>
        <v>AE05BB</v>
      </c>
      <c r="F727" t="str">
        <f t="shared" si="725"/>
        <v>AE05BD</v>
      </c>
      <c r="G727" t="str">
        <f t="shared" si="725"/>
        <v>AE05CF</v>
      </c>
      <c r="H727" t="str">
        <f t="shared" si="725"/>
        <v>AE05D1</v>
      </c>
      <c r="I727" t="str">
        <f t="shared" si="725"/>
        <v>AE05D3</v>
      </c>
      <c r="J727" t="str">
        <f t="shared" si="725"/>
        <v>AE05D5</v>
      </c>
      <c r="K727" t="str">
        <f t="shared" si="725"/>
        <v>AE05AF</v>
      </c>
    </row>
    <row r="728">
      <c r="A728" s="14">
        <v>726.0</v>
      </c>
      <c r="B728" t="str">
        <f t="shared" ref="B728:K728" si="726">DEC2HEX(HEX2DEC(B727)+1)</f>
        <v>AE05B6</v>
      </c>
      <c r="C728" t="str">
        <f t="shared" si="726"/>
        <v>AE05B8</v>
      </c>
      <c r="D728" t="str">
        <f t="shared" si="726"/>
        <v>AE05BA</v>
      </c>
      <c r="E728" t="str">
        <f t="shared" si="726"/>
        <v>AE05BC</v>
      </c>
      <c r="F728" t="str">
        <f t="shared" si="726"/>
        <v>AE05BE</v>
      </c>
      <c r="G728" t="str">
        <f t="shared" si="726"/>
        <v>AE05D0</v>
      </c>
      <c r="H728" t="str">
        <f t="shared" si="726"/>
        <v>AE05D2</v>
      </c>
      <c r="I728" t="str">
        <f t="shared" si="726"/>
        <v>AE05D4</v>
      </c>
      <c r="J728" t="str">
        <f t="shared" si="726"/>
        <v>AE05D6</v>
      </c>
      <c r="K728" t="str">
        <f t="shared" si="726"/>
        <v>AE05B0</v>
      </c>
    </row>
    <row r="729">
      <c r="A729" s="14">
        <v>727.0</v>
      </c>
      <c r="B729" t="str">
        <f t="shared" ref="B729:K729" si="727">DEC2HEX(HEX2DEC(B728)+1)</f>
        <v>AE05B7</v>
      </c>
      <c r="C729" t="str">
        <f t="shared" si="727"/>
        <v>AE05B9</v>
      </c>
      <c r="D729" t="str">
        <f t="shared" si="727"/>
        <v>AE05BB</v>
      </c>
      <c r="E729" t="str">
        <f t="shared" si="727"/>
        <v>AE05BD</v>
      </c>
      <c r="F729" t="str">
        <f t="shared" si="727"/>
        <v>AE05BF</v>
      </c>
      <c r="G729" t="str">
        <f t="shared" si="727"/>
        <v>AE05D1</v>
      </c>
      <c r="H729" t="str">
        <f t="shared" si="727"/>
        <v>AE05D3</v>
      </c>
      <c r="I729" t="str">
        <f t="shared" si="727"/>
        <v>AE05D5</v>
      </c>
      <c r="J729" t="str">
        <f t="shared" si="727"/>
        <v>AE05D7</v>
      </c>
      <c r="K729" t="str">
        <f t="shared" si="727"/>
        <v>AE05B1</v>
      </c>
    </row>
    <row r="730">
      <c r="A730" s="14">
        <v>728.0</v>
      </c>
      <c r="B730" t="str">
        <f t="shared" ref="B730:K730" si="728">DEC2HEX(HEX2DEC(B729)+1)</f>
        <v>AE05B8</v>
      </c>
      <c r="C730" t="str">
        <f t="shared" si="728"/>
        <v>AE05BA</v>
      </c>
      <c r="D730" t="str">
        <f t="shared" si="728"/>
        <v>AE05BC</v>
      </c>
      <c r="E730" t="str">
        <f t="shared" si="728"/>
        <v>AE05BE</v>
      </c>
      <c r="F730" t="str">
        <f t="shared" si="728"/>
        <v>AE05C0</v>
      </c>
      <c r="G730" t="str">
        <f t="shared" si="728"/>
        <v>AE05D2</v>
      </c>
      <c r="H730" t="str">
        <f t="shared" si="728"/>
        <v>AE05D4</v>
      </c>
      <c r="I730" t="str">
        <f t="shared" si="728"/>
        <v>AE05D6</v>
      </c>
      <c r="J730" t="str">
        <f t="shared" si="728"/>
        <v>AE05D8</v>
      </c>
      <c r="K730" t="str">
        <f t="shared" si="728"/>
        <v>AE05B2</v>
      </c>
    </row>
    <row r="731">
      <c r="A731" s="14">
        <v>729.0</v>
      </c>
      <c r="B731" t="str">
        <f t="shared" ref="B731:K731" si="729">DEC2HEX(HEX2DEC(B730)+1)</f>
        <v>AE05B9</v>
      </c>
      <c r="C731" t="str">
        <f t="shared" si="729"/>
        <v>AE05BB</v>
      </c>
      <c r="D731" t="str">
        <f t="shared" si="729"/>
        <v>AE05BD</v>
      </c>
      <c r="E731" t="str">
        <f t="shared" si="729"/>
        <v>AE05BF</v>
      </c>
      <c r="F731" t="str">
        <f t="shared" si="729"/>
        <v>AE05C1</v>
      </c>
      <c r="G731" t="str">
        <f t="shared" si="729"/>
        <v>AE05D3</v>
      </c>
      <c r="H731" t="str">
        <f t="shared" si="729"/>
        <v>AE05D5</v>
      </c>
      <c r="I731" t="str">
        <f t="shared" si="729"/>
        <v>AE05D7</v>
      </c>
      <c r="J731" t="str">
        <f t="shared" si="729"/>
        <v>AE05D9</v>
      </c>
      <c r="K731" t="str">
        <f t="shared" si="729"/>
        <v>AE05B3</v>
      </c>
    </row>
    <row r="732">
      <c r="A732" s="14">
        <v>730.0</v>
      </c>
      <c r="B732" t="str">
        <f t="shared" ref="B732:K732" si="730">DEC2HEX(HEX2DEC(B731)+1)</f>
        <v>AE05BA</v>
      </c>
      <c r="C732" t="str">
        <f t="shared" si="730"/>
        <v>AE05BC</v>
      </c>
      <c r="D732" t="str">
        <f t="shared" si="730"/>
        <v>AE05BE</v>
      </c>
      <c r="E732" t="str">
        <f t="shared" si="730"/>
        <v>AE05C0</v>
      </c>
      <c r="F732" t="str">
        <f t="shared" si="730"/>
        <v>AE05C2</v>
      </c>
      <c r="G732" t="str">
        <f t="shared" si="730"/>
        <v>AE05D4</v>
      </c>
      <c r="H732" t="str">
        <f t="shared" si="730"/>
        <v>AE05D6</v>
      </c>
      <c r="I732" t="str">
        <f t="shared" si="730"/>
        <v>AE05D8</v>
      </c>
      <c r="J732" t="str">
        <f t="shared" si="730"/>
        <v>AE05DA</v>
      </c>
      <c r="K732" t="str">
        <f t="shared" si="730"/>
        <v>AE05B4</v>
      </c>
    </row>
    <row r="733">
      <c r="A733" s="14">
        <v>731.0</v>
      </c>
      <c r="B733" t="str">
        <f t="shared" ref="B733:K733" si="731">DEC2HEX(HEX2DEC(B732)+1)</f>
        <v>AE05BB</v>
      </c>
      <c r="C733" t="str">
        <f t="shared" si="731"/>
        <v>AE05BD</v>
      </c>
      <c r="D733" t="str">
        <f t="shared" si="731"/>
        <v>AE05BF</v>
      </c>
      <c r="E733" t="str">
        <f t="shared" si="731"/>
        <v>AE05C1</v>
      </c>
      <c r="F733" t="str">
        <f t="shared" si="731"/>
        <v>AE05C3</v>
      </c>
      <c r="G733" t="str">
        <f t="shared" si="731"/>
        <v>AE05D5</v>
      </c>
      <c r="H733" t="str">
        <f t="shared" si="731"/>
        <v>AE05D7</v>
      </c>
      <c r="I733" t="str">
        <f t="shared" si="731"/>
        <v>AE05D9</v>
      </c>
      <c r="J733" t="str">
        <f t="shared" si="731"/>
        <v>AE05DB</v>
      </c>
      <c r="K733" t="str">
        <f t="shared" si="731"/>
        <v>AE05B5</v>
      </c>
    </row>
    <row r="734">
      <c r="A734" s="14">
        <v>732.0</v>
      </c>
      <c r="B734" t="str">
        <f t="shared" ref="B734:K734" si="732">DEC2HEX(HEX2DEC(B733)+1)</f>
        <v>AE05BC</v>
      </c>
      <c r="C734" t="str">
        <f t="shared" si="732"/>
        <v>AE05BE</v>
      </c>
      <c r="D734" t="str">
        <f t="shared" si="732"/>
        <v>AE05C0</v>
      </c>
      <c r="E734" t="str">
        <f t="shared" si="732"/>
        <v>AE05C2</v>
      </c>
      <c r="F734" t="str">
        <f t="shared" si="732"/>
        <v>AE05C4</v>
      </c>
      <c r="G734" t="str">
        <f t="shared" si="732"/>
        <v>AE05D6</v>
      </c>
      <c r="H734" t="str">
        <f t="shared" si="732"/>
        <v>AE05D8</v>
      </c>
      <c r="I734" t="str">
        <f t="shared" si="732"/>
        <v>AE05DA</v>
      </c>
      <c r="J734" t="str">
        <f t="shared" si="732"/>
        <v>AE05DC</v>
      </c>
      <c r="K734" t="str">
        <f t="shared" si="732"/>
        <v>AE05B6</v>
      </c>
    </row>
    <row r="735">
      <c r="A735" s="14">
        <v>733.0</v>
      </c>
      <c r="B735" t="str">
        <f t="shared" ref="B735:K735" si="733">DEC2HEX(HEX2DEC(B734)+1)</f>
        <v>AE05BD</v>
      </c>
      <c r="C735" t="str">
        <f t="shared" si="733"/>
        <v>AE05BF</v>
      </c>
      <c r="D735" t="str">
        <f t="shared" si="733"/>
        <v>AE05C1</v>
      </c>
      <c r="E735" t="str">
        <f t="shared" si="733"/>
        <v>AE05C3</v>
      </c>
      <c r="F735" t="str">
        <f t="shared" si="733"/>
        <v>AE05C5</v>
      </c>
      <c r="G735" t="str">
        <f t="shared" si="733"/>
        <v>AE05D7</v>
      </c>
      <c r="H735" t="str">
        <f t="shared" si="733"/>
        <v>AE05D9</v>
      </c>
      <c r="I735" t="str">
        <f t="shared" si="733"/>
        <v>AE05DB</v>
      </c>
      <c r="J735" t="str">
        <f t="shared" si="733"/>
        <v>AE05DD</v>
      </c>
      <c r="K735" t="str">
        <f t="shared" si="733"/>
        <v>AE05B7</v>
      </c>
    </row>
    <row r="736">
      <c r="A736" s="14">
        <v>734.0</v>
      </c>
      <c r="B736" t="str">
        <f t="shared" ref="B736:K736" si="734">DEC2HEX(HEX2DEC(B735)+1)</f>
        <v>AE05BE</v>
      </c>
      <c r="C736" t="str">
        <f t="shared" si="734"/>
        <v>AE05C0</v>
      </c>
      <c r="D736" t="str">
        <f t="shared" si="734"/>
        <v>AE05C2</v>
      </c>
      <c r="E736" t="str">
        <f t="shared" si="734"/>
        <v>AE05C4</v>
      </c>
      <c r="F736" t="str">
        <f t="shared" si="734"/>
        <v>AE05C6</v>
      </c>
      <c r="G736" t="str">
        <f t="shared" si="734"/>
        <v>AE05D8</v>
      </c>
      <c r="H736" t="str">
        <f t="shared" si="734"/>
        <v>AE05DA</v>
      </c>
      <c r="I736" t="str">
        <f t="shared" si="734"/>
        <v>AE05DC</v>
      </c>
      <c r="J736" t="str">
        <f t="shared" si="734"/>
        <v>AE05DE</v>
      </c>
      <c r="K736" t="str">
        <f t="shared" si="734"/>
        <v>AE05B8</v>
      </c>
    </row>
    <row r="737">
      <c r="A737" s="14">
        <v>735.0</v>
      </c>
      <c r="B737" t="str">
        <f t="shared" ref="B737:K737" si="735">DEC2HEX(HEX2DEC(B736)+1)</f>
        <v>AE05BF</v>
      </c>
      <c r="C737" t="str">
        <f t="shared" si="735"/>
        <v>AE05C1</v>
      </c>
      <c r="D737" t="str">
        <f t="shared" si="735"/>
        <v>AE05C3</v>
      </c>
      <c r="E737" t="str">
        <f t="shared" si="735"/>
        <v>AE05C5</v>
      </c>
      <c r="F737" t="str">
        <f t="shared" si="735"/>
        <v>AE05C7</v>
      </c>
      <c r="G737" t="str">
        <f t="shared" si="735"/>
        <v>AE05D9</v>
      </c>
      <c r="H737" t="str">
        <f t="shared" si="735"/>
        <v>AE05DB</v>
      </c>
      <c r="I737" t="str">
        <f t="shared" si="735"/>
        <v>AE05DD</v>
      </c>
      <c r="J737" t="str">
        <f t="shared" si="735"/>
        <v>AE05DF</v>
      </c>
      <c r="K737" t="str">
        <f t="shared" si="735"/>
        <v>AE05B9</v>
      </c>
    </row>
    <row r="738">
      <c r="A738" s="14">
        <v>736.0</v>
      </c>
      <c r="B738" t="str">
        <f t="shared" ref="B738:K738" si="736">DEC2HEX(HEX2DEC(B737)+1)</f>
        <v>AE05C0</v>
      </c>
      <c r="C738" t="str">
        <f t="shared" si="736"/>
        <v>AE05C2</v>
      </c>
      <c r="D738" t="str">
        <f t="shared" si="736"/>
        <v>AE05C4</v>
      </c>
      <c r="E738" t="str">
        <f t="shared" si="736"/>
        <v>AE05C6</v>
      </c>
      <c r="F738" t="str">
        <f t="shared" si="736"/>
        <v>AE05C8</v>
      </c>
      <c r="G738" t="str">
        <f t="shared" si="736"/>
        <v>AE05DA</v>
      </c>
      <c r="H738" t="str">
        <f t="shared" si="736"/>
        <v>AE05DC</v>
      </c>
      <c r="I738" t="str">
        <f t="shared" si="736"/>
        <v>AE05DE</v>
      </c>
      <c r="J738" t="str">
        <f t="shared" si="736"/>
        <v>AE05E0</v>
      </c>
      <c r="K738" t="str">
        <f t="shared" si="736"/>
        <v>AE05BA</v>
      </c>
    </row>
    <row r="739">
      <c r="A739" s="14">
        <v>737.0</v>
      </c>
      <c r="B739" t="str">
        <f t="shared" ref="B739:K739" si="737">DEC2HEX(HEX2DEC(B738)+1)</f>
        <v>AE05C1</v>
      </c>
      <c r="C739" t="str">
        <f t="shared" si="737"/>
        <v>AE05C3</v>
      </c>
      <c r="D739" t="str">
        <f t="shared" si="737"/>
        <v>AE05C5</v>
      </c>
      <c r="E739" t="str">
        <f t="shared" si="737"/>
        <v>AE05C7</v>
      </c>
      <c r="F739" t="str">
        <f t="shared" si="737"/>
        <v>AE05C9</v>
      </c>
      <c r="G739" t="str">
        <f t="shared" si="737"/>
        <v>AE05DB</v>
      </c>
      <c r="H739" t="str">
        <f t="shared" si="737"/>
        <v>AE05DD</v>
      </c>
      <c r="I739" t="str">
        <f t="shared" si="737"/>
        <v>AE05DF</v>
      </c>
      <c r="J739" t="str">
        <f t="shared" si="737"/>
        <v>AE05E1</v>
      </c>
      <c r="K739" t="str">
        <f t="shared" si="737"/>
        <v>AE05BB</v>
      </c>
    </row>
    <row r="740">
      <c r="A740" s="14">
        <v>738.0</v>
      </c>
      <c r="B740" t="str">
        <f t="shared" ref="B740:K740" si="738">DEC2HEX(HEX2DEC(B739)+1)</f>
        <v>AE05C2</v>
      </c>
      <c r="C740" t="str">
        <f t="shared" si="738"/>
        <v>AE05C4</v>
      </c>
      <c r="D740" t="str">
        <f t="shared" si="738"/>
        <v>AE05C6</v>
      </c>
      <c r="E740" t="str">
        <f t="shared" si="738"/>
        <v>AE05C8</v>
      </c>
      <c r="F740" t="str">
        <f t="shared" si="738"/>
        <v>AE05CA</v>
      </c>
      <c r="G740" t="str">
        <f t="shared" si="738"/>
        <v>AE05DC</v>
      </c>
      <c r="H740" t="str">
        <f t="shared" si="738"/>
        <v>AE05DE</v>
      </c>
      <c r="I740" t="str">
        <f t="shared" si="738"/>
        <v>AE05E0</v>
      </c>
      <c r="J740" t="str">
        <f t="shared" si="738"/>
        <v>AE05E2</v>
      </c>
      <c r="K740" t="str">
        <f t="shared" si="738"/>
        <v>AE05BC</v>
      </c>
    </row>
    <row r="741">
      <c r="A741" s="14">
        <v>739.0</v>
      </c>
      <c r="B741" t="str">
        <f t="shared" ref="B741:K741" si="739">DEC2HEX(HEX2DEC(B740)+1)</f>
        <v>AE05C3</v>
      </c>
      <c r="C741" t="str">
        <f t="shared" si="739"/>
        <v>AE05C5</v>
      </c>
      <c r="D741" t="str">
        <f t="shared" si="739"/>
        <v>AE05C7</v>
      </c>
      <c r="E741" t="str">
        <f t="shared" si="739"/>
        <v>AE05C9</v>
      </c>
      <c r="F741" t="str">
        <f t="shared" si="739"/>
        <v>AE05CB</v>
      </c>
      <c r="G741" t="str">
        <f t="shared" si="739"/>
        <v>AE05DD</v>
      </c>
      <c r="H741" t="str">
        <f t="shared" si="739"/>
        <v>AE05DF</v>
      </c>
      <c r="I741" t="str">
        <f t="shared" si="739"/>
        <v>AE05E1</v>
      </c>
      <c r="J741" t="str">
        <f t="shared" si="739"/>
        <v>AE05E3</v>
      </c>
      <c r="K741" t="str">
        <f t="shared" si="739"/>
        <v>AE05BD</v>
      </c>
    </row>
    <row r="742">
      <c r="A742" s="14">
        <v>740.0</v>
      </c>
      <c r="B742" t="str">
        <f t="shared" ref="B742:K742" si="740">DEC2HEX(HEX2DEC(B741)+1)</f>
        <v>AE05C4</v>
      </c>
      <c r="C742" t="str">
        <f t="shared" si="740"/>
        <v>AE05C6</v>
      </c>
      <c r="D742" t="str">
        <f t="shared" si="740"/>
        <v>AE05C8</v>
      </c>
      <c r="E742" t="str">
        <f t="shared" si="740"/>
        <v>AE05CA</v>
      </c>
      <c r="F742" t="str">
        <f t="shared" si="740"/>
        <v>AE05CC</v>
      </c>
      <c r="G742" t="str">
        <f t="shared" si="740"/>
        <v>AE05DE</v>
      </c>
      <c r="H742" t="str">
        <f t="shared" si="740"/>
        <v>AE05E0</v>
      </c>
      <c r="I742" t="str">
        <f t="shared" si="740"/>
        <v>AE05E2</v>
      </c>
      <c r="J742" t="str">
        <f t="shared" si="740"/>
        <v>AE05E4</v>
      </c>
      <c r="K742" t="str">
        <f t="shared" si="740"/>
        <v>AE05BE</v>
      </c>
    </row>
    <row r="743">
      <c r="A743" s="14">
        <v>741.0</v>
      </c>
      <c r="B743" t="str">
        <f t="shared" ref="B743:K743" si="741">DEC2HEX(HEX2DEC(B742)+1)</f>
        <v>AE05C5</v>
      </c>
      <c r="C743" t="str">
        <f t="shared" si="741"/>
        <v>AE05C7</v>
      </c>
      <c r="D743" t="str">
        <f t="shared" si="741"/>
        <v>AE05C9</v>
      </c>
      <c r="E743" t="str">
        <f t="shared" si="741"/>
        <v>AE05CB</v>
      </c>
      <c r="F743" t="str">
        <f t="shared" si="741"/>
        <v>AE05CD</v>
      </c>
      <c r="G743" t="str">
        <f t="shared" si="741"/>
        <v>AE05DF</v>
      </c>
      <c r="H743" t="str">
        <f t="shared" si="741"/>
        <v>AE05E1</v>
      </c>
      <c r="I743" t="str">
        <f t="shared" si="741"/>
        <v>AE05E3</v>
      </c>
      <c r="J743" t="str">
        <f t="shared" si="741"/>
        <v>AE05E5</v>
      </c>
      <c r="K743" t="str">
        <f t="shared" si="741"/>
        <v>AE05BF</v>
      </c>
    </row>
    <row r="744">
      <c r="A744" s="14">
        <v>742.0</v>
      </c>
      <c r="B744" t="str">
        <f t="shared" ref="B744:K744" si="742">DEC2HEX(HEX2DEC(B743)+1)</f>
        <v>AE05C6</v>
      </c>
      <c r="C744" t="str">
        <f t="shared" si="742"/>
        <v>AE05C8</v>
      </c>
      <c r="D744" t="str">
        <f t="shared" si="742"/>
        <v>AE05CA</v>
      </c>
      <c r="E744" t="str">
        <f t="shared" si="742"/>
        <v>AE05CC</v>
      </c>
      <c r="F744" t="str">
        <f t="shared" si="742"/>
        <v>AE05CE</v>
      </c>
      <c r="G744" t="str">
        <f t="shared" si="742"/>
        <v>AE05E0</v>
      </c>
      <c r="H744" t="str">
        <f t="shared" si="742"/>
        <v>AE05E2</v>
      </c>
      <c r="I744" t="str">
        <f t="shared" si="742"/>
        <v>AE05E4</v>
      </c>
      <c r="J744" t="str">
        <f t="shared" si="742"/>
        <v>AE05E6</v>
      </c>
      <c r="K744" t="str">
        <f t="shared" si="742"/>
        <v>AE05C0</v>
      </c>
    </row>
    <row r="745">
      <c r="A745" s="14">
        <v>743.0</v>
      </c>
      <c r="B745" t="str">
        <f t="shared" ref="B745:K745" si="743">DEC2HEX(HEX2DEC(B744)+1)</f>
        <v>AE05C7</v>
      </c>
      <c r="C745" t="str">
        <f t="shared" si="743"/>
        <v>AE05C9</v>
      </c>
      <c r="D745" t="str">
        <f t="shared" si="743"/>
        <v>AE05CB</v>
      </c>
      <c r="E745" t="str">
        <f t="shared" si="743"/>
        <v>AE05CD</v>
      </c>
      <c r="F745" t="str">
        <f t="shared" si="743"/>
        <v>AE05CF</v>
      </c>
      <c r="G745" t="str">
        <f t="shared" si="743"/>
        <v>AE05E1</v>
      </c>
      <c r="H745" t="str">
        <f t="shared" si="743"/>
        <v>AE05E3</v>
      </c>
      <c r="I745" t="str">
        <f t="shared" si="743"/>
        <v>AE05E5</v>
      </c>
      <c r="J745" t="str">
        <f t="shared" si="743"/>
        <v>AE05E7</v>
      </c>
      <c r="K745" t="str">
        <f t="shared" si="743"/>
        <v>AE05C1</v>
      </c>
    </row>
    <row r="746">
      <c r="A746" s="14">
        <v>744.0</v>
      </c>
      <c r="B746" t="str">
        <f t="shared" ref="B746:K746" si="744">DEC2HEX(HEX2DEC(B745)+1)</f>
        <v>AE05C8</v>
      </c>
      <c r="C746" t="str">
        <f t="shared" si="744"/>
        <v>AE05CA</v>
      </c>
      <c r="D746" t="str">
        <f t="shared" si="744"/>
        <v>AE05CC</v>
      </c>
      <c r="E746" t="str">
        <f t="shared" si="744"/>
        <v>AE05CE</v>
      </c>
      <c r="F746" t="str">
        <f t="shared" si="744"/>
        <v>AE05D0</v>
      </c>
      <c r="G746" t="str">
        <f t="shared" si="744"/>
        <v>AE05E2</v>
      </c>
      <c r="H746" t="str">
        <f t="shared" si="744"/>
        <v>AE05E4</v>
      </c>
      <c r="I746" t="str">
        <f t="shared" si="744"/>
        <v>AE05E6</v>
      </c>
      <c r="J746" t="str">
        <f t="shared" si="744"/>
        <v>AE05E8</v>
      </c>
      <c r="K746" t="str">
        <f t="shared" si="744"/>
        <v>AE05C2</v>
      </c>
    </row>
    <row r="747">
      <c r="A747" s="14">
        <v>745.0</v>
      </c>
      <c r="B747" t="str">
        <f t="shared" ref="B747:K747" si="745">DEC2HEX(HEX2DEC(B746)+1)</f>
        <v>AE05C9</v>
      </c>
      <c r="C747" t="str">
        <f t="shared" si="745"/>
        <v>AE05CB</v>
      </c>
      <c r="D747" t="str">
        <f t="shared" si="745"/>
        <v>AE05CD</v>
      </c>
      <c r="E747" t="str">
        <f t="shared" si="745"/>
        <v>AE05CF</v>
      </c>
      <c r="F747" t="str">
        <f t="shared" si="745"/>
        <v>AE05D1</v>
      </c>
      <c r="G747" t="str">
        <f t="shared" si="745"/>
        <v>AE05E3</v>
      </c>
      <c r="H747" t="str">
        <f t="shared" si="745"/>
        <v>AE05E5</v>
      </c>
      <c r="I747" t="str">
        <f t="shared" si="745"/>
        <v>AE05E7</v>
      </c>
      <c r="J747" t="str">
        <f t="shared" si="745"/>
        <v>AE05E9</v>
      </c>
      <c r="K747" t="str">
        <f t="shared" si="745"/>
        <v>AE05C3</v>
      </c>
    </row>
    <row r="748">
      <c r="A748" s="14">
        <v>746.0</v>
      </c>
      <c r="B748" t="str">
        <f t="shared" ref="B748:K748" si="746">DEC2HEX(HEX2DEC(B747)+1)</f>
        <v>AE05CA</v>
      </c>
      <c r="C748" t="str">
        <f t="shared" si="746"/>
        <v>AE05CC</v>
      </c>
      <c r="D748" t="str">
        <f t="shared" si="746"/>
        <v>AE05CE</v>
      </c>
      <c r="E748" t="str">
        <f t="shared" si="746"/>
        <v>AE05D0</v>
      </c>
      <c r="F748" t="str">
        <f t="shared" si="746"/>
        <v>AE05D2</v>
      </c>
      <c r="G748" t="str">
        <f t="shared" si="746"/>
        <v>AE05E4</v>
      </c>
      <c r="H748" t="str">
        <f t="shared" si="746"/>
        <v>AE05E6</v>
      </c>
      <c r="I748" t="str">
        <f t="shared" si="746"/>
        <v>AE05E8</v>
      </c>
      <c r="J748" t="str">
        <f t="shared" si="746"/>
        <v>AE05EA</v>
      </c>
      <c r="K748" t="str">
        <f t="shared" si="746"/>
        <v>AE05C4</v>
      </c>
    </row>
    <row r="749">
      <c r="A749" s="14">
        <v>747.0</v>
      </c>
      <c r="B749" t="str">
        <f t="shared" ref="B749:K749" si="747">DEC2HEX(HEX2DEC(B748)+1)</f>
        <v>AE05CB</v>
      </c>
      <c r="C749" t="str">
        <f t="shared" si="747"/>
        <v>AE05CD</v>
      </c>
      <c r="D749" t="str">
        <f t="shared" si="747"/>
        <v>AE05CF</v>
      </c>
      <c r="E749" t="str">
        <f t="shared" si="747"/>
        <v>AE05D1</v>
      </c>
      <c r="F749" t="str">
        <f t="shared" si="747"/>
        <v>AE05D3</v>
      </c>
      <c r="G749" t="str">
        <f t="shared" si="747"/>
        <v>AE05E5</v>
      </c>
      <c r="H749" t="str">
        <f t="shared" si="747"/>
        <v>AE05E7</v>
      </c>
      <c r="I749" t="str">
        <f t="shared" si="747"/>
        <v>AE05E9</v>
      </c>
      <c r="J749" t="str">
        <f t="shared" si="747"/>
        <v>AE05EB</v>
      </c>
      <c r="K749" t="str">
        <f t="shared" si="747"/>
        <v>AE05C5</v>
      </c>
    </row>
    <row r="750">
      <c r="A750" s="14">
        <v>748.0</v>
      </c>
      <c r="B750" t="str">
        <f t="shared" ref="B750:K750" si="748">DEC2HEX(HEX2DEC(B749)+1)</f>
        <v>AE05CC</v>
      </c>
      <c r="C750" t="str">
        <f t="shared" si="748"/>
        <v>AE05CE</v>
      </c>
      <c r="D750" t="str">
        <f t="shared" si="748"/>
        <v>AE05D0</v>
      </c>
      <c r="E750" t="str">
        <f t="shared" si="748"/>
        <v>AE05D2</v>
      </c>
      <c r="F750" t="str">
        <f t="shared" si="748"/>
        <v>AE05D4</v>
      </c>
      <c r="G750" t="str">
        <f t="shared" si="748"/>
        <v>AE05E6</v>
      </c>
      <c r="H750" t="str">
        <f t="shared" si="748"/>
        <v>AE05E8</v>
      </c>
      <c r="I750" t="str">
        <f t="shared" si="748"/>
        <v>AE05EA</v>
      </c>
      <c r="J750" t="str">
        <f t="shared" si="748"/>
        <v>AE05EC</v>
      </c>
      <c r="K750" t="str">
        <f t="shared" si="748"/>
        <v>AE05C6</v>
      </c>
    </row>
    <row r="751">
      <c r="A751" s="14">
        <v>749.0</v>
      </c>
      <c r="B751" t="str">
        <f t="shared" ref="B751:K751" si="749">DEC2HEX(HEX2DEC(B750)+1)</f>
        <v>AE05CD</v>
      </c>
      <c r="C751" t="str">
        <f t="shared" si="749"/>
        <v>AE05CF</v>
      </c>
      <c r="D751" t="str">
        <f t="shared" si="749"/>
        <v>AE05D1</v>
      </c>
      <c r="E751" t="str">
        <f t="shared" si="749"/>
        <v>AE05D3</v>
      </c>
      <c r="F751" t="str">
        <f t="shared" si="749"/>
        <v>AE05D5</v>
      </c>
      <c r="G751" t="str">
        <f t="shared" si="749"/>
        <v>AE05E7</v>
      </c>
      <c r="H751" t="str">
        <f t="shared" si="749"/>
        <v>AE05E9</v>
      </c>
      <c r="I751" t="str">
        <f t="shared" si="749"/>
        <v>AE05EB</v>
      </c>
      <c r="J751" t="str">
        <f t="shared" si="749"/>
        <v>AE05ED</v>
      </c>
      <c r="K751" t="str">
        <f t="shared" si="749"/>
        <v>AE05C7</v>
      </c>
    </row>
    <row r="752">
      <c r="A752" s="14">
        <v>750.0</v>
      </c>
      <c r="B752" t="str">
        <f t="shared" ref="B752:K752" si="750">DEC2HEX(HEX2DEC(B751)+1)</f>
        <v>AE05CE</v>
      </c>
      <c r="C752" t="str">
        <f t="shared" si="750"/>
        <v>AE05D0</v>
      </c>
      <c r="D752" t="str">
        <f t="shared" si="750"/>
        <v>AE05D2</v>
      </c>
      <c r="E752" t="str">
        <f t="shared" si="750"/>
        <v>AE05D4</v>
      </c>
      <c r="F752" t="str">
        <f t="shared" si="750"/>
        <v>AE05D6</v>
      </c>
      <c r="G752" t="str">
        <f t="shared" si="750"/>
        <v>AE05E8</v>
      </c>
      <c r="H752" t="str">
        <f t="shared" si="750"/>
        <v>AE05EA</v>
      </c>
      <c r="I752" t="str">
        <f t="shared" si="750"/>
        <v>AE05EC</v>
      </c>
      <c r="J752" t="str">
        <f t="shared" si="750"/>
        <v>AE05EE</v>
      </c>
      <c r="K752" t="str">
        <f t="shared" si="750"/>
        <v>AE05C8</v>
      </c>
    </row>
    <row r="753">
      <c r="A753" s="14">
        <v>751.0</v>
      </c>
      <c r="B753" t="str">
        <f t="shared" ref="B753:K753" si="751">DEC2HEX(HEX2DEC(B752)+1)</f>
        <v>AE05CF</v>
      </c>
      <c r="C753" t="str">
        <f t="shared" si="751"/>
        <v>AE05D1</v>
      </c>
      <c r="D753" t="str">
        <f t="shared" si="751"/>
        <v>AE05D3</v>
      </c>
      <c r="E753" t="str">
        <f t="shared" si="751"/>
        <v>AE05D5</v>
      </c>
      <c r="F753" t="str">
        <f t="shared" si="751"/>
        <v>AE05D7</v>
      </c>
      <c r="G753" t="str">
        <f t="shared" si="751"/>
        <v>AE05E9</v>
      </c>
      <c r="H753" t="str">
        <f t="shared" si="751"/>
        <v>AE05EB</v>
      </c>
      <c r="I753" t="str">
        <f t="shared" si="751"/>
        <v>AE05ED</v>
      </c>
      <c r="J753" t="str">
        <f t="shared" si="751"/>
        <v>AE05EF</v>
      </c>
      <c r="K753" t="str">
        <f t="shared" si="751"/>
        <v>AE05C9</v>
      </c>
    </row>
    <row r="754">
      <c r="A754" s="14">
        <v>752.0</v>
      </c>
      <c r="B754" t="str">
        <f t="shared" ref="B754:K754" si="752">DEC2HEX(HEX2DEC(B753)+1)</f>
        <v>AE05D0</v>
      </c>
      <c r="C754" t="str">
        <f t="shared" si="752"/>
        <v>AE05D2</v>
      </c>
      <c r="D754" t="str">
        <f t="shared" si="752"/>
        <v>AE05D4</v>
      </c>
      <c r="E754" t="str">
        <f t="shared" si="752"/>
        <v>AE05D6</v>
      </c>
      <c r="F754" t="str">
        <f t="shared" si="752"/>
        <v>AE05D8</v>
      </c>
      <c r="G754" t="str">
        <f t="shared" si="752"/>
        <v>AE05EA</v>
      </c>
      <c r="H754" t="str">
        <f t="shared" si="752"/>
        <v>AE05EC</v>
      </c>
      <c r="I754" t="str">
        <f t="shared" si="752"/>
        <v>AE05EE</v>
      </c>
      <c r="J754" t="str">
        <f t="shared" si="752"/>
        <v>AE05F0</v>
      </c>
      <c r="K754" t="str">
        <f t="shared" si="752"/>
        <v>AE05CA</v>
      </c>
    </row>
    <row r="755">
      <c r="A755" s="14">
        <v>753.0</v>
      </c>
      <c r="B755" t="str">
        <f t="shared" ref="B755:K755" si="753">DEC2HEX(HEX2DEC(B754)+1)</f>
        <v>AE05D1</v>
      </c>
      <c r="C755" t="str">
        <f t="shared" si="753"/>
        <v>AE05D3</v>
      </c>
      <c r="D755" t="str">
        <f t="shared" si="753"/>
        <v>AE05D5</v>
      </c>
      <c r="E755" t="str">
        <f t="shared" si="753"/>
        <v>AE05D7</v>
      </c>
      <c r="F755" t="str">
        <f t="shared" si="753"/>
        <v>AE05D9</v>
      </c>
      <c r="G755" t="str">
        <f t="shared" si="753"/>
        <v>AE05EB</v>
      </c>
      <c r="H755" t="str">
        <f t="shared" si="753"/>
        <v>AE05ED</v>
      </c>
      <c r="I755" t="str">
        <f t="shared" si="753"/>
        <v>AE05EF</v>
      </c>
      <c r="J755" t="str">
        <f t="shared" si="753"/>
        <v>AE05F1</v>
      </c>
      <c r="K755" t="str">
        <f t="shared" si="753"/>
        <v>AE05CB</v>
      </c>
    </row>
    <row r="756">
      <c r="A756" s="14">
        <v>754.0</v>
      </c>
      <c r="B756" t="str">
        <f t="shared" ref="B756:K756" si="754">DEC2HEX(HEX2DEC(B755)+1)</f>
        <v>AE05D2</v>
      </c>
      <c r="C756" t="str">
        <f t="shared" si="754"/>
        <v>AE05D4</v>
      </c>
      <c r="D756" t="str">
        <f t="shared" si="754"/>
        <v>AE05D6</v>
      </c>
      <c r="E756" t="str">
        <f t="shared" si="754"/>
        <v>AE05D8</v>
      </c>
      <c r="F756" t="str">
        <f t="shared" si="754"/>
        <v>AE05DA</v>
      </c>
      <c r="G756" t="str">
        <f t="shared" si="754"/>
        <v>AE05EC</v>
      </c>
      <c r="H756" t="str">
        <f t="shared" si="754"/>
        <v>AE05EE</v>
      </c>
      <c r="I756" t="str">
        <f t="shared" si="754"/>
        <v>AE05F0</v>
      </c>
      <c r="J756" t="str">
        <f t="shared" si="754"/>
        <v>AE05F2</v>
      </c>
      <c r="K756" t="str">
        <f t="shared" si="754"/>
        <v>AE05CC</v>
      </c>
    </row>
    <row r="757">
      <c r="A757" s="14">
        <v>755.0</v>
      </c>
      <c r="B757" t="str">
        <f t="shared" ref="B757:K757" si="755">DEC2HEX(HEX2DEC(B756)+1)</f>
        <v>AE05D3</v>
      </c>
      <c r="C757" t="str">
        <f t="shared" si="755"/>
        <v>AE05D5</v>
      </c>
      <c r="D757" t="str">
        <f t="shared" si="755"/>
        <v>AE05D7</v>
      </c>
      <c r="E757" t="str">
        <f t="shared" si="755"/>
        <v>AE05D9</v>
      </c>
      <c r="F757" t="str">
        <f t="shared" si="755"/>
        <v>AE05DB</v>
      </c>
      <c r="G757" t="str">
        <f t="shared" si="755"/>
        <v>AE05ED</v>
      </c>
      <c r="H757" t="str">
        <f t="shared" si="755"/>
        <v>AE05EF</v>
      </c>
      <c r="I757" t="str">
        <f t="shared" si="755"/>
        <v>AE05F1</v>
      </c>
      <c r="J757" t="str">
        <f t="shared" si="755"/>
        <v>AE05F3</v>
      </c>
      <c r="K757" t="str">
        <f t="shared" si="755"/>
        <v>AE05CD</v>
      </c>
    </row>
    <row r="758">
      <c r="A758" s="14">
        <v>756.0</v>
      </c>
      <c r="B758" t="str">
        <f t="shared" ref="B758:K758" si="756">DEC2HEX(HEX2DEC(B757)+1)</f>
        <v>AE05D4</v>
      </c>
      <c r="C758" t="str">
        <f t="shared" si="756"/>
        <v>AE05D6</v>
      </c>
      <c r="D758" t="str">
        <f t="shared" si="756"/>
        <v>AE05D8</v>
      </c>
      <c r="E758" t="str">
        <f t="shared" si="756"/>
        <v>AE05DA</v>
      </c>
      <c r="F758" t="str">
        <f t="shared" si="756"/>
        <v>AE05DC</v>
      </c>
      <c r="G758" t="str">
        <f t="shared" si="756"/>
        <v>AE05EE</v>
      </c>
      <c r="H758" t="str">
        <f t="shared" si="756"/>
        <v>AE05F0</v>
      </c>
      <c r="I758" t="str">
        <f t="shared" si="756"/>
        <v>AE05F2</v>
      </c>
      <c r="J758" t="str">
        <f t="shared" si="756"/>
        <v>AE05F4</v>
      </c>
      <c r="K758" t="str">
        <f t="shared" si="756"/>
        <v>AE05CE</v>
      </c>
    </row>
    <row r="759">
      <c r="A759" s="14">
        <v>757.0</v>
      </c>
      <c r="B759" t="str">
        <f t="shared" ref="B759:K759" si="757">DEC2HEX(HEX2DEC(B758)+1)</f>
        <v>AE05D5</v>
      </c>
      <c r="C759" t="str">
        <f t="shared" si="757"/>
        <v>AE05D7</v>
      </c>
      <c r="D759" t="str">
        <f t="shared" si="757"/>
        <v>AE05D9</v>
      </c>
      <c r="E759" t="str">
        <f t="shared" si="757"/>
        <v>AE05DB</v>
      </c>
      <c r="F759" t="str">
        <f t="shared" si="757"/>
        <v>AE05DD</v>
      </c>
      <c r="G759" t="str">
        <f t="shared" si="757"/>
        <v>AE05EF</v>
      </c>
      <c r="H759" t="str">
        <f t="shared" si="757"/>
        <v>AE05F1</v>
      </c>
      <c r="I759" t="str">
        <f t="shared" si="757"/>
        <v>AE05F3</v>
      </c>
      <c r="J759" t="str">
        <f t="shared" si="757"/>
        <v>AE05F5</v>
      </c>
      <c r="K759" t="str">
        <f t="shared" si="757"/>
        <v>AE05CF</v>
      </c>
    </row>
    <row r="760">
      <c r="A760" s="14">
        <v>758.0</v>
      </c>
      <c r="B760" t="str">
        <f t="shared" ref="B760:K760" si="758">DEC2HEX(HEX2DEC(B759)+1)</f>
        <v>AE05D6</v>
      </c>
      <c r="C760" t="str">
        <f t="shared" si="758"/>
        <v>AE05D8</v>
      </c>
      <c r="D760" t="str">
        <f t="shared" si="758"/>
        <v>AE05DA</v>
      </c>
      <c r="E760" t="str">
        <f t="shared" si="758"/>
        <v>AE05DC</v>
      </c>
      <c r="F760" t="str">
        <f t="shared" si="758"/>
        <v>AE05DE</v>
      </c>
      <c r="G760" t="str">
        <f t="shared" si="758"/>
        <v>AE05F0</v>
      </c>
      <c r="H760" t="str">
        <f t="shared" si="758"/>
        <v>AE05F2</v>
      </c>
      <c r="I760" t="str">
        <f t="shared" si="758"/>
        <v>AE05F4</v>
      </c>
      <c r="J760" t="str">
        <f t="shared" si="758"/>
        <v>AE05F6</v>
      </c>
      <c r="K760" t="str">
        <f t="shared" si="758"/>
        <v>AE05D0</v>
      </c>
    </row>
    <row r="761">
      <c r="A761" s="14">
        <v>759.0</v>
      </c>
      <c r="B761" t="str">
        <f t="shared" ref="B761:K761" si="759">DEC2HEX(HEX2DEC(B760)+1)</f>
        <v>AE05D7</v>
      </c>
      <c r="C761" t="str">
        <f t="shared" si="759"/>
        <v>AE05D9</v>
      </c>
      <c r="D761" t="str">
        <f t="shared" si="759"/>
        <v>AE05DB</v>
      </c>
      <c r="E761" t="str">
        <f t="shared" si="759"/>
        <v>AE05DD</v>
      </c>
      <c r="F761" t="str">
        <f t="shared" si="759"/>
        <v>AE05DF</v>
      </c>
      <c r="G761" t="str">
        <f t="shared" si="759"/>
        <v>AE05F1</v>
      </c>
      <c r="H761" t="str">
        <f t="shared" si="759"/>
        <v>AE05F3</v>
      </c>
      <c r="I761" t="str">
        <f t="shared" si="759"/>
        <v>AE05F5</v>
      </c>
      <c r="J761" t="str">
        <f t="shared" si="759"/>
        <v>AE05F7</v>
      </c>
      <c r="K761" t="str">
        <f t="shared" si="759"/>
        <v>AE05D1</v>
      </c>
    </row>
    <row r="762">
      <c r="A762" s="14">
        <v>760.0</v>
      </c>
      <c r="B762" t="str">
        <f t="shared" ref="B762:K762" si="760">DEC2HEX(HEX2DEC(B761)+1)</f>
        <v>AE05D8</v>
      </c>
      <c r="C762" t="str">
        <f t="shared" si="760"/>
        <v>AE05DA</v>
      </c>
      <c r="D762" t="str">
        <f t="shared" si="760"/>
        <v>AE05DC</v>
      </c>
      <c r="E762" t="str">
        <f t="shared" si="760"/>
        <v>AE05DE</v>
      </c>
      <c r="F762" t="str">
        <f t="shared" si="760"/>
        <v>AE05E0</v>
      </c>
      <c r="G762" t="str">
        <f t="shared" si="760"/>
        <v>AE05F2</v>
      </c>
      <c r="H762" t="str">
        <f t="shared" si="760"/>
        <v>AE05F4</v>
      </c>
      <c r="I762" t="str">
        <f t="shared" si="760"/>
        <v>AE05F6</v>
      </c>
      <c r="J762" t="str">
        <f t="shared" si="760"/>
        <v>AE05F8</v>
      </c>
      <c r="K762" t="str">
        <f t="shared" si="760"/>
        <v>AE05D2</v>
      </c>
    </row>
    <row r="763">
      <c r="A763" s="14">
        <v>761.0</v>
      </c>
      <c r="B763" t="str">
        <f t="shared" ref="B763:K763" si="761">DEC2HEX(HEX2DEC(B762)+1)</f>
        <v>AE05D9</v>
      </c>
      <c r="C763" t="str">
        <f t="shared" si="761"/>
        <v>AE05DB</v>
      </c>
      <c r="D763" t="str">
        <f t="shared" si="761"/>
        <v>AE05DD</v>
      </c>
      <c r="E763" t="str">
        <f t="shared" si="761"/>
        <v>AE05DF</v>
      </c>
      <c r="F763" t="str">
        <f t="shared" si="761"/>
        <v>AE05E1</v>
      </c>
      <c r="G763" t="str">
        <f t="shared" si="761"/>
        <v>AE05F3</v>
      </c>
      <c r="H763" t="str">
        <f t="shared" si="761"/>
        <v>AE05F5</v>
      </c>
      <c r="I763" t="str">
        <f t="shared" si="761"/>
        <v>AE05F7</v>
      </c>
      <c r="J763" t="str">
        <f t="shared" si="761"/>
        <v>AE05F9</v>
      </c>
      <c r="K763" t="str">
        <f t="shared" si="761"/>
        <v>AE05D3</v>
      </c>
    </row>
    <row r="764">
      <c r="A764" s="14">
        <v>762.0</v>
      </c>
      <c r="B764" t="str">
        <f t="shared" ref="B764:K764" si="762">DEC2HEX(HEX2DEC(B763)+1)</f>
        <v>AE05DA</v>
      </c>
      <c r="C764" t="str">
        <f t="shared" si="762"/>
        <v>AE05DC</v>
      </c>
      <c r="D764" t="str">
        <f t="shared" si="762"/>
        <v>AE05DE</v>
      </c>
      <c r="E764" t="str">
        <f t="shared" si="762"/>
        <v>AE05E0</v>
      </c>
      <c r="F764" t="str">
        <f t="shared" si="762"/>
        <v>AE05E2</v>
      </c>
      <c r="G764" t="str">
        <f t="shared" si="762"/>
        <v>AE05F4</v>
      </c>
      <c r="H764" t="str">
        <f t="shared" si="762"/>
        <v>AE05F6</v>
      </c>
      <c r="I764" t="str">
        <f t="shared" si="762"/>
        <v>AE05F8</v>
      </c>
      <c r="J764" t="str">
        <f t="shared" si="762"/>
        <v>AE05FA</v>
      </c>
      <c r="K764" t="str">
        <f t="shared" si="762"/>
        <v>AE05D4</v>
      </c>
    </row>
    <row r="765">
      <c r="A765" s="14">
        <v>763.0</v>
      </c>
      <c r="B765" t="str">
        <f t="shared" ref="B765:K765" si="763">DEC2HEX(HEX2DEC(B764)+1)</f>
        <v>AE05DB</v>
      </c>
      <c r="C765" t="str">
        <f t="shared" si="763"/>
        <v>AE05DD</v>
      </c>
      <c r="D765" t="str">
        <f t="shared" si="763"/>
        <v>AE05DF</v>
      </c>
      <c r="E765" t="str">
        <f t="shared" si="763"/>
        <v>AE05E1</v>
      </c>
      <c r="F765" t="str">
        <f t="shared" si="763"/>
        <v>AE05E3</v>
      </c>
      <c r="G765" t="str">
        <f t="shared" si="763"/>
        <v>AE05F5</v>
      </c>
      <c r="H765" t="str">
        <f t="shared" si="763"/>
        <v>AE05F7</v>
      </c>
      <c r="I765" t="str">
        <f t="shared" si="763"/>
        <v>AE05F9</v>
      </c>
      <c r="J765" t="str">
        <f t="shared" si="763"/>
        <v>AE05FB</v>
      </c>
      <c r="K765" t="str">
        <f t="shared" si="763"/>
        <v>AE05D5</v>
      </c>
    </row>
    <row r="766">
      <c r="A766" s="14">
        <v>764.0</v>
      </c>
      <c r="B766" t="str">
        <f t="shared" ref="B766:K766" si="764">DEC2HEX(HEX2DEC(B765)+1)</f>
        <v>AE05DC</v>
      </c>
      <c r="C766" t="str">
        <f t="shared" si="764"/>
        <v>AE05DE</v>
      </c>
      <c r="D766" t="str">
        <f t="shared" si="764"/>
        <v>AE05E0</v>
      </c>
      <c r="E766" t="str">
        <f t="shared" si="764"/>
        <v>AE05E2</v>
      </c>
      <c r="F766" t="str">
        <f t="shared" si="764"/>
        <v>AE05E4</v>
      </c>
      <c r="G766" t="str">
        <f t="shared" si="764"/>
        <v>AE05F6</v>
      </c>
      <c r="H766" t="str">
        <f t="shared" si="764"/>
        <v>AE05F8</v>
      </c>
      <c r="I766" t="str">
        <f t="shared" si="764"/>
        <v>AE05FA</v>
      </c>
      <c r="J766" t="str">
        <f t="shared" si="764"/>
        <v>AE05FC</v>
      </c>
      <c r="K766" t="str">
        <f t="shared" si="764"/>
        <v>AE05D6</v>
      </c>
    </row>
    <row r="767">
      <c r="A767" s="14">
        <v>765.0</v>
      </c>
      <c r="B767" t="str">
        <f t="shared" ref="B767:K767" si="765">DEC2HEX(HEX2DEC(B766)+1)</f>
        <v>AE05DD</v>
      </c>
      <c r="C767" t="str">
        <f t="shared" si="765"/>
        <v>AE05DF</v>
      </c>
      <c r="D767" t="str">
        <f t="shared" si="765"/>
        <v>AE05E1</v>
      </c>
      <c r="E767" t="str">
        <f t="shared" si="765"/>
        <v>AE05E3</v>
      </c>
      <c r="F767" t="str">
        <f t="shared" si="765"/>
        <v>AE05E5</v>
      </c>
      <c r="G767" t="str">
        <f t="shared" si="765"/>
        <v>AE05F7</v>
      </c>
      <c r="H767" t="str">
        <f t="shared" si="765"/>
        <v>AE05F9</v>
      </c>
      <c r="I767" t="str">
        <f t="shared" si="765"/>
        <v>AE05FB</v>
      </c>
      <c r="J767" t="str">
        <f t="shared" si="765"/>
        <v>AE05FD</v>
      </c>
      <c r="K767" t="str">
        <f t="shared" si="765"/>
        <v>AE05D7</v>
      </c>
    </row>
    <row r="768">
      <c r="A768" s="14">
        <v>766.0</v>
      </c>
      <c r="B768" t="str">
        <f t="shared" ref="B768:K768" si="766">DEC2HEX(HEX2DEC(B767)+1)</f>
        <v>AE05DE</v>
      </c>
      <c r="C768" t="str">
        <f t="shared" si="766"/>
        <v>AE05E0</v>
      </c>
      <c r="D768" t="str">
        <f t="shared" si="766"/>
        <v>AE05E2</v>
      </c>
      <c r="E768" t="str">
        <f t="shared" si="766"/>
        <v>AE05E4</v>
      </c>
      <c r="F768" t="str">
        <f t="shared" si="766"/>
        <v>AE05E6</v>
      </c>
      <c r="G768" t="str">
        <f t="shared" si="766"/>
        <v>AE05F8</v>
      </c>
      <c r="H768" t="str">
        <f t="shared" si="766"/>
        <v>AE05FA</v>
      </c>
      <c r="I768" t="str">
        <f t="shared" si="766"/>
        <v>AE05FC</v>
      </c>
      <c r="J768" t="str">
        <f t="shared" si="766"/>
        <v>AE05FE</v>
      </c>
      <c r="K768" t="str">
        <f t="shared" si="766"/>
        <v>AE05D8</v>
      </c>
    </row>
    <row r="769">
      <c r="A769" s="14">
        <v>767.0</v>
      </c>
      <c r="B769" t="str">
        <f t="shared" ref="B769:K769" si="767">DEC2HEX(HEX2DEC(B768)+1)</f>
        <v>AE05DF</v>
      </c>
      <c r="C769" t="str">
        <f t="shared" si="767"/>
        <v>AE05E1</v>
      </c>
      <c r="D769" t="str">
        <f t="shared" si="767"/>
        <v>AE05E3</v>
      </c>
      <c r="E769" t="str">
        <f t="shared" si="767"/>
        <v>AE05E5</v>
      </c>
      <c r="F769" t="str">
        <f t="shared" si="767"/>
        <v>AE05E7</v>
      </c>
      <c r="G769" t="str">
        <f t="shared" si="767"/>
        <v>AE05F9</v>
      </c>
      <c r="H769" t="str">
        <f t="shared" si="767"/>
        <v>AE05FB</v>
      </c>
      <c r="I769" t="str">
        <f t="shared" si="767"/>
        <v>AE05FD</v>
      </c>
      <c r="J769" t="str">
        <f t="shared" si="767"/>
        <v>AE05FF</v>
      </c>
      <c r="K769" t="str">
        <f t="shared" si="767"/>
        <v>AE05D9</v>
      </c>
    </row>
    <row r="770">
      <c r="A770" s="14">
        <v>768.0</v>
      </c>
      <c r="B770" t="str">
        <f t="shared" ref="B770:K770" si="768">DEC2HEX(HEX2DEC(B769)+1)</f>
        <v>AE05E0</v>
      </c>
      <c r="C770" t="str">
        <f t="shared" si="768"/>
        <v>AE05E2</v>
      </c>
      <c r="D770" t="str">
        <f t="shared" si="768"/>
        <v>AE05E4</v>
      </c>
      <c r="E770" t="str">
        <f t="shared" si="768"/>
        <v>AE05E6</v>
      </c>
      <c r="F770" t="str">
        <f t="shared" si="768"/>
        <v>AE05E8</v>
      </c>
      <c r="G770" t="str">
        <f t="shared" si="768"/>
        <v>AE05FA</v>
      </c>
      <c r="H770" t="str">
        <f t="shared" si="768"/>
        <v>AE05FC</v>
      </c>
      <c r="I770" t="str">
        <f t="shared" si="768"/>
        <v>AE05FE</v>
      </c>
      <c r="J770" t="str">
        <f t="shared" si="768"/>
        <v>AE0600</v>
      </c>
      <c r="K770" t="str">
        <f t="shared" si="768"/>
        <v>AE05DA</v>
      </c>
    </row>
    <row r="771">
      <c r="A771" s="14">
        <v>769.0</v>
      </c>
      <c r="B771" t="str">
        <f t="shared" ref="B771:K771" si="769">DEC2HEX(HEX2DEC(B770)+1)</f>
        <v>AE05E1</v>
      </c>
      <c r="C771" t="str">
        <f t="shared" si="769"/>
        <v>AE05E3</v>
      </c>
      <c r="D771" t="str">
        <f t="shared" si="769"/>
        <v>AE05E5</v>
      </c>
      <c r="E771" t="str">
        <f t="shared" si="769"/>
        <v>AE05E7</v>
      </c>
      <c r="F771" t="str">
        <f t="shared" si="769"/>
        <v>AE05E9</v>
      </c>
      <c r="G771" t="str">
        <f t="shared" si="769"/>
        <v>AE05FB</v>
      </c>
      <c r="H771" t="str">
        <f t="shared" si="769"/>
        <v>AE05FD</v>
      </c>
      <c r="I771" t="str">
        <f t="shared" si="769"/>
        <v>AE05FF</v>
      </c>
      <c r="J771" t="str">
        <f t="shared" si="769"/>
        <v>AE0601</v>
      </c>
      <c r="K771" t="str">
        <f t="shared" si="769"/>
        <v>AE05DB</v>
      </c>
    </row>
    <row r="772">
      <c r="A772" s="14">
        <v>770.0</v>
      </c>
      <c r="B772" t="str">
        <f t="shared" ref="B772:K772" si="770">DEC2HEX(HEX2DEC(B771)+1)</f>
        <v>AE05E2</v>
      </c>
      <c r="C772" t="str">
        <f t="shared" si="770"/>
        <v>AE05E4</v>
      </c>
      <c r="D772" t="str">
        <f t="shared" si="770"/>
        <v>AE05E6</v>
      </c>
      <c r="E772" t="str">
        <f t="shared" si="770"/>
        <v>AE05E8</v>
      </c>
      <c r="F772" t="str">
        <f t="shared" si="770"/>
        <v>AE05EA</v>
      </c>
      <c r="G772" t="str">
        <f t="shared" si="770"/>
        <v>AE05FC</v>
      </c>
      <c r="H772" t="str">
        <f t="shared" si="770"/>
        <v>AE05FE</v>
      </c>
      <c r="I772" t="str">
        <f t="shared" si="770"/>
        <v>AE0600</v>
      </c>
      <c r="J772" t="str">
        <f t="shared" si="770"/>
        <v>AE0602</v>
      </c>
      <c r="K772" t="str">
        <f t="shared" si="770"/>
        <v>AE05DC</v>
      </c>
    </row>
    <row r="773">
      <c r="A773" s="14">
        <v>771.0</v>
      </c>
      <c r="B773" t="str">
        <f t="shared" ref="B773:K773" si="771">DEC2HEX(HEX2DEC(B772)+1)</f>
        <v>AE05E3</v>
      </c>
      <c r="C773" t="str">
        <f t="shared" si="771"/>
        <v>AE05E5</v>
      </c>
      <c r="D773" t="str">
        <f t="shared" si="771"/>
        <v>AE05E7</v>
      </c>
      <c r="E773" t="str">
        <f t="shared" si="771"/>
        <v>AE05E9</v>
      </c>
      <c r="F773" t="str">
        <f t="shared" si="771"/>
        <v>AE05EB</v>
      </c>
      <c r="G773" t="str">
        <f t="shared" si="771"/>
        <v>AE05FD</v>
      </c>
      <c r="H773" t="str">
        <f t="shared" si="771"/>
        <v>AE05FF</v>
      </c>
      <c r="I773" t="str">
        <f t="shared" si="771"/>
        <v>AE0601</v>
      </c>
      <c r="J773" t="str">
        <f t="shared" si="771"/>
        <v>AE0603</v>
      </c>
      <c r="K773" t="str">
        <f t="shared" si="771"/>
        <v>AE05DD</v>
      </c>
    </row>
    <row r="774">
      <c r="A774" s="14">
        <v>772.0</v>
      </c>
      <c r="B774" t="str">
        <f t="shared" ref="B774:K774" si="772">DEC2HEX(HEX2DEC(B773)+1)</f>
        <v>AE05E4</v>
      </c>
      <c r="C774" t="str">
        <f t="shared" si="772"/>
        <v>AE05E6</v>
      </c>
      <c r="D774" t="str">
        <f t="shared" si="772"/>
        <v>AE05E8</v>
      </c>
      <c r="E774" t="str">
        <f t="shared" si="772"/>
        <v>AE05EA</v>
      </c>
      <c r="F774" t="str">
        <f t="shared" si="772"/>
        <v>AE05EC</v>
      </c>
      <c r="G774" t="str">
        <f t="shared" si="772"/>
        <v>AE05FE</v>
      </c>
      <c r="H774" t="str">
        <f t="shared" si="772"/>
        <v>AE0600</v>
      </c>
      <c r="I774" t="str">
        <f t="shared" si="772"/>
        <v>AE0602</v>
      </c>
      <c r="J774" t="str">
        <f t="shared" si="772"/>
        <v>AE0604</v>
      </c>
      <c r="K774" t="str">
        <f t="shared" si="772"/>
        <v>AE05DE</v>
      </c>
    </row>
    <row r="775">
      <c r="A775" s="14">
        <v>773.0</v>
      </c>
      <c r="B775" t="str">
        <f t="shared" ref="B775:K775" si="773">DEC2HEX(HEX2DEC(B774)+1)</f>
        <v>AE05E5</v>
      </c>
      <c r="C775" t="str">
        <f t="shared" si="773"/>
        <v>AE05E7</v>
      </c>
      <c r="D775" t="str">
        <f t="shared" si="773"/>
        <v>AE05E9</v>
      </c>
      <c r="E775" t="str">
        <f t="shared" si="773"/>
        <v>AE05EB</v>
      </c>
      <c r="F775" t="str">
        <f t="shared" si="773"/>
        <v>AE05ED</v>
      </c>
      <c r="G775" t="str">
        <f t="shared" si="773"/>
        <v>AE05FF</v>
      </c>
      <c r="H775" t="str">
        <f t="shared" si="773"/>
        <v>AE0601</v>
      </c>
      <c r="I775" t="str">
        <f t="shared" si="773"/>
        <v>AE0603</v>
      </c>
      <c r="J775" t="str">
        <f t="shared" si="773"/>
        <v>AE0605</v>
      </c>
      <c r="K775" t="str">
        <f t="shared" si="773"/>
        <v>AE05DF</v>
      </c>
    </row>
    <row r="776">
      <c r="A776" s="14">
        <v>774.0</v>
      </c>
      <c r="B776" t="str">
        <f t="shared" ref="B776:K776" si="774">DEC2HEX(HEX2DEC(B775)+1)</f>
        <v>AE05E6</v>
      </c>
      <c r="C776" t="str">
        <f t="shared" si="774"/>
        <v>AE05E8</v>
      </c>
      <c r="D776" t="str">
        <f t="shared" si="774"/>
        <v>AE05EA</v>
      </c>
      <c r="E776" t="str">
        <f t="shared" si="774"/>
        <v>AE05EC</v>
      </c>
      <c r="F776" t="str">
        <f t="shared" si="774"/>
        <v>AE05EE</v>
      </c>
      <c r="G776" t="str">
        <f t="shared" si="774"/>
        <v>AE0600</v>
      </c>
      <c r="H776" t="str">
        <f t="shared" si="774"/>
        <v>AE0602</v>
      </c>
      <c r="I776" t="str">
        <f t="shared" si="774"/>
        <v>AE0604</v>
      </c>
      <c r="J776" t="str">
        <f t="shared" si="774"/>
        <v>AE0606</v>
      </c>
      <c r="K776" t="str">
        <f t="shared" si="774"/>
        <v>AE05E0</v>
      </c>
    </row>
    <row r="777">
      <c r="A777" s="14">
        <v>775.0</v>
      </c>
      <c r="B777" t="str">
        <f t="shared" ref="B777:K777" si="775">DEC2HEX(HEX2DEC(B776)+1)</f>
        <v>AE05E7</v>
      </c>
      <c r="C777" t="str">
        <f t="shared" si="775"/>
        <v>AE05E9</v>
      </c>
      <c r="D777" t="str">
        <f t="shared" si="775"/>
        <v>AE05EB</v>
      </c>
      <c r="E777" t="str">
        <f t="shared" si="775"/>
        <v>AE05ED</v>
      </c>
      <c r="F777" t="str">
        <f t="shared" si="775"/>
        <v>AE05EF</v>
      </c>
      <c r="G777" t="str">
        <f t="shared" si="775"/>
        <v>AE0601</v>
      </c>
      <c r="H777" t="str">
        <f t="shared" si="775"/>
        <v>AE0603</v>
      </c>
      <c r="I777" t="str">
        <f t="shared" si="775"/>
        <v>AE0605</v>
      </c>
      <c r="J777" t="str">
        <f t="shared" si="775"/>
        <v>AE0607</v>
      </c>
      <c r="K777" t="str">
        <f t="shared" si="775"/>
        <v>AE05E1</v>
      </c>
    </row>
    <row r="778">
      <c r="A778" s="14">
        <v>776.0</v>
      </c>
      <c r="B778" t="str">
        <f t="shared" ref="B778:K778" si="776">DEC2HEX(HEX2DEC(B777)+1)</f>
        <v>AE05E8</v>
      </c>
      <c r="C778" t="str">
        <f t="shared" si="776"/>
        <v>AE05EA</v>
      </c>
      <c r="D778" t="str">
        <f t="shared" si="776"/>
        <v>AE05EC</v>
      </c>
      <c r="E778" t="str">
        <f t="shared" si="776"/>
        <v>AE05EE</v>
      </c>
      <c r="F778" t="str">
        <f t="shared" si="776"/>
        <v>AE05F0</v>
      </c>
      <c r="G778" t="str">
        <f t="shared" si="776"/>
        <v>AE0602</v>
      </c>
      <c r="H778" t="str">
        <f t="shared" si="776"/>
        <v>AE0604</v>
      </c>
      <c r="I778" t="str">
        <f t="shared" si="776"/>
        <v>AE0606</v>
      </c>
      <c r="J778" t="str">
        <f t="shared" si="776"/>
        <v>AE0608</v>
      </c>
      <c r="K778" t="str">
        <f t="shared" si="776"/>
        <v>AE05E2</v>
      </c>
    </row>
    <row r="779">
      <c r="A779" s="14">
        <v>777.0</v>
      </c>
      <c r="B779" t="str">
        <f t="shared" ref="B779:K779" si="777">DEC2HEX(HEX2DEC(B778)+1)</f>
        <v>AE05E9</v>
      </c>
      <c r="C779" t="str">
        <f t="shared" si="777"/>
        <v>AE05EB</v>
      </c>
      <c r="D779" t="str">
        <f t="shared" si="777"/>
        <v>AE05ED</v>
      </c>
      <c r="E779" t="str">
        <f t="shared" si="777"/>
        <v>AE05EF</v>
      </c>
      <c r="F779" t="str">
        <f t="shared" si="777"/>
        <v>AE05F1</v>
      </c>
      <c r="G779" t="str">
        <f t="shared" si="777"/>
        <v>AE0603</v>
      </c>
      <c r="H779" t="str">
        <f t="shared" si="777"/>
        <v>AE0605</v>
      </c>
      <c r="I779" t="str">
        <f t="shared" si="777"/>
        <v>AE0607</v>
      </c>
      <c r="J779" t="str">
        <f t="shared" si="777"/>
        <v>AE0609</v>
      </c>
      <c r="K779" t="str">
        <f t="shared" si="777"/>
        <v>AE05E3</v>
      </c>
    </row>
    <row r="780">
      <c r="A780" s="14">
        <v>778.0</v>
      </c>
      <c r="B780" t="str">
        <f t="shared" ref="B780:K780" si="778">DEC2HEX(HEX2DEC(B779)+1)</f>
        <v>AE05EA</v>
      </c>
      <c r="C780" t="str">
        <f t="shared" si="778"/>
        <v>AE05EC</v>
      </c>
      <c r="D780" t="str">
        <f t="shared" si="778"/>
        <v>AE05EE</v>
      </c>
      <c r="E780" t="str">
        <f t="shared" si="778"/>
        <v>AE05F0</v>
      </c>
      <c r="F780" t="str">
        <f t="shared" si="778"/>
        <v>AE05F2</v>
      </c>
      <c r="G780" t="str">
        <f t="shared" si="778"/>
        <v>AE0604</v>
      </c>
      <c r="H780" t="str">
        <f t="shared" si="778"/>
        <v>AE0606</v>
      </c>
      <c r="I780" t="str">
        <f t="shared" si="778"/>
        <v>AE0608</v>
      </c>
      <c r="J780" t="str">
        <f t="shared" si="778"/>
        <v>AE060A</v>
      </c>
      <c r="K780" t="str">
        <f t="shared" si="778"/>
        <v>AE05E4</v>
      </c>
    </row>
    <row r="781">
      <c r="A781" s="14">
        <v>779.0</v>
      </c>
      <c r="B781" t="str">
        <f t="shared" ref="B781:K781" si="779">DEC2HEX(HEX2DEC(B780)+1)</f>
        <v>AE05EB</v>
      </c>
      <c r="C781" t="str">
        <f t="shared" si="779"/>
        <v>AE05ED</v>
      </c>
      <c r="D781" t="str">
        <f t="shared" si="779"/>
        <v>AE05EF</v>
      </c>
      <c r="E781" t="str">
        <f t="shared" si="779"/>
        <v>AE05F1</v>
      </c>
      <c r="F781" t="str">
        <f t="shared" si="779"/>
        <v>AE05F3</v>
      </c>
      <c r="G781" t="str">
        <f t="shared" si="779"/>
        <v>AE0605</v>
      </c>
      <c r="H781" t="str">
        <f t="shared" si="779"/>
        <v>AE0607</v>
      </c>
      <c r="I781" t="str">
        <f t="shared" si="779"/>
        <v>AE0609</v>
      </c>
      <c r="J781" t="str">
        <f t="shared" si="779"/>
        <v>AE060B</v>
      </c>
      <c r="K781" t="str">
        <f t="shared" si="779"/>
        <v>AE05E5</v>
      </c>
    </row>
    <row r="782">
      <c r="A782" s="14">
        <v>780.0</v>
      </c>
      <c r="B782" t="str">
        <f t="shared" ref="B782:K782" si="780">DEC2HEX(HEX2DEC(B781)+1)</f>
        <v>AE05EC</v>
      </c>
      <c r="C782" t="str">
        <f t="shared" si="780"/>
        <v>AE05EE</v>
      </c>
      <c r="D782" t="str">
        <f t="shared" si="780"/>
        <v>AE05F0</v>
      </c>
      <c r="E782" t="str">
        <f t="shared" si="780"/>
        <v>AE05F2</v>
      </c>
      <c r="F782" t="str">
        <f t="shared" si="780"/>
        <v>AE05F4</v>
      </c>
      <c r="G782" t="str">
        <f t="shared" si="780"/>
        <v>AE0606</v>
      </c>
      <c r="H782" t="str">
        <f t="shared" si="780"/>
        <v>AE0608</v>
      </c>
      <c r="I782" t="str">
        <f t="shared" si="780"/>
        <v>AE060A</v>
      </c>
      <c r="J782" t="str">
        <f t="shared" si="780"/>
        <v>AE060C</v>
      </c>
      <c r="K782" t="str">
        <f t="shared" si="780"/>
        <v>AE05E6</v>
      </c>
    </row>
    <row r="783">
      <c r="A783" s="14">
        <v>781.0</v>
      </c>
      <c r="B783" t="str">
        <f t="shared" ref="B783:K783" si="781">DEC2HEX(HEX2DEC(B782)+1)</f>
        <v>AE05ED</v>
      </c>
      <c r="C783" t="str">
        <f t="shared" si="781"/>
        <v>AE05EF</v>
      </c>
      <c r="D783" t="str">
        <f t="shared" si="781"/>
        <v>AE05F1</v>
      </c>
      <c r="E783" t="str">
        <f t="shared" si="781"/>
        <v>AE05F3</v>
      </c>
      <c r="F783" t="str">
        <f t="shared" si="781"/>
        <v>AE05F5</v>
      </c>
      <c r="G783" t="str">
        <f t="shared" si="781"/>
        <v>AE0607</v>
      </c>
      <c r="H783" t="str">
        <f t="shared" si="781"/>
        <v>AE0609</v>
      </c>
      <c r="I783" t="str">
        <f t="shared" si="781"/>
        <v>AE060B</v>
      </c>
      <c r="J783" t="str">
        <f t="shared" si="781"/>
        <v>AE060D</v>
      </c>
      <c r="K783" t="str">
        <f t="shared" si="781"/>
        <v>AE05E7</v>
      </c>
    </row>
    <row r="784">
      <c r="A784" s="14">
        <v>782.0</v>
      </c>
      <c r="B784" t="str">
        <f t="shared" ref="B784:K784" si="782">DEC2HEX(HEX2DEC(B783)+1)</f>
        <v>AE05EE</v>
      </c>
      <c r="C784" t="str">
        <f t="shared" si="782"/>
        <v>AE05F0</v>
      </c>
      <c r="D784" t="str">
        <f t="shared" si="782"/>
        <v>AE05F2</v>
      </c>
      <c r="E784" t="str">
        <f t="shared" si="782"/>
        <v>AE05F4</v>
      </c>
      <c r="F784" t="str">
        <f t="shared" si="782"/>
        <v>AE05F6</v>
      </c>
      <c r="G784" t="str">
        <f t="shared" si="782"/>
        <v>AE0608</v>
      </c>
      <c r="H784" t="str">
        <f t="shared" si="782"/>
        <v>AE060A</v>
      </c>
      <c r="I784" t="str">
        <f t="shared" si="782"/>
        <v>AE060C</v>
      </c>
      <c r="J784" t="str">
        <f t="shared" si="782"/>
        <v>AE060E</v>
      </c>
      <c r="K784" t="str">
        <f t="shared" si="782"/>
        <v>AE05E8</v>
      </c>
    </row>
    <row r="785">
      <c r="A785" s="14">
        <v>783.0</v>
      </c>
      <c r="B785" t="str">
        <f t="shared" ref="B785:K785" si="783">DEC2HEX(HEX2DEC(B784)+1)</f>
        <v>AE05EF</v>
      </c>
      <c r="C785" t="str">
        <f t="shared" si="783"/>
        <v>AE05F1</v>
      </c>
      <c r="D785" t="str">
        <f t="shared" si="783"/>
        <v>AE05F3</v>
      </c>
      <c r="E785" t="str">
        <f t="shared" si="783"/>
        <v>AE05F5</v>
      </c>
      <c r="F785" t="str">
        <f t="shared" si="783"/>
        <v>AE05F7</v>
      </c>
      <c r="G785" t="str">
        <f t="shared" si="783"/>
        <v>AE0609</v>
      </c>
      <c r="H785" t="str">
        <f t="shared" si="783"/>
        <v>AE060B</v>
      </c>
      <c r="I785" t="str">
        <f t="shared" si="783"/>
        <v>AE060D</v>
      </c>
      <c r="J785" t="str">
        <f t="shared" si="783"/>
        <v>AE060F</v>
      </c>
      <c r="K785" t="str">
        <f t="shared" si="783"/>
        <v>AE05E9</v>
      </c>
    </row>
    <row r="786">
      <c r="A786" s="14">
        <v>784.0</v>
      </c>
      <c r="B786" t="str">
        <f t="shared" ref="B786:K786" si="784">DEC2HEX(HEX2DEC(B785)+1)</f>
        <v>AE05F0</v>
      </c>
      <c r="C786" t="str">
        <f t="shared" si="784"/>
        <v>AE05F2</v>
      </c>
      <c r="D786" t="str">
        <f t="shared" si="784"/>
        <v>AE05F4</v>
      </c>
      <c r="E786" t="str">
        <f t="shared" si="784"/>
        <v>AE05F6</v>
      </c>
      <c r="F786" t="str">
        <f t="shared" si="784"/>
        <v>AE05F8</v>
      </c>
      <c r="G786" t="str">
        <f t="shared" si="784"/>
        <v>AE060A</v>
      </c>
      <c r="H786" t="str">
        <f t="shared" si="784"/>
        <v>AE060C</v>
      </c>
      <c r="I786" t="str">
        <f t="shared" si="784"/>
        <v>AE060E</v>
      </c>
      <c r="J786" t="str">
        <f t="shared" si="784"/>
        <v>AE0610</v>
      </c>
      <c r="K786" t="str">
        <f t="shared" si="784"/>
        <v>AE05EA</v>
      </c>
    </row>
    <row r="787">
      <c r="A787" s="14">
        <v>785.0</v>
      </c>
      <c r="B787" t="str">
        <f t="shared" ref="B787:K787" si="785">DEC2HEX(HEX2DEC(B786)+1)</f>
        <v>AE05F1</v>
      </c>
      <c r="C787" t="str">
        <f t="shared" si="785"/>
        <v>AE05F3</v>
      </c>
      <c r="D787" t="str">
        <f t="shared" si="785"/>
        <v>AE05F5</v>
      </c>
      <c r="E787" t="str">
        <f t="shared" si="785"/>
        <v>AE05F7</v>
      </c>
      <c r="F787" t="str">
        <f t="shared" si="785"/>
        <v>AE05F9</v>
      </c>
      <c r="G787" t="str">
        <f t="shared" si="785"/>
        <v>AE060B</v>
      </c>
      <c r="H787" t="str">
        <f t="shared" si="785"/>
        <v>AE060D</v>
      </c>
      <c r="I787" t="str">
        <f t="shared" si="785"/>
        <v>AE060F</v>
      </c>
      <c r="J787" t="str">
        <f t="shared" si="785"/>
        <v>AE0611</v>
      </c>
      <c r="K787" t="str">
        <f t="shared" si="785"/>
        <v>AE05EB</v>
      </c>
    </row>
    <row r="788">
      <c r="A788" s="14">
        <v>786.0</v>
      </c>
      <c r="B788" t="str">
        <f t="shared" ref="B788:K788" si="786">DEC2HEX(HEX2DEC(B787)+1)</f>
        <v>AE05F2</v>
      </c>
      <c r="C788" t="str">
        <f t="shared" si="786"/>
        <v>AE05F4</v>
      </c>
      <c r="D788" t="str">
        <f t="shared" si="786"/>
        <v>AE05F6</v>
      </c>
      <c r="E788" t="str">
        <f t="shared" si="786"/>
        <v>AE05F8</v>
      </c>
      <c r="F788" t="str">
        <f t="shared" si="786"/>
        <v>AE05FA</v>
      </c>
      <c r="G788" t="str">
        <f t="shared" si="786"/>
        <v>AE060C</v>
      </c>
      <c r="H788" t="str">
        <f t="shared" si="786"/>
        <v>AE060E</v>
      </c>
      <c r="I788" t="str">
        <f t="shared" si="786"/>
        <v>AE0610</v>
      </c>
      <c r="J788" t="str">
        <f t="shared" si="786"/>
        <v>AE0612</v>
      </c>
      <c r="K788" t="str">
        <f t="shared" si="786"/>
        <v>AE05EC</v>
      </c>
    </row>
    <row r="789">
      <c r="A789" s="14">
        <v>787.0</v>
      </c>
      <c r="B789" t="str">
        <f t="shared" ref="B789:K789" si="787">DEC2HEX(HEX2DEC(B788)+1)</f>
        <v>AE05F3</v>
      </c>
      <c r="C789" t="str">
        <f t="shared" si="787"/>
        <v>AE05F5</v>
      </c>
      <c r="D789" t="str">
        <f t="shared" si="787"/>
        <v>AE05F7</v>
      </c>
      <c r="E789" t="str">
        <f t="shared" si="787"/>
        <v>AE05F9</v>
      </c>
      <c r="F789" t="str">
        <f t="shared" si="787"/>
        <v>AE05FB</v>
      </c>
      <c r="G789" t="str">
        <f t="shared" si="787"/>
        <v>AE060D</v>
      </c>
      <c r="H789" t="str">
        <f t="shared" si="787"/>
        <v>AE060F</v>
      </c>
      <c r="I789" t="str">
        <f t="shared" si="787"/>
        <v>AE0611</v>
      </c>
      <c r="J789" t="str">
        <f t="shared" si="787"/>
        <v>AE0613</v>
      </c>
      <c r="K789" t="str">
        <f t="shared" si="787"/>
        <v>AE05ED</v>
      </c>
    </row>
    <row r="790">
      <c r="A790" s="14">
        <v>788.0</v>
      </c>
      <c r="B790" t="str">
        <f t="shared" ref="B790:K790" si="788">DEC2HEX(HEX2DEC(B789)+1)</f>
        <v>AE05F4</v>
      </c>
      <c r="C790" t="str">
        <f t="shared" si="788"/>
        <v>AE05F6</v>
      </c>
      <c r="D790" t="str">
        <f t="shared" si="788"/>
        <v>AE05F8</v>
      </c>
      <c r="E790" t="str">
        <f t="shared" si="788"/>
        <v>AE05FA</v>
      </c>
      <c r="F790" t="str">
        <f t="shared" si="788"/>
        <v>AE05FC</v>
      </c>
      <c r="G790" t="str">
        <f t="shared" si="788"/>
        <v>AE060E</v>
      </c>
      <c r="H790" t="str">
        <f t="shared" si="788"/>
        <v>AE0610</v>
      </c>
      <c r="I790" t="str">
        <f t="shared" si="788"/>
        <v>AE0612</v>
      </c>
      <c r="J790" t="str">
        <f t="shared" si="788"/>
        <v>AE0614</v>
      </c>
      <c r="K790" t="str">
        <f t="shared" si="788"/>
        <v>AE05EE</v>
      </c>
    </row>
    <row r="791">
      <c r="A791" s="14">
        <v>789.0</v>
      </c>
      <c r="B791" t="str">
        <f t="shared" ref="B791:K791" si="789">DEC2HEX(HEX2DEC(B790)+1)</f>
        <v>AE05F5</v>
      </c>
      <c r="C791" t="str">
        <f t="shared" si="789"/>
        <v>AE05F7</v>
      </c>
      <c r="D791" t="str">
        <f t="shared" si="789"/>
        <v>AE05F9</v>
      </c>
      <c r="E791" t="str">
        <f t="shared" si="789"/>
        <v>AE05FB</v>
      </c>
      <c r="F791" t="str">
        <f t="shared" si="789"/>
        <v>AE05FD</v>
      </c>
      <c r="G791" t="str">
        <f t="shared" si="789"/>
        <v>AE060F</v>
      </c>
      <c r="H791" t="str">
        <f t="shared" si="789"/>
        <v>AE0611</v>
      </c>
      <c r="I791" t="str">
        <f t="shared" si="789"/>
        <v>AE0613</v>
      </c>
      <c r="J791" t="str">
        <f t="shared" si="789"/>
        <v>AE0615</v>
      </c>
      <c r="K791" t="str">
        <f t="shared" si="789"/>
        <v>AE05EF</v>
      </c>
    </row>
    <row r="792">
      <c r="A792" s="14">
        <v>790.0</v>
      </c>
      <c r="B792" t="str">
        <f t="shared" ref="B792:K792" si="790">DEC2HEX(HEX2DEC(B791)+1)</f>
        <v>AE05F6</v>
      </c>
      <c r="C792" t="str">
        <f t="shared" si="790"/>
        <v>AE05F8</v>
      </c>
      <c r="D792" t="str">
        <f t="shared" si="790"/>
        <v>AE05FA</v>
      </c>
      <c r="E792" t="str">
        <f t="shared" si="790"/>
        <v>AE05FC</v>
      </c>
      <c r="F792" t="str">
        <f t="shared" si="790"/>
        <v>AE05FE</v>
      </c>
      <c r="G792" t="str">
        <f t="shared" si="790"/>
        <v>AE0610</v>
      </c>
      <c r="H792" t="str">
        <f t="shared" si="790"/>
        <v>AE0612</v>
      </c>
      <c r="I792" t="str">
        <f t="shared" si="790"/>
        <v>AE0614</v>
      </c>
      <c r="J792" t="str">
        <f t="shared" si="790"/>
        <v>AE0616</v>
      </c>
      <c r="K792" t="str">
        <f t="shared" si="790"/>
        <v>AE05F0</v>
      </c>
    </row>
    <row r="793">
      <c r="A793" s="14">
        <v>791.0</v>
      </c>
      <c r="B793" t="str">
        <f t="shared" ref="B793:K793" si="791">DEC2HEX(HEX2DEC(B792)+1)</f>
        <v>AE05F7</v>
      </c>
      <c r="C793" t="str">
        <f t="shared" si="791"/>
        <v>AE05F9</v>
      </c>
      <c r="D793" t="str">
        <f t="shared" si="791"/>
        <v>AE05FB</v>
      </c>
      <c r="E793" t="str">
        <f t="shared" si="791"/>
        <v>AE05FD</v>
      </c>
      <c r="F793" t="str">
        <f t="shared" si="791"/>
        <v>AE05FF</v>
      </c>
      <c r="G793" t="str">
        <f t="shared" si="791"/>
        <v>AE0611</v>
      </c>
      <c r="H793" t="str">
        <f t="shared" si="791"/>
        <v>AE0613</v>
      </c>
      <c r="I793" t="str">
        <f t="shared" si="791"/>
        <v>AE0615</v>
      </c>
      <c r="J793" t="str">
        <f t="shared" si="791"/>
        <v>AE0617</v>
      </c>
      <c r="K793" t="str">
        <f t="shared" si="791"/>
        <v>AE05F1</v>
      </c>
    </row>
    <row r="794">
      <c r="A794" s="14">
        <v>792.0</v>
      </c>
      <c r="B794" t="str">
        <f t="shared" ref="B794:K794" si="792">DEC2HEX(HEX2DEC(B793)+1)</f>
        <v>AE05F8</v>
      </c>
      <c r="C794" t="str">
        <f t="shared" si="792"/>
        <v>AE05FA</v>
      </c>
      <c r="D794" t="str">
        <f t="shared" si="792"/>
        <v>AE05FC</v>
      </c>
      <c r="E794" t="str">
        <f t="shared" si="792"/>
        <v>AE05FE</v>
      </c>
      <c r="F794" t="str">
        <f t="shared" si="792"/>
        <v>AE0600</v>
      </c>
      <c r="G794" t="str">
        <f t="shared" si="792"/>
        <v>AE0612</v>
      </c>
      <c r="H794" t="str">
        <f t="shared" si="792"/>
        <v>AE0614</v>
      </c>
      <c r="I794" t="str">
        <f t="shared" si="792"/>
        <v>AE0616</v>
      </c>
      <c r="J794" t="str">
        <f t="shared" si="792"/>
        <v>AE0618</v>
      </c>
      <c r="K794" t="str">
        <f t="shared" si="792"/>
        <v>AE05F2</v>
      </c>
    </row>
    <row r="795">
      <c r="A795" s="14">
        <v>793.0</v>
      </c>
      <c r="B795" t="str">
        <f t="shared" ref="B795:K795" si="793">DEC2HEX(HEX2DEC(B794)+1)</f>
        <v>AE05F9</v>
      </c>
      <c r="C795" t="str">
        <f t="shared" si="793"/>
        <v>AE05FB</v>
      </c>
      <c r="D795" t="str">
        <f t="shared" si="793"/>
        <v>AE05FD</v>
      </c>
      <c r="E795" t="str">
        <f t="shared" si="793"/>
        <v>AE05FF</v>
      </c>
      <c r="F795" t="str">
        <f t="shared" si="793"/>
        <v>AE0601</v>
      </c>
      <c r="G795" t="str">
        <f t="shared" si="793"/>
        <v>AE0613</v>
      </c>
      <c r="H795" t="str">
        <f t="shared" si="793"/>
        <v>AE0615</v>
      </c>
      <c r="I795" t="str">
        <f t="shared" si="793"/>
        <v>AE0617</v>
      </c>
      <c r="J795" t="str">
        <f t="shared" si="793"/>
        <v>AE0619</v>
      </c>
      <c r="K795" t="str">
        <f t="shared" si="793"/>
        <v>AE05F3</v>
      </c>
    </row>
    <row r="796">
      <c r="A796" s="14">
        <v>794.0</v>
      </c>
      <c r="B796" t="str">
        <f t="shared" ref="B796:K796" si="794">DEC2HEX(HEX2DEC(B795)+1)</f>
        <v>AE05FA</v>
      </c>
      <c r="C796" t="str">
        <f t="shared" si="794"/>
        <v>AE05FC</v>
      </c>
      <c r="D796" t="str">
        <f t="shared" si="794"/>
        <v>AE05FE</v>
      </c>
      <c r="E796" t="str">
        <f t="shared" si="794"/>
        <v>AE0600</v>
      </c>
      <c r="F796" t="str">
        <f t="shared" si="794"/>
        <v>AE0602</v>
      </c>
      <c r="G796" t="str">
        <f t="shared" si="794"/>
        <v>AE0614</v>
      </c>
      <c r="H796" t="str">
        <f t="shared" si="794"/>
        <v>AE0616</v>
      </c>
      <c r="I796" t="str">
        <f t="shared" si="794"/>
        <v>AE0618</v>
      </c>
      <c r="J796" t="str">
        <f t="shared" si="794"/>
        <v>AE061A</v>
      </c>
      <c r="K796" t="str">
        <f t="shared" si="794"/>
        <v>AE05F4</v>
      </c>
    </row>
    <row r="797">
      <c r="A797" s="14">
        <v>795.0</v>
      </c>
      <c r="B797" t="str">
        <f t="shared" ref="B797:K797" si="795">DEC2HEX(HEX2DEC(B796)+1)</f>
        <v>AE05FB</v>
      </c>
      <c r="C797" t="str">
        <f t="shared" si="795"/>
        <v>AE05FD</v>
      </c>
      <c r="D797" t="str">
        <f t="shared" si="795"/>
        <v>AE05FF</v>
      </c>
      <c r="E797" t="str">
        <f t="shared" si="795"/>
        <v>AE0601</v>
      </c>
      <c r="F797" t="str">
        <f t="shared" si="795"/>
        <v>AE0603</v>
      </c>
      <c r="G797" t="str">
        <f t="shared" si="795"/>
        <v>AE0615</v>
      </c>
      <c r="H797" t="str">
        <f t="shared" si="795"/>
        <v>AE0617</v>
      </c>
      <c r="I797" t="str">
        <f t="shared" si="795"/>
        <v>AE0619</v>
      </c>
      <c r="J797" t="str">
        <f t="shared" si="795"/>
        <v>AE061B</v>
      </c>
      <c r="K797" t="str">
        <f t="shared" si="795"/>
        <v>AE05F5</v>
      </c>
    </row>
    <row r="798">
      <c r="A798" s="14">
        <v>796.0</v>
      </c>
      <c r="B798" t="str">
        <f t="shared" ref="B798:K798" si="796">DEC2HEX(HEX2DEC(B797)+1)</f>
        <v>AE05FC</v>
      </c>
      <c r="C798" t="str">
        <f t="shared" si="796"/>
        <v>AE05FE</v>
      </c>
      <c r="D798" t="str">
        <f t="shared" si="796"/>
        <v>AE0600</v>
      </c>
      <c r="E798" t="str">
        <f t="shared" si="796"/>
        <v>AE0602</v>
      </c>
      <c r="F798" t="str">
        <f t="shared" si="796"/>
        <v>AE0604</v>
      </c>
      <c r="G798" t="str">
        <f t="shared" si="796"/>
        <v>AE0616</v>
      </c>
      <c r="H798" t="str">
        <f t="shared" si="796"/>
        <v>AE0618</v>
      </c>
      <c r="I798" t="str">
        <f t="shared" si="796"/>
        <v>AE061A</v>
      </c>
      <c r="J798" t="str">
        <f t="shared" si="796"/>
        <v>AE061C</v>
      </c>
      <c r="K798" t="str">
        <f t="shared" si="796"/>
        <v>AE05F6</v>
      </c>
    </row>
    <row r="799">
      <c r="A799" s="14">
        <v>797.0</v>
      </c>
      <c r="B799" t="str">
        <f t="shared" ref="B799:K799" si="797">DEC2HEX(HEX2DEC(B798)+1)</f>
        <v>AE05FD</v>
      </c>
      <c r="C799" t="str">
        <f t="shared" si="797"/>
        <v>AE05FF</v>
      </c>
      <c r="D799" t="str">
        <f t="shared" si="797"/>
        <v>AE0601</v>
      </c>
      <c r="E799" t="str">
        <f t="shared" si="797"/>
        <v>AE0603</v>
      </c>
      <c r="F799" t="str">
        <f t="shared" si="797"/>
        <v>AE0605</v>
      </c>
      <c r="G799" t="str">
        <f t="shared" si="797"/>
        <v>AE0617</v>
      </c>
      <c r="H799" t="str">
        <f t="shared" si="797"/>
        <v>AE0619</v>
      </c>
      <c r="I799" t="str">
        <f t="shared" si="797"/>
        <v>AE061B</v>
      </c>
      <c r="J799" t="str">
        <f t="shared" si="797"/>
        <v>AE061D</v>
      </c>
      <c r="K799" t="str">
        <f t="shared" si="797"/>
        <v>AE05F7</v>
      </c>
    </row>
    <row r="800">
      <c r="A800" s="14">
        <v>798.0</v>
      </c>
      <c r="B800" t="str">
        <f t="shared" ref="B800:K800" si="798">DEC2HEX(HEX2DEC(B799)+1)</f>
        <v>AE05FE</v>
      </c>
      <c r="C800" t="str">
        <f t="shared" si="798"/>
        <v>AE0600</v>
      </c>
      <c r="D800" t="str">
        <f t="shared" si="798"/>
        <v>AE0602</v>
      </c>
      <c r="E800" t="str">
        <f t="shared" si="798"/>
        <v>AE0604</v>
      </c>
      <c r="F800" t="str">
        <f t="shared" si="798"/>
        <v>AE0606</v>
      </c>
      <c r="G800" t="str">
        <f t="shared" si="798"/>
        <v>AE0618</v>
      </c>
      <c r="H800" t="str">
        <f t="shared" si="798"/>
        <v>AE061A</v>
      </c>
      <c r="I800" t="str">
        <f t="shared" si="798"/>
        <v>AE061C</v>
      </c>
      <c r="J800" t="str">
        <f t="shared" si="798"/>
        <v>AE061E</v>
      </c>
      <c r="K800" t="str">
        <f t="shared" si="798"/>
        <v>AE05F8</v>
      </c>
    </row>
    <row r="801">
      <c r="A801" s="14">
        <v>799.0</v>
      </c>
      <c r="B801" t="str">
        <f t="shared" ref="B801:K801" si="799">DEC2HEX(HEX2DEC(B800)+1)</f>
        <v>AE05FF</v>
      </c>
      <c r="C801" t="str">
        <f t="shared" si="799"/>
        <v>AE0601</v>
      </c>
      <c r="D801" t="str">
        <f t="shared" si="799"/>
        <v>AE0603</v>
      </c>
      <c r="E801" t="str">
        <f t="shared" si="799"/>
        <v>AE0605</v>
      </c>
      <c r="F801" t="str">
        <f t="shared" si="799"/>
        <v>AE0607</v>
      </c>
      <c r="G801" t="str">
        <f t="shared" si="799"/>
        <v>AE0619</v>
      </c>
      <c r="H801" t="str">
        <f t="shared" si="799"/>
        <v>AE061B</v>
      </c>
      <c r="I801" t="str">
        <f t="shared" si="799"/>
        <v>AE061D</v>
      </c>
      <c r="J801" t="str">
        <f t="shared" si="799"/>
        <v>AE061F</v>
      </c>
      <c r="K801" t="str">
        <f t="shared" si="799"/>
        <v>AE05F9</v>
      </c>
    </row>
    <row r="802">
      <c r="A802" s="14">
        <v>800.0</v>
      </c>
      <c r="B802" t="str">
        <f t="shared" ref="B802:K802" si="800">DEC2HEX(HEX2DEC(B801)+1)</f>
        <v>AE0600</v>
      </c>
      <c r="C802" t="str">
        <f t="shared" si="800"/>
        <v>AE0602</v>
      </c>
      <c r="D802" t="str">
        <f t="shared" si="800"/>
        <v>AE0604</v>
      </c>
      <c r="E802" t="str">
        <f t="shared" si="800"/>
        <v>AE0606</v>
      </c>
      <c r="F802" t="str">
        <f t="shared" si="800"/>
        <v>AE0608</v>
      </c>
      <c r="G802" t="str">
        <f t="shared" si="800"/>
        <v>AE061A</v>
      </c>
      <c r="H802" t="str">
        <f t="shared" si="800"/>
        <v>AE061C</v>
      </c>
      <c r="I802" t="str">
        <f t="shared" si="800"/>
        <v>AE061E</v>
      </c>
      <c r="J802" t="str">
        <f t="shared" si="800"/>
        <v>AE0620</v>
      </c>
      <c r="K802" t="str">
        <f t="shared" si="800"/>
        <v>AE05FA</v>
      </c>
    </row>
    <row r="803">
      <c r="A803" s="14">
        <v>801.0</v>
      </c>
      <c r="B803" t="str">
        <f t="shared" ref="B803:K803" si="801">DEC2HEX(HEX2DEC(B802)+1)</f>
        <v>AE0601</v>
      </c>
      <c r="C803" t="str">
        <f t="shared" si="801"/>
        <v>AE0603</v>
      </c>
      <c r="D803" t="str">
        <f t="shared" si="801"/>
        <v>AE0605</v>
      </c>
      <c r="E803" t="str">
        <f t="shared" si="801"/>
        <v>AE0607</v>
      </c>
      <c r="F803" t="str">
        <f t="shared" si="801"/>
        <v>AE0609</v>
      </c>
      <c r="G803" t="str">
        <f t="shared" si="801"/>
        <v>AE061B</v>
      </c>
      <c r="H803" t="str">
        <f t="shared" si="801"/>
        <v>AE061D</v>
      </c>
      <c r="I803" t="str">
        <f t="shared" si="801"/>
        <v>AE061F</v>
      </c>
      <c r="J803" t="str">
        <f t="shared" si="801"/>
        <v>AE0621</v>
      </c>
      <c r="K803" t="str">
        <f t="shared" si="801"/>
        <v>AE05FB</v>
      </c>
    </row>
    <row r="804">
      <c r="A804" s="14">
        <v>802.0</v>
      </c>
      <c r="B804" t="str">
        <f t="shared" ref="B804:K804" si="802">DEC2HEX(HEX2DEC(B803)+1)</f>
        <v>AE0602</v>
      </c>
      <c r="C804" t="str">
        <f t="shared" si="802"/>
        <v>AE0604</v>
      </c>
      <c r="D804" t="str">
        <f t="shared" si="802"/>
        <v>AE0606</v>
      </c>
      <c r="E804" t="str">
        <f t="shared" si="802"/>
        <v>AE0608</v>
      </c>
      <c r="F804" t="str">
        <f t="shared" si="802"/>
        <v>AE060A</v>
      </c>
      <c r="G804" t="str">
        <f t="shared" si="802"/>
        <v>AE061C</v>
      </c>
      <c r="H804" t="str">
        <f t="shared" si="802"/>
        <v>AE061E</v>
      </c>
      <c r="I804" t="str">
        <f t="shared" si="802"/>
        <v>AE0620</v>
      </c>
      <c r="J804" t="str">
        <f t="shared" si="802"/>
        <v>AE0622</v>
      </c>
      <c r="K804" t="str">
        <f t="shared" si="802"/>
        <v>AE05FC</v>
      </c>
    </row>
    <row r="805">
      <c r="A805" s="14">
        <v>803.0</v>
      </c>
      <c r="B805" t="str">
        <f t="shared" ref="B805:K805" si="803">DEC2HEX(HEX2DEC(B804)+1)</f>
        <v>AE0603</v>
      </c>
      <c r="C805" t="str">
        <f t="shared" si="803"/>
        <v>AE0605</v>
      </c>
      <c r="D805" t="str">
        <f t="shared" si="803"/>
        <v>AE0607</v>
      </c>
      <c r="E805" t="str">
        <f t="shared" si="803"/>
        <v>AE0609</v>
      </c>
      <c r="F805" t="str">
        <f t="shared" si="803"/>
        <v>AE060B</v>
      </c>
      <c r="G805" t="str">
        <f t="shared" si="803"/>
        <v>AE061D</v>
      </c>
      <c r="H805" t="str">
        <f t="shared" si="803"/>
        <v>AE061F</v>
      </c>
      <c r="I805" t="str">
        <f t="shared" si="803"/>
        <v>AE0621</v>
      </c>
      <c r="J805" t="str">
        <f t="shared" si="803"/>
        <v>AE0623</v>
      </c>
      <c r="K805" t="str">
        <f t="shared" si="803"/>
        <v>AE05FD</v>
      </c>
    </row>
    <row r="806">
      <c r="A806" s="14">
        <v>804.0</v>
      </c>
      <c r="B806" t="str">
        <f t="shared" ref="B806:K806" si="804">DEC2HEX(HEX2DEC(B805)+1)</f>
        <v>AE0604</v>
      </c>
      <c r="C806" t="str">
        <f t="shared" si="804"/>
        <v>AE0606</v>
      </c>
      <c r="D806" t="str">
        <f t="shared" si="804"/>
        <v>AE0608</v>
      </c>
      <c r="E806" t="str">
        <f t="shared" si="804"/>
        <v>AE060A</v>
      </c>
      <c r="F806" t="str">
        <f t="shared" si="804"/>
        <v>AE060C</v>
      </c>
      <c r="G806" t="str">
        <f t="shared" si="804"/>
        <v>AE061E</v>
      </c>
      <c r="H806" t="str">
        <f t="shared" si="804"/>
        <v>AE0620</v>
      </c>
      <c r="I806" t="str">
        <f t="shared" si="804"/>
        <v>AE0622</v>
      </c>
      <c r="J806" t="str">
        <f t="shared" si="804"/>
        <v>AE0624</v>
      </c>
      <c r="K806" t="str">
        <f t="shared" si="804"/>
        <v>AE05FE</v>
      </c>
    </row>
    <row r="807">
      <c r="A807" s="14">
        <v>805.0</v>
      </c>
      <c r="B807" t="str">
        <f t="shared" ref="B807:K807" si="805">DEC2HEX(HEX2DEC(B806)+1)</f>
        <v>AE0605</v>
      </c>
      <c r="C807" t="str">
        <f t="shared" si="805"/>
        <v>AE0607</v>
      </c>
      <c r="D807" t="str">
        <f t="shared" si="805"/>
        <v>AE0609</v>
      </c>
      <c r="E807" t="str">
        <f t="shared" si="805"/>
        <v>AE060B</v>
      </c>
      <c r="F807" t="str">
        <f t="shared" si="805"/>
        <v>AE060D</v>
      </c>
      <c r="G807" t="str">
        <f t="shared" si="805"/>
        <v>AE061F</v>
      </c>
      <c r="H807" t="str">
        <f t="shared" si="805"/>
        <v>AE0621</v>
      </c>
      <c r="I807" t="str">
        <f t="shared" si="805"/>
        <v>AE0623</v>
      </c>
      <c r="J807" t="str">
        <f t="shared" si="805"/>
        <v>AE0625</v>
      </c>
      <c r="K807" t="str">
        <f t="shared" si="805"/>
        <v>AE05FF</v>
      </c>
    </row>
    <row r="808">
      <c r="A808" s="14">
        <v>806.0</v>
      </c>
      <c r="B808" t="str">
        <f t="shared" ref="B808:K808" si="806">DEC2HEX(HEX2DEC(B807)+1)</f>
        <v>AE0606</v>
      </c>
      <c r="C808" t="str">
        <f t="shared" si="806"/>
        <v>AE0608</v>
      </c>
      <c r="D808" t="str">
        <f t="shared" si="806"/>
        <v>AE060A</v>
      </c>
      <c r="E808" t="str">
        <f t="shared" si="806"/>
        <v>AE060C</v>
      </c>
      <c r="F808" t="str">
        <f t="shared" si="806"/>
        <v>AE060E</v>
      </c>
      <c r="G808" t="str">
        <f t="shared" si="806"/>
        <v>AE0620</v>
      </c>
      <c r="H808" t="str">
        <f t="shared" si="806"/>
        <v>AE0622</v>
      </c>
      <c r="I808" t="str">
        <f t="shared" si="806"/>
        <v>AE0624</v>
      </c>
      <c r="J808" t="str">
        <f t="shared" si="806"/>
        <v>AE0626</v>
      </c>
      <c r="K808" t="str">
        <f t="shared" si="806"/>
        <v>AE0600</v>
      </c>
    </row>
    <row r="809">
      <c r="A809" s="14">
        <v>807.0</v>
      </c>
      <c r="B809" t="str">
        <f t="shared" ref="B809:K809" si="807">DEC2HEX(HEX2DEC(B808)+1)</f>
        <v>AE0607</v>
      </c>
      <c r="C809" t="str">
        <f t="shared" si="807"/>
        <v>AE0609</v>
      </c>
      <c r="D809" t="str">
        <f t="shared" si="807"/>
        <v>AE060B</v>
      </c>
      <c r="E809" t="str">
        <f t="shared" si="807"/>
        <v>AE060D</v>
      </c>
      <c r="F809" t="str">
        <f t="shared" si="807"/>
        <v>AE060F</v>
      </c>
      <c r="G809" t="str">
        <f t="shared" si="807"/>
        <v>AE0621</v>
      </c>
      <c r="H809" t="str">
        <f t="shared" si="807"/>
        <v>AE0623</v>
      </c>
      <c r="I809" t="str">
        <f t="shared" si="807"/>
        <v>AE0625</v>
      </c>
      <c r="J809" t="str">
        <f t="shared" si="807"/>
        <v>AE0627</v>
      </c>
      <c r="K809" t="str">
        <f t="shared" si="807"/>
        <v>AE0601</v>
      </c>
    </row>
    <row r="810">
      <c r="A810" s="14">
        <v>808.0</v>
      </c>
      <c r="B810" t="str">
        <f t="shared" ref="B810:K810" si="808">DEC2HEX(HEX2DEC(B809)+1)</f>
        <v>AE0608</v>
      </c>
      <c r="C810" t="str">
        <f t="shared" si="808"/>
        <v>AE060A</v>
      </c>
      <c r="D810" t="str">
        <f t="shared" si="808"/>
        <v>AE060C</v>
      </c>
      <c r="E810" t="str">
        <f t="shared" si="808"/>
        <v>AE060E</v>
      </c>
      <c r="F810" t="str">
        <f t="shared" si="808"/>
        <v>AE0610</v>
      </c>
      <c r="G810" t="str">
        <f t="shared" si="808"/>
        <v>AE0622</v>
      </c>
      <c r="H810" t="str">
        <f t="shared" si="808"/>
        <v>AE0624</v>
      </c>
      <c r="I810" t="str">
        <f t="shared" si="808"/>
        <v>AE0626</v>
      </c>
      <c r="J810" t="str">
        <f t="shared" si="808"/>
        <v>AE0628</v>
      </c>
      <c r="K810" t="str">
        <f t="shared" si="808"/>
        <v>AE0602</v>
      </c>
    </row>
    <row r="811">
      <c r="A811" s="14">
        <v>809.0</v>
      </c>
      <c r="B811" t="str">
        <f t="shared" ref="B811:K811" si="809">DEC2HEX(HEX2DEC(B810)+1)</f>
        <v>AE0609</v>
      </c>
      <c r="C811" t="str">
        <f t="shared" si="809"/>
        <v>AE060B</v>
      </c>
      <c r="D811" t="str">
        <f t="shared" si="809"/>
        <v>AE060D</v>
      </c>
      <c r="E811" t="str">
        <f t="shared" si="809"/>
        <v>AE060F</v>
      </c>
      <c r="F811" t="str">
        <f t="shared" si="809"/>
        <v>AE0611</v>
      </c>
      <c r="G811" t="str">
        <f t="shared" si="809"/>
        <v>AE0623</v>
      </c>
      <c r="H811" t="str">
        <f t="shared" si="809"/>
        <v>AE0625</v>
      </c>
      <c r="I811" t="str">
        <f t="shared" si="809"/>
        <v>AE0627</v>
      </c>
      <c r="J811" t="str">
        <f t="shared" si="809"/>
        <v>AE0629</v>
      </c>
      <c r="K811" t="str">
        <f t="shared" si="809"/>
        <v>AE0603</v>
      </c>
    </row>
    <row r="812">
      <c r="A812" s="14">
        <v>810.0</v>
      </c>
      <c r="B812" t="str">
        <f t="shared" ref="B812:K812" si="810">DEC2HEX(HEX2DEC(B811)+1)</f>
        <v>AE060A</v>
      </c>
      <c r="C812" t="str">
        <f t="shared" si="810"/>
        <v>AE060C</v>
      </c>
      <c r="D812" t="str">
        <f t="shared" si="810"/>
        <v>AE060E</v>
      </c>
      <c r="E812" t="str">
        <f t="shared" si="810"/>
        <v>AE0610</v>
      </c>
      <c r="F812" t="str">
        <f t="shared" si="810"/>
        <v>AE0612</v>
      </c>
      <c r="G812" t="str">
        <f t="shared" si="810"/>
        <v>AE0624</v>
      </c>
      <c r="H812" t="str">
        <f t="shared" si="810"/>
        <v>AE0626</v>
      </c>
      <c r="I812" t="str">
        <f t="shared" si="810"/>
        <v>AE0628</v>
      </c>
      <c r="J812" t="str">
        <f t="shared" si="810"/>
        <v>AE062A</v>
      </c>
      <c r="K812" t="str">
        <f t="shared" si="810"/>
        <v>AE0604</v>
      </c>
    </row>
    <row r="813">
      <c r="A813" s="14">
        <v>811.0</v>
      </c>
      <c r="B813" t="str">
        <f t="shared" ref="B813:K813" si="811">DEC2HEX(HEX2DEC(B812)+1)</f>
        <v>AE060B</v>
      </c>
      <c r="C813" t="str">
        <f t="shared" si="811"/>
        <v>AE060D</v>
      </c>
      <c r="D813" t="str">
        <f t="shared" si="811"/>
        <v>AE060F</v>
      </c>
      <c r="E813" t="str">
        <f t="shared" si="811"/>
        <v>AE0611</v>
      </c>
      <c r="F813" t="str">
        <f t="shared" si="811"/>
        <v>AE0613</v>
      </c>
      <c r="G813" t="str">
        <f t="shared" si="811"/>
        <v>AE0625</v>
      </c>
      <c r="H813" t="str">
        <f t="shared" si="811"/>
        <v>AE0627</v>
      </c>
      <c r="I813" t="str">
        <f t="shared" si="811"/>
        <v>AE0629</v>
      </c>
      <c r="J813" t="str">
        <f t="shared" si="811"/>
        <v>AE062B</v>
      </c>
      <c r="K813" t="str">
        <f t="shared" si="811"/>
        <v>AE0605</v>
      </c>
    </row>
    <row r="814">
      <c r="A814" s="14">
        <v>812.0</v>
      </c>
      <c r="B814" t="str">
        <f t="shared" ref="B814:K814" si="812">DEC2HEX(HEX2DEC(B813)+1)</f>
        <v>AE060C</v>
      </c>
      <c r="C814" t="str">
        <f t="shared" si="812"/>
        <v>AE060E</v>
      </c>
      <c r="D814" t="str">
        <f t="shared" si="812"/>
        <v>AE0610</v>
      </c>
      <c r="E814" t="str">
        <f t="shared" si="812"/>
        <v>AE0612</v>
      </c>
      <c r="F814" t="str">
        <f t="shared" si="812"/>
        <v>AE0614</v>
      </c>
      <c r="G814" t="str">
        <f t="shared" si="812"/>
        <v>AE0626</v>
      </c>
      <c r="H814" t="str">
        <f t="shared" si="812"/>
        <v>AE0628</v>
      </c>
      <c r="I814" t="str">
        <f t="shared" si="812"/>
        <v>AE062A</v>
      </c>
      <c r="J814" t="str">
        <f t="shared" si="812"/>
        <v>AE062C</v>
      </c>
      <c r="K814" t="str">
        <f t="shared" si="812"/>
        <v>AE0606</v>
      </c>
    </row>
    <row r="815">
      <c r="A815" s="14">
        <v>813.0</v>
      </c>
      <c r="B815" t="str">
        <f t="shared" ref="B815:K815" si="813">DEC2HEX(HEX2DEC(B814)+1)</f>
        <v>AE060D</v>
      </c>
      <c r="C815" t="str">
        <f t="shared" si="813"/>
        <v>AE060F</v>
      </c>
      <c r="D815" t="str">
        <f t="shared" si="813"/>
        <v>AE0611</v>
      </c>
      <c r="E815" t="str">
        <f t="shared" si="813"/>
        <v>AE0613</v>
      </c>
      <c r="F815" t="str">
        <f t="shared" si="813"/>
        <v>AE0615</v>
      </c>
      <c r="G815" t="str">
        <f t="shared" si="813"/>
        <v>AE0627</v>
      </c>
      <c r="H815" t="str">
        <f t="shared" si="813"/>
        <v>AE0629</v>
      </c>
      <c r="I815" t="str">
        <f t="shared" si="813"/>
        <v>AE062B</v>
      </c>
      <c r="J815" t="str">
        <f t="shared" si="813"/>
        <v>AE062D</v>
      </c>
      <c r="K815" t="str">
        <f t="shared" si="813"/>
        <v>AE0607</v>
      </c>
    </row>
    <row r="816">
      <c r="A816" s="14">
        <v>814.0</v>
      </c>
      <c r="B816" t="str">
        <f t="shared" ref="B816:K816" si="814">DEC2HEX(HEX2DEC(B815)+1)</f>
        <v>AE060E</v>
      </c>
      <c r="C816" t="str">
        <f t="shared" si="814"/>
        <v>AE0610</v>
      </c>
      <c r="D816" t="str">
        <f t="shared" si="814"/>
        <v>AE0612</v>
      </c>
      <c r="E816" t="str">
        <f t="shared" si="814"/>
        <v>AE0614</v>
      </c>
      <c r="F816" t="str">
        <f t="shared" si="814"/>
        <v>AE0616</v>
      </c>
      <c r="G816" t="str">
        <f t="shared" si="814"/>
        <v>AE0628</v>
      </c>
      <c r="H816" t="str">
        <f t="shared" si="814"/>
        <v>AE062A</v>
      </c>
      <c r="I816" t="str">
        <f t="shared" si="814"/>
        <v>AE062C</v>
      </c>
      <c r="J816" t="str">
        <f t="shared" si="814"/>
        <v>AE062E</v>
      </c>
      <c r="K816" t="str">
        <f t="shared" si="814"/>
        <v>AE0608</v>
      </c>
    </row>
    <row r="817">
      <c r="A817" s="14">
        <v>815.0</v>
      </c>
      <c r="B817" t="str">
        <f t="shared" ref="B817:K817" si="815">DEC2HEX(HEX2DEC(B816)+1)</f>
        <v>AE060F</v>
      </c>
      <c r="C817" t="str">
        <f t="shared" si="815"/>
        <v>AE0611</v>
      </c>
      <c r="D817" t="str">
        <f t="shared" si="815"/>
        <v>AE0613</v>
      </c>
      <c r="E817" t="str">
        <f t="shared" si="815"/>
        <v>AE0615</v>
      </c>
      <c r="F817" t="str">
        <f t="shared" si="815"/>
        <v>AE0617</v>
      </c>
      <c r="G817" t="str">
        <f t="shared" si="815"/>
        <v>AE0629</v>
      </c>
      <c r="H817" t="str">
        <f t="shared" si="815"/>
        <v>AE062B</v>
      </c>
      <c r="I817" t="str">
        <f t="shared" si="815"/>
        <v>AE062D</v>
      </c>
      <c r="J817" t="str">
        <f t="shared" si="815"/>
        <v>AE062F</v>
      </c>
      <c r="K817" t="str">
        <f t="shared" si="815"/>
        <v>AE0609</v>
      </c>
    </row>
    <row r="818">
      <c r="A818" s="14">
        <v>816.0</v>
      </c>
      <c r="B818" t="str">
        <f t="shared" ref="B818:K818" si="816">DEC2HEX(HEX2DEC(B817)+1)</f>
        <v>AE0610</v>
      </c>
      <c r="C818" t="str">
        <f t="shared" si="816"/>
        <v>AE0612</v>
      </c>
      <c r="D818" t="str">
        <f t="shared" si="816"/>
        <v>AE0614</v>
      </c>
      <c r="E818" t="str">
        <f t="shared" si="816"/>
        <v>AE0616</v>
      </c>
      <c r="F818" t="str">
        <f t="shared" si="816"/>
        <v>AE0618</v>
      </c>
      <c r="G818" t="str">
        <f t="shared" si="816"/>
        <v>AE062A</v>
      </c>
      <c r="H818" t="str">
        <f t="shared" si="816"/>
        <v>AE062C</v>
      </c>
      <c r="I818" t="str">
        <f t="shared" si="816"/>
        <v>AE062E</v>
      </c>
      <c r="J818" t="str">
        <f t="shared" si="816"/>
        <v>AE0630</v>
      </c>
      <c r="K818" t="str">
        <f t="shared" si="816"/>
        <v>AE060A</v>
      </c>
    </row>
    <row r="819">
      <c r="A819" s="14">
        <v>817.0</v>
      </c>
      <c r="B819" t="str">
        <f t="shared" ref="B819:K819" si="817">DEC2HEX(HEX2DEC(B818)+1)</f>
        <v>AE0611</v>
      </c>
      <c r="C819" t="str">
        <f t="shared" si="817"/>
        <v>AE0613</v>
      </c>
      <c r="D819" t="str">
        <f t="shared" si="817"/>
        <v>AE0615</v>
      </c>
      <c r="E819" t="str">
        <f t="shared" si="817"/>
        <v>AE0617</v>
      </c>
      <c r="F819" t="str">
        <f t="shared" si="817"/>
        <v>AE0619</v>
      </c>
      <c r="G819" t="str">
        <f t="shared" si="817"/>
        <v>AE062B</v>
      </c>
      <c r="H819" t="str">
        <f t="shared" si="817"/>
        <v>AE062D</v>
      </c>
      <c r="I819" t="str">
        <f t="shared" si="817"/>
        <v>AE062F</v>
      </c>
      <c r="J819" t="str">
        <f t="shared" si="817"/>
        <v>AE0631</v>
      </c>
      <c r="K819" t="str">
        <f t="shared" si="817"/>
        <v>AE060B</v>
      </c>
    </row>
    <row r="820">
      <c r="A820" s="14">
        <v>818.0</v>
      </c>
      <c r="B820" t="str">
        <f t="shared" ref="B820:K820" si="818">DEC2HEX(HEX2DEC(B819)+1)</f>
        <v>AE0612</v>
      </c>
      <c r="C820" t="str">
        <f t="shared" si="818"/>
        <v>AE0614</v>
      </c>
      <c r="D820" t="str">
        <f t="shared" si="818"/>
        <v>AE0616</v>
      </c>
      <c r="E820" t="str">
        <f t="shared" si="818"/>
        <v>AE0618</v>
      </c>
      <c r="F820" t="str">
        <f t="shared" si="818"/>
        <v>AE061A</v>
      </c>
      <c r="G820" t="str">
        <f t="shared" si="818"/>
        <v>AE062C</v>
      </c>
      <c r="H820" t="str">
        <f t="shared" si="818"/>
        <v>AE062E</v>
      </c>
      <c r="I820" t="str">
        <f t="shared" si="818"/>
        <v>AE0630</v>
      </c>
      <c r="J820" t="str">
        <f t="shared" si="818"/>
        <v>AE0632</v>
      </c>
      <c r="K820" t="str">
        <f t="shared" si="818"/>
        <v>AE060C</v>
      </c>
    </row>
    <row r="821">
      <c r="A821" s="14">
        <v>819.0</v>
      </c>
      <c r="B821" t="str">
        <f t="shared" ref="B821:K821" si="819">DEC2HEX(HEX2DEC(B820)+1)</f>
        <v>AE0613</v>
      </c>
      <c r="C821" t="str">
        <f t="shared" si="819"/>
        <v>AE0615</v>
      </c>
      <c r="D821" t="str">
        <f t="shared" si="819"/>
        <v>AE0617</v>
      </c>
      <c r="E821" t="str">
        <f t="shared" si="819"/>
        <v>AE0619</v>
      </c>
      <c r="F821" t="str">
        <f t="shared" si="819"/>
        <v>AE061B</v>
      </c>
      <c r="G821" t="str">
        <f t="shared" si="819"/>
        <v>AE062D</v>
      </c>
      <c r="H821" t="str">
        <f t="shared" si="819"/>
        <v>AE062F</v>
      </c>
      <c r="I821" t="str">
        <f t="shared" si="819"/>
        <v>AE0631</v>
      </c>
      <c r="J821" t="str">
        <f t="shared" si="819"/>
        <v>AE0633</v>
      </c>
      <c r="K821" t="str">
        <f t="shared" si="819"/>
        <v>AE060D</v>
      </c>
    </row>
    <row r="822">
      <c r="A822" s="14">
        <v>820.0</v>
      </c>
      <c r="B822" t="str">
        <f t="shared" ref="B822:K822" si="820">DEC2HEX(HEX2DEC(B821)+1)</f>
        <v>AE0614</v>
      </c>
      <c r="C822" t="str">
        <f t="shared" si="820"/>
        <v>AE0616</v>
      </c>
      <c r="D822" t="str">
        <f t="shared" si="820"/>
        <v>AE0618</v>
      </c>
      <c r="E822" t="str">
        <f t="shared" si="820"/>
        <v>AE061A</v>
      </c>
      <c r="F822" t="str">
        <f t="shared" si="820"/>
        <v>AE061C</v>
      </c>
      <c r="G822" t="str">
        <f t="shared" si="820"/>
        <v>AE062E</v>
      </c>
      <c r="H822" t="str">
        <f t="shared" si="820"/>
        <v>AE0630</v>
      </c>
      <c r="I822" t="str">
        <f t="shared" si="820"/>
        <v>AE0632</v>
      </c>
      <c r="J822" t="str">
        <f t="shared" si="820"/>
        <v>AE0634</v>
      </c>
      <c r="K822" t="str">
        <f t="shared" si="820"/>
        <v>AE060E</v>
      </c>
    </row>
    <row r="823">
      <c r="A823" s="14">
        <v>821.0</v>
      </c>
      <c r="B823" t="str">
        <f t="shared" ref="B823:K823" si="821">DEC2HEX(HEX2DEC(B822)+1)</f>
        <v>AE0615</v>
      </c>
      <c r="C823" t="str">
        <f t="shared" si="821"/>
        <v>AE0617</v>
      </c>
      <c r="D823" t="str">
        <f t="shared" si="821"/>
        <v>AE0619</v>
      </c>
      <c r="E823" t="str">
        <f t="shared" si="821"/>
        <v>AE061B</v>
      </c>
      <c r="F823" t="str">
        <f t="shared" si="821"/>
        <v>AE061D</v>
      </c>
      <c r="G823" t="str">
        <f t="shared" si="821"/>
        <v>AE062F</v>
      </c>
      <c r="H823" t="str">
        <f t="shared" si="821"/>
        <v>AE0631</v>
      </c>
      <c r="I823" t="str">
        <f t="shared" si="821"/>
        <v>AE0633</v>
      </c>
      <c r="J823" t="str">
        <f t="shared" si="821"/>
        <v>AE0635</v>
      </c>
      <c r="K823" t="str">
        <f t="shared" si="821"/>
        <v>AE060F</v>
      </c>
    </row>
    <row r="824">
      <c r="A824" s="14">
        <v>822.0</v>
      </c>
      <c r="B824" t="str">
        <f t="shared" ref="B824:K824" si="822">DEC2HEX(HEX2DEC(B823)+1)</f>
        <v>AE0616</v>
      </c>
      <c r="C824" t="str">
        <f t="shared" si="822"/>
        <v>AE0618</v>
      </c>
      <c r="D824" t="str">
        <f t="shared" si="822"/>
        <v>AE061A</v>
      </c>
      <c r="E824" t="str">
        <f t="shared" si="822"/>
        <v>AE061C</v>
      </c>
      <c r="F824" t="str">
        <f t="shared" si="822"/>
        <v>AE061E</v>
      </c>
      <c r="G824" t="str">
        <f t="shared" si="822"/>
        <v>AE0630</v>
      </c>
      <c r="H824" t="str">
        <f t="shared" si="822"/>
        <v>AE0632</v>
      </c>
      <c r="I824" t="str">
        <f t="shared" si="822"/>
        <v>AE0634</v>
      </c>
      <c r="J824" t="str">
        <f t="shared" si="822"/>
        <v>AE0636</v>
      </c>
      <c r="K824" t="str">
        <f t="shared" si="822"/>
        <v>AE0610</v>
      </c>
    </row>
    <row r="825">
      <c r="A825" s="14">
        <v>823.0</v>
      </c>
      <c r="B825" t="str">
        <f t="shared" ref="B825:K825" si="823">DEC2HEX(HEX2DEC(B824)+1)</f>
        <v>AE0617</v>
      </c>
      <c r="C825" t="str">
        <f t="shared" si="823"/>
        <v>AE0619</v>
      </c>
      <c r="D825" t="str">
        <f t="shared" si="823"/>
        <v>AE061B</v>
      </c>
      <c r="E825" t="str">
        <f t="shared" si="823"/>
        <v>AE061D</v>
      </c>
      <c r="F825" t="str">
        <f t="shared" si="823"/>
        <v>AE061F</v>
      </c>
      <c r="G825" t="str">
        <f t="shared" si="823"/>
        <v>AE0631</v>
      </c>
      <c r="H825" t="str">
        <f t="shared" si="823"/>
        <v>AE0633</v>
      </c>
      <c r="I825" t="str">
        <f t="shared" si="823"/>
        <v>AE0635</v>
      </c>
      <c r="J825" t="str">
        <f t="shared" si="823"/>
        <v>AE0637</v>
      </c>
      <c r="K825" t="str">
        <f t="shared" si="823"/>
        <v>AE0611</v>
      </c>
    </row>
    <row r="826">
      <c r="A826" s="14">
        <v>824.0</v>
      </c>
      <c r="B826" t="str">
        <f t="shared" ref="B826:K826" si="824">DEC2HEX(HEX2DEC(B825)+1)</f>
        <v>AE0618</v>
      </c>
      <c r="C826" t="str">
        <f t="shared" si="824"/>
        <v>AE061A</v>
      </c>
      <c r="D826" t="str">
        <f t="shared" si="824"/>
        <v>AE061C</v>
      </c>
      <c r="E826" t="str">
        <f t="shared" si="824"/>
        <v>AE061E</v>
      </c>
      <c r="F826" t="str">
        <f t="shared" si="824"/>
        <v>AE0620</v>
      </c>
      <c r="G826" t="str">
        <f t="shared" si="824"/>
        <v>AE0632</v>
      </c>
      <c r="H826" t="str">
        <f t="shared" si="824"/>
        <v>AE0634</v>
      </c>
      <c r="I826" t="str">
        <f t="shared" si="824"/>
        <v>AE0636</v>
      </c>
      <c r="J826" t="str">
        <f t="shared" si="824"/>
        <v>AE0638</v>
      </c>
      <c r="K826" t="str">
        <f t="shared" si="824"/>
        <v>AE0612</v>
      </c>
    </row>
    <row r="827">
      <c r="A827" s="14">
        <v>825.0</v>
      </c>
      <c r="B827" t="str">
        <f t="shared" ref="B827:K827" si="825">DEC2HEX(HEX2DEC(B826)+1)</f>
        <v>AE0619</v>
      </c>
      <c r="C827" t="str">
        <f t="shared" si="825"/>
        <v>AE061B</v>
      </c>
      <c r="D827" t="str">
        <f t="shared" si="825"/>
        <v>AE061D</v>
      </c>
      <c r="E827" t="str">
        <f t="shared" si="825"/>
        <v>AE061F</v>
      </c>
      <c r="F827" t="str">
        <f t="shared" si="825"/>
        <v>AE0621</v>
      </c>
      <c r="G827" t="str">
        <f t="shared" si="825"/>
        <v>AE0633</v>
      </c>
      <c r="H827" t="str">
        <f t="shared" si="825"/>
        <v>AE0635</v>
      </c>
      <c r="I827" t="str">
        <f t="shared" si="825"/>
        <v>AE0637</v>
      </c>
      <c r="J827" t="str">
        <f t="shared" si="825"/>
        <v>AE0639</v>
      </c>
      <c r="K827" t="str">
        <f t="shared" si="825"/>
        <v>AE0613</v>
      </c>
    </row>
    <row r="828">
      <c r="A828" s="14">
        <v>826.0</v>
      </c>
      <c r="B828" t="str">
        <f t="shared" ref="B828:K828" si="826">DEC2HEX(HEX2DEC(B827)+1)</f>
        <v>AE061A</v>
      </c>
      <c r="C828" t="str">
        <f t="shared" si="826"/>
        <v>AE061C</v>
      </c>
      <c r="D828" t="str">
        <f t="shared" si="826"/>
        <v>AE061E</v>
      </c>
      <c r="E828" t="str">
        <f t="shared" si="826"/>
        <v>AE0620</v>
      </c>
      <c r="F828" t="str">
        <f t="shared" si="826"/>
        <v>AE0622</v>
      </c>
      <c r="G828" t="str">
        <f t="shared" si="826"/>
        <v>AE0634</v>
      </c>
      <c r="H828" t="str">
        <f t="shared" si="826"/>
        <v>AE0636</v>
      </c>
      <c r="I828" t="str">
        <f t="shared" si="826"/>
        <v>AE0638</v>
      </c>
      <c r="J828" t="str">
        <f t="shared" si="826"/>
        <v>AE063A</v>
      </c>
      <c r="K828" t="str">
        <f t="shared" si="826"/>
        <v>AE0614</v>
      </c>
    </row>
    <row r="829">
      <c r="A829" s="14">
        <v>827.0</v>
      </c>
      <c r="B829" t="str">
        <f t="shared" ref="B829:K829" si="827">DEC2HEX(HEX2DEC(B828)+1)</f>
        <v>AE061B</v>
      </c>
      <c r="C829" t="str">
        <f t="shared" si="827"/>
        <v>AE061D</v>
      </c>
      <c r="D829" t="str">
        <f t="shared" si="827"/>
        <v>AE061F</v>
      </c>
      <c r="E829" t="str">
        <f t="shared" si="827"/>
        <v>AE0621</v>
      </c>
      <c r="F829" t="str">
        <f t="shared" si="827"/>
        <v>AE0623</v>
      </c>
      <c r="G829" t="str">
        <f t="shared" si="827"/>
        <v>AE0635</v>
      </c>
      <c r="H829" t="str">
        <f t="shared" si="827"/>
        <v>AE0637</v>
      </c>
      <c r="I829" t="str">
        <f t="shared" si="827"/>
        <v>AE0639</v>
      </c>
      <c r="J829" t="str">
        <f t="shared" si="827"/>
        <v>AE063B</v>
      </c>
      <c r="K829" t="str">
        <f t="shared" si="827"/>
        <v>AE0615</v>
      </c>
    </row>
    <row r="830">
      <c r="A830" s="14">
        <v>828.0</v>
      </c>
      <c r="B830" t="str">
        <f t="shared" ref="B830:K830" si="828">DEC2HEX(HEX2DEC(B829)+1)</f>
        <v>AE061C</v>
      </c>
      <c r="C830" t="str">
        <f t="shared" si="828"/>
        <v>AE061E</v>
      </c>
      <c r="D830" t="str">
        <f t="shared" si="828"/>
        <v>AE0620</v>
      </c>
      <c r="E830" t="str">
        <f t="shared" si="828"/>
        <v>AE0622</v>
      </c>
      <c r="F830" t="str">
        <f t="shared" si="828"/>
        <v>AE0624</v>
      </c>
      <c r="G830" t="str">
        <f t="shared" si="828"/>
        <v>AE0636</v>
      </c>
      <c r="H830" t="str">
        <f t="shared" si="828"/>
        <v>AE0638</v>
      </c>
      <c r="I830" t="str">
        <f t="shared" si="828"/>
        <v>AE063A</v>
      </c>
      <c r="J830" t="str">
        <f t="shared" si="828"/>
        <v>AE063C</v>
      </c>
      <c r="K830" t="str">
        <f t="shared" si="828"/>
        <v>AE0616</v>
      </c>
    </row>
    <row r="831">
      <c r="A831" s="14">
        <v>829.0</v>
      </c>
      <c r="B831" t="str">
        <f t="shared" ref="B831:K831" si="829">DEC2HEX(HEX2DEC(B830)+1)</f>
        <v>AE061D</v>
      </c>
      <c r="C831" t="str">
        <f t="shared" si="829"/>
        <v>AE061F</v>
      </c>
      <c r="D831" t="str">
        <f t="shared" si="829"/>
        <v>AE0621</v>
      </c>
      <c r="E831" t="str">
        <f t="shared" si="829"/>
        <v>AE0623</v>
      </c>
      <c r="F831" t="str">
        <f t="shared" si="829"/>
        <v>AE0625</v>
      </c>
      <c r="G831" t="str">
        <f t="shared" si="829"/>
        <v>AE0637</v>
      </c>
      <c r="H831" t="str">
        <f t="shared" si="829"/>
        <v>AE0639</v>
      </c>
      <c r="I831" t="str">
        <f t="shared" si="829"/>
        <v>AE063B</v>
      </c>
      <c r="J831" t="str">
        <f t="shared" si="829"/>
        <v>AE063D</v>
      </c>
      <c r="K831" t="str">
        <f t="shared" si="829"/>
        <v>AE0617</v>
      </c>
    </row>
    <row r="832">
      <c r="A832" s="14">
        <v>830.0</v>
      </c>
      <c r="B832" t="str">
        <f t="shared" ref="B832:K832" si="830">DEC2HEX(HEX2DEC(B831)+1)</f>
        <v>AE061E</v>
      </c>
      <c r="C832" t="str">
        <f t="shared" si="830"/>
        <v>AE0620</v>
      </c>
      <c r="D832" t="str">
        <f t="shared" si="830"/>
        <v>AE0622</v>
      </c>
      <c r="E832" t="str">
        <f t="shared" si="830"/>
        <v>AE0624</v>
      </c>
      <c r="F832" t="str">
        <f t="shared" si="830"/>
        <v>AE0626</v>
      </c>
      <c r="G832" t="str">
        <f t="shared" si="830"/>
        <v>AE0638</v>
      </c>
      <c r="H832" t="str">
        <f t="shared" si="830"/>
        <v>AE063A</v>
      </c>
      <c r="I832" t="str">
        <f t="shared" si="830"/>
        <v>AE063C</v>
      </c>
      <c r="J832" t="str">
        <f t="shared" si="830"/>
        <v>AE063E</v>
      </c>
      <c r="K832" t="str">
        <f t="shared" si="830"/>
        <v>AE0618</v>
      </c>
    </row>
    <row r="833">
      <c r="A833" s="14">
        <v>831.0</v>
      </c>
      <c r="B833" t="str">
        <f t="shared" ref="B833:K833" si="831">DEC2HEX(HEX2DEC(B832)+1)</f>
        <v>AE061F</v>
      </c>
      <c r="C833" t="str">
        <f t="shared" si="831"/>
        <v>AE0621</v>
      </c>
      <c r="D833" t="str">
        <f t="shared" si="831"/>
        <v>AE0623</v>
      </c>
      <c r="E833" t="str">
        <f t="shared" si="831"/>
        <v>AE0625</v>
      </c>
      <c r="F833" t="str">
        <f t="shared" si="831"/>
        <v>AE0627</v>
      </c>
      <c r="G833" t="str">
        <f t="shared" si="831"/>
        <v>AE0639</v>
      </c>
      <c r="H833" t="str">
        <f t="shared" si="831"/>
        <v>AE063B</v>
      </c>
      <c r="I833" t="str">
        <f t="shared" si="831"/>
        <v>AE063D</v>
      </c>
      <c r="J833" t="str">
        <f t="shared" si="831"/>
        <v>AE063F</v>
      </c>
      <c r="K833" t="str">
        <f t="shared" si="831"/>
        <v>AE0619</v>
      </c>
    </row>
    <row r="834">
      <c r="A834" s="14">
        <v>832.0</v>
      </c>
      <c r="B834" t="str">
        <f t="shared" ref="B834:K834" si="832">DEC2HEX(HEX2DEC(B833)+1)</f>
        <v>AE0620</v>
      </c>
      <c r="C834" t="str">
        <f t="shared" si="832"/>
        <v>AE0622</v>
      </c>
      <c r="D834" t="str">
        <f t="shared" si="832"/>
        <v>AE0624</v>
      </c>
      <c r="E834" t="str">
        <f t="shared" si="832"/>
        <v>AE0626</v>
      </c>
      <c r="F834" t="str">
        <f t="shared" si="832"/>
        <v>AE0628</v>
      </c>
      <c r="G834" t="str">
        <f t="shared" si="832"/>
        <v>AE063A</v>
      </c>
      <c r="H834" t="str">
        <f t="shared" si="832"/>
        <v>AE063C</v>
      </c>
      <c r="I834" t="str">
        <f t="shared" si="832"/>
        <v>AE063E</v>
      </c>
      <c r="J834" t="str">
        <f t="shared" si="832"/>
        <v>AE0640</v>
      </c>
      <c r="K834" t="str">
        <f t="shared" si="832"/>
        <v>AE061A</v>
      </c>
    </row>
    <row r="835">
      <c r="A835" s="14">
        <v>833.0</v>
      </c>
      <c r="B835" t="str">
        <f t="shared" ref="B835:K835" si="833">DEC2HEX(HEX2DEC(B834)+1)</f>
        <v>AE0621</v>
      </c>
      <c r="C835" t="str">
        <f t="shared" si="833"/>
        <v>AE0623</v>
      </c>
      <c r="D835" t="str">
        <f t="shared" si="833"/>
        <v>AE0625</v>
      </c>
      <c r="E835" t="str">
        <f t="shared" si="833"/>
        <v>AE0627</v>
      </c>
      <c r="F835" t="str">
        <f t="shared" si="833"/>
        <v>AE0629</v>
      </c>
      <c r="G835" t="str">
        <f t="shared" si="833"/>
        <v>AE063B</v>
      </c>
      <c r="H835" t="str">
        <f t="shared" si="833"/>
        <v>AE063D</v>
      </c>
      <c r="I835" t="str">
        <f t="shared" si="833"/>
        <v>AE063F</v>
      </c>
      <c r="J835" t="str">
        <f t="shared" si="833"/>
        <v>AE0641</v>
      </c>
      <c r="K835" t="str">
        <f t="shared" si="833"/>
        <v>AE061B</v>
      </c>
    </row>
    <row r="836">
      <c r="A836" s="14">
        <v>834.0</v>
      </c>
      <c r="B836" t="str">
        <f t="shared" ref="B836:K836" si="834">DEC2HEX(HEX2DEC(B835)+1)</f>
        <v>AE0622</v>
      </c>
      <c r="C836" t="str">
        <f t="shared" si="834"/>
        <v>AE0624</v>
      </c>
      <c r="D836" t="str">
        <f t="shared" si="834"/>
        <v>AE0626</v>
      </c>
      <c r="E836" t="str">
        <f t="shared" si="834"/>
        <v>AE0628</v>
      </c>
      <c r="F836" t="str">
        <f t="shared" si="834"/>
        <v>AE062A</v>
      </c>
      <c r="G836" t="str">
        <f t="shared" si="834"/>
        <v>AE063C</v>
      </c>
      <c r="H836" t="str">
        <f t="shared" si="834"/>
        <v>AE063E</v>
      </c>
      <c r="I836" t="str">
        <f t="shared" si="834"/>
        <v>AE0640</v>
      </c>
      <c r="J836" t="str">
        <f t="shared" si="834"/>
        <v>AE0642</v>
      </c>
      <c r="K836" t="str">
        <f t="shared" si="834"/>
        <v>AE061C</v>
      </c>
    </row>
    <row r="837">
      <c r="A837" s="14">
        <v>835.0</v>
      </c>
      <c r="B837" t="str">
        <f t="shared" ref="B837:K837" si="835">DEC2HEX(HEX2DEC(B836)+1)</f>
        <v>AE0623</v>
      </c>
      <c r="C837" t="str">
        <f t="shared" si="835"/>
        <v>AE0625</v>
      </c>
      <c r="D837" t="str">
        <f t="shared" si="835"/>
        <v>AE0627</v>
      </c>
      <c r="E837" t="str">
        <f t="shared" si="835"/>
        <v>AE0629</v>
      </c>
      <c r="F837" t="str">
        <f t="shared" si="835"/>
        <v>AE062B</v>
      </c>
      <c r="G837" t="str">
        <f t="shared" si="835"/>
        <v>AE063D</v>
      </c>
      <c r="H837" t="str">
        <f t="shared" si="835"/>
        <v>AE063F</v>
      </c>
      <c r="I837" t="str">
        <f t="shared" si="835"/>
        <v>AE0641</v>
      </c>
      <c r="J837" t="str">
        <f t="shared" si="835"/>
        <v>AE0643</v>
      </c>
      <c r="K837" t="str">
        <f t="shared" si="835"/>
        <v>AE061D</v>
      </c>
    </row>
    <row r="838">
      <c r="A838" s="14">
        <v>836.0</v>
      </c>
      <c r="B838" t="str">
        <f t="shared" ref="B838:K838" si="836">DEC2HEX(HEX2DEC(B837)+1)</f>
        <v>AE0624</v>
      </c>
      <c r="C838" t="str">
        <f t="shared" si="836"/>
        <v>AE0626</v>
      </c>
      <c r="D838" t="str">
        <f t="shared" si="836"/>
        <v>AE0628</v>
      </c>
      <c r="E838" t="str">
        <f t="shared" si="836"/>
        <v>AE062A</v>
      </c>
      <c r="F838" t="str">
        <f t="shared" si="836"/>
        <v>AE062C</v>
      </c>
      <c r="G838" t="str">
        <f t="shared" si="836"/>
        <v>AE063E</v>
      </c>
      <c r="H838" t="str">
        <f t="shared" si="836"/>
        <v>AE0640</v>
      </c>
      <c r="I838" t="str">
        <f t="shared" si="836"/>
        <v>AE0642</v>
      </c>
      <c r="J838" t="str">
        <f t="shared" si="836"/>
        <v>AE0644</v>
      </c>
      <c r="K838" t="str">
        <f t="shared" si="836"/>
        <v>AE061E</v>
      </c>
    </row>
    <row r="839">
      <c r="A839" s="14">
        <v>837.0</v>
      </c>
      <c r="B839" t="str">
        <f t="shared" ref="B839:K839" si="837">DEC2HEX(HEX2DEC(B838)+1)</f>
        <v>AE0625</v>
      </c>
      <c r="C839" t="str">
        <f t="shared" si="837"/>
        <v>AE0627</v>
      </c>
      <c r="D839" t="str">
        <f t="shared" si="837"/>
        <v>AE0629</v>
      </c>
      <c r="E839" t="str">
        <f t="shared" si="837"/>
        <v>AE062B</v>
      </c>
      <c r="F839" t="str">
        <f t="shared" si="837"/>
        <v>AE062D</v>
      </c>
      <c r="G839" t="str">
        <f t="shared" si="837"/>
        <v>AE063F</v>
      </c>
      <c r="H839" t="str">
        <f t="shared" si="837"/>
        <v>AE0641</v>
      </c>
      <c r="I839" t="str">
        <f t="shared" si="837"/>
        <v>AE0643</v>
      </c>
      <c r="J839" t="str">
        <f t="shared" si="837"/>
        <v>AE0645</v>
      </c>
      <c r="K839" t="str">
        <f t="shared" si="837"/>
        <v>AE061F</v>
      </c>
    </row>
    <row r="840">
      <c r="A840" s="14">
        <v>838.0</v>
      </c>
      <c r="B840" t="str">
        <f t="shared" ref="B840:K840" si="838">DEC2HEX(HEX2DEC(B839)+1)</f>
        <v>AE0626</v>
      </c>
      <c r="C840" t="str">
        <f t="shared" si="838"/>
        <v>AE0628</v>
      </c>
      <c r="D840" t="str">
        <f t="shared" si="838"/>
        <v>AE062A</v>
      </c>
      <c r="E840" t="str">
        <f t="shared" si="838"/>
        <v>AE062C</v>
      </c>
      <c r="F840" t="str">
        <f t="shared" si="838"/>
        <v>AE062E</v>
      </c>
      <c r="G840" t="str">
        <f t="shared" si="838"/>
        <v>AE0640</v>
      </c>
      <c r="H840" t="str">
        <f t="shared" si="838"/>
        <v>AE0642</v>
      </c>
      <c r="I840" t="str">
        <f t="shared" si="838"/>
        <v>AE0644</v>
      </c>
      <c r="J840" t="str">
        <f t="shared" si="838"/>
        <v>AE0646</v>
      </c>
      <c r="K840" t="str">
        <f t="shared" si="838"/>
        <v>AE0620</v>
      </c>
    </row>
    <row r="841">
      <c r="A841" s="14">
        <v>839.0</v>
      </c>
      <c r="B841" t="str">
        <f t="shared" ref="B841:K841" si="839">DEC2HEX(HEX2DEC(B840)+1)</f>
        <v>AE0627</v>
      </c>
      <c r="C841" t="str">
        <f t="shared" si="839"/>
        <v>AE0629</v>
      </c>
      <c r="D841" t="str">
        <f t="shared" si="839"/>
        <v>AE062B</v>
      </c>
      <c r="E841" t="str">
        <f t="shared" si="839"/>
        <v>AE062D</v>
      </c>
      <c r="F841" t="str">
        <f t="shared" si="839"/>
        <v>AE062F</v>
      </c>
      <c r="G841" t="str">
        <f t="shared" si="839"/>
        <v>AE0641</v>
      </c>
      <c r="H841" t="str">
        <f t="shared" si="839"/>
        <v>AE0643</v>
      </c>
      <c r="I841" t="str">
        <f t="shared" si="839"/>
        <v>AE0645</v>
      </c>
      <c r="J841" t="str">
        <f t="shared" si="839"/>
        <v>AE0647</v>
      </c>
      <c r="K841" t="str">
        <f t="shared" si="839"/>
        <v>AE0621</v>
      </c>
    </row>
    <row r="842">
      <c r="A842" s="14">
        <v>840.0</v>
      </c>
      <c r="B842" t="str">
        <f t="shared" ref="B842:K842" si="840">DEC2HEX(HEX2DEC(B841)+1)</f>
        <v>AE0628</v>
      </c>
      <c r="C842" t="str">
        <f t="shared" si="840"/>
        <v>AE062A</v>
      </c>
      <c r="D842" t="str">
        <f t="shared" si="840"/>
        <v>AE062C</v>
      </c>
      <c r="E842" t="str">
        <f t="shared" si="840"/>
        <v>AE062E</v>
      </c>
      <c r="F842" t="str">
        <f t="shared" si="840"/>
        <v>AE0630</v>
      </c>
      <c r="G842" t="str">
        <f t="shared" si="840"/>
        <v>AE0642</v>
      </c>
      <c r="H842" t="str">
        <f t="shared" si="840"/>
        <v>AE0644</v>
      </c>
      <c r="I842" t="str">
        <f t="shared" si="840"/>
        <v>AE0646</v>
      </c>
      <c r="J842" t="str">
        <f t="shared" si="840"/>
        <v>AE0648</v>
      </c>
      <c r="K842" t="str">
        <f t="shared" si="840"/>
        <v>AE0622</v>
      </c>
    </row>
    <row r="843">
      <c r="A843" s="14">
        <v>841.0</v>
      </c>
      <c r="B843" t="str">
        <f t="shared" ref="B843:K843" si="841">DEC2HEX(HEX2DEC(B842)+1)</f>
        <v>AE0629</v>
      </c>
      <c r="C843" t="str">
        <f t="shared" si="841"/>
        <v>AE062B</v>
      </c>
      <c r="D843" t="str">
        <f t="shared" si="841"/>
        <v>AE062D</v>
      </c>
      <c r="E843" t="str">
        <f t="shared" si="841"/>
        <v>AE062F</v>
      </c>
      <c r="F843" t="str">
        <f t="shared" si="841"/>
        <v>AE0631</v>
      </c>
      <c r="G843" t="str">
        <f t="shared" si="841"/>
        <v>AE0643</v>
      </c>
      <c r="H843" t="str">
        <f t="shared" si="841"/>
        <v>AE0645</v>
      </c>
      <c r="I843" t="str">
        <f t="shared" si="841"/>
        <v>AE0647</v>
      </c>
      <c r="J843" t="str">
        <f t="shared" si="841"/>
        <v>AE0649</v>
      </c>
      <c r="K843" t="str">
        <f t="shared" si="841"/>
        <v>AE0623</v>
      </c>
    </row>
    <row r="844">
      <c r="A844" s="14">
        <v>842.0</v>
      </c>
      <c r="B844" t="str">
        <f t="shared" ref="B844:K844" si="842">DEC2HEX(HEX2DEC(B843)+1)</f>
        <v>AE062A</v>
      </c>
      <c r="C844" t="str">
        <f t="shared" si="842"/>
        <v>AE062C</v>
      </c>
      <c r="D844" t="str">
        <f t="shared" si="842"/>
        <v>AE062E</v>
      </c>
      <c r="E844" t="str">
        <f t="shared" si="842"/>
        <v>AE0630</v>
      </c>
      <c r="F844" t="str">
        <f t="shared" si="842"/>
        <v>AE0632</v>
      </c>
      <c r="G844" t="str">
        <f t="shared" si="842"/>
        <v>AE0644</v>
      </c>
      <c r="H844" t="str">
        <f t="shared" si="842"/>
        <v>AE0646</v>
      </c>
      <c r="I844" t="str">
        <f t="shared" si="842"/>
        <v>AE0648</v>
      </c>
      <c r="J844" t="str">
        <f t="shared" si="842"/>
        <v>AE064A</v>
      </c>
      <c r="K844" t="str">
        <f t="shared" si="842"/>
        <v>AE0624</v>
      </c>
    </row>
    <row r="845">
      <c r="A845" s="14">
        <v>843.0</v>
      </c>
      <c r="B845" t="str">
        <f t="shared" ref="B845:K845" si="843">DEC2HEX(HEX2DEC(B844)+1)</f>
        <v>AE062B</v>
      </c>
      <c r="C845" t="str">
        <f t="shared" si="843"/>
        <v>AE062D</v>
      </c>
      <c r="D845" t="str">
        <f t="shared" si="843"/>
        <v>AE062F</v>
      </c>
      <c r="E845" t="str">
        <f t="shared" si="843"/>
        <v>AE0631</v>
      </c>
      <c r="F845" t="str">
        <f t="shared" si="843"/>
        <v>AE0633</v>
      </c>
      <c r="G845" t="str">
        <f t="shared" si="843"/>
        <v>AE0645</v>
      </c>
      <c r="H845" t="str">
        <f t="shared" si="843"/>
        <v>AE0647</v>
      </c>
      <c r="I845" t="str">
        <f t="shared" si="843"/>
        <v>AE0649</v>
      </c>
      <c r="J845" t="str">
        <f t="shared" si="843"/>
        <v>AE064B</v>
      </c>
      <c r="K845" t="str">
        <f t="shared" si="843"/>
        <v>AE0625</v>
      </c>
    </row>
    <row r="846">
      <c r="A846" s="14">
        <v>844.0</v>
      </c>
      <c r="B846" t="str">
        <f t="shared" ref="B846:K846" si="844">DEC2HEX(HEX2DEC(B845)+1)</f>
        <v>AE062C</v>
      </c>
      <c r="C846" t="str">
        <f t="shared" si="844"/>
        <v>AE062E</v>
      </c>
      <c r="D846" t="str">
        <f t="shared" si="844"/>
        <v>AE0630</v>
      </c>
      <c r="E846" t="str">
        <f t="shared" si="844"/>
        <v>AE0632</v>
      </c>
      <c r="F846" t="str">
        <f t="shared" si="844"/>
        <v>AE0634</v>
      </c>
      <c r="G846" t="str">
        <f t="shared" si="844"/>
        <v>AE0646</v>
      </c>
      <c r="H846" t="str">
        <f t="shared" si="844"/>
        <v>AE0648</v>
      </c>
      <c r="I846" t="str">
        <f t="shared" si="844"/>
        <v>AE064A</v>
      </c>
      <c r="J846" t="str">
        <f t="shared" si="844"/>
        <v>AE064C</v>
      </c>
      <c r="K846" t="str">
        <f t="shared" si="844"/>
        <v>AE0626</v>
      </c>
    </row>
    <row r="847">
      <c r="A847" s="14">
        <v>845.0</v>
      </c>
      <c r="B847" t="str">
        <f t="shared" ref="B847:K847" si="845">DEC2HEX(HEX2DEC(B846)+1)</f>
        <v>AE062D</v>
      </c>
      <c r="C847" t="str">
        <f t="shared" si="845"/>
        <v>AE062F</v>
      </c>
      <c r="D847" t="str">
        <f t="shared" si="845"/>
        <v>AE0631</v>
      </c>
      <c r="E847" t="str">
        <f t="shared" si="845"/>
        <v>AE0633</v>
      </c>
      <c r="F847" t="str">
        <f t="shared" si="845"/>
        <v>AE0635</v>
      </c>
      <c r="G847" t="str">
        <f t="shared" si="845"/>
        <v>AE0647</v>
      </c>
      <c r="H847" t="str">
        <f t="shared" si="845"/>
        <v>AE0649</v>
      </c>
      <c r="I847" t="str">
        <f t="shared" si="845"/>
        <v>AE064B</v>
      </c>
      <c r="J847" t="str">
        <f t="shared" si="845"/>
        <v>AE064D</v>
      </c>
      <c r="K847" t="str">
        <f t="shared" si="845"/>
        <v>AE0627</v>
      </c>
    </row>
    <row r="848">
      <c r="A848" s="14">
        <v>846.0</v>
      </c>
      <c r="B848" t="str">
        <f t="shared" ref="B848:K848" si="846">DEC2HEX(HEX2DEC(B847)+1)</f>
        <v>AE062E</v>
      </c>
      <c r="C848" t="str">
        <f t="shared" si="846"/>
        <v>AE0630</v>
      </c>
      <c r="D848" t="str">
        <f t="shared" si="846"/>
        <v>AE0632</v>
      </c>
      <c r="E848" t="str">
        <f t="shared" si="846"/>
        <v>AE0634</v>
      </c>
      <c r="F848" t="str">
        <f t="shared" si="846"/>
        <v>AE0636</v>
      </c>
      <c r="G848" t="str">
        <f t="shared" si="846"/>
        <v>AE0648</v>
      </c>
      <c r="H848" t="str">
        <f t="shared" si="846"/>
        <v>AE064A</v>
      </c>
      <c r="I848" t="str">
        <f t="shared" si="846"/>
        <v>AE064C</v>
      </c>
      <c r="J848" t="str">
        <f t="shared" si="846"/>
        <v>AE064E</v>
      </c>
      <c r="K848" t="str">
        <f t="shared" si="846"/>
        <v>AE0628</v>
      </c>
    </row>
    <row r="849">
      <c r="A849" s="14">
        <v>847.0</v>
      </c>
      <c r="B849" t="str">
        <f t="shared" ref="B849:K849" si="847">DEC2HEX(HEX2DEC(B848)+1)</f>
        <v>AE062F</v>
      </c>
      <c r="C849" t="str">
        <f t="shared" si="847"/>
        <v>AE0631</v>
      </c>
      <c r="D849" t="str">
        <f t="shared" si="847"/>
        <v>AE0633</v>
      </c>
      <c r="E849" t="str">
        <f t="shared" si="847"/>
        <v>AE0635</v>
      </c>
      <c r="F849" t="str">
        <f t="shared" si="847"/>
        <v>AE0637</v>
      </c>
      <c r="G849" t="str">
        <f t="shared" si="847"/>
        <v>AE0649</v>
      </c>
      <c r="H849" t="str">
        <f t="shared" si="847"/>
        <v>AE064B</v>
      </c>
      <c r="I849" t="str">
        <f t="shared" si="847"/>
        <v>AE064D</v>
      </c>
      <c r="J849" t="str">
        <f t="shared" si="847"/>
        <v>AE064F</v>
      </c>
      <c r="K849" t="str">
        <f t="shared" si="847"/>
        <v>AE0629</v>
      </c>
    </row>
    <row r="850">
      <c r="A850" s="14">
        <v>848.0</v>
      </c>
      <c r="B850" t="str">
        <f t="shared" ref="B850:K850" si="848">DEC2HEX(HEX2DEC(B849)+1)</f>
        <v>AE0630</v>
      </c>
      <c r="C850" t="str">
        <f t="shared" si="848"/>
        <v>AE0632</v>
      </c>
      <c r="D850" t="str">
        <f t="shared" si="848"/>
        <v>AE0634</v>
      </c>
      <c r="E850" t="str">
        <f t="shared" si="848"/>
        <v>AE0636</v>
      </c>
      <c r="F850" t="str">
        <f t="shared" si="848"/>
        <v>AE0638</v>
      </c>
      <c r="G850" t="str">
        <f t="shared" si="848"/>
        <v>AE064A</v>
      </c>
      <c r="H850" t="str">
        <f t="shared" si="848"/>
        <v>AE064C</v>
      </c>
      <c r="I850" t="str">
        <f t="shared" si="848"/>
        <v>AE064E</v>
      </c>
      <c r="J850" t="str">
        <f t="shared" si="848"/>
        <v>AE0650</v>
      </c>
      <c r="K850" t="str">
        <f t="shared" si="848"/>
        <v>AE062A</v>
      </c>
    </row>
    <row r="851">
      <c r="A851" s="14">
        <v>849.0</v>
      </c>
      <c r="B851" t="str">
        <f t="shared" ref="B851:K851" si="849">DEC2HEX(HEX2DEC(B850)+1)</f>
        <v>AE0631</v>
      </c>
      <c r="C851" t="str">
        <f t="shared" si="849"/>
        <v>AE0633</v>
      </c>
      <c r="D851" t="str">
        <f t="shared" si="849"/>
        <v>AE0635</v>
      </c>
      <c r="E851" t="str">
        <f t="shared" si="849"/>
        <v>AE0637</v>
      </c>
      <c r="F851" t="str">
        <f t="shared" si="849"/>
        <v>AE0639</v>
      </c>
      <c r="G851" t="str">
        <f t="shared" si="849"/>
        <v>AE064B</v>
      </c>
      <c r="H851" t="str">
        <f t="shared" si="849"/>
        <v>AE064D</v>
      </c>
      <c r="I851" t="str">
        <f t="shared" si="849"/>
        <v>AE064F</v>
      </c>
      <c r="J851" t="str">
        <f t="shared" si="849"/>
        <v>AE0651</v>
      </c>
      <c r="K851" t="str">
        <f t="shared" si="849"/>
        <v>AE062B</v>
      </c>
    </row>
    <row r="852">
      <c r="A852" s="14">
        <v>850.0</v>
      </c>
      <c r="B852" t="str">
        <f t="shared" ref="B852:K852" si="850">DEC2HEX(HEX2DEC(B851)+1)</f>
        <v>AE0632</v>
      </c>
      <c r="C852" t="str">
        <f t="shared" si="850"/>
        <v>AE0634</v>
      </c>
      <c r="D852" t="str">
        <f t="shared" si="850"/>
        <v>AE0636</v>
      </c>
      <c r="E852" t="str">
        <f t="shared" si="850"/>
        <v>AE0638</v>
      </c>
      <c r="F852" t="str">
        <f t="shared" si="850"/>
        <v>AE063A</v>
      </c>
      <c r="G852" t="str">
        <f t="shared" si="850"/>
        <v>AE064C</v>
      </c>
      <c r="H852" t="str">
        <f t="shared" si="850"/>
        <v>AE064E</v>
      </c>
      <c r="I852" t="str">
        <f t="shared" si="850"/>
        <v>AE0650</v>
      </c>
      <c r="J852" t="str">
        <f t="shared" si="850"/>
        <v>AE0652</v>
      </c>
      <c r="K852" t="str">
        <f t="shared" si="850"/>
        <v>AE062C</v>
      </c>
    </row>
    <row r="853">
      <c r="A853" s="14">
        <v>851.0</v>
      </c>
      <c r="B853" t="str">
        <f t="shared" ref="B853:K853" si="851">DEC2HEX(HEX2DEC(B852)+1)</f>
        <v>AE0633</v>
      </c>
      <c r="C853" t="str">
        <f t="shared" si="851"/>
        <v>AE0635</v>
      </c>
      <c r="D853" t="str">
        <f t="shared" si="851"/>
        <v>AE0637</v>
      </c>
      <c r="E853" t="str">
        <f t="shared" si="851"/>
        <v>AE0639</v>
      </c>
      <c r="F853" t="str">
        <f t="shared" si="851"/>
        <v>AE063B</v>
      </c>
      <c r="G853" t="str">
        <f t="shared" si="851"/>
        <v>AE064D</v>
      </c>
      <c r="H853" t="str">
        <f t="shared" si="851"/>
        <v>AE064F</v>
      </c>
      <c r="I853" t="str">
        <f t="shared" si="851"/>
        <v>AE0651</v>
      </c>
      <c r="J853" t="str">
        <f t="shared" si="851"/>
        <v>AE0653</v>
      </c>
      <c r="K853" t="str">
        <f t="shared" si="851"/>
        <v>AE062D</v>
      </c>
    </row>
    <row r="854">
      <c r="A854" s="14">
        <v>852.0</v>
      </c>
      <c r="B854" t="str">
        <f t="shared" ref="B854:K854" si="852">DEC2HEX(HEX2DEC(B853)+1)</f>
        <v>AE0634</v>
      </c>
      <c r="C854" t="str">
        <f t="shared" si="852"/>
        <v>AE0636</v>
      </c>
      <c r="D854" t="str">
        <f t="shared" si="852"/>
        <v>AE0638</v>
      </c>
      <c r="E854" t="str">
        <f t="shared" si="852"/>
        <v>AE063A</v>
      </c>
      <c r="F854" t="str">
        <f t="shared" si="852"/>
        <v>AE063C</v>
      </c>
      <c r="G854" t="str">
        <f t="shared" si="852"/>
        <v>AE064E</v>
      </c>
      <c r="H854" t="str">
        <f t="shared" si="852"/>
        <v>AE0650</v>
      </c>
      <c r="I854" t="str">
        <f t="shared" si="852"/>
        <v>AE0652</v>
      </c>
      <c r="J854" t="str">
        <f t="shared" si="852"/>
        <v>AE0654</v>
      </c>
      <c r="K854" t="str">
        <f t="shared" si="852"/>
        <v>AE062E</v>
      </c>
    </row>
    <row r="855">
      <c r="A855" s="14">
        <v>853.0</v>
      </c>
      <c r="B855" t="str">
        <f t="shared" ref="B855:K855" si="853">DEC2HEX(HEX2DEC(B854)+1)</f>
        <v>AE0635</v>
      </c>
      <c r="C855" t="str">
        <f t="shared" si="853"/>
        <v>AE0637</v>
      </c>
      <c r="D855" t="str">
        <f t="shared" si="853"/>
        <v>AE0639</v>
      </c>
      <c r="E855" t="str">
        <f t="shared" si="853"/>
        <v>AE063B</v>
      </c>
      <c r="F855" t="str">
        <f t="shared" si="853"/>
        <v>AE063D</v>
      </c>
      <c r="G855" t="str">
        <f t="shared" si="853"/>
        <v>AE064F</v>
      </c>
      <c r="H855" t="str">
        <f t="shared" si="853"/>
        <v>AE0651</v>
      </c>
      <c r="I855" t="str">
        <f t="shared" si="853"/>
        <v>AE0653</v>
      </c>
      <c r="J855" t="str">
        <f t="shared" si="853"/>
        <v>AE0655</v>
      </c>
      <c r="K855" t="str">
        <f t="shared" si="853"/>
        <v>AE062F</v>
      </c>
    </row>
    <row r="856">
      <c r="A856" s="14">
        <v>854.0</v>
      </c>
      <c r="B856" t="str">
        <f t="shared" ref="B856:K856" si="854">DEC2HEX(HEX2DEC(B855)+1)</f>
        <v>AE0636</v>
      </c>
      <c r="C856" t="str">
        <f t="shared" si="854"/>
        <v>AE0638</v>
      </c>
      <c r="D856" t="str">
        <f t="shared" si="854"/>
        <v>AE063A</v>
      </c>
      <c r="E856" t="str">
        <f t="shared" si="854"/>
        <v>AE063C</v>
      </c>
      <c r="F856" t="str">
        <f t="shared" si="854"/>
        <v>AE063E</v>
      </c>
      <c r="G856" t="str">
        <f t="shared" si="854"/>
        <v>AE0650</v>
      </c>
      <c r="H856" t="str">
        <f t="shared" si="854"/>
        <v>AE0652</v>
      </c>
      <c r="I856" t="str">
        <f t="shared" si="854"/>
        <v>AE0654</v>
      </c>
      <c r="J856" t="str">
        <f t="shared" si="854"/>
        <v>AE0656</v>
      </c>
      <c r="K856" t="str">
        <f t="shared" si="854"/>
        <v>AE0630</v>
      </c>
    </row>
    <row r="857">
      <c r="A857" s="14">
        <v>855.0</v>
      </c>
      <c r="B857" t="str">
        <f t="shared" ref="B857:K857" si="855">DEC2HEX(HEX2DEC(B856)+1)</f>
        <v>AE0637</v>
      </c>
      <c r="C857" t="str">
        <f t="shared" si="855"/>
        <v>AE0639</v>
      </c>
      <c r="D857" t="str">
        <f t="shared" si="855"/>
        <v>AE063B</v>
      </c>
      <c r="E857" t="str">
        <f t="shared" si="855"/>
        <v>AE063D</v>
      </c>
      <c r="F857" t="str">
        <f t="shared" si="855"/>
        <v>AE063F</v>
      </c>
      <c r="G857" t="str">
        <f t="shared" si="855"/>
        <v>AE0651</v>
      </c>
      <c r="H857" t="str">
        <f t="shared" si="855"/>
        <v>AE0653</v>
      </c>
      <c r="I857" t="str">
        <f t="shared" si="855"/>
        <v>AE0655</v>
      </c>
      <c r="J857" t="str">
        <f t="shared" si="855"/>
        <v>AE0657</v>
      </c>
      <c r="K857" t="str">
        <f t="shared" si="855"/>
        <v>AE0631</v>
      </c>
    </row>
    <row r="858">
      <c r="A858" s="14">
        <v>856.0</v>
      </c>
      <c r="B858" t="str">
        <f t="shared" ref="B858:K858" si="856">DEC2HEX(HEX2DEC(B857)+1)</f>
        <v>AE0638</v>
      </c>
      <c r="C858" t="str">
        <f t="shared" si="856"/>
        <v>AE063A</v>
      </c>
      <c r="D858" t="str">
        <f t="shared" si="856"/>
        <v>AE063C</v>
      </c>
      <c r="E858" t="str">
        <f t="shared" si="856"/>
        <v>AE063E</v>
      </c>
      <c r="F858" t="str">
        <f t="shared" si="856"/>
        <v>AE0640</v>
      </c>
      <c r="G858" t="str">
        <f t="shared" si="856"/>
        <v>AE0652</v>
      </c>
      <c r="H858" t="str">
        <f t="shared" si="856"/>
        <v>AE0654</v>
      </c>
      <c r="I858" t="str">
        <f t="shared" si="856"/>
        <v>AE0656</v>
      </c>
      <c r="J858" t="str">
        <f t="shared" si="856"/>
        <v>AE0658</v>
      </c>
      <c r="K858" t="str">
        <f t="shared" si="856"/>
        <v>AE0632</v>
      </c>
    </row>
    <row r="859">
      <c r="A859" s="14">
        <v>857.0</v>
      </c>
      <c r="B859" t="str">
        <f t="shared" ref="B859:K859" si="857">DEC2HEX(HEX2DEC(B858)+1)</f>
        <v>AE0639</v>
      </c>
      <c r="C859" t="str">
        <f t="shared" si="857"/>
        <v>AE063B</v>
      </c>
      <c r="D859" t="str">
        <f t="shared" si="857"/>
        <v>AE063D</v>
      </c>
      <c r="E859" t="str">
        <f t="shared" si="857"/>
        <v>AE063F</v>
      </c>
      <c r="F859" t="str">
        <f t="shared" si="857"/>
        <v>AE0641</v>
      </c>
      <c r="G859" t="str">
        <f t="shared" si="857"/>
        <v>AE0653</v>
      </c>
      <c r="H859" t="str">
        <f t="shared" si="857"/>
        <v>AE0655</v>
      </c>
      <c r="I859" t="str">
        <f t="shared" si="857"/>
        <v>AE0657</v>
      </c>
      <c r="J859" t="str">
        <f t="shared" si="857"/>
        <v>AE0659</v>
      </c>
      <c r="K859" t="str">
        <f t="shared" si="857"/>
        <v>AE0633</v>
      </c>
    </row>
    <row r="860">
      <c r="A860" s="14">
        <v>858.0</v>
      </c>
      <c r="B860" t="str">
        <f t="shared" ref="B860:K860" si="858">DEC2HEX(HEX2DEC(B859)+1)</f>
        <v>AE063A</v>
      </c>
      <c r="C860" t="str">
        <f t="shared" si="858"/>
        <v>AE063C</v>
      </c>
      <c r="D860" t="str">
        <f t="shared" si="858"/>
        <v>AE063E</v>
      </c>
      <c r="E860" t="str">
        <f t="shared" si="858"/>
        <v>AE0640</v>
      </c>
      <c r="F860" t="str">
        <f t="shared" si="858"/>
        <v>AE0642</v>
      </c>
      <c r="G860" t="str">
        <f t="shared" si="858"/>
        <v>AE0654</v>
      </c>
      <c r="H860" t="str">
        <f t="shared" si="858"/>
        <v>AE0656</v>
      </c>
      <c r="I860" t="str">
        <f t="shared" si="858"/>
        <v>AE0658</v>
      </c>
      <c r="J860" t="str">
        <f t="shared" si="858"/>
        <v>AE065A</v>
      </c>
      <c r="K860" t="str">
        <f t="shared" si="858"/>
        <v>AE0634</v>
      </c>
    </row>
    <row r="861">
      <c r="A861" s="14">
        <v>859.0</v>
      </c>
      <c r="B861" t="str">
        <f t="shared" ref="B861:K861" si="859">DEC2HEX(HEX2DEC(B860)+1)</f>
        <v>AE063B</v>
      </c>
      <c r="C861" t="str">
        <f t="shared" si="859"/>
        <v>AE063D</v>
      </c>
      <c r="D861" t="str">
        <f t="shared" si="859"/>
        <v>AE063F</v>
      </c>
      <c r="E861" t="str">
        <f t="shared" si="859"/>
        <v>AE0641</v>
      </c>
      <c r="F861" t="str">
        <f t="shared" si="859"/>
        <v>AE0643</v>
      </c>
      <c r="G861" t="str">
        <f t="shared" si="859"/>
        <v>AE0655</v>
      </c>
      <c r="H861" t="str">
        <f t="shared" si="859"/>
        <v>AE0657</v>
      </c>
      <c r="I861" t="str">
        <f t="shared" si="859"/>
        <v>AE0659</v>
      </c>
      <c r="J861" t="str">
        <f t="shared" si="859"/>
        <v>AE065B</v>
      </c>
      <c r="K861" t="str">
        <f t="shared" si="859"/>
        <v>AE0635</v>
      </c>
    </row>
    <row r="862">
      <c r="A862" s="14">
        <v>860.0</v>
      </c>
      <c r="B862" t="str">
        <f t="shared" ref="B862:K862" si="860">DEC2HEX(HEX2DEC(B861)+1)</f>
        <v>AE063C</v>
      </c>
      <c r="C862" t="str">
        <f t="shared" si="860"/>
        <v>AE063E</v>
      </c>
      <c r="D862" t="str">
        <f t="shared" si="860"/>
        <v>AE0640</v>
      </c>
      <c r="E862" t="str">
        <f t="shared" si="860"/>
        <v>AE0642</v>
      </c>
      <c r="F862" t="str">
        <f t="shared" si="860"/>
        <v>AE0644</v>
      </c>
      <c r="G862" t="str">
        <f t="shared" si="860"/>
        <v>AE0656</v>
      </c>
      <c r="H862" t="str">
        <f t="shared" si="860"/>
        <v>AE0658</v>
      </c>
      <c r="I862" t="str">
        <f t="shared" si="860"/>
        <v>AE065A</v>
      </c>
      <c r="J862" t="str">
        <f t="shared" si="860"/>
        <v>AE065C</v>
      </c>
      <c r="K862" t="str">
        <f t="shared" si="860"/>
        <v>AE0636</v>
      </c>
    </row>
    <row r="863">
      <c r="A863" s="14">
        <v>861.0</v>
      </c>
      <c r="B863" t="str">
        <f t="shared" ref="B863:K863" si="861">DEC2HEX(HEX2DEC(B862)+1)</f>
        <v>AE063D</v>
      </c>
      <c r="C863" t="str">
        <f t="shared" si="861"/>
        <v>AE063F</v>
      </c>
      <c r="D863" t="str">
        <f t="shared" si="861"/>
        <v>AE0641</v>
      </c>
      <c r="E863" t="str">
        <f t="shared" si="861"/>
        <v>AE0643</v>
      </c>
      <c r="F863" t="str">
        <f t="shared" si="861"/>
        <v>AE0645</v>
      </c>
      <c r="G863" t="str">
        <f t="shared" si="861"/>
        <v>AE0657</v>
      </c>
      <c r="H863" t="str">
        <f t="shared" si="861"/>
        <v>AE0659</v>
      </c>
      <c r="I863" t="str">
        <f t="shared" si="861"/>
        <v>AE065B</v>
      </c>
      <c r="J863" t="str">
        <f t="shared" si="861"/>
        <v>AE065D</v>
      </c>
      <c r="K863" t="str">
        <f t="shared" si="861"/>
        <v>AE0637</v>
      </c>
    </row>
    <row r="864">
      <c r="A864" s="14">
        <v>862.0</v>
      </c>
      <c r="B864" t="str">
        <f t="shared" ref="B864:K864" si="862">DEC2HEX(HEX2DEC(B863)+1)</f>
        <v>AE063E</v>
      </c>
      <c r="C864" t="str">
        <f t="shared" si="862"/>
        <v>AE0640</v>
      </c>
      <c r="D864" t="str">
        <f t="shared" si="862"/>
        <v>AE0642</v>
      </c>
      <c r="E864" t="str">
        <f t="shared" si="862"/>
        <v>AE0644</v>
      </c>
      <c r="F864" t="str">
        <f t="shared" si="862"/>
        <v>AE0646</v>
      </c>
      <c r="G864" t="str">
        <f t="shared" si="862"/>
        <v>AE0658</v>
      </c>
      <c r="H864" t="str">
        <f t="shared" si="862"/>
        <v>AE065A</v>
      </c>
      <c r="I864" t="str">
        <f t="shared" si="862"/>
        <v>AE065C</v>
      </c>
      <c r="J864" t="str">
        <f t="shared" si="862"/>
        <v>AE065E</v>
      </c>
      <c r="K864" t="str">
        <f t="shared" si="862"/>
        <v>AE0638</v>
      </c>
    </row>
    <row r="865">
      <c r="A865" s="14">
        <v>863.0</v>
      </c>
      <c r="B865" t="str">
        <f t="shared" ref="B865:K865" si="863">DEC2HEX(HEX2DEC(B864)+1)</f>
        <v>AE063F</v>
      </c>
      <c r="C865" t="str">
        <f t="shared" si="863"/>
        <v>AE0641</v>
      </c>
      <c r="D865" t="str">
        <f t="shared" si="863"/>
        <v>AE0643</v>
      </c>
      <c r="E865" t="str">
        <f t="shared" si="863"/>
        <v>AE0645</v>
      </c>
      <c r="F865" t="str">
        <f t="shared" si="863"/>
        <v>AE0647</v>
      </c>
      <c r="G865" t="str">
        <f t="shared" si="863"/>
        <v>AE0659</v>
      </c>
      <c r="H865" t="str">
        <f t="shared" si="863"/>
        <v>AE065B</v>
      </c>
      <c r="I865" t="str">
        <f t="shared" si="863"/>
        <v>AE065D</v>
      </c>
      <c r="J865" t="str">
        <f t="shared" si="863"/>
        <v>AE065F</v>
      </c>
      <c r="K865" t="str">
        <f t="shared" si="863"/>
        <v>AE0639</v>
      </c>
    </row>
    <row r="866">
      <c r="A866" s="14">
        <v>864.0</v>
      </c>
      <c r="B866" t="str">
        <f t="shared" ref="B866:K866" si="864">DEC2HEX(HEX2DEC(B865)+1)</f>
        <v>AE0640</v>
      </c>
      <c r="C866" t="str">
        <f t="shared" si="864"/>
        <v>AE0642</v>
      </c>
      <c r="D866" t="str">
        <f t="shared" si="864"/>
        <v>AE0644</v>
      </c>
      <c r="E866" t="str">
        <f t="shared" si="864"/>
        <v>AE0646</v>
      </c>
      <c r="F866" t="str">
        <f t="shared" si="864"/>
        <v>AE0648</v>
      </c>
      <c r="G866" t="str">
        <f t="shared" si="864"/>
        <v>AE065A</v>
      </c>
      <c r="H866" t="str">
        <f t="shared" si="864"/>
        <v>AE065C</v>
      </c>
      <c r="I866" t="str">
        <f t="shared" si="864"/>
        <v>AE065E</v>
      </c>
      <c r="J866" t="str">
        <f t="shared" si="864"/>
        <v>AE0660</v>
      </c>
      <c r="K866" t="str">
        <f t="shared" si="864"/>
        <v>AE063A</v>
      </c>
    </row>
    <row r="867">
      <c r="A867" s="14">
        <v>865.0</v>
      </c>
      <c r="B867" t="str">
        <f t="shared" ref="B867:K867" si="865">DEC2HEX(HEX2DEC(B866)+1)</f>
        <v>AE0641</v>
      </c>
      <c r="C867" t="str">
        <f t="shared" si="865"/>
        <v>AE0643</v>
      </c>
      <c r="D867" t="str">
        <f t="shared" si="865"/>
        <v>AE0645</v>
      </c>
      <c r="E867" t="str">
        <f t="shared" si="865"/>
        <v>AE0647</v>
      </c>
      <c r="F867" t="str">
        <f t="shared" si="865"/>
        <v>AE0649</v>
      </c>
      <c r="G867" t="str">
        <f t="shared" si="865"/>
        <v>AE065B</v>
      </c>
      <c r="H867" t="str">
        <f t="shared" si="865"/>
        <v>AE065D</v>
      </c>
      <c r="I867" t="str">
        <f t="shared" si="865"/>
        <v>AE065F</v>
      </c>
      <c r="J867" t="str">
        <f t="shared" si="865"/>
        <v>AE0661</v>
      </c>
      <c r="K867" t="str">
        <f t="shared" si="865"/>
        <v>AE063B</v>
      </c>
    </row>
    <row r="868">
      <c r="A868" s="14">
        <v>866.0</v>
      </c>
      <c r="B868" t="str">
        <f t="shared" ref="B868:K868" si="866">DEC2HEX(HEX2DEC(B867)+1)</f>
        <v>AE0642</v>
      </c>
      <c r="C868" t="str">
        <f t="shared" si="866"/>
        <v>AE0644</v>
      </c>
      <c r="D868" t="str">
        <f t="shared" si="866"/>
        <v>AE0646</v>
      </c>
      <c r="E868" t="str">
        <f t="shared" si="866"/>
        <v>AE0648</v>
      </c>
      <c r="F868" t="str">
        <f t="shared" si="866"/>
        <v>AE064A</v>
      </c>
      <c r="G868" t="str">
        <f t="shared" si="866"/>
        <v>AE065C</v>
      </c>
      <c r="H868" t="str">
        <f t="shared" si="866"/>
        <v>AE065E</v>
      </c>
      <c r="I868" t="str">
        <f t="shared" si="866"/>
        <v>AE0660</v>
      </c>
      <c r="J868" t="str">
        <f t="shared" si="866"/>
        <v>AE0662</v>
      </c>
      <c r="K868" t="str">
        <f t="shared" si="866"/>
        <v>AE063C</v>
      </c>
    </row>
    <row r="869">
      <c r="A869" s="14">
        <v>867.0</v>
      </c>
      <c r="B869" t="str">
        <f t="shared" ref="B869:K869" si="867">DEC2HEX(HEX2DEC(B868)+1)</f>
        <v>AE0643</v>
      </c>
      <c r="C869" t="str">
        <f t="shared" si="867"/>
        <v>AE0645</v>
      </c>
      <c r="D869" t="str">
        <f t="shared" si="867"/>
        <v>AE0647</v>
      </c>
      <c r="E869" t="str">
        <f t="shared" si="867"/>
        <v>AE0649</v>
      </c>
      <c r="F869" t="str">
        <f t="shared" si="867"/>
        <v>AE064B</v>
      </c>
      <c r="G869" t="str">
        <f t="shared" si="867"/>
        <v>AE065D</v>
      </c>
      <c r="H869" t="str">
        <f t="shared" si="867"/>
        <v>AE065F</v>
      </c>
      <c r="I869" t="str">
        <f t="shared" si="867"/>
        <v>AE0661</v>
      </c>
      <c r="J869" t="str">
        <f t="shared" si="867"/>
        <v>AE0663</v>
      </c>
      <c r="K869" t="str">
        <f t="shared" si="867"/>
        <v>AE063D</v>
      </c>
    </row>
    <row r="870">
      <c r="A870" s="14">
        <v>868.0</v>
      </c>
      <c r="B870" t="str">
        <f t="shared" ref="B870:K870" si="868">DEC2HEX(HEX2DEC(B869)+1)</f>
        <v>AE0644</v>
      </c>
      <c r="C870" t="str">
        <f t="shared" si="868"/>
        <v>AE0646</v>
      </c>
      <c r="D870" t="str">
        <f t="shared" si="868"/>
        <v>AE0648</v>
      </c>
      <c r="E870" t="str">
        <f t="shared" si="868"/>
        <v>AE064A</v>
      </c>
      <c r="F870" t="str">
        <f t="shared" si="868"/>
        <v>AE064C</v>
      </c>
      <c r="G870" t="str">
        <f t="shared" si="868"/>
        <v>AE065E</v>
      </c>
      <c r="H870" t="str">
        <f t="shared" si="868"/>
        <v>AE0660</v>
      </c>
      <c r="I870" t="str">
        <f t="shared" si="868"/>
        <v>AE0662</v>
      </c>
      <c r="J870" t="str">
        <f t="shared" si="868"/>
        <v>AE0664</v>
      </c>
      <c r="K870" t="str">
        <f t="shared" si="868"/>
        <v>AE063E</v>
      </c>
    </row>
    <row r="871">
      <c r="A871" s="14">
        <v>869.0</v>
      </c>
      <c r="B871" t="str">
        <f t="shared" ref="B871:K871" si="869">DEC2HEX(HEX2DEC(B870)+1)</f>
        <v>AE0645</v>
      </c>
      <c r="C871" t="str">
        <f t="shared" si="869"/>
        <v>AE0647</v>
      </c>
      <c r="D871" t="str">
        <f t="shared" si="869"/>
        <v>AE0649</v>
      </c>
      <c r="E871" t="str">
        <f t="shared" si="869"/>
        <v>AE064B</v>
      </c>
      <c r="F871" t="str">
        <f t="shared" si="869"/>
        <v>AE064D</v>
      </c>
      <c r="G871" t="str">
        <f t="shared" si="869"/>
        <v>AE065F</v>
      </c>
      <c r="H871" t="str">
        <f t="shared" si="869"/>
        <v>AE0661</v>
      </c>
      <c r="I871" t="str">
        <f t="shared" si="869"/>
        <v>AE0663</v>
      </c>
      <c r="J871" t="str">
        <f t="shared" si="869"/>
        <v>AE0665</v>
      </c>
      <c r="K871" t="str">
        <f t="shared" si="869"/>
        <v>AE063F</v>
      </c>
    </row>
    <row r="872">
      <c r="A872" s="14">
        <v>870.0</v>
      </c>
      <c r="B872" t="str">
        <f t="shared" ref="B872:K872" si="870">DEC2HEX(HEX2DEC(B871)+1)</f>
        <v>AE0646</v>
      </c>
      <c r="C872" t="str">
        <f t="shared" si="870"/>
        <v>AE0648</v>
      </c>
      <c r="D872" t="str">
        <f t="shared" si="870"/>
        <v>AE064A</v>
      </c>
      <c r="E872" t="str">
        <f t="shared" si="870"/>
        <v>AE064C</v>
      </c>
      <c r="F872" t="str">
        <f t="shared" si="870"/>
        <v>AE064E</v>
      </c>
      <c r="G872" t="str">
        <f t="shared" si="870"/>
        <v>AE0660</v>
      </c>
      <c r="H872" t="str">
        <f t="shared" si="870"/>
        <v>AE0662</v>
      </c>
      <c r="I872" t="str">
        <f t="shared" si="870"/>
        <v>AE0664</v>
      </c>
      <c r="J872" t="str">
        <f t="shared" si="870"/>
        <v>AE0666</v>
      </c>
      <c r="K872" t="str">
        <f t="shared" si="870"/>
        <v>AE0640</v>
      </c>
    </row>
    <row r="873">
      <c r="A873" s="14">
        <v>871.0</v>
      </c>
      <c r="B873" t="str">
        <f t="shared" ref="B873:K873" si="871">DEC2HEX(HEX2DEC(B872)+1)</f>
        <v>AE0647</v>
      </c>
      <c r="C873" t="str">
        <f t="shared" si="871"/>
        <v>AE0649</v>
      </c>
      <c r="D873" t="str">
        <f t="shared" si="871"/>
        <v>AE064B</v>
      </c>
      <c r="E873" t="str">
        <f t="shared" si="871"/>
        <v>AE064D</v>
      </c>
      <c r="F873" t="str">
        <f t="shared" si="871"/>
        <v>AE064F</v>
      </c>
      <c r="G873" t="str">
        <f t="shared" si="871"/>
        <v>AE0661</v>
      </c>
      <c r="H873" t="str">
        <f t="shared" si="871"/>
        <v>AE0663</v>
      </c>
      <c r="I873" t="str">
        <f t="shared" si="871"/>
        <v>AE0665</v>
      </c>
      <c r="J873" t="str">
        <f t="shared" si="871"/>
        <v>AE0667</v>
      </c>
      <c r="K873" t="str">
        <f t="shared" si="871"/>
        <v>AE0641</v>
      </c>
    </row>
    <row r="874">
      <c r="A874" s="14">
        <v>872.0</v>
      </c>
      <c r="B874" t="str">
        <f t="shared" ref="B874:K874" si="872">DEC2HEX(HEX2DEC(B873)+1)</f>
        <v>AE0648</v>
      </c>
      <c r="C874" t="str">
        <f t="shared" si="872"/>
        <v>AE064A</v>
      </c>
      <c r="D874" t="str">
        <f t="shared" si="872"/>
        <v>AE064C</v>
      </c>
      <c r="E874" t="str">
        <f t="shared" si="872"/>
        <v>AE064E</v>
      </c>
      <c r="F874" t="str">
        <f t="shared" si="872"/>
        <v>AE0650</v>
      </c>
      <c r="G874" t="str">
        <f t="shared" si="872"/>
        <v>AE0662</v>
      </c>
      <c r="H874" t="str">
        <f t="shared" si="872"/>
        <v>AE0664</v>
      </c>
      <c r="I874" t="str">
        <f t="shared" si="872"/>
        <v>AE0666</v>
      </c>
      <c r="J874" t="str">
        <f t="shared" si="872"/>
        <v>AE0668</v>
      </c>
      <c r="K874" t="str">
        <f t="shared" si="872"/>
        <v>AE0642</v>
      </c>
    </row>
    <row r="875">
      <c r="A875" s="14">
        <v>873.0</v>
      </c>
      <c r="B875" t="str">
        <f t="shared" ref="B875:K875" si="873">DEC2HEX(HEX2DEC(B874)+1)</f>
        <v>AE0649</v>
      </c>
      <c r="C875" t="str">
        <f t="shared" si="873"/>
        <v>AE064B</v>
      </c>
      <c r="D875" t="str">
        <f t="shared" si="873"/>
        <v>AE064D</v>
      </c>
      <c r="E875" t="str">
        <f t="shared" si="873"/>
        <v>AE064F</v>
      </c>
      <c r="F875" t="str">
        <f t="shared" si="873"/>
        <v>AE0651</v>
      </c>
      <c r="G875" t="str">
        <f t="shared" si="873"/>
        <v>AE0663</v>
      </c>
      <c r="H875" t="str">
        <f t="shared" si="873"/>
        <v>AE0665</v>
      </c>
      <c r="I875" t="str">
        <f t="shared" si="873"/>
        <v>AE0667</v>
      </c>
      <c r="J875" t="str">
        <f t="shared" si="873"/>
        <v>AE0669</v>
      </c>
      <c r="K875" t="str">
        <f t="shared" si="873"/>
        <v>AE0643</v>
      </c>
    </row>
    <row r="876">
      <c r="A876" s="14">
        <v>874.0</v>
      </c>
      <c r="B876" t="str">
        <f t="shared" ref="B876:K876" si="874">DEC2HEX(HEX2DEC(B875)+1)</f>
        <v>AE064A</v>
      </c>
      <c r="C876" t="str">
        <f t="shared" si="874"/>
        <v>AE064C</v>
      </c>
      <c r="D876" t="str">
        <f t="shared" si="874"/>
        <v>AE064E</v>
      </c>
      <c r="E876" t="str">
        <f t="shared" si="874"/>
        <v>AE0650</v>
      </c>
      <c r="F876" t="str">
        <f t="shared" si="874"/>
        <v>AE0652</v>
      </c>
      <c r="G876" t="str">
        <f t="shared" si="874"/>
        <v>AE0664</v>
      </c>
      <c r="H876" t="str">
        <f t="shared" si="874"/>
        <v>AE0666</v>
      </c>
      <c r="I876" t="str">
        <f t="shared" si="874"/>
        <v>AE0668</v>
      </c>
      <c r="J876" t="str">
        <f t="shared" si="874"/>
        <v>AE066A</v>
      </c>
      <c r="K876" t="str">
        <f t="shared" si="874"/>
        <v>AE0644</v>
      </c>
    </row>
    <row r="877">
      <c r="A877" s="14">
        <v>875.0</v>
      </c>
      <c r="B877" t="str">
        <f t="shared" ref="B877:K877" si="875">DEC2HEX(HEX2DEC(B876)+1)</f>
        <v>AE064B</v>
      </c>
      <c r="C877" t="str">
        <f t="shared" si="875"/>
        <v>AE064D</v>
      </c>
      <c r="D877" t="str">
        <f t="shared" si="875"/>
        <v>AE064F</v>
      </c>
      <c r="E877" t="str">
        <f t="shared" si="875"/>
        <v>AE0651</v>
      </c>
      <c r="F877" t="str">
        <f t="shared" si="875"/>
        <v>AE0653</v>
      </c>
      <c r="G877" t="str">
        <f t="shared" si="875"/>
        <v>AE0665</v>
      </c>
      <c r="H877" t="str">
        <f t="shared" si="875"/>
        <v>AE0667</v>
      </c>
      <c r="I877" t="str">
        <f t="shared" si="875"/>
        <v>AE0669</v>
      </c>
      <c r="J877" t="str">
        <f t="shared" si="875"/>
        <v>AE066B</v>
      </c>
      <c r="K877" t="str">
        <f t="shared" si="875"/>
        <v>AE0645</v>
      </c>
    </row>
    <row r="878">
      <c r="A878" s="14">
        <v>876.0</v>
      </c>
      <c r="B878" t="str">
        <f t="shared" ref="B878:K878" si="876">DEC2HEX(HEX2DEC(B877)+1)</f>
        <v>AE064C</v>
      </c>
      <c r="C878" t="str">
        <f t="shared" si="876"/>
        <v>AE064E</v>
      </c>
      <c r="D878" t="str">
        <f t="shared" si="876"/>
        <v>AE0650</v>
      </c>
      <c r="E878" t="str">
        <f t="shared" si="876"/>
        <v>AE0652</v>
      </c>
      <c r="F878" t="str">
        <f t="shared" si="876"/>
        <v>AE0654</v>
      </c>
      <c r="G878" t="str">
        <f t="shared" si="876"/>
        <v>AE0666</v>
      </c>
      <c r="H878" t="str">
        <f t="shared" si="876"/>
        <v>AE0668</v>
      </c>
      <c r="I878" t="str">
        <f t="shared" si="876"/>
        <v>AE066A</v>
      </c>
      <c r="J878" t="str">
        <f t="shared" si="876"/>
        <v>AE066C</v>
      </c>
      <c r="K878" t="str">
        <f t="shared" si="876"/>
        <v>AE0646</v>
      </c>
    </row>
    <row r="879">
      <c r="A879" s="14">
        <v>877.0</v>
      </c>
      <c r="B879" t="str">
        <f t="shared" ref="B879:K879" si="877">DEC2HEX(HEX2DEC(B878)+1)</f>
        <v>AE064D</v>
      </c>
      <c r="C879" t="str">
        <f t="shared" si="877"/>
        <v>AE064F</v>
      </c>
      <c r="D879" t="str">
        <f t="shared" si="877"/>
        <v>AE0651</v>
      </c>
      <c r="E879" t="str">
        <f t="shared" si="877"/>
        <v>AE0653</v>
      </c>
      <c r="F879" t="str">
        <f t="shared" si="877"/>
        <v>AE0655</v>
      </c>
      <c r="G879" t="str">
        <f t="shared" si="877"/>
        <v>AE0667</v>
      </c>
      <c r="H879" t="str">
        <f t="shared" si="877"/>
        <v>AE0669</v>
      </c>
      <c r="I879" t="str">
        <f t="shared" si="877"/>
        <v>AE066B</v>
      </c>
      <c r="J879" t="str">
        <f t="shared" si="877"/>
        <v>AE066D</v>
      </c>
      <c r="K879" t="str">
        <f t="shared" si="877"/>
        <v>AE0647</v>
      </c>
    </row>
    <row r="880">
      <c r="A880" s="14">
        <v>878.0</v>
      </c>
      <c r="B880" t="str">
        <f t="shared" ref="B880:K880" si="878">DEC2HEX(HEX2DEC(B879)+1)</f>
        <v>AE064E</v>
      </c>
      <c r="C880" t="str">
        <f t="shared" si="878"/>
        <v>AE0650</v>
      </c>
      <c r="D880" t="str">
        <f t="shared" si="878"/>
        <v>AE0652</v>
      </c>
      <c r="E880" t="str">
        <f t="shared" si="878"/>
        <v>AE0654</v>
      </c>
      <c r="F880" t="str">
        <f t="shared" si="878"/>
        <v>AE0656</v>
      </c>
      <c r="G880" t="str">
        <f t="shared" si="878"/>
        <v>AE0668</v>
      </c>
      <c r="H880" t="str">
        <f t="shared" si="878"/>
        <v>AE066A</v>
      </c>
      <c r="I880" t="str">
        <f t="shared" si="878"/>
        <v>AE066C</v>
      </c>
      <c r="J880" t="str">
        <f t="shared" si="878"/>
        <v>AE066E</v>
      </c>
      <c r="K880" t="str">
        <f t="shared" si="878"/>
        <v>AE0648</v>
      </c>
    </row>
    <row r="881">
      <c r="A881" s="14">
        <v>879.0</v>
      </c>
      <c r="B881" t="str">
        <f t="shared" ref="B881:K881" si="879">DEC2HEX(HEX2DEC(B880)+1)</f>
        <v>AE064F</v>
      </c>
      <c r="C881" t="str">
        <f t="shared" si="879"/>
        <v>AE0651</v>
      </c>
      <c r="D881" t="str">
        <f t="shared" si="879"/>
        <v>AE0653</v>
      </c>
      <c r="E881" t="str">
        <f t="shared" si="879"/>
        <v>AE0655</v>
      </c>
      <c r="F881" t="str">
        <f t="shared" si="879"/>
        <v>AE0657</v>
      </c>
      <c r="G881" t="str">
        <f t="shared" si="879"/>
        <v>AE0669</v>
      </c>
      <c r="H881" t="str">
        <f t="shared" si="879"/>
        <v>AE066B</v>
      </c>
      <c r="I881" t="str">
        <f t="shared" si="879"/>
        <v>AE066D</v>
      </c>
      <c r="J881" t="str">
        <f t="shared" si="879"/>
        <v>AE066F</v>
      </c>
      <c r="K881" t="str">
        <f t="shared" si="879"/>
        <v>AE0649</v>
      </c>
    </row>
    <row r="882">
      <c r="A882" s="14">
        <v>880.0</v>
      </c>
      <c r="B882" t="str">
        <f t="shared" ref="B882:K882" si="880">DEC2HEX(HEX2DEC(B881)+1)</f>
        <v>AE0650</v>
      </c>
      <c r="C882" t="str">
        <f t="shared" si="880"/>
        <v>AE0652</v>
      </c>
      <c r="D882" t="str">
        <f t="shared" si="880"/>
        <v>AE0654</v>
      </c>
      <c r="E882" t="str">
        <f t="shared" si="880"/>
        <v>AE0656</v>
      </c>
      <c r="F882" t="str">
        <f t="shared" si="880"/>
        <v>AE0658</v>
      </c>
      <c r="G882" t="str">
        <f t="shared" si="880"/>
        <v>AE066A</v>
      </c>
      <c r="H882" t="str">
        <f t="shared" si="880"/>
        <v>AE066C</v>
      </c>
      <c r="I882" t="str">
        <f t="shared" si="880"/>
        <v>AE066E</v>
      </c>
      <c r="J882" t="str">
        <f t="shared" si="880"/>
        <v>AE0670</v>
      </c>
      <c r="K882" t="str">
        <f t="shared" si="880"/>
        <v>AE064A</v>
      </c>
    </row>
    <row r="883">
      <c r="A883" s="14">
        <v>881.0</v>
      </c>
      <c r="B883" t="str">
        <f t="shared" ref="B883:K883" si="881">DEC2HEX(HEX2DEC(B882)+1)</f>
        <v>AE0651</v>
      </c>
      <c r="C883" t="str">
        <f t="shared" si="881"/>
        <v>AE0653</v>
      </c>
      <c r="D883" t="str">
        <f t="shared" si="881"/>
        <v>AE0655</v>
      </c>
      <c r="E883" t="str">
        <f t="shared" si="881"/>
        <v>AE0657</v>
      </c>
      <c r="F883" t="str">
        <f t="shared" si="881"/>
        <v>AE0659</v>
      </c>
      <c r="G883" t="str">
        <f t="shared" si="881"/>
        <v>AE066B</v>
      </c>
      <c r="H883" t="str">
        <f t="shared" si="881"/>
        <v>AE066D</v>
      </c>
      <c r="I883" t="str">
        <f t="shared" si="881"/>
        <v>AE066F</v>
      </c>
      <c r="J883" t="str">
        <f t="shared" si="881"/>
        <v>AE0671</v>
      </c>
      <c r="K883" t="str">
        <f t="shared" si="881"/>
        <v>AE064B</v>
      </c>
    </row>
    <row r="884">
      <c r="A884" s="14">
        <v>882.0</v>
      </c>
      <c r="B884" t="str">
        <f t="shared" ref="B884:K884" si="882">DEC2HEX(HEX2DEC(B883)+1)</f>
        <v>AE0652</v>
      </c>
      <c r="C884" t="str">
        <f t="shared" si="882"/>
        <v>AE0654</v>
      </c>
      <c r="D884" t="str">
        <f t="shared" si="882"/>
        <v>AE0656</v>
      </c>
      <c r="E884" t="str">
        <f t="shared" si="882"/>
        <v>AE0658</v>
      </c>
      <c r="F884" t="str">
        <f t="shared" si="882"/>
        <v>AE065A</v>
      </c>
      <c r="G884" t="str">
        <f t="shared" si="882"/>
        <v>AE066C</v>
      </c>
      <c r="H884" t="str">
        <f t="shared" si="882"/>
        <v>AE066E</v>
      </c>
      <c r="I884" t="str">
        <f t="shared" si="882"/>
        <v>AE0670</v>
      </c>
      <c r="J884" t="str">
        <f t="shared" si="882"/>
        <v>AE0672</v>
      </c>
      <c r="K884" t="str">
        <f t="shared" si="882"/>
        <v>AE064C</v>
      </c>
    </row>
    <row r="885">
      <c r="A885" s="14">
        <v>883.0</v>
      </c>
      <c r="B885" t="str">
        <f t="shared" ref="B885:K885" si="883">DEC2HEX(HEX2DEC(B884)+1)</f>
        <v>AE0653</v>
      </c>
      <c r="C885" t="str">
        <f t="shared" si="883"/>
        <v>AE0655</v>
      </c>
      <c r="D885" t="str">
        <f t="shared" si="883"/>
        <v>AE0657</v>
      </c>
      <c r="E885" t="str">
        <f t="shared" si="883"/>
        <v>AE0659</v>
      </c>
      <c r="F885" t="str">
        <f t="shared" si="883"/>
        <v>AE065B</v>
      </c>
      <c r="G885" t="str">
        <f t="shared" si="883"/>
        <v>AE066D</v>
      </c>
      <c r="H885" t="str">
        <f t="shared" si="883"/>
        <v>AE066F</v>
      </c>
      <c r="I885" t="str">
        <f t="shared" si="883"/>
        <v>AE0671</v>
      </c>
      <c r="J885" t="str">
        <f t="shared" si="883"/>
        <v>AE0673</v>
      </c>
      <c r="K885" t="str">
        <f t="shared" si="883"/>
        <v>AE064D</v>
      </c>
    </row>
    <row r="886">
      <c r="A886" s="14">
        <v>884.0</v>
      </c>
      <c r="B886" t="str">
        <f t="shared" ref="B886:K886" si="884">DEC2HEX(HEX2DEC(B885)+1)</f>
        <v>AE0654</v>
      </c>
      <c r="C886" t="str">
        <f t="shared" si="884"/>
        <v>AE0656</v>
      </c>
      <c r="D886" t="str">
        <f t="shared" si="884"/>
        <v>AE0658</v>
      </c>
      <c r="E886" t="str">
        <f t="shared" si="884"/>
        <v>AE065A</v>
      </c>
      <c r="F886" t="str">
        <f t="shared" si="884"/>
        <v>AE065C</v>
      </c>
      <c r="G886" t="str">
        <f t="shared" si="884"/>
        <v>AE066E</v>
      </c>
      <c r="H886" t="str">
        <f t="shared" si="884"/>
        <v>AE0670</v>
      </c>
      <c r="I886" t="str">
        <f t="shared" si="884"/>
        <v>AE0672</v>
      </c>
      <c r="J886" t="str">
        <f t="shared" si="884"/>
        <v>AE0674</v>
      </c>
      <c r="K886" t="str">
        <f t="shared" si="884"/>
        <v>AE064E</v>
      </c>
    </row>
    <row r="887">
      <c r="A887" s="14">
        <v>885.0</v>
      </c>
      <c r="B887" t="str">
        <f t="shared" ref="B887:K887" si="885">DEC2HEX(HEX2DEC(B886)+1)</f>
        <v>AE0655</v>
      </c>
      <c r="C887" t="str">
        <f t="shared" si="885"/>
        <v>AE0657</v>
      </c>
      <c r="D887" t="str">
        <f t="shared" si="885"/>
        <v>AE0659</v>
      </c>
      <c r="E887" t="str">
        <f t="shared" si="885"/>
        <v>AE065B</v>
      </c>
      <c r="F887" t="str">
        <f t="shared" si="885"/>
        <v>AE065D</v>
      </c>
      <c r="G887" t="str">
        <f t="shared" si="885"/>
        <v>AE066F</v>
      </c>
      <c r="H887" t="str">
        <f t="shared" si="885"/>
        <v>AE0671</v>
      </c>
      <c r="I887" t="str">
        <f t="shared" si="885"/>
        <v>AE0673</v>
      </c>
      <c r="J887" t="str">
        <f t="shared" si="885"/>
        <v>AE0675</v>
      </c>
      <c r="K887" t="str">
        <f t="shared" si="885"/>
        <v>AE064F</v>
      </c>
    </row>
    <row r="888">
      <c r="A888" s="14">
        <v>886.0</v>
      </c>
      <c r="B888" t="str">
        <f t="shared" ref="B888:K888" si="886">DEC2HEX(HEX2DEC(B887)+1)</f>
        <v>AE0656</v>
      </c>
      <c r="C888" t="str">
        <f t="shared" si="886"/>
        <v>AE0658</v>
      </c>
      <c r="D888" t="str">
        <f t="shared" si="886"/>
        <v>AE065A</v>
      </c>
      <c r="E888" t="str">
        <f t="shared" si="886"/>
        <v>AE065C</v>
      </c>
      <c r="F888" t="str">
        <f t="shared" si="886"/>
        <v>AE065E</v>
      </c>
      <c r="G888" t="str">
        <f t="shared" si="886"/>
        <v>AE0670</v>
      </c>
      <c r="H888" t="str">
        <f t="shared" si="886"/>
        <v>AE0672</v>
      </c>
      <c r="I888" t="str">
        <f t="shared" si="886"/>
        <v>AE0674</v>
      </c>
      <c r="J888" t="str">
        <f t="shared" si="886"/>
        <v>AE0676</v>
      </c>
      <c r="K888" t="str">
        <f t="shared" si="886"/>
        <v>AE0650</v>
      </c>
    </row>
    <row r="889">
      <c r="A889" s="14">
        <v>887.0</v>
      </c>
      <c r="B889" t="str">
        <f t="shared" ref="B889:K889" si="887">DEC2HEX(HEX2DEC(B888)+1)</f>
        <v>AE0657</v>
      </c>
      <c r="C889" t="str">
        <f t="shared" si="887"/>
        <v>AE0659</v>
      </c>
      <c r="D889" t="str">
        <f t="shared" si="887"/>
        <v>AE065B</v>
      </c>
      <c r="E889" t="str">
        <f t="shared" si="887"/>
        <v>AE065D</v>
      </c>
      <c r="F889" t="str">
        <f t="shared" si="887"/>
        <v>AE065F</v>
      </c>
      <c r="G889" t="str">
        <f t="shared" si="887"/>
        <v>AE0671</v>
      </c>
      <c r="H889" t="str">
        <f t="shared" si="887"/>
        <v>AE0673</v>
      </c>
      <c r="I889" t="str">
        <f t="shared" si="887"/>
        <v>AE0675</v>
      </c>
      <c r="J889" t="str">
        <f t="shared" si="887"/>
        <v>AE0677</v>
      </c>
      <c r="K889" t="str">
        <f t="shared" si="887"/>
        <v>AE0651</v>
      </c>
    </row>
    <row r="890">
      <c r="A890" s="14">
        <v>888.0</v>
      </c>
      <c r="B890" t="str">
        <f t="shared" ref="B890:K890" si="888">DEC2HEX(HEX2DEC(B889)+1)</f>
        <v>AE0658</v>
      </c>
      <c r="C890" t="str">
        <f t="shared" si="888"/>
        <v>AE065A</v>
      </c>
      <c r="D890" t="str">
        <f t="shared" si="888"/>
        <v>AE065C</v>
      </c>
      <c r="E890" t="str">
        <f t="shared" si="888"/>
        <v>AE065E</v>
      </c>
      <c r="F890" t="str">
        <f t="shared" si="888"/>
        <v>AE0660</v>
      </c>
      <c r="G890" t="str">
        <f t="shared" si="888"/>
        <v>AE0672</v>
      </c>
      <c r="H890" t="str">
        <f t="shared" si="888"/>
        <v>AE0674</v>
      </c>
      <c r="I890" t="str">
        <f t="shared" si="888"/>
        <v>AE0676</v>
      </c>
      <c r="J890" t="str">
        <f t="shared" si="888"/>
        <v>AE0678</v>
      </c>
      <c r="K890" t="str">
        <f t="shared" si="888"/>
        <v>AE0652</v>
      </c>
    </row>
    <row r="891">
      <c r="A891" s="14">
        <v>889.0</v>
      </c>
      <c r="B891" t="str">
        <f t="shared" ref="B891:K891" si="889">DEC2HEX(HEX2DEC(B890)+1)</f>
        <v>AE0659</v>
      </c>
      <c r="C891" t="str">
        <f t="shared" si="889"/>
        <v>AE065B</v>
      </c>
      <c r="D891" t="str">
        <f t="shared" si="889"/>
        <v>AE065D</v>
      </c>
      <c r="E891" t="str">
        <f t="shared" si="889"/>
        <v>AE065F</v>
      </c>
      <c r="F891" t="str">
        <f t="shared" si="889"/>
        <v>AE0661</v>
      </c>
      <c r="G891" t="str">
        <f t="shared" si="889"/>
        <v>AE0673</v>
      </c>
      <c r="H891" t="str">
        <f t="shared" si="889"/>
        <v>AE0675</v>
      </c>
      <c r="I891" t="str">
        <f t="shared" si="889"/>
        <v>AE0677</v>
      </c>
      <c r="J891" t="str">
        <f t="shared" si="889"/>
        <v>AE0679</v>
      </c>
      <c r="K891" t="str">
        <f t="shared" si="889"/>
        <v>AE0653</v>
      </c>
    </row>
    <row r="892">
      <c r="A892" s="14">
        <v>890.0</v>
      </c>
      <c r="B892" t="str">
        <f t="shared" ref="B892:K892" si="890">DEC2HEX(HEX2DEC(B891)+1)</f>
        <v>AE065A</v>
      </c>
      <c r="C892" t="str">
        <f t="shared" si="890"/>
        <v>AE065C</v>
      </c>
      <c r="D892" t="str">
        <f t="shared" si="890"/>
        <v>AE065E</v>
      </c>
      <c r="E892" t="str">
        <f t="shared" si="890"/>
        <v>AE0660</v>
      </c>
      <c r="F892" t="str">
        <f t="shared" si="890"/>
        <v>AE0662</v>
      </c>
      <c r="G892" t="str">
        <f t="shared" si="890"/>
        <v>AE0674</v>
      </c>
      <c r="H892" t="str">
        <f t="shared" si="890"/>
        <v>AE0676</v>
      </c>
      <c r="I892" t="str">
        <f t="shared" si="890"/>
        <v>AE0678</v>
      </c>
      <c r="J892" t="str">
        <f t="shared" si="890"/>
        <v>AE067A</v>
      </c>
      <c r="K892" t="str">
        <f t="shared" si="890"/>
        <v>AE0654</v>
      </c>
    </row>
    <row r="893">
      <c r="A893" s="14">
        <v>891.0</v>
      </c>
      <c r="B893" t="str">
        <f t="shared" ref="B893:K893" si="891">DEC2HEX(HEX2DEC(B892)+1)</f>
        <v>AE065B</v>
      </c>
      <c r="C893" t="str">
        <f t="shared" si="891"/>
        <v>AE065D</v>
      </c>
      <c r="D893" t="str">
        <f t="shared" si="891"/>
        <v>AE065F</v>
      </c>
      <c r="E893" t="str">
        <f t="shared" si="891"/>
        <v>AE0661</v>
      </c>
      <c r="F893" t="str">
        <f t="shared" si="891"/>
        <v>AE0663</v>
      </c>
      <c r="G893" t="str">
        <f t="shared" si="891"/>
        <v>AE0675</v>
      </c>
      <c r="H893" t="str">
        <f t="shared" si="891"/>
        <v>AE0677</v>
      </c>
      <c r="I893" t="str">
        <f t="shared" si="891"/>
        <v>AE0679</v>
      </c>
      <c r="J893" t="str">
        <f t="shared" si="891"/>
        <v>AE067B</v>
      </c>
      <c r="K893" t="str">
        <f t="shared" si="891"/>
        <v>AE0655</v>
      </c>
    </row>
    <row r="894">
      <c r="A894" s="14">
        <v>892.0</v>
      </c>
      <c r="B894" t="str">
        <f t="shared" ref="B894:K894" si="892">DEC2HEX(HEX2DEC(B893)+1)</f>
        <v>AE065C</v>
      </c>
      <c r="C894" t="str">
        <f t="shared" si="892"/>
        <v>AE065E</v>
      </c>
      <c r="D894" t="str">
        <f t="shared" si="892"/>
        <v>AE0660</v>
      </c>
      <c r="E894" t="str">
        <f t="shared" si="892"/>
        <v>AE0662</v>
      </c>
      <c r="F894" t="str">
        <f t="shared" si="892"/>
        <v>AE0664</v>
      </c>
      <c r="G894" t="str">
        <f t="shared" si="892"/>
        <v>AE0676</v>
      </c>
      <c r="H894" t="str">
        <f t="shared" si="892"/>
        <v>AE0678</v>
      </c>
      <c r="I894" t="str">
        <f t="shared" si="892"/>
        <v>AE067A</v>
      </c>
      <c r="J894" t="str">
        <f t="shared" si="892"/>
        <v>AE067C</v>
      </c>
      <c r="K894" t="str">
        <f t="shared" si="892"/>
        <v>AE0656</v>
      </c>
    </row>
    <row r="895">
      <c r="A895" s="14">
        <v>893.0</v>
      </c>
      <c r="B895" t="str">
        <f t="shared" ref="B895:K895" si="893">DEC2HEX(HEX2DEC(B894)+1)</f>
        <v>AE065D</v>
      </c>
      <c r="C895" t="str">
        <f t="shared" si="893"/>
        <v>AE065F</v>
      </c>
      <c r="D895" t="str">
        <f t="shared" si="893"/>
        <v>AE0661</v>
      </c>
      <c r="E895" t="str">
        <f t="shared" si="893"/>
        <v>AE0663</v>
      </c>
      <c r="F895" t="str">
        <f t="shared" si="893"/>
        <v>AE0665</v>
      </c>
      <c r="G895" t="str">
        <f t="shared" si="893"/>
        <v>AE0677</v>
      </c>
      <c r="H895" t="str">
        <f t="shared" si="893"/>
        <v>AE0679</v>
      </c>
      <c r="I895" t="str">
        <f t="shared" si="893"/>
        <v>AE067B</v>
      </c>
      <c r="J895" t="str">
        <f t="shared" si="893"/>
        <v>AE067D</v>
      </c>
      <c r="K895" t="str">
        <f t="shared" si="893"/>
        <v>AE0657</v>
      </c>
    </row>
    <row r="896">
      <c r="A896" s="14">
        <v>894.0</v>
      </c>
      <c r="B896" t="str">
        <f t="shared" ref="B896:K896" si="894">DEC2HEX(HEX2DEC(B895)+1)</f>
        <v>AE065E</v>
      </c>
      <c r="C896" t="str">
        <f t="shared" si="894"/>
        <v>AE0660</v>
      </c>
      <c r="D896" t="str">
        <f t="shared" si="894"/>
        <v>AE0662</v>
      </c>
      <c r="E896" t="str">
        <f t="shared" si="894"/>
        <v>AE0664</v>
      </c>
      <c r="F896" t="str">
        <f t="shared" si="894"/>
        <v>AE0666</v>
      </c>
      <c r="G896" t="str">
        <f t="shared" si="894"/>
        <v>AE0678</v>
      </c>
      <c r="H896" t="str">
        <f t="shared" si="894"/>
        <v>AE067A</v>
      </c>
      <c r="I896" t="str">
        <f t="shared" si="894"/>
        <v>AE067C</v>
      </c>
      <c r="J896" t="str">
        <f t="shared" si="894"/>
        <v>AE067E</v>
      </c>
      <c r="K896" t="str">
        <f t="shared" si="894"/>
        <v>AE0658</v>
      </c>
    </row>
    <row r="897">
      <c r="A897" s="14">
        <v>895.0</v>
      </c>
      <c r="B897" t="str">
        <f t="shared" ref="B897:K897" si="895">DEC2HEX(HEX2DEC(B896)+1)</f>
        <v>AE065F</v>
      </c>
      <c r="C897" t="str">
        <f t="shared" si="895"/>
        <v>AE0661</v>
      </c>
      <c r="D897" t="str">
        <f t="shared" si="895"/>
        <v>AE0663</v>
      </c>
      <c r="E897" t="str">
        <f t="shared" si="895"/>
        <v>AE0665</v>
      </c>
      <c r="F897" t="str">
        <f t="shared" si="895"/>
        <v>AE0667</v>
      </c>
      <c r="G897" t="str">
        <f t="shared" si="895"/>
        <v>AE0679</v>
      </c>
      <c r="H897" t="str">
        <f t="shared" si="895"/>
        <v>AE067B</v>
      </c>
      <c r="I897" t="str">
        <f t="shared" si="895"/>
        <v>AE067D</v>
      </c>
      <c r="J897" t="str">
        <f t="shared" si="895"/>
        <v>AE067F</v>
      </c>
      <c r="K897" t="str">
        <f t="shared" si="895"/>
        <v>AE0659</v>
      </c>
    </row>
    <row r="898">
      <c r="A898" s="14">
        <v>896.0</v>
      </c>
      <c r="B898" t="str">
        <f t="shared" ref="B898:K898" si="896">DEC2HEX(HEX2DEC(B897)+1)</f>
        <v>AE0660</v>
      </c>
      <c r="C898" t="str">
        <f t="shared" si="896"/>
        <v>AE0662</v>
      </c>
      <c r="D898" t="str">
        <f t="shared" si="896"/>
        <v>AE0664</v>
      </c>
      <c r="E898" t="str">
        <f t="shared" si="896"/>
        <v>AE0666</v>
      </c>
      <c r="F898" t="str">
        <f t="shared" si="896"/>
        <v>AE0668</v>
      </c>
      <c r="G898" t="str">
        <f t="shared" si="896"/>
        <v>AE067A</v>
      </c>
      <c r="H898" t="str">
        <f t="shared" si="896"/>
        <v>AE067C</v>
      </c>
      <c r="I898" t="str">
        <f t="shared" si="896"/>
        <v>AE067E</v>
      </c>
      <c r="J898" t="str">
        <f t="shared" si="896"/>
        <v>AE0680</v>
      </c>
      <c r="K898" t="str">
        <f t="shared" si="896"/>
        <v>AE065A</v>
      </c>
    </row>
    <row r="899">
      <c r="A899" s="14">
        <v>897.0</v>
      </c>
      <c r="B899" t="str">
        <f t="shared" ref="B899:K899" si="897">DEC2HEX(HEX2DEC(B898)+1)</f>
        <v>AE0661</v>
      </c>
      <c r="C899" t="str">
        <f t="shared" si="897"/>
        <v>AE0663</v>
      </c>
      <c r="D899" t="str">
        <f t="shared" si="897"/>
        <v>AE0665</v>
      </c>
      <c r="E899" t="str">
        <f t="shared" si="897"/>
        <v>AE0667</v>
      </c>
      <c r="F899" t="str">
        <f t="shared" si="897"/>
        <v>AE0669</v>
      </c>
      <c r="G899" t="str">
        <f t="shared" si="897"/>
        <v>AE067B</v>
      </c>
      <c r="H899" t="str">
        <f t="shared" si="897"/>
        <v>AE067D</v>
      </c>
      <c r="I899" t="str">
        <f t="shared" si="897"/>
        <v>AE067F</v>
      </c>
      <c r="J899" t="str">
        <f t="shared" si="897"/>
        <v>AE0681</v>
      </c>
      <c r="K899" t="str">
        <f t="shared" si="897"/>
        <v>AE065B</v>
      </c>
    </row>
    <row r="900">
      <c r="A900" s="14">
        <v>898.0</v>
      </c>
      <c r="B900" t="str">
        <f t="shared" ref="B900:K900" si="898">DEC2HEX(HEX2DEC(B899)+1)</f>
        <v>AE0662</v>
      </c>
      <c r="C900" t="str">
        <f t="shared" si="898"/>
        <v>AE0664</v>
      </c>
      <c r="D900" t="str">
        <f t="shared" si="898"/>
        <v>AE0666</v>
      </c>
      <c r="E900" t="str">
        <f t="shared" si="898"/>
        <v>AE0668</v>
      </c>
      <c r="F900" t="str">
        <f t="shared" si="898"/>
        <v>AE066A</v>
      </c>
      <c r="G900" t="str">
        <f t="shared" si="898"/>
        <v>AE067C</v>
      </c>
      <c r="H900" t="str">
        <f t="shared" si="898"/>
        <v>AE067E</v>
      </c>
      <c r="I900" t="str">
        <f t="shared" si="898"/>
        <v>AE0680</v>
      </c>
      <c r="J900" t="str">
        <f t="shared" si="898"/>
        <v>AE0682</v>
      </c>
      <c r="K900" t="str">
        <f t="shared" si="898"/>
        <v>AE065C</v>
      </c>
    </row>
    <row r="901">
      <c r="A901" s="14">
        <v>899.0</v>
      </c>
      <c r="B901" t="str">
        <f t="shared" ref="B901:K901" si="899">DEC2HEX(HEX2DEC(B900)+1)</f>
        <v>AE0663</v>
      </c>
      <c r="C901" t="str">
        <f t="shared" si="899"/>
        <v>AE0665</v>
      </c>
      <c r="D901" t="str">
        <f t="shared" si="899"/>
        <v>AE0667</v>
      </c>
      <c r="E901" t="str">
        <f t="shared" si="899"/>
        <v>AE0669</v>
      </c>
      <c r="F901" t="str">
        <f t="shared" si="899"/>
        <v>AE066B</v>
      </c>
      <c r="G901" t="str">
        <f t="shared" si="899"/>
        <v>AE067D</v>
      </c>
      <c r="H901" t="str">
        <f t="shared" si="899"/>
        <v>AE067F</v>
      </c>
      <c r="I901" t="str">
        <f t="shared" si="899"/>
        <v>AE0681</v>
      </c>
      <c r="J901" t="str">
        <f t="shared" si="899"/>
        <v>AE0683</v>
      </c>
      <c r="K901" t="str">
        <f t="shared" si="899"/>
        <v>AE065D</v>
      </c>
    </row>
    <row r="902">
      <c r="A902" s="14">
        <v>900.0</v>
      </c>
      <c r="B902" t="str">
        <f t="shared" ref="B902:K902" si="900">DEC2HEX(HEX2DEC(B901)+1)</f>
        <v>AE0664</v>
      </c>
      <c r="C902" t="str">
        <f t="shared" si="900"/>
        <v>AE0666</v>
      </c>
      <c r="D902" t="str">
        <f t="shared" si="900"/>
        <v>AE0668</v>
      </c>
      <c r="E902" t="str">
        <f t="shared" si="900"/>
        <v>AE066A</v>
      </c>
      <c r="F902" t="str">
        <f t="shared" si="900"/>
        <v>AE066C</v>
      </c>
      <c r="G902" t="str">
        <f t="shared" si="900"/>
        <v>AE067E</v>
      </c>
      <c r="H902" t="str">
        <f t="shared" si="900"/>
        <v>AE0680</v>
      </c>
      <c r="I902" t="str">
        <f t="shared" si="900"/>
        <v>AE0682</v>
      </c>
      <c r="J902" t="str">
        <f t="shared" si="900"/>
        <v>AE0684</v>
      </c>
      <c r="K902" t="str">
        <f t="shared" si="900"/>
        <v>AE065E</v>
      </c>
    </row>
    <row r="903">
      <c r="A903" s="14">
        <v>901.0</v>
      </c>
      <c r="B903" t="str">
        <f t="shared" ref="B903:K903" si="901">DEC2HEX(HEX2DEC(B902)+1)</f>
        <v>AE0665</v>
      </c>
      <c r="C903" t="str">
        <f t="shared" si="901"/>
        <v>AE0667</v>
      </c>
      <c r="D903" t="str">
        <f t="shared" si="901"/>
        <v>AE0669</v>
      </c>
      <c r="E903" t="str">
        <f t="shared" si="901"/>
        <v>AE066B</v>
      </c>
      <c r="F903" t="str">
        <f t="shared" si="901"/>
        <v>AE066D</v>
      </c>
      <c r="G903" t="str">
        <f t="shared" si="901"/>
        <v>AE067F</v>
      </c>
      <c r="H903" t="str">
        <f t="shared" si="901"/>
        <v>AE0681</v>
      </c>
      <c r="I903" t="str">
        <f t="shared" si="901"/>
        <v>AE0683</v>
      </c>
      <c r="J903" t="str">
        <f t="shared" si="901"/>
        <v>AE0685</v>
      </c>
      <c r="K903" t="str">
        <f t="shared" si="901"/>
        <v>AE065F</v>
      </c>
    </row>
    <row r="904">
      <c r="A904" s="14">
        <v>902.0</v>
      </c>
      <c r="B904" t="str">
        <f t="shared" ref="B904:K904" si="902">DEC2HEX(HEX2DEC(B903)+1)</f>
        <v>AE0666</v>
      </c>
      <c r="C904" t="str">
        <f t="shared" si="902"/>
        <v>AE0668</v>
      </c>
      <c r="D904" t="str">
        <f t="shared" si="902"/>
        <v>AE066A</v>
      </c>
      <c r="E904" t="str">
        <f t="shared" si="902"/>
        <v>AE066C</v>
      </c>
      <c r="F904" t="str">
        <f t="shared" si="902"/>
        <v>AE066E</v>
      </c>
      <c r="G904" t="str">
        <f t="shared" si="902"/>
        <v>AE0680</v>
      </c>
      <c r="H904" t="str">
        <f t="shared" si="902"/>
        <v>AE0682</v>
      </c>
      <c r="I904" t="str">
        <f t="shared" si="902"/>
        <v>AE0684</v>
      </c>
      <c r="J904" t="str">
        <f t="shared" si="902"/>
        <v>AE0686</v>
      </c>
      <c r="K904" t="str">
        <f t="shared" si="902"/>
        <v>AE0660</v>
      </c>
    </row>
    <row r="905">
      <c r="A905" s="14">
        <v>903.0</v>
      </c>
      <c r="B905" t="str">
        <f t="shared" ref="B905:K905" si="903">DEC2HEX(HEX2DEC(B904)+1)</f>
        <v>AE0667</v>
      </c>
      <c r="C905" t="str">
        <f t="shared" si="903"/>
        <v>AE0669</v>
      </c>
      <c r="D905" t="str">
        <f t="shared" si="903"/>
        <v>AE066B</v>
      </c>
      <c r="E905" t="str">
        <f t="shared" si="903"/>
        <v>AE066D</v>
      </c>
      <c r="F905" t="str">
        <f t="shared" si="903"/>
        <v>AE066F</v>
      </c>
      <c r="G905" t="str">
        <f t="shared" si="903"/>
        <v>AE0681</v>
      </c>
      <c r="H905" t="str">
        <f t="shared" si="903"/>
        <v>AE0683</v>
      </c>
      <c r="I905" t="str">
        <f t="shared" si="903"/>
        <v>AE0685</v>
      </c>
      <c r="J905" t="str">
        <f t="shared" si="903"/>
        <v>AE0687</v>
      </c>
      <c r="K905" t="str">
        <f t="shared" si="903"/>
        <v>AE0661</v>
      </c>
    </row>
    <row r="906">
      <c r="A906" s="14">
        <v>904.0</v>
      </c>
      <c r="B906" t="str">
        <f t="shared" ref="B906:K906" si="904">DEC2HEX(HEX2DEC(B905)+1)</f>
        <v>AE0668</v>
      </c>
      <c r="C906" t="str">
        <f t="shared" si="904"/>
        <v>AE066A</v>
      </c>
      <c r="D906" t="str">
        <f t="shared" si="904"/>
        <v>AE066C</v>
      </c>
      <c r="E906" t="str">
        <f t="shared" si="904"/>
        <v>AE066E</v>
      </c>
      <c r="F906" t="str">
        <f t="shared" si="904"/>
        <v>AE0670</v>
      </c>
      <c r="G906" t="str">
        <f t="shared" si="904"/>
        <v>AE0682</v>
      </c>
      <c r="H906" t="str">
        <f t="shared" si="904"/>
        <v>AE0684</v>
      </c>
      <c r="I906" t="str">
        <f t="shared" si="904"/>
        <v>AE0686</v>
      </c>
      <c r="J906" t="str">
        <f t="shared" si="904"/>
        <v>AE0688</v>
      </c>
      <c r="K906" t="str">
        <f t="shared" si="904"/>
        <v>AE0662</v>
      </c>
    </row>
    <row r="907">
      <c r="A907" s="14">
        <v>905.0</v>
      </c>
      <c r="B907" t="str">
        <f t="shared" ref="B907:K907" si="905">DEC2HEX(HEX2DEC(B906)+1)</f>
        <v>AE0669</v>
      </c>
      <c r="C907" t="str">
        <f t="shared" si="905"/>
        <v>AE066B</v>
      </c>
      <c r="D907" t="str">
        <f t="shared" si="905"/>
        <v>AE066D</v>
      </c>
      <c r="E907" t="str">
        <f t="shared" si="905"/>
        <v>AE066F</v>
      </c>
      <c r="F907" t="str">
        <f t="shared" si="905"/>
        <v>AE0671</v>
      </c>
      <c r="G907" t="str">
        <f t="shared" si="905"/>
        <v>AE0683</v>
      </c>
      <c r="H907" t="str">
        <f t="shared" si="905"/>
        <v>AE0685</v>
      </c>
      <c r="I907" t="str">
        <f t="shared" si="905"/>
        <v>AE0687</v>
      </c>
      <c r="J907" t="str">
        <f t="shared" si="905"/>
        <v>AE0689</v>
      </c>
      <c r="K907" t="str">
        <f t="shared" si="905"/>
        <v>AE0663</v>
      </c>
    </row>
    <row r="908">
      <c r="A908" s="14">
        <v>906.0</v>
      </c>
      <c r="B908" t="str">
        <f t="shared" ref="B908:K908" si="906">DEC2HEX(HEX2DEC(B907)+1)</f>
        <v>AE066A</v>
      </c>
      <c r="C908" t="str">
        <f t="shared" si="906"/>
        <v>AE066C</v>
      </c>
      <c r="D908" t="str">
        <f t="shared" si="906"/>
        <v>AE066E</v>
      </c>
      <c r="E908" t="str">
        <f t="shared" si="906"/>
        <v>AE0670</v>
      </c>
      <c r="F908" t="str">
        <f t="shared" si="906"/>
        <v>AE0672</v>
      </c>
      <c r="G908" t="str">
        <f t="shared" si="906"/>
        <v>AE0684</v>
      </c>
      <c r="H908" t="str">
        <f t="shared" si="906"/>
        <v>AE0686</v>
      </c>
      <c r="I908" t="str">
        <f t="shared" si="906"/>
        <v>AE0688</v>
      </c>
      <c r="J908" t="str">
        <f t="shared" si="906"/>
        <v>AE068A</v>
      </c>
      <c r="K908" t="str">
        <f t="shared" si="906"/>
        <v>AE0664</v>
      </c>
    </row>
    <row r="909">
      <c r="A909" s="14">
        <v>907.0</v>
      </c>
      <c r="B909" t="str">
        <f t="shared" ref="B909:K909" si="907">DEC2HEX(HEX2DEC(B908)+1)</f>
        <v>AE066B</v>
      </c>
      <c r="C909" t="str">
        <f t="shared" si="907"/>
        <v>AE066D</v>
      </c>
      <c r="D909" t="str">
        <f t="shared" si="907"/>
        <v>AE066F</v>
      </c>
      <c r="E909" t="str">
        <f t="shared" si="907"/>
        <v>AE0671</v>
      </c>
      <c r="F909" t="str">
        <f t="shared" si="907"/>
        <v>AE0673</v>
      </c>
      <c r="G909" t="str">
        <f t="shared" si="907"/>
        <v>AE0685</v>
      </c>
      <c r="H909" t="str">
        <f t="shared" si="907"/>
        <v>AE0687</v>
      </c>
      <c r="I909" t="str">
        <f t="shared" si="907"/>
        <v>AE0689</v>
      </c>
      <c r="J909" t="str">
        <f t="shared" si="907"/>
        <v>AE068B</v>
      </c>
      <c r="K909" t="str">
        <f t="shared" si="907"/>
        <v>AE0665</v>
      </c>
    </row>
    <row r="910">
      <c r="A910" s="14">
        <v>908.0</v>
      </c>
      <c r="B910" t="str">
        <f t="shared" ref="B910:K910" si="908">DEC2HEX(HEX2DEC(B909)+1)</f>
        <v>AE066C</v>
      </c>
      <c r="C910" t="str">
        <f t="shared" si="908"/>
        <v>AE066E</v>
      </c>
      <c r="D910" t="str">
        <f t="shared" si="908"/>
        <v>AE0670</v>
      </c>
      <c r="E910" t="str">
        <f t="shared" si="908"/>
        <v>AE0672</v>
      </c>
      <c r="F910" t="str">
        <f t="shared" si="908"/>
        <v>AE0674</v>
      </c>
      <c r="G910" t="str">
        <f t="shared" si="908"/>
        <v>AE0686</v>
      </c>
      <c r="H910" t="str">
        <f t="shared" si="908"/>
        <v>AE0688</v>
      </c>
      <c r="I910" t="str">
        <f t="shared" si="908"/>
        <v>AE068A</v>
      </c>
      <c r="J910" t="str">
        <f t="shared" si="908"/>
        <v>AE068C</v>
      </c>
      <c r="K910" t="str">
        <f t="shared" si="908"/>
        <v>AE0666</v>
      </c>
    </row>
    <row r="911">
      <c r="A911" s="14">
        <v>909.0</v>
      </c>
      <c r="B911" t="str">
        <f t="shared" ref="B911:K911" si="909">DEC2HEX(HEX2DEC(B910)+1)</f>
        <v>AE066D</v>
      </c>
      <c r="C911" t="str">
        <f t="shared" si="909"/>
        <v>AE066F</v>
      </c>
      <c r="D911" t="str">
        <f t="shared" si="909"/>
        <v>AE0671</v>
      </c>
      <c r="E911" t="str">
        <f t="shared" si="909"/>
        <v>AE0673</v>
      </c>
      <c r="F911" t="str">
        <f t="shared" si="909"/>
        <v>AE0675</v>
      </c>
      <c r="G911" t="str">
        <f t="shared" si="909"/>
        <v>AE0687</v>
      </c>
      <c r="H911" t="str">
        <f t="shared" si="909"/>
        <v>AE0689</v>
      </c>
      <c r="I911" t="str">
        <f t="shared" si="909"/>
        <v>AE068B</v>
      </c>
      <c r="J911" t="str">
        <f t="shared" si="909"/>
        <v>AE068D</v>
      </c>
      <c r="K911" t="str">
        <f t="shared" si="909"/>
        <v>AE0667</v>
      </c>
    </row>
    <row r="912">
      <c r="A912" s="14">
        <v>910.0</v>
      </c>
      <c r="B912" t="str">
        <f t="shared" ref="B912:K912" si="910">DEC2HEX(HEX2DEC(B911)+1)</f>
        <v>AE066E</v>
      </c>
      <c r="C912" t="str">
        <f t="shared" si="910"/>
        <v>AE0670</v>
      </c>
      <c r="D912" t="str">
        <f t="shared" si="910"/>
        <v>AE0672</v>
      </c>
      <c r="E912" t="str">
        <f t="shared" si="910"/>
        <v>AE0674</v>
      </c>
      <c r="F912" t="str">
        <f t="shared" si="910"/>
        <v>AE0676</v>
      </c>
      <c r="G912" t="str">
        <f t="shared" si="910"/>
        <v>AE0688</v>
      </c>
      <c r="H912" t="str">
        <f t="shared" si="910"/>
        <v>AE068A</v>
      </c>
      <c r="I912" t="str">
        <f t="shared" si="910"/>
        <v>AE068C</v>
      </c>
      <c r="J912" t="str">
        <f t="shared" si="910"/>
        <v>AE068E</v>
      </c>
      <c r="K912" t="str">
        <f t="shared" si="910"/>
        <v>AE0668</v>
      </c>
    </row>
    <row r="913">
      <c r="A913" s="14">
        <v>911.0</v>
      </c>
      <c r="B913" t="str">
        <f t="shared" ref="B913:K913" si="911">DEC2HEX(HEX2DEC(B912)+1)</f>
        <v>AE066F</v>
      </c>
      <c r="C913" t="str">
        <f t="shared" si="911"/>
        <v>AE0671</v>
      </c>
      <c r="D913" t="str">
        <f t="shared" si="911"/>
        <v>AE0673</v>
      </c>
      <c r="E913" t="str">
        <f t="shared" si="911"/>
        <v>AE0675</v>
      </c>
      <c r="F913" t="str">
        <f t="shared" si="911"/>
        <v>AE0677</v>
      </c>
      <c r="G913" t="str">
        <f t="shared" si="911"/>
        <v>AE0689</v>
      </c>
      <c r="H913" t="str">
        <f t="shared" si="911"/>
        <v>AE068B</v>
      </c>
      <c r="I913" t="str">
        <f t="shared" si="911"/>
        <v>AE068D</v>
      </c>
      <c r="J913" t="str">
        <f t="shared" si="911"/>
        <v>AE068F</v>
      </c>
      <c r="K913" t="str">
        <f t="shared" si="911"/>
        <v>AE0669</v>
      </c>
    </row>
    <row r="914">
      <c r="A914" s="14">
        <v>912.0</v>
      </c>
      <c r="B914" t="str">
        <f t="shared" ref="B914:K914" si="912">DEC2HEX(HEX2DEC(B913)+1)</f>
        <v>AE0670</v>
      </c>
      <c r="C914" t="str">
        <f t="shared" si="912"/>
        <v>AE0672</v>
      </c>
      <c r="D914" t="str">
        <f t="shared" si="912"/>
        <v>AE0674</v>
      </c>
      <c r="E914" t="str">
        <f t="shared" si="912"/>
        <v>AE0676</v>
      </c>
      <c r="F914" t="str">
        <f t="shared" si="912"/>
        <v>AE0678</v>
      </c>
      <c r="G914" t="str">
        <f t="shared" si="912"/>
        <v>AE068A</v>
      </c>
      <c r="H914" t="str">
        <f t="shared" si="912"/>
        <v>AE068C</v>
      </c>
      <c r="I914" t="str">
        <f t="shared" si="912"/>
        <v>AE068E</v>
      </c>
      <c r="J914" t="str">
        <f t="shared" si="912"/>
        <v>AE0690</v>
      </c>
      <c r="K914" t="str">
        <f t="shared" si="912"/>
        <v>AE066A</v>
      </c>
    </row>
    <row r="915">
      <c r="A915" s="14">
        <v>913.0</v>
      </c>
      <c r="B915" t="str">
        <f t="shared" ref="B915:K915" si="913">DEC2HEX(HEX2DEC(B914)+1)</f>
        <v>AE0671</v>
      </c>
      <c r="C915" t="str">
        <f t="shared" si="913"/>
        <v>AE0673</v>
      </c>
      <c r="D915" t="str">
        <f t="shared" si="913"/>
        <v>AE0675</v>
      </c>
      <c r="E915" t="str">
        <f t="shared" si="913"/>
        <v>AE0677</v>
      </c>
      <c r="F915" t="str">
        <f t="shared" si="913"/>
        <v>AE0679</v>
      </c>
      <c r="G915" t="str">
        <f t="shared" si="913"/>
        <v>AE068B</v>
      </c>
      <c r="H915" t="str">
        <f t="shared" si="913"/>
        <v>AE068D</v>
      </c>
      <c r="I915" t="str">
        <f t="shared" si="913"/>
        <v>AE068F</v>
      </c>
      <c r="J915" t="str">
        <f t="shared" si="913"/>
        <v>AE0691</v>
      </c>
      <c r="K915" t="str">
        <f t="shared" si="913"/>
        <v>AE066B</v>
      </c>
    </row>
    <row r="916">
      <c r="A916" s="14">
        <v>914.0</v>
      </c>
      <c r="B916" t="str">
        <f t="shared" ref="B916:K916" si="914">DEC2HEX(HEX2DEC(B915)+1)</f>
        <v>AE0672</v>
      </c>
      <c r="C916" t="str">
        <f t="shared" si="914"/>
        <v>AE0674</v>
      </c>
      <c r="D916" t="str">
        <f t="shared" si="914"/>
        <v>AE0676</v>
      </c>
      <c r="E916" t="str">
        <f t="shared" si="914"/>
        <v>AE0678</v>
      </c>
      <c r="F916" t="str">
        <f t="shared" si="914"/>
        <v>AE067A</v>
      </c>
      <c r="G916" t="str">
        <f t="shared" si="914"/>
        <v>AE068C</v>
      </c>
      <c r="H916" t="str">
        <f t="shared" si="914"/>
        <v>AE068E</v>
      </c>
      <c r="I916" t="str">
        <f t="shared" si="914"/>
        <v>AE0690</v>
      </c>
      <c r="J916" t="str">
        <f t="shared" si="914"/>
        <v>AE0692</v>
      </c>
      <c r="K916" t="str">
        <f t="shared" si="914"/>
        <v>AE066C</v>
      </c>
    </row>
    <row r="917">
      <c r="A917" s="14">
        <v>915.0</v>
      </c>
      <c r="B917" t="str">
        <f t="shared" ref="B917:K917" si="915">DEC2HEX(HEX2DEC(B916)+1)</f>
        <v>AE0673</v>
      </c>
      <c r="C917" t="str">
        <f t="shared" si="915"/>
        <v>AE0675</v>
      </c>
      <c r="D917" t="str">
        <f t="shared" si="915"/>
        <v>AE0677</v>
      </c>
      <c r="E917" t="str">
        <f t="shared" si="915"/>
        <v>AE0679</v>
      </c>
      <c r="F917" t="str">
        <f t="shared" si="915"/>
        <v>AE067B</v>
      </c>
      <c r="G917" t="str">
        <f t="shared" si="915"/>
        <v>AE068D</v>
      </c>
      <c r="H917" t="str">
        <f t="shared" si="915"/>
        <v>AE068F</v>
      </c>
      <c r="I917" t="str">
        <f t="shared" si="915"/>
        <v>AE0691</v>
      </c>
      <c r="J917" t="str">
        <f t="shared" si="915"/>
        <v>AE0693</v>
      </c>
      <c r="K917" t="str">
        <f t="shared" si="915"/>
        <v>AE066D</v>
      </c>
    </row>
    <row r="918">
      <c r="A918" s="14">
        <v>916.0</v>
      </c>
      <c r="B918" t="str">
        <f t="shared" ref="B918:K918" si="916">DEC2HEX(HEX2DEC(B917)+1)</f>
        <v>AE0674</v>
      </c>
      <c r="C918" t="str">
        <f t="shared" si="916"/>
        <v>AE0676</v>
      </c>
      <c r="D918" t="str">
        <f t="shared" si="916"/>
        <v>AE0678</v>
      </c>
      <c r="E918" t="str">
        <f t="shared" si="916"/>
        <v>AE067A</v>
      </c>
      <c r="F918" t="str">
        <f t="shared" si="916"/>
        <v>AE067C</v>
      </c>
      <c r="G918" t="str">
        <f t="shared" si="916"/>
        <v>AE068E</v>
      </c>
      <c r="H918" t="str">
        <f t="shared" si="916"/>
        <v>AE0690</v>
      </c>
      <c r="I918" t="str">
        <f t="shared" si="916"/>
        <v>AE0692</v>
      </c>
      <c r="J918" t="str">
        <f t="shared" si="916"/>
        <v>AE0694</v>
      </c>
      <c r="K918" t="str">
        <f t="shared" si="916"/>
        <v>AE066E</v>
      </c>
    </row>
    <row r="919">
      <c r="A919" s="14">
        <v>917.0</v>
      </c>
      <c r="B919" t="str">
        <f t="shared" ref="B919:K919" si="917">DEC2HEX(HEX2DEC(B918)+1)</f>
        <v>AE0675</v>
      </c>
      <c r="C919" t="str">
        <f t="shared" si="917"/>
        <v>AE0677</v>
      </c>
      <c r="D919" t="str">
        <f t="shared" si="917"/>
        <v>AE0679</v>
      </c>
      <c r="E919" t="str">
        <f t="shared" si="917"/>
        <v>AE067B</v>
      </c>
      <c r="F919" t="str">
        <f t="shared" si="917"/>
        <v>AE067D</v>
      </c>
      <c r="G919" t="str">
        <f t="shared" si="917"/>
        <v>AE068F</v>
      </c>
      <c r="H919" t="str">
        <f t="shared" si="917"/>
        <v>AE0691</v>
      </c>
      <c r="I919" t="str">
        <f t="shared" si="917"/>
        <v>AE0693</v>
      </c>
      <c r="J919" t="str">
        <f t="shared" si="917"/>
        <v>AE0695</v>
      </c>
      <c r="K919" t="str">
        <f t="shared" si="917"/>
        <v>AE066F</v>
      </c>
    </row>
    <row r="920">
      <c r="A920" s="14">
        <v>918.0</v>
      </c>
      <c r="B920" t="str">
        <f t="shared" ref="B920:K920" si="918">DEC2HEX(HEX2DEC(B919)+1)</f>
        <v>AE0676</v>
      </c>
      <c r="C920" t="str">
        <f t="shared" si="918"/>
        <v>AE0678</v>
      </c>
      <c r="D920" t="str">
        <f t="shared" si="918"/>
        <v>AE067A</v>
      </c>
      <c r="E920" t="str">
        <f t="shared" si="918"/>
        <v>AE067C</v>
      </c>
      <c r="F920" t="str">
        <f t="shared" si="918"/>
        <v>AE067E</v>
      </c>
      <c r="G920" t="str">
        <f t="shared" si="918"/>
        <v>AE0690</v>
      </c>
      <c r="H920" t="str">
        <f t="shared" si="918"/>
        <v>AE0692</v>
      </c>
      <c r="I920" t="str">
        <f t="shared" si="918"/>
        <v>AE0694</v>
      </c>
      <c r="J920" t="str">
        <f t="shared" si="918"/>
        <v>AE0696</v>
      </c>
      <c r="K920" t="str">
        <f t="shared" si="918"/>
        <v>AE0670</v>
      </c>
    </row>
    <row r="921">
      <c r="A921" s="14">
        <v>919.0</v>
      </c>
      <c r="B921" t="str">
        <f t="shared" ref="B921:K921" si="919">DEC2HEX(HEX2DEC(B920)+1)</f>
        <v>AE0677</v>
      </c>
      <c r="C921" t="str">
        <f t="shared" si="919"/>
        <v>AE0679</v>
      </c>
      <c r="D921" t="str">
        <f t="shared" si="919"/>
        <v>AE067B</v>
      </c>
      <c r="E921" t="str">
        <f t="shared" si="919"/>
        <v>AE067D</v>
      </c>
      <c r="F921" t="str">
        <f t="shared" si="919"/>
        <v>AE067F</v>
      </c>
      <c r="G921" t="str">
        <f t="shared" si="919"/>
        <v>AE0691</v>
      </c>
      <c r="H921" t="str">
        <f t="shared" si="919"/>
        <v>AE0693</v>
      </c>
      <c r="I921" t="str">
        <f t="shared" si="919"/>
        <v>AE0695</v>
      </c>
      <c r="J921" t="str">
        <f t="shared" si="919"/>
        <v>AE0697</v>
      </c>
      <c r="K921" t="str">
        <f t="shared" si="919"/>
        <v>AE0671</v>
      </c>
    </row>
    <row r="922">
      <c r="A922" s="14">
        <v>920.0</v>
      </c>
      <c r="B922" t="str">
        <f t="shared" ref="B922:K922" si="920">DEC2HEX(HEX2DEC(B921)+1)</f>
        <v>AE0678</v>
      </c>
      <c r="C922" t="str">
        <f t="shared" si="920"/>
        <v>AE067A</v>
      </c>
      <c r="D922" t="str">
        <f t="shared" si="920"/>
        <v>AE067C</v>
      </c>
      <c r="E922" t="str">
        <f t="shared" si="920"/>
        <v>AE067E</v>
      </c>
      <c r="F922" t="str">
        <f t="shared" si="920"/>
        <v>AE0680</v>
      </c>
      <c r="G922" t="str">
        <f t="shared" si="920"/>
        <v>AE0692</v>
      </c>
      <c r="H922" t="str">
        <f t="shared" si="920"/>
        <v>AE0694</v>
      </c>
      <c r="I922" t="str">
        <f t="shared" si="920"/>
        <v>AE0696</v>
      </c>
      <c r="J922" t="str">
        <f t="shared" si="920"/>
        <v>AE0698</v>
      </c>
      <c r="K922" t="str">
        <f t="shared" si="920"/>
        <v>AE0672</v>
      </c>
    </row>
    <row r="923">
      <c r="A923" s="14">
        <v>921.0</v>
      </c>
      <c r="B923" t="str">
        <f t="shared" ref="B923:K923" si="921">DEC2HEX(HEX2DEC(B922)+1)</f>
        <v>AE0679</v>
      </c>
      <c r="C923" t="str">
        <f t="shared" si="921"/>
        <v>AE067B</v>
      </c>
      <c r="D923" t="str">
        <f t="shared" si="921"/>
        <v>AE067D</v>
      </c>
      <c r="E923" t="str">
        <f t="shared" si="921"/>
        <v>AE067F</v>
      </c>
      <c r="F923" t="str">
        <f t="shared" si="921"/>
        <v>AE0681</v>
      </c>
      <c r="G923" t="str">
        <f t="shared" si="921"/>
        <v>AE0693</v>
      </c>
      <c r="H923" t="str">
        <f t="shared" si="921"/>
        <v>AE0695</v>
      </c>
      <c r="I923" t="str">
        <f t="shared" si="921"/>
        <v>AE0697</v>
      </c>
      <c r="J923" t="str">
        <f t="shared" si="921"/>
        <v>AE0699</v>
      </c>
      <c r="K923" t="str">
        <f t="shared" si="921"/>
        <v>AE0673</v>
      </c>
    </row>
    <row r="924">
      <c r="A924" s="14">
        <v>922.0</v>
      </c>
      <c r="B924" t="str">
        <f t="shared" ref="B924:K924" si="922">DEC2HEX(HEX2DEC(B923)+1)</f>
        <v>AE067A</v>
      </c>
      <c r="C924" t="str">
        <f t="shared" si="922"/>
        <v>AE067C</v>
      </c>
      <c r="D924" t="str">
        <f t="shared" si="922"/>
        <v>AE067E</v>
      </c>
      <c r="E924" t="str">
        <f t="shared" si="922"/>
        <v>AE0680</v>
      </c>
      <c r="F924" t="str">
        <f t="shared" si="922"/>
        <v>AE0682</v>
      </c>
      <c r="G924" t="str">
        <f t="shared" si="922"/>
        <v>AE0694</v>
      </c>
      <c r="H924" t="str">
        <f t="shared" si="922"/>
        <v>AE0696</v>
      </c>
      <c r="I924" t="str">
        <f t="shared" si="922"/>
        <v>AE0698</v>
      </c>
      <c r="J924" t="str">
        <f t="shared" si="922"/>
        <v>AE069A</v>
      </c>
      <c r="K924" t="str">
        <f t="shared" si="922"/>
        <v>AE0674</v>
      </c>
    </row>
    <row r="925">
      <c r="A925" s="14">
        <v>923.0</v>
      </c>
      <c r="B925" t="str">
        <f t="shared" ref="B925:K925" si="923">DEC2HEX(HEX2DEC(B924)+1)</f>
        <v>AE067B</v>
      </c>
      <c r="C925" t="str">
        <f t="shared" si="923"/>
        <v>AE067D</v>
      </c>
      <c r="D925" t="str">
        <f t="shared" si="923"/>
        <v>AE067F</v>
      </c>
      <c r="E925" t="str">
        <f t="shared" si="923"/>
        <v>AE0681</v>
      </c>
      <c r="F925" t="str">
        <f t="shared" si="923"/>
        <v>AE0683</v>
      </c>
      <c r="G925" t="str">
        <f t="shared" si="923"/>
        <v>AE0695</v>
      </c>
      <c r="H925" t="str">
        <f t="shared" si="923"/>
        <v>AE0697</v>
      </c>
      <c r="I925" t="str">
        <f t="shared" si="923"/>
        <v>AE0699</v>
      </c>
      <c r="J925" t="str">
        <f t="shared" si="923"/>
        <v>AE069B</v>
      </c>
      <c r="K925" t="str">
        <f t="shared" si="923"/>
        <v>AE0675</v>
      </c>
    </row>
    <row r="926">
      <c r="A926" s="14">
        <v>924.0</v>
      </c>
      <c r="B926" t="str">
        <f t="shared" ref="B926:K926" si="924">DEC2HEX(HEX2DEC(B925)+1)</f>
        <v>AE067C</v>
      </c>
      <c r="C926" t="str">
        <f t="shared" si="924"/>
        <v>AE067E</v>
      </c>
      <c r="D926" t="str">
        <f t="shared" si="924"/>
        <v>AE0680</v>
      </c>
      <c r="E926" t="str">
        <f t="shared" si="924"/>
        <v>AE0682</v>
      </c>
      <c r="F926" t="str">
        <f t="shared" si="924"/>
        <v>AE0684</v>
      </c>
      <c r="G926" t="str">
        <f t="shared" si="924"/>
        <v>AE0696</v>
      </c>
      <c r="H926" t="str">
        <f t="shared" si="924"/>
        <v>AE0698</v>
      </c>
      <c r="I926" t="str">
        <f t="shared" si="924"/>
        <v>AE069A</v>
      </c>
      <c r="J926" t="str">
        <f t="shared" si="924"/>
        <v>AE069C</v>
      </c>
      <c r="K926" t="str">
        <f t="shared" si="924"/>
        <v>AE0676</v>
      </c>
    </row>
    <row r="927">
      <c r="A927" s="14">
        <v>925.0</v>
      </c>
      <c r="B927" t="str">
        <f t="shared" ref="B927:K927" si="925">DEC2HEX(HEX2DEC(B926)+1)</f>
        <v>AE067D</v>
      </c>
      <c r="C927" t="str">
        <f t="shared" si="925"/>
        <v>AE067F</v>
      </c>
      <c r="D927" t="str">
        <f t="shared" si="925"/>
        <v>AE0681</v>
      </c>
      <c r="E927" t="str">
        <f t="shared" si="925"/>
        <v>AE0683</v>
      </c>
      <c r="F927" t="str">
        <f t="shared" si="925"/>
        <v>AE0685</v>
      </c>
      <c r="G927" t="str">
        <f t="shared" si="925"/>
        <v>AE0697</v>
      </c>
      <c r="H927" t="str">
        <f t="shared" si="925"/>
        <v>AE0699</v>
      </c>
      <c r="I927" t="str">
        <f t="shared" si="925"/>
        <v>AE069B</v>
      </c>
      <c r="J927" t="str">
        <f t="shared" si="925"/>
        <v>AE069D</v>
      </c>
      <c r="K927" t="str">
        <f t="shared" si="925"/>
        <v>AE0677</v>
      </c>
    </row>
    <row r="928">
      <c r="A928" s="14">
        <v>926.0</v>
      </c>
      <c r="B928" t="str">
        <f t="shared" ref="B928:K928" si="926">DEC2HEX(HEX2DEC(B927)+1)</f>
        <v>AE067E</v>
      </c>
      <c r="C928" t="str">
        <f t="shared" si="926"/>
        <v>AE0680</v>
      </c>
      <c r="D928" t="str">
        <f t="shared" si="926"/>
        <v>AE0682</v>
      </c>
      <c r="E928" t="str">
        <f t="shared" si="926"/>
        <v>AE0684</v>
      </c>
      <c r="F928" t="str">
        <f t="shared" si="926"/>
        <v>AE0686</v>
      </c>
      <c r="G928" t="str">
        <f t="shared" si="926"/>
        <v>AE0698</v>
      </c>
      <c r="H928" t="str">
        <f t="shared" si="926"/>
        <v>AE069A</v>
      </c>
      <c r="I928" t="str">
        <f t="shared" si="926"/>
        <v>AE069C</v>
      </c>
      <c r="J928" t="str">
        <f t="shared" si="926"/>
        <v>AE069E</v>
      </c>
      <c r="K928" t="str">
        <f t="shared" si="926"/>
        <v>AE0678</v>
      </c>
    </row>
    <row r="929">
      <c r="A929" s="14">
        <v>927.0</v>
      </c>
      <c r="B929" t="str">
        <f t="shared" ref="B929:K929" si="927">DEC2HEX(HEX2DEC(B928)+1)</f>
        <v>AE067F</v>
      </c>
      <c r="C929" t="str">
        <f t="shared" si="927"/>
        <v>AE0681</v>
      </c>
      <c r="D929" t="str">
        <f t="shared" si="927"/>
        <v>AE0683</v>
      </c>
      <c r="E929" t="str">
        <f t="shared" si="927"/>
        <v>AE0685</v>
      </c>
      <c r="F929" t="str">
        <f t="shared" si="927"/>
        <v>AE0687</v>
      </c>
      <c r="G929" t="str">
        <f t="shared" si="927"/>
        <v>AE0699</v>
      </c>
      <c r="H929" t="str">
        <f t="shared" si="927"/>
        <v>AE069B</v>
      </c>
      <c r="I929" t="str">
        <f t="shared" si="927"/>
        <v>AE069D</v>
      </c>
      <c r="J929" t="str">
        <f t="shared" si="927"/>
        <v>AE069F</v>
      </c>
      <c r="K929" t="str">
        <f t="shared" si="927"/>
        <v>AE0679</v>
      </c>
    </row>
    <row r="930">
      <c r="A930" s="14">
        <v>928.0</v>
      </c>
      <c r="B930" t="str">
        <f t="shared" ref="B930:K930" si="928">DEC2HEX(HEX2DEC(B929)+1)</f>
        <v>AE0680</v>
      </c>
      <c r="C930" t="str">
        <f t="shared" si="928"/>
        <v>AE0682</v>
      </c>
      <c r="D930" t="str">
        <f t="shared" si="928"/>
        <v>AE0684</v>
      </c>
      <c r="E930" t="str">
        <f t="shared" si="928"/>
        <v>AE0686</v>
      </c>
      <c r="F930" t="str">
        <f t="shared" si="928"/>
        <v>AE0688</v>
      </c>
      <c r="G930" t="str">
        <f t="shared" si="928"/>
        <v>AE069A</v>
      </c>
      <c r="H930" t="str">
        <f t="shared" si="928"/>
        <v>AE069C</v>
      </c>
      <c r="I930" t="str">
        <f t="shared" si="928"/>
        <v>AE069E</v>
      </c>
      <c r="J930" t="str">
        <f t="shared" si="928"/>
        <v>AE06A0</v>
      </c>
      <c r="K930" t="str">
        <f t="shared" si="928"/>
        <v>AE067A</v>
      </c>
    </row>
    <row r="931">
      <c r="A931" s="14">
        <v>929.0</v>
      </c>
      <c r="B931" t="str">
        <f t="shared" ref="B931:K931" si="929">DEC2HEX(HEX2DEC(B930)+1)</f>
        <v>AE0681</v>
      </c>
      <c r="C931" t="str">
        <f t="shared" si="929"/>
        <v>AE0683</v>
      </c>
      <c r="D931" t="str">
        <f t="shared" si="929"/>
        <v>AE0685</v>
      </c>
      <c r="E931" t="str">
        <f t="shared" si="929"/>
        <v>AE0687</v>
      </c>
      <c r="F931" t="str">
        <f t="shared" si="929"/>
        <v>AE0689</v>
      </c>
      <c r="G931" t="str">
        <f t="shared" si="929"/>
        <v>AE069B</v>
      </c>
      <c r="H931" t="str">
        <f t="shared" si="929"/>
        <v>AE069D</v>
      </c>
      <c r="I931" t="str">
        <f t="shared" si="929"/>
        <v>AE069F</v>
      </c>
      <c r="J931" t="str">
        <f t="shared" si="929"/>
        <v>AE06A1</v>
      </c>
      <c r="K931" t="str">
        <f t="shared" si="929"/>
        <v>AE067B</v>
      </c>
    </row>
    <row r="932">
      <c r="A932" s="14">
        <v>930.0</v>
      </c>
      <c r="B932" t="str">
        <f t="shared" ref="B932:K932" si="930">DEC2HEX(HEX2DEC(B931)+1)</f>
        <v>AE0682</v>
      </c>
      <c r="C932" t="str">
        <f t="shared" si="930"/>
        <v>AE0684</v>
      </c>
      <c r="D932" t="str">
        <f t="shared" si="930"/>
        <v>AE0686</v>
      </c>
      <c r="E932" t="str">
        <f t="shared" si="930"/>
        <v>AE0688</v>
      </c>
      <c r="F932" t="str">
        <f t="shared" si="930"/>
        <v>AE068A</v>
      </c>
      <c r="G932" t="str">
        <f t="shared" si="930"/>
        <v>AE069C</v>
      </c>
      <c r="H932" t="str">
        <f t="shared" si="930"/>
        <v>AE069E</v>
      </c>
      <c r="I932" t="str">
        <f t="shared" si="930"/>
        <v>AE06A0</v>
      </c>
      <c r="J932" t="str">
        <f t="shared" si="930"/>
        <v>AE06A2</v>
      </c>
      <c r="K932" t="str">
        <f t="shared" si="930"/>
        <v>AE067C</v>
      </c>
    </row>
    <row r="933">
      <c r="A933" s="14">
        <v>931.0</v>
      </c>
      <c r="B933" t="str">
        <f t="shared" ref="B933:K933" si="931">DEC2HEX(HEX2DEC(B932)+1)</f>
        <v>AE0683</v>
      </c>
      <c r="C933" t="str">
        <f t="shared" si="931"/>
        <v>AE0685</v>
      </c>
      <c r="D933" t="str">
        <f t="shared" si="931"/>
        <v>AE0687</v>
      </c>
      <c r="E933" t="str">
        <f t="shared" si="931"/>
        <v>AE0689</v>
      </c>
      <c r="F933" t="str">
        <f t="shared" si="931"/>
        <v>AE068B</v>
      </c>
      <c r="G933" t="str">
        <f t="shared" si="931"/>
        <v>AE069D</v>
      </c>
      <c r="H933" t="str">
        <f t="shared" si="931"/>
        <v>AE069F</v>
      </c>
      <c r="I933" t="str">
        <f t="shared" si="931"/>
        <v>AE06A1</v>
      </c>
      <c r="J933" t="str">
        <f t="shared" si="931"/>
        <v>AE06A3</v>
      </c>
      <c r="K933" t="str">
        <f t="shared" si="931"/>
        <v>AE067D</v>
      </c>
    </row>
    <row r="934">
      <c r="A934" s="14">
        <v>932.0</v>
      </c>
      <c r="B934" t="str">
        <f t="shared" ref="B934:K934" si="932">DEC2HEX(HEX2DEC(B933)+1)</f>
        <v>AE0684</v>
      </c>
      <c r="C934" t="str">
        <f t="shared" si="932"/>
        <v>AE0686</v>
      </c>
      <c r="D934" t="str">
        <f t="shared" si="932"/>
        <v>AE0688</v>
      </c>
      <c r="E934" t="str">
        <f t="shared" si="932"/>
        <v>AE068A</v>
      </c>
      <c r="F934" t="str">
        <f t="shared" si="932"/>
        <v>AE068C</v>
      </c>
      <c r="G934" t="str">
        <f t="shared" si="932"/>
        <v>AE069E</v>
      </c>
      <c r="H934" t="str">
        <f t="shared" si="932"/>
        <v>AE06A0</v>
      </c>
      <c r="I934" t="str">
        <f t="shared" si="932"/>
        <v>AE06A2</v>
      </c>
      <c r="J934" t="str">
        <f t="shared" si="932"/>
        <v>AE06A4</v>
      </c>
      <c r="K934" t="str">
        <f t="shared" si="932"/>
        <v>AE067E</v>
      </c>
    </row>
    <row r="935">
      <c r="A935" s="14">
        <v>933.0</v>
      </c>
      <c r="B935" t="str">
        <f t="shared" ref="B935:K935" si="933">DEC2HEX(HEX2DEC(B934)+1)</f>
        <v>AE0685</v>
      </c>
      <c r="C935" t="str">
        <f t="shared" si="933"/>
        <v>AE0687</v>
      </c>
      <c r="D935" t="str">
        <f t="shared" si="933"/>
        <v>AE0689</v>
      </c>
      <c r="E935" t="str">
        <f t="shared" si="933"/>
        <v>AE068B</v>
      </c>
      <c r="F935" t="str">
        <f t="shared" si="933"/>
        <v>AE068D</v>
      </c>
      <c r="G935" t="str">
        <f t="shared" si="933"/>
        <v>AE069F</v>
      </c>
      <c r="H935" t="str">
        <f t="shared" si="933"/>
        <v>AE06A1</v>
      </c>
      <c r="I935" t="str">
        <f t="shared" si="933"/>
        <v>AE06A3</v>
      </c>
      <c r="J935" t="str">
        <f t="shared" si="933"/>
        <v>AE06A5</v>
      </c>
      <c r="K935" t="str">
        <f t="shared" si="933"/>
        <v>AE067F</v>
      </c>
    </row>
    <row r="936">
      <c r="A936" s="14">
        <v>934.0</v>
      </c>
      <c r="B936" t="str">
        <f t="shared" ref="B936:K936" si="934">DEC2HEX(HEX2DEC(B935)+1)</f>
        <v>AE0686</v>
      </c>
      <c r="C936" t="str">
        <f t="shared" si="934"/>
        <v>AE0688</v>
      </c>
      <c r="D936" t="str">
        <f t="shared" si="934"/>
        <v>AE068A</v>
      </c>
      <c r="E936" t="str">
        <f t="shared" si="934"/>
        <v>AE068C</v>
      </c>
      <c r="F936" t="str">
        <f t="shared" si="934"/>
        <v>AE068E</v>
      </c>
      <c r="G936" t="str">
        <f t="shared" si="934"/>
        <v>AE06A0</v>
      </c>
      <c r="H936" t="str">
        <f t="shared" si="934"/>
        <v>AE06A2</v>
      </c>
      <c r="I936" t="str">
        <f t="shared" si="934"/>
        <v>AE06A4</v>
      </c>
      <c r="J936" t="str">
        <f t="shared" si="934"/>
        <v>AE06A6</v>
      </c>
      <c r="K936" t="str">
        <f t="shared" si="934"/>
        <v>AE0680</v>
      </c>
    </row>
    <row r="937">
      <c r="A937" s="14">
        <v>935.0</v>
      </c>
      <c r="B937" t="str">
        <f t="shared" ref="B937:K937" si="935">DEC2HEX(HEX2DEC(B936)+1)</f>
        <v>AE0687</v>
      </c>
      <c r="C937" t="str">
        <f t="shared" si="935"/>
        <v>AE0689</v>
      </c>
      <c r="D937" t="str">
        <f t="shared" si="935"/>
        <v>AE068B</v>
      </c>
      <c r="E937" t="str">
        <f t="shared" si="935"/>
        <v>AE068D</v>
      </c>
      <c r="F937" t="str">
        <f t="shared" si="935"/>
        <v>AE068F</v>
      </c>
      <c r="G937" t="str">
        <f t="shared" si="935"/>
        <v>AE06A1</v>
      </c>
      <c r="H937" t="str">
        <f t="shared" si="935"/>
        <v>AE06A3</v>
      </c>
      <c r="I937" t="str">
        <f t="shared" si="935"/>
        <v>AE06A5</v>
      </c>
      <c r="J937" t="str">
        <f t="shared" si="935"/>
        <v>AE06A7</v>
      </c>
      <c r="K937" t="str">
        <f t="shared" si="935"/>
        <v>AE0681</v>
      </c>
    </row>
    <row r="938">
      <c r="A938" s="14">
        <v>936.0</v>
      </c>
      <c r="B938" t="str">
        <f t="shared" ref="B938:K938" si="936">DEC2HEX(HEX2DEC(B937)+1)</f>
        <v>AE0688</v>
      </c>
      <c r="C938" t="str">
        <f t="shared" si="936"/>
        <v>AE068A</v>
      </c>
      <c r="D938" t="str">
        <f t="shared" si="936"/>
        <v>AE068C</v>
      </c>
      <c r="E938" t="str">
        <f t="shared" si="936"/>
        <v>AE068E</v>
      </c>
      <c r="F938" t="str">
        <f t="shared" si="936"/>
        <v>AE0690</v>
      </c>
      <c r="G938" t="str">
        <f t="shared" si="936"/>
        <v>AE06A2</v>
      </c>
      <c r="H938" t="str">
        <f t="shared" si="936"/>
        <v>AE06A4</v>
      </c>
      <c r="I938" t="str">
        <f t="shared" si="936"/>
        <v>AE06A6</v>
      </c>
      <c r="J938" t="str">
        <f t="shared" si="936"/>
        <v>AE06A8</v>
      </c>
      <c r="K938" t="str">
        <f t="shared" si="936"/>
        <v>AE0682</v>
      </c>
    </row>
    <row r="939">
      <c r="A939" s="14">
        <v>937.0</v>
      </c>
      <c r="B939" t="str">
        <f t="shared" ref="B939:K939" si="937">DEC2HEX(HEX2DEC(B938)+1)</f>
        <v>AE0689</v>
      </c>
      <c r="C939" t="str">
        <f t="shared" si="937"/>
        <v>AE068B</v>
      </c>
      <c r="D939" t="str">
        <f t="shared" si="937"/>
        <v>AE068D</v>
      </c>
      <c r="E939" t="str">
        <f t="shared" si="937"/>
        <v>AE068F</v>
      </c>
      <c r="F939" t="str">
        <f t="shared" si="937"/>
        <v>AE0691</v>
      </c>
      <c r="G939" t="str">
        <f t="shared" si="937"/>
        <v>AE06A3</v>
      </c>
      <c r="H939" t="str">
        <f t="shared" si="937"/>
        <v>AE06A5</v>
      </c>
      <c r="I939" t="str">
        <f t="shared" si="937"/>
        <v>AE06A7</v>
      </c>
      <c r="J939" t="str">
        <f t="shared" si="937"/>
        <v>AE06A9</v>
      </c>
      <c r="K939" t="str">
        <f t="shared" si="937"/>
        <v>AE0683</v>
      </c>
    </row>
    <row r="940">
      <c r="A940" s="14">
        <v>938.0</v>
      </c>
      <c r="B940" t="str">
        <f t="shared" ref="B940:K940" si="938">DEC2HEX(HEX2DEC(B939)+1)</f>
        <v>AE068A</v>
      </c>
      <c r="C940" t="str">
        <f t="shared" si="938"/>
        <v>AE068C</v>
      </c>
      <c r="D940" t="str">
        <f t="shared" si="938"/>
        <v>AE068E</v>
      </c>
      <c r="E940" t="str">
        <f t="shared" si="938"/>
        <v>AE0690</v>
      </c>
      <c r="F940" t="str">
        <f t="shared" si="938"/>
        <v>AE0692</v>
      </c>
      <c r="G940" t="str">
        <f t="shared" si="938"/>
        <v>AE06A4</v>
      </c>
      <c r="H940" t="str">
        <f t="shared" si="938"/>
        <v>AE06A6</v>
      </c>
      <c r="I940" t="str">
        <f t="shared" si="938"/>
        <v>AE06A8</v>
      </c>
      <c r="J940" t="str">
        <f t="shared" si="938"/>
        <v>AE06AA</v>
      </c>
      <c r="K940" t="str">
        <f t="shared" si="938"/>
        <v>AE0684</v>
      </c>
    </row>
    <row r="941">
      <c r="A941" s="14">
        <v>939.0</v>
      </c>
      <c r="B941" t="str">
        <f t="shared" ref="B941:K941" si="939">DEC2HEX(HEX2DEC(B940)+1)</f>
        <v>AE068B</v>
      </c>
      <c r="C941" t="str">
        <f t="shared" si="939"/>
        <v>AE068D</v>
      </c>
      <c r="D941" t="str">
        <f t="shared" si="939"/>
        <v>AE068F</v>
      </c>
      <c r="E941" t="str">
        <f t="shared" si="939"/>
        <v>AE0691</v>
      </c>
      <c r="F941" t="str">
        <f t="shared" si="939"/>
        <v>AE0693</v>
      </c>
      <c r="G941" t="str">
        <f t="shared" si="939"/>
        <v>AE06A5</v>
      </c>
      <c r="H941" t="str">
        <f t="shared" si="939"/>
        <v>AE06A7</v>
      </c>
      <c r="I941" t="str">
        <f t="shared" si="939"/>
        <v>AE06A9</v>
      </c>
      <c r="J941" t="str">
        <f t="shared" si="939"/>
        <v>AE06AB</v>
      </c>
      <c r="K941" t="str">
        <f t="shared" si="939"/>
        <v>AE0685</v>
      </c>
    </row>
    <row r="942">
      <c r="A942" s="14">
        <v>940.0</v>
      </c>
      <c r="B942" t="str">
        <f t="shared" ref="B942:K942" si="940">DEC2HEX(HEX2DEC(B941)+1)</f>
        <v>AE068C</v>
      </c>
      <c r="C942" t="str">
        <f t="shared" si="940"/>
        <v>AE068E</v>
      </c>
      <c r="D942" t="str">
        <f t="shared" si="940"/>
        <v>AE0690</v>
      </c>
      <c r="E942" t="str">
        <f t="shared" si="940"/>
        <v>AE0692</v>
      </c>
      <c r="F942" t="str">
        <f t="shared" si="940"/>
        <v>AE0694</v>
      </c>
      <c r="G942" t="str">
        <f t="shared" si="940"/>
        <v>AE06A6</v>
      </c>
      <c r="H942" t="str">
        <f t="shared" si="940"/>
        <v>AE06A8</v>
      </c>
      <c r="I942" t="str">
        <f t="shared" si="940"/>
        <v>AE06AA</v>
      </c>
      <c r="J942" t="str">
        <f t="shared" si="940"/>
        <v>AE06AC</v>
      </c>
      <c r="K942" t="str">
        <f t="shared" si="940"/>
        <v>AE0686</v>
      </c>
    </row>
    <row r="943">
      <c r="A943" s="14">
        <v>941.0</v>
      </c>
      <c r="B943" t="str">
        <f t="shared" ref="B943:K943" si="941">DEC2HEX(HEX2DEC(B942)+1)</f>
        <v>AE068D</v>
      </c>
      <c r="C943" t="str">
        <f t="shared" si="941"/>
        <v>AE068F</v>
      </c>
      <c r="D943" t="str">
        <f t="shared" si="941"/>
        <v>AE0691</v>
      </c>
      <c r="E943" t="str">
        <f t="shared" si="941"/>
        <v>AE0693</v>
      </c>
      <c r="F943" t="str">
        <f t="shared" si="941"/>
        <v>AE0695</v>
      </c>
      <c r="G943" t="str">
        <f t="shared" si="941"/>
        <v>AE06A7</v>
      </c>
      <c r="H943" t="str">
        <f t="shared" si="941"/>
        <v>AE06A9</v>
      </c>
      <c r="I943" t="str">
        <f t="shared" si="941"/>
        <v>AE06AB</v>
      </c>
      <c r="J943" t="str">
        <f t="shared" si="941"/>
        <v>AE06AD</v>
      </c>
      <c r="K943" t="str">
        <f t="shared" si="941"/>
        <v>AE0687</v>
      </c>
    </row>
    <row r="944">
      <c r="A944" s="14">
        <v>942.0</v>
      </c>
      <c r="B944" t="str">
        <f t="shared" ref="B944:K944" si="942">DEC2HEX(HEX2DEC(B943)+1)</f>
        <v>AE068E</v>
      </c>
      <c r="C944" t="str">
        <f t="shared" si="942"/>
        <v>AE0690</v>
      </c>
      <c r="D944" t="str">
        <f t="shared" si="942"/>
        <v>AE0692</v>
      </c>
      <c r="E944" t="str">
        <f t="shared" si="942"/>
        <v>AE0694</v>
      </c>
      <c r="F944" t="str">
        <f t="shared" si="942"/>
        <v>AE0696</v>
      </c>
      <c r="G944" t="str">
        <f t="shared" si="942"/>
        <v>AE06A8</v>
      </c>
      <c r="H944" t="str">
        <f t="shared" si="942"/>
        <v>AE06AA</v>
      </c>
      <c r="I944" t="str">
        <f t="shared" si="942"/>
        <v>AE06AC</v>
      </c>
      <c r="J944" t="str">
        <f t="shared" si="942"/>
        <v>AE06AE</v>
      </c>
      <c r="K944" t="str">
        <f t="shared" si="942"/>
        <v>AE0688</v>
      </c>
    </row>
    <row r="945">
      <c r="A945" s="14">
        <v>943.0</v>
      </c>
      <c r="B945" t="str">
        <f t="shared" ref="B945:K945" si="943">DEC2HEX(HEX2DEC(B944)+1)</f>
        <v>AE068F</v>
      </c>
      <c r="C945" t="str">
        <f t="shared" si="943"/>
        <v>AE0691</v>
      </c>
      <c r="D945" t="str">
        <f t="shared" si="943"/>
        <v>AE0693</v>
      </c>
      <c r="E945" t="str">
        <f t="shared" si="943"/>
        <v>AE0695</v>
      </c>
      <c r="F945" t="str">
        <f t="shared" si="943"/>
        <v>AE0697</v>
      </c>
      <c r="G945" t="str">
        <f t="shared" si="943"/>
        <v>AE06A9</v>
      </c>
      <c r="H945" t="str">
        <f t="shared" si="943"/>
        <v>AE06AB</v>
      </c>
      <c r="I945" t="str">
        <f t="shared" si="943"/>
        <v>AE06AD</v>
      </c>
      <c r="J945" t="str">
        <f t="shared" si="943"/>
        <v>AE06AF</v>
      </c>
      <c r="K945" t="str">
        <f t="shared" si="943"/>
        <v>AE0689</v>
      </c>
    </row>
    <row r="946">
      <c r="A946" s="14">
        <v>944.0</v>
      </c>
      <c r="B946" t="str">
        <f t="shared" ref="B946:K946" si="944">DEC2HEX(HEX2DEC(B945)+1)</f>
        <v>AE0690</v>
      </c>
      <c r="C946" t="str">
        <f t="shared" si="944"/>
        <v>AE0692</v>
      </c>
      <c r="D946" t="str">
        <f t="shared" si="944"/>
        <v>AE0694</v>
      </c>
      <c r="E946" t="str">
        <f t="shared" si="944"/>
        <v>AE0696</v>
      </c>
      <c r="F946" t="str">
        <f t="shared" si="944"/>
        <v>AE0698</v>
      </c>
      <c r="G946" t="str">
        <f t="shared" si="944"/>
        <v>AE06AA</v>
      </c>
      <c r="H946" t="str">
        <f t="shared" si="944"/>
        <v>AE06AC</v>
      </c>
      <c r="I946" t="str">
        <f t="shared" si="944"/>
        <v>AE06AE</v>
      </c>
      <c r="J946" t="str">
        <f t="shared" si="944"/>
        <v>AE06B0</v>
      </c>
      <c r="K946" t="str">
        <f t="shared" si="944"/>
        <v>AE068A</v>
      </c>
    </row>
    <row r="947">
      <c r="A947" s="14">
        <v>945.0</v>
      </c>
      <c r="B947" t="str">
        <f t="shared" ref="B947:K947" si="945">DEC2HEX(HEX2DEC(B946)+1)</f>
        <v>AE0691</v>
      </c>
      <c r="C947" t="str">
        <f t="shared" si="945"/>
        <v>AE0693</v>
      </c>
      <c r="D947" t="str">
        <f t="shared" si="945"/>
        <v>AE0695</v>
      </c>
      <c r="E947" t="str">
        <f t="shared" si="945"/>
        <v>AE0697</v>
      </c>
      <c r="F947" t="str">
        <f t="shared" si="945"/>
        <v>AE0699</v>
      </c>
      <c r="G947" t="str">
        <f t="shared" si="945"/>
        <v>AE06AB</v>
      </c>
      <c r="H947" t="str">
        <f t="shared" si="945"/>
        <v>AE06AD</v>
      </c>
      <c r="I947" t="str">
        <f t="shared" si="945"/>
        <v>AE06AF</v>
      </c>
      <c r="J947" t="str">
        <f t="shared" si="945"/>
        <v>AE06B1</v>
      </c>
      <c r="K947" t="str">
        <f t="shared" si="945"/>
        <v>AE068B</v>
      </c>
    </row>
    <row r="948">
      <c r="A948" s="14">
        <v>946.0</v>
      </c>
      <c r="B948" t="str">
        <f t="shared" ref="B948:K948" si="946">DEC2HEX(HEX2DEC(B947)+1)</f>
        <v>AE0692</v>
      </c>
      <c r="C948" t="str">
        <f t="shared" si="946"/>
        <v>AE0694</v>
      </c>
      <c r="D948" t="str">
        <f t="shared" si="946"/>
        <v>AE0696</v>
      </c>
      <c r="E948" t="str">
        <f t="shared" si="946"/>
        <v>AE0698</v>
      </c>
      <c r="F948" t="str">
        <f t="shared" si="946"/>
        <v>AE069A</v>
      </c>
      <c r="G948" t="str">
        <f t="shared" si="946"/>
        <v>AE06AC</v>
      </c>
      <c r="H948" t="str">
        <f t="shared" si="946"/>
        <v>AE06AE</v>
      </c>
      <c r="I948" t="str">
        <f t="shared" si="946"/>
        <v>AE06B0</v>
      </c>
      <c r="J948" t="str">
        <f t="shared" si="946"/>
        <v>AE06B2</v>
      </c>
      <c r="K948" t="str">
        <f t="shared" si="946"/>
        <v>AE068C</v>
      </c>
    </row>
    <row r="949">
      <c r="A949" s="14">
        <v>947.0</v>
      </c>
      <c r="B949" t="str">
        <f t="shared" ref="B949:K949" si="947">DEC2HEX(HEX2DEC(B948)+1)</f>
        <v>AE0693</v>
      </c>
      <c r="C949" t="str">
        <f t="shared" si="947"/>
        <v>AE0695</v>
      </c>
      <c r="D949" t="str">
        <f t="shared" si="947"/>
        <v>AE0697</v>
      </c>
      <c r="E949" t="str">
        <f t="shared" si="947"/>
        <v>AE0699</v>
      </c>
      <c r="F949" t="str">
        <f t="shared" si="947"/>
        <v>AE069B</v>
      </c>
      <c r="G949" t="str">
        <f t="shared" si="947"/>
        <v>AE06AD</v>
      </c>
      <c r="H949" t="str">
        <f t="shared" si="947"/>
        <v>AE06AF</v>
      </c>
      <c r="I949" t="str">
        <f t="shared" si="947"/>
        <v>AE06B1</v>
      </c>
      <c r="J949" t="str">
        <f t="shared" si="947"/>
        <v>AE06B3</v>
      </c>
      <c r="K949" t="str">
        <f t="shared" si="947"/>
        <v>AE068D</v>
      </c>
    </row>
    <row r="950">
      <c r="A950" s="14">
        <v>948.0</v>
      </c>
      <c r="B950" t="str">
        <f t="shared" ref="B950:K950" si="948">DEC2HEX(HEX2DEC(B949)+1)</f>
        <v>AE0694</v>
      </c>
      <c r="C950" t="str">
        <f t="shared" si="948"/>
        <v>AE0696</v>
      </c>
      <c r="D950" t="str">
        <f t="shared" si="948"/>
        <v>AE0698</v>
      </c>
      <c r="E950" t="str">
        <f t="shared" si="948"/>
        <v>AE069A</v>
      </c>
      <c r="F950" t="str">
        <f t="shared" si="948"/>
        <v>AE069C</v>
      </c>
      <c r="G950" t="str">
        <f t="shared" si="948"/>
        <v>AE06AE</v>
      </c>
      <c r="H950" t="str">
        <f t="shared" si="948"/>
        <v>AE06B0</v>
      </c>
      <c r="I950" t="str">
        <f t="shared" si="948"/>
        <v>AE06B2</v>
      </c>
      <c r="J950" t="str">
        <f t="shared" si="948"/>
        <v>AE06B4</v>
      </c>
      <c r="K950" t="str">
        <f t="shared" si="948"/>
        <v>AE068E</v>
      </c>
    </row>
    <row r="951">
      <c r="A951" s="14">
        <v>949.0</v>
      </c>
      <c r="B951" t="str">
        <f t="shared" ref="B951:K951" si="949">DEC2HEX(HEX2DEC(B950)+1)</f>
        <v>AE0695</v>
      </c>
      <c r="C951" t="str">
        <f t="shared" si="949"/>
        <v>AE0697</v>
      </c>
      <c r="D951" t="str">
        <f t="shared" si="949"/>
        <v>AE0699</v>
      </c>
      <c r="E951" t="str">
        <f t="shared" si="949"/>
        <v>AE069B</v>
      </c>
      <c r="F951" t="str">
        <f t="shared" si="949"/>
        <v>AE069D</v>
      </c>
      <c r="G951" t="str">
        <f t="shared" si="949"/>
        <v>AE06AF</v>
      </c>
      <c r="H951" t="str">
        <f t="shared" si="949"/>
        <v>AE06B1</v>
      </c>
      <c r="I951" t="str">
        <f t="shared" si="949"/>
        <v>AE06B3</v>
      </c>
      <c r="J951" t="str">
        <f t="shared" si="949"/>
        <v>AE06B5</v>
      </c>
      <c r="K951" t="str">
        <f t="shared" si="949"/>
        <v>AE068F</v>
      </c>
    </row>
    <row r="952">
      <c r="A952" s="14">
        <v>950.0</v>
      </c>
      <c r="B952" t="str">
        <f t="shared" ref="B952:K952" si="950">DEC2HEX(HEX2DEC(B951)+1)</f>
        <v>AE0696</v>
      </c>
      <c r="C952" t="str">
        <f t="shared" si="950"/>
        <v>AE0698</v>
      </c>
      <c r="D952" t="str">
        <f t="shared" si="950"/>
        <v>AE069A</v>
      </c>
      <c r="E952" t="str">
        <f t="shared" si="950"/>
        <v>AE069C</v>
      </c>
      <c r="F952" t="str">
        <f t="shared" si="950"/>
        <v>AE069E</v>
      </c>
      <c r="G952" t="str">
        <f t="shared" si="950"/>
        <v>AE06B0</v>
      </c>
      <c r="H952" t="str">
        <f t="shared" si="950"/>
        <v>AE06B2</v>
      </c>
      <c r="I952" t="str">
        <f t="shared" si="950"/>
        <v>AE06B4</v>
      </c>
      <c r="J952" t="str">
        <f t="shared" si="950"/>
        <v>AE06B6</v>
      </c>
      <c r="K952" t="str">
        <f t="shared" si="950"/>
        <v>AE0690</v>
      </c>
    </row>
    <row r="953">
      <c r="A953" s="14">
        <v>951.0</v>
      </c>
      <c r="B953" t="str">
        <f t="shared" ref="B953:K953" si="951">DEC2HEX(HEX2DEC(B952)+1)</f>
        <v>AE0697</v>
      </c>
      <c r="C953" t="str">
        <f t="shared" si="951"/>
        <v>AE0699</v>
      </c>
      <c r="D953" t="str">
        <f t="shared" si="951"/>
        <v>AE069B</v>
      </c>
      <c r="E953" t="str">
        <f t="shared" si="951"/>
        <v>AE069D</v>
      </c>
      <c r="F953" t="str">
        <f t="shared" si="951"/>
        <v>AE069F</v>
      </c>
      <c r="G953" t="str">
        <f t="shared" si="951"/>
        <v>AE06B1</v>
      </c>
      <c r="H953" t="str">
        <f t="shared" si="951"/>
        <v>AE06B3</v>
      </c>
      <c r="I953" t="str">
        <f t="shared" si="951"/>
        <v>AE06B5</v>
      </c>
      <c r="J953" t="str">
        <f t="shared" si="951"/>
        <v>AE06B7</v>
      </c>
      <c r="K953" t="str">
        <f t="shared" si="951"/>
        <v>AE0691</v>
      </c>
    </row>
    <row r="954">
      <c r="A954" s="14">
        <v>952.0</v>
      </c>
      <c r="B954" t="str">
        <f t="shared" ref="B954:K954" si="952">DEC2HEX(HEX2DEC(B953)+1)</f>
        <v>AE0698</v>
      </c>
      <c r="C954" t="str">
        <f t="shared" si="952"/>
        <v>AE069A</v>
      </c>
      <c r="D954" t="str">
        <f t="shared" si="952"/>
        <v>AE069C</v>
      </c>
      <c r="E954" t="str">
        <f t="shared" si="952"/>
        <v>AE069E</v>
      </c>
      <c r="F954" t="str">
        <f t="shared" si="952"/>
        <v>AE06A0</v>
      </c>
      <c r="G954" t="str">
        <f t="shared" si="952"/>
        <v>AE06B2</v>
      </c>
      <c r="H954" t="str">
        <f t="shared" si="952"/>
        <v>AE06B4</v>
      </c>
      <c r="I954" t="str">
        <f t="shared" si="952"/>
        <v>AE06B6</v>
      </c>
      <c r="J954" t="str">
        <f t="shared" si="952"/>
        <v>AE06B8</v>
      </c>
      <c r="K954" t="str">
        <f t="shared" si="952"/>
        <v>AE0692</v>
      </c>
    </row>
    <row r="955">
      <c r="A955" s="14">
        <v>953.0</v>
      </c>
      <c r="B955" t="str">
        <f t="shared" ref="B955:K955" si="953">DEC2HEX(HEX2DEC(B954)+1)</f>
        <v>AE0699</v>
      </c>
      <c r="C955" t="str">
        <f t="shared" si="953"/>
        <v>AE069B</v>
      </c>
      <c r="D955" t="str">
        <f t="shared" si="953"/>
        <v>AE069D</v>
      </c>
      <c r="E955" t="str">
        <f t="shared" si="953"/>
        <v>AE069F</v>
      </c>
      <c r="F955" t="str">
        <f t="shared" si="953"/>
        <v>AE06A1</v>
      </c>
      <c r="G955" t="str">
        <f t="shared" si="953"/>
        <v>AE06B3</v>
      </c>
      <c r="H955" t="str">
        <f t="shared" si="953"/>
        <v>AE06B5</v>
      </c>
      <c r="I955" t="str">
        <f t="shared" si="953"/>
        <v>AE06B7</v>
      </c>
      <c r="J955" t="str">
        <f t="shared" si="953"/>
        <v>AE06B9</v>
      </c>
      <c r="K955" t="str">
        <f t="shared" si="953"/>
        <v>AE0693</v>
      </c>
    </row>
    <row r="956">
      <c r="A956" s="14">
        <v>954.0</v>
      </c>
      <c r="B956" t="str">
        <f t="shared" ref="B956:K956" si="954">DEC2HEX(HEX2DEC(B955)+1)</f>
        <v>AE069A</v>
      </c>
      <c r="C956" t="str">
        <f t="shared" si="954"/>
        <v>AE069C</v>
      </c>
      <c r="D956" t="str">
        <f t="shared" si="954"/>
        <v>AE069E</v>
      </c>
      <c r="E956" t="str">
        <f t="shared" si="954"/>
        <v>AE06A0</v>
      </c>
      <c r="F956" t="str">
        <f t="shared" si="954"/>
        <v>AE06A2</v>
      </c>
      <c r="G956" t="str">
        <f t="shared" si="954"/>
        <v>AE06B4</v>
      </c>
      <c r="H956" t="str">
        <f t="shared" si="954"/>
        <v>AE06B6</v>
      </c>
      <c r="I956" t="str">
        <f t="shared" si="954"/>
        <v>AE06B8</v>
      </c>
      <c r="J956" t="str">
        <f t="shared" si="954"/>
        <v>AE06BA</v>
      </c>
      <c r="K956" t="str">
        <f t="shared" si="954"/>
        <v>AE0694</v>
      </c>
    </row>
    <row r="957">
      <c r="A957" s="14">
        <v>955.0</v>
      </c>
      <c r="B957" t="str">
        <f t="shared" ref="B957:K957" si="955">DEC2HEX(HEX2DEC(B956)+1)</f>
        <v>AE069B</v>
      </c>
      <c r="C957" t="str">
        <f t="shared" si="955"/>
        <v>AE069D</v>
      </c>
      <c r="D957" t="str">
        <f t="shared" si="955"/>
        <v>AE069F</v>
      </c>
      <c r="E957" t="str">
        <f t="shared" si="955"/>
        <v>AE06A1</v>
      </c>
      <c r="F957" t="str">
        <f t="shared" si="955"/>
        <v>AE06A3</v>
      </c>
      <c r="G957" t="str">
        <f t="shared" si="955"/>
        <v>AE06B5</v>
      </c>
      <c r="H957" t="str">
        <f t="shared" si="955"/>
        <v>AE06B7</v>
      </c>
      <c r="I957" t="str">
        <f t="shared" si="955"/>
        <v>AE06B9</v>
      </c>
      <c r="J957" t="str">
        <f t="shared" si="955"/>
        <v>AE06BB</v>
      </c>
      <c r="K957" t="str">
        <f t="shared" si="955"/>
        <v>AE0695</v>
      </c>
    </row>
    <row r="958">
      <c r="A958" s="14">
        <v>956.0</v>
      </c>
      <c r="B958" t="str">
        <f t="shared" ref="B958:K958" si="956">DEC2HEX(HEX2DEC(B957)+1)</f>
        <v>AE069C</v>
      </c>
      <c r="C958" t="str">
        <f t="shared" si="956"/>
        <v>AE069E</v>
      </c>
      <c r="D958" t="str">
        <f t="shared" si="956"/>
        <v>AE06A0</v>
      </c>
      <c r="E958" t="str">
        <f t="shared" si="956"/>
        <v>AE06A2</v>
      </c>
      <c r="F958" t="str">
        <f t="shared" si="956"/>
        <v>AE06A4</v>
      </c>
      <c r="G958" t="str">
        <f t="shared" si="956"/>
        <v>AE06B6</v>
      </c>
      <c r="H958" t="str">
        <f t="shared" si="956"/>
        <v>AE06B8</v>
      </c>
      <c r="I958" t="str">
        <f t="shared" si="956"/>
        <v>AE06BA</v>
      </c>
      <c r="J958" t="str">
        <f t="shared" si="956"/>
        <v>AE06BC</v>
      </c>
      <c r="K958" t="str">
        <f t="shared" si="956"/>
        <v>AE0696</v>
      </c>
    </row>
    <row r="959">
      <c r="A959" s="14">
        <v>957.0</v>
      </c>
      <c r="B959" t="str">
        <f t="shared" ref="B959:K959" si="957">DEC2HEX(HEX2DEC(B958)+1)</f>
        <v>AE069D</v>
      </c>
      <c r="C959" t="str">
        <f t="shared" si="957"/>
        <v>AE069F</v>
      </c>
      <c r="D959" t="str">
        <f t="shared" si="957"/>
        <v>AE06A1</v>
      </c>
      <c r="E959" t="str">
        <f t="shared" si="957"/>
        <v>AE06A3</v>
      </c>
      <c r="F959" t="str">
        <f t="shared" si="957"/>
        <v>AE06A5</v>
      </c>
      <c r="G959" t="str">
        <f t="shared" si="957"/>
        <v>AE06B7</v>
      </c>
      <c r="H959" t="str">
        <f t="shared" si="957"/>
        <v>AE06B9</v>
      </c>
      <c r="I959" t="str">
        <f t="shared" si="957"/>
        <v>AE06BB</v>
      </c>
      <c r="J959" t="str">
        <f t="shared" si="957"/>
        <v>AE06BD</v>
      </c>
      <c r="K959" t="str">
        <f t="shared" si="957"/>
        <v>AE0697</v>
      </c>
    </row>
    <row r="960">
      <c r="A960" s="14">
        <v>958.0</v>
      </c>
      <c r="B960" t="str">
        <f t="shared" ref="B960:K960" si="958">DEC2HEX(HEX2DEC(B959)+1)</f>
        <v>AE069E</v>
      </c>
      <c r="C960" t="str">
        <f t="shared" si="958"/>
        <v>AE06A0</v>
      </c>
      <c r="D960" t="str">
        <f t="shared" si="958"/>
        <v>AE06A2</v>
      </c>
      <c r="E960" t="str">
        <f t="shared" si="958"/>
        <v>AE06A4</v>
      </c>
      <c r="F960" t="str">
        <f t="shared" si="958"/>
        <v>AE06A6</v>
      </c>
      <c r="G960" t="str">
        <f t="shared" si="958"/>
        <v>AE06B8</v>
      </c>
      <c r="H960" t="str">
        <f t="shared" si="958"/>
        <v>AE06BA</v>
      </c>
      <c r="I960" t="str">
        <f t="shared" si="958"/>
        <v>AE06BC</v>
      </c>
      <c r="J960" t="str">
        <f t="shared" si="958"/>
        <v>AE06BE</v>
      </c>
      <c r="K960" t="str">
        <f t="shared" si="958"/>
        <v>AE0698</v>
      </c>
    </row>
    <row r="961">
      <c r="A961" s="14">
        <v>959.0</v>
      </c>
      <c r="B961" t="str">
        <f t="shared" ref="B961:K961" si="959">DEC2HEX(HEX2DEC(B960)+1)</f>
        <v>AE069F</v>
      </c>
      <c r="C961" t="str">
        <f t="shared" si="959"/>
        <v>AE06A1</v>
      </c>
      <c r="D961" t="str">
        <f t="shared" si="959"/>
        <v>AE06A3</v>
      </c>
      <c r="E961" t="str">
        <f t="shared" si="959"/>
        <v>AE06A5</v>
      </c>
      <c r="F961" t="str">
        <f t="shared" si="959"/>
        <v>AE06A7</v>
      </c>
      <c r="G961" t="str">
        <f t="shared" si="959"/>
        <v>AE06B9</v>
      </c>
      <c r="H961" t="str">
        <f t="shared" si="959"/>
        <v>AE06BB</v>
      </c>
      <c r="I961" t="str">
        <f t="shared" si="959"/>
        <v>AE06BD</v>
      </c>
      <c r="J961" t="str">
        <f t="shared" si="959"/>
        <v>AE06BF</v>
      </c>
      <c r="K961" t="str">
        <f t="shared" si="959"/>
        <v>AE0699</v>
      </c>
    </row>
    <row r="962">
      <c r="A962" s="14">
        <v>960.0</v>
      </c>
      <c r="B962" t="str">
        <f t="shared" ref="B962:K962" si="960">DEC2HEX(HEX2DEC(B961)+1)</f>
        <v>AE06A0</v>
      </c>
      <c r="C962" t="str">
        <f t="shared" si="960"/>
        <v>AE06A2</v>
      </c>
      <c r="D962" t="str">
        <f t="shared" si="960"/>
        <v>AE06A4</v>
      </c>
      <c r="E962" t="str">
        <f t="shared" si="960"/>
        <v>AE06A6</v>
      </c>
      <c r="F962" t="str">
        <f t="shared" si="960"/>
        <v>AE06A8</v>
      </c>
      <c r="G962" t="str">
        <f t="shared" si="960"/>
        <v>AE06BA</v>
      </c>
      <c r="H962" t="str">
        <f t="shared" si="960"/>
        <v>AE06BC</v>
      </c>
      <c r="I962" t="str">
        <f t="shared" si="960"/>
        <v>AE06BE</v>
      </c>
      <c r="J962" t="str">
        <f t="shared" si="960"/>
        <v>AE06C0</v>
      </c>
      <c r="K962" t="str">
        <f t="shared" si="960"/>
        <v>AE069A</v>
      </c>
    </row>
    <row r="963">
      <c r="A963" s="14">
        <v>961.0</v>
      </c>
      <c r="B963" t="str">
        <f t="shared" ref="B963:K963" si="961">DEC2HEX(HEX2DEC(B962)+1)</f>
        <v>AE06A1</v>
      </c>
      <c r="C963" t="str">
        <f t="shared" si="961"/>
        <v>AE06A3</v>
      </c>
      <c r="D963" t="str">
        <f t="shared" si="961"/>
        <v>AE06A5</v>
      </c>
      <c r="E963" t="str">
        <f t="shared" si="961"/>
        <v>AE06A7</v>
      </c>
      <c r="F963" t="str">
        <f t="shared" si="961"/>
        <v>AE06A9</v>
      </c>
      <c r="G963" t="str">
        <f t="shared" si="961"/>
        <v>AE06BB</v>
      </c>
      <c r="H963" t="str">
        <f t="shared" si="961"/>
        <v>AE06BD</v>
      </c>
      <c r="I963" t="str">
        <f t="shared" si="961"/>
        <v>AE06BF</v>
      </c>
      <c r="J963" t="str">
        <f t="shared" si="961"/>
        <v>AE06C1</v>
      </c>
      <c r="K963" t="str">
        <f t="shared" si="961"/>
        <v>AE069B</v>
      </c>
    </row>
    <row r="964">
      <c r="A964" s="14">
        <v>962.0</v>
      </c>
      <c r="B964" t="str">
        <f t="shared" ref="B964:K964" si="962">DEC2HEX(HEX2DEC(B963)+1)</f>
        <v>AE06A2</v>
      </c>
      <c r="C964" t="str">
        <f t="shared" si="962"/>
        <v>AE06A4</v>
      </c>
      <c r="D964" t="str">
        <f t="shared" si="962"/>
        <v>AE06A6</v>
      </c>
      <c r="E964" t="str">
        <f t="shared" si="962"/>
        <v>AE06A8</v>
      </c>
      <c r="F964" t="str">
        <f t="shared" si="962"/>
        <v>AE06AA</v>
      </c>
      <c r="G964" t="str">
        <f t="shared" si="962"/>
        <v>AE06BC</v>
      </c>
      <c r="H964" t="str">
        <f t="shared" si="962"/>
        <v>AE06BE</v>
      </c>
      <c r="I964" t="str">
        <f t="shared" si="962"/>
        <v>AE06C0</v>
      </c>
      <c r="J964" t="str">
        <f t="shared" si="962"/>
        <v>AE06C2</v>
      </c>
      <c r="K964" t="str">
        <f t="shared" si="962"/>
        <v>AE069C</v>
      </c>
    </row>
    <row r="965">
      <c r="A965" s="14">
        <v>963.0</v>
      </c>
      <c r="B965" t="str">
        <f t="shared" ref="B965:K965" si="963">DEC2HEX(HEX2DEC(B964)+1)</f>
        <v>AE06A3</v>
      </c>
      <c r="C965" t="str">
        <f t="shared" si="963"/>
        <v>AE06A5</v>
      </c>
      <c r="D965" t="str">
        <f t="shared" si="963"/>
        <v>AE06A7</v>
      </c>
      <c r="E965" t="str">
        <f t="shared" si="963"/>
        <v>AE06A9</v>
      </c>
      <c r="F965" t="str">
        <f t="shared" si="963"/>
        <v>AE06AB</v>
      </c>
      <c r="G965" t="str">
        <f t="shared" si="963"/>
        <v>AE06BD</v>
      </c>
      <c r="H965" t="str">
        <f t="shared" si="963"/>
        <v>AE06BF</v>
      </c>
      <c r="I965" t="str">
        <f t="shared" si="963"/>
        <v>AE06C1</v>
      </c>
      <c r="J965" t="str">
        <f t="shared" si="963"/>
        <v>AE06C3</v>
      </c>
      <c r="K965" t="str">
        <f t="shared" si="963"/>
        <v>AE069D</v>
      </c>
    </row>
    <row r="966">
      <c r="A966" s="14">
        <v>964.0</v>
      </c>
      <c r="B966" t="str">
        <f t="shared" ref="B966:K966" si="964">DEC2HEX(HEX2DEC(B965)+1)</f>
        <v>AE06A4</v>
      </c>
      <c r="C966" t="str">
        <f t="shared" si="964"/>
        <v>AE06A6</v>
      </c>
      <c r="D966" t="str">
        <f t="shared" si="964"/>
        <v>AE06A8</v>
      </c>
      <c r="E966" t="str">
        <f t="shared" si="964"/>
        <v>AE06AA</v>
      </c>
      <c r="F966" t="str">
        <f t="shared" si="964"/>
        <v>AE06AC</v>
      </c>
      <c r="G966" t="str">
        <f t="shared" si="964"/>
        <v>AE06BE</v>
      </c>
      <c r="H966" t="str">
        <f t="shared" si="964"/>
        <v>AE06C0</v>
      </c>
      <c r="I966" t="str">
        <f t="shared" si="964"/>
        <v>AE06C2</v>
      </c>
      <c r="J966" t="str">
        <f t="shared" si="964"/>
        <v>AE06C4</v>
      </c>
      <c r="K966" t="str">
        <f t="shared" si="964"/>
        <v>AE069E</v>
      </c>
    </row>
    <row r="967">
      <c r="A967" s="14">
        <v>965.0</v>
      </c>
      <c r="B967" t="str">
        <f t="shared" ref="B967:K967" si="965">DEC2HEX(HEX2DEC(B966)+1)</f>
        <v>AE06A5</v>
      </c>
      <c r="C967" t="str">
        <f t="shared" si="965"/>
        <v>AE06A7</v>
      </c>
      <c r="D967" t="str">
        <f t="shared" si="965"/>
        <v>AE06A9</v>
      </c>
      <c r="E967" t="str">
        <f t="shared" si="965"/>
        <v>AE06AB</v>
      </c>
      <c r="F967" t="str">
        <f t="shared" si="965"/>
        <v>AE06AD</v>
      </c>
      <c r="G967" t="str">
        <f t="shared" si="965"/>
        <v>AE06BF</v>
      </c>
      <c r="H967" t="str">
        <f t="shared" si="965"/>
        <v>AE06C1</v>
      </c>
      <c r="I967" t="str">
        <f t="shared" si="965"/>
        <v>AE06C3</v>
      </c>
      <c r="J967" t="str">
        <f t="shared" si="965"/>
        <v>AE06C5</v>
      </c>
      <c r="K967" t="str">
        <f t="shared" si="965"/>
        <v>AE069F</v>
      </c>
    </row>
    <row r="968">
      <c r="A968" s="14">
        <v>966.0</v>
      </c>
      <c r="B968" t="str">
        <f t="shared" ref="B968:K968" si="966">DEC2HEX(HEX2DEC(B967)+1)</f>
        <v>AE06A6</v>
      </c>
      <c r="C968" t="str">
        <f t="shared" si="966"/>
        <v>AE06A8</v>
      </c>
      <c r="D968" t="str">
        <f t="shared" si="966"/>
        <v>AE06AA</v>
      </c>
      <c r="E968" t="str">
        <f t="shared" si="966"/>
        <v>AE06AC</v>
      </c>
      <c r="F968" t="str">
        <f t="shared" si="966"/>
        <v>AE06AE</v>
      </c>
      <c r="G968" t="str">
        <f t="shared" si="966"/>
        <v>AE06C0</v>
      </c>
      <c r="H968" t="str">
        <f t="shared" si="966"/>
        <v>AE06C2</v>
      </c>
      <c r="I968" t="str">
        <f t="shared" si="966"/>
        <v>AE06C4</v>
      </c>
      <c r="J968" t="str">
        <f t="shared" si="966"/>
        <v>AE06C6</v>
      </c>
      <c r="K968" t="str">
        <f t="shared" si="966"/>
        <v>AE06A0</v>
      </c>
    </row>
    <row r="969">
      <c r="A969" s="14">
        <v>967.0</v>
      </c>
      <c r="B969" t="str">
        <f t="shared" ref="B969:K969" si="967">DEC2HEX(HEX2DEC(B968)+1)</f>
        <v>AE06A7</v>
      </c>
      <c r="C969" t="str">
        <f t="shared" si="967"/>
        <v>AE06A9</v>
      </c>
      <c r="D969" t="str">
        <f t="shared" si="967"/>
        <v>AE06AB</v>
      </c>
      <c r="E969" t="str">
        <f t="shared" si="967"/>
        <v>AE06AD</v>
      </c>
      <c r="F969" t="str">
        <f t="shared" si="967"/>
        <v>AE06AF</v>
      </c>
      <c r="G969" t="str">
        <f t="shared" si="967"/>
        <v>AE06C1</v>
      </c>
      <c r="H969" t="str">
        <f t="shared" si="967"/>
        <v>AE06C3</v>
      </c>
      <c r="I969" t="str">
        <f t="shared" si="967"/>
        <v>AE06C5</v>
      </c>
      <c r="J969" t="str">
        <f t="shared" si="967"/>
        <v>AE06C7</v>
      </c>
      <c r="K969" t="str">
        <f t="shared" si="967"/>
        <v>AE06A1</v>
      </c>
    </row>
    <row r="970">
      <c r="A970" s="14">
        <v>968.0</v>
      </c>
      <c r="B970" t="str">
        <f t="shared" ref="B970:K970" si="968">DEC2HEX(HEX2DEC(B969)+1)</f>
        <v>AE06A8</v>
      </c>
      <c r="C970" t="str">
        <f t="shared" si="968"/>
        <v>AE06AA</v>
      </c>
      <c r="D970" t="str">
        <f t="shared" si="968"/>
        <v>AE06AC</v>
      </c>
      <c r="E970" t="str">
        <f t="shared" si="968"/>
        <v>AE06AE</v>
      </c>
      <c r="F970" t="str">
        <f t="shared" si="968"/>
        <v>AE06B0</v>
      </c>
      <c r="G970" t="str">
        <f t="shared" si="968"/>
        <v>AE06C2</v>
      </c>
      <c r="H970" t="str">
        <f t="shared" si="968"/>
        <v>AE06C4</v>
      </c>
      <c r="I970" t="str">
        <f t="shared" si="968"/>
        <v>AE06C6</v>
      </c>
      <c r="J970" t="str">
        <f t="shared" si="968"/>
        <v>AE06C8</v>
      </c>
      <c r="K970" t="str">
        <f t="shared" si="968"/>
        <v>AE06A2</v>
      </c>
    </row>
    <row r="971">
      <c r="A971" s="14">
        <v>969.0</v>
      </c>
      <c r="B971" t="str">
        <f t="shared" ref="B971:K971" si="969">DEC2HEX(HEX2DEC(B970)+1)</f>
        <v>AE06A9</v>
      </c>
      <c r="C971" t="str">
        <f t="shared" si="969"/>
        <v>AE06AB</v>
      </c>
      <c r="D971" t="str">
        <f t="shared" si="969"/>
        <v>AE06AD</v>
      </c>
      <c r="E971" t="str">
        <f t="shared" si="969"/>
        <v>AE06AF</v>
      </c>
      <c r="F971" t="str">
        <f t="shared" si="969"/>
        <v>AE06B1</v>
      </c>
      <c r="G971" t="str">
        <f t="shared" si="969"/>
        <v>AE06C3</v>
      </c>
      <c r="H971" t="str">
        <f t="shared" si="969"/>
        <v>AE06C5</v>
      </c>
      <c r="I971" t="str">
        <f t="shared" si="969"/>
        <v>AE06C7</v>
      </c>
      <c r="J971" t="str">
        <f t="shared" si="969"/>
        <v>AE06C9</v>
      </c>
      <c r="K971" t="str">
        <f t="shared" si="969"/>
        <v>AE06A3</v>
      </c>
    </row>
    <row r="972">
      <c r="A972" s="14">
        <v>970.0</v>
      </c>
      <c r="B972" t="str">
        <f t="shared" ref="B972:K972" si="970">DEC2HEX(HEX2DEC(B971)+1)</f>
        <v>AE06AA</v>
      </c>
      <c r="C972" t="str">
        <f t="shared" si="970"/>
        <v>AE06AC</v>
      </c>
      <c r="D972" t="str">
        <f t="shared" si="970"/>
        <v>AE06AE</v>
      </c>
      <c r="E972" t="str">
        <f t="shared" si="970"/>
        <v>AE06B0</v>
      </c>
      <c r="F972" t="str">
        <f t="shared" si="970"/>
        <v>AE06B2</v>
      </c>
      <c r="G972" t="str">
        <f t="shared" si="970"/>
        <v>AE06C4</v>
      </c>
      <c r="H972" t="str">
        <f t="shared" si="970"/>
        <v>AE06C6</v>
      </c>
      <c r="I972" t="str">
        <f t="shared" si="970"/>
        <v>AE06C8</v>
      </c>
      <c r="J972" t="str">
        <f t="shared" si="970"/>
        <v>AE06CA</v>
      </c>
      <c r="K972" t="str">
        <f t="shared" si="970"/>
        <v>AE06A4</v>
      </c>
    </row>
    <row r="973">
      <c r="A973" s="14">
        <v>971.0</v>
      </c>
      <c r="B973" t="str">
        <f t="shared" ref="B973:K973" si="971">DEC2HEX(HEX2DEC(B972)+1)</f>
        <v>AE06AB</v>
      </c>
      <c r="C973" t="str">
        <f t="shared" si="971"/>
        <v>AE06AD</v>
      </c>
      <c r="D973" t="str">
        <f t="shared" si="971"/>
        <v>AE06AF</v>
      </c>
      <c r="E973" t="str">
        <f t="shared" si="971"/>
        <v>AE06B1</v>
      </c>
      <c r="F973" t="str">
        <f t="shared" si="971"/>
        <v>AE06B3</v>
      </c>
      <c r="G973" t="str">
        <f t="shared" si="971"/>
        <v>AE06C5</v>
      </c>
      <c r="H973" t="str">
        <f t="shared" si="971"/>
        <v>AE06C7</v>
      </c>
      <c r="I973" t="str">
        <f t="shared" si="971"/>
        <v>AE06C9</v>
      </c>
      <c r="J973" t="str">
        <f t="shared" si="971"/>
        <v>AE06CB</v>
      </c>
      <c r="K973" t="str">
        <f t="shared" si="971"/>
        <v>AE06A5</v>
      </c>
    </row>
    <row r="974">
      <c r="A974" s="14">
        <v>972.0</v>
      </c>
      <c r="B974" t="str">
        <f t="shared" ref="B974:K974" si="972">DEC2HEX(HEX2DEC(B973)+1)</f>
        <v>AE06AC</v>
      </c>
      <c r="C974" t="str">
        <f t="shared" si="972"/>
        <v>AE06AE</v>
      </c>
      <c r="D974" t="str">
        <f t="shared" si="972"/>
        <v>AE06B0</v>
      </c>
      <c r="E974" t="str">
        <f t="shared" si="972"/>
        <v>AE06B2</v>
      </c>
      <c r="F974" t="str">
        <f t="shared" si="972"/>
        <v>AE06B4</v>
      </c>
      <c r="G974" t="str">
        <f t="shared" si="972"/>
        <v>AE06C6</v>
      </c>
      <c r="H974" t="str">
        <f t="shared" si="972"/>
        <v>AE06C8</v>
      </c>
      <c r="I974" t="str">
        <f t="shared" si="972"/>
        <v>AE06CA</v>
      </c>
      <c r="J974" t="str">
        <f t="shared" si="972"/>
        <v>AE06CC</v>
      </c>
      <c r="K974" t="str">
        <f t="shared" si="972"/>
        <v>AE06A6</v>
      </c>
    </row>
    <row r="975">
      <c r="A975" s="14">
        <v>973.0</v>
      </c>
      <c r="B975" t="str">
        <f t="shared" ref="B975:K975" si="973">DEC2HEX(HEX2DEC(B974)+1)</f>
        <v>AE06AD</v>
      </c>
      <c r="C975" t="str">
        <f t="shared" si="973"/>
        <v>AE06AF</v>
      </c>
      <c r="D975" t="str">
        <f t="shared" si="973"/>
        <v>AE06B1</v>
      </c>
      <c r="E975" t="str">
        <f t="shared" si="973"/>
        <v>AE06B3</v>
      </c>
      <c r="F975" t="str">
        <f t="shared" si="973"/>
        <v>AE06B5</v>
      </c>
      <c r="G975" t="str">
        <f t="shared" si="973"/>
        <v>AE06C7</v>
      </c>
      <c r="H975" t="str">
        <f t="shared" si="973"/>
        <v>AE06C9</v>
      </c>
      <c r="I975" t="str">
        <f t="shared" si="973"/>
        <v>AE06CB</v>
      </c>
      <c r="J975" t="str">
        <f t="shared" si="973"/>
        <v>AE06CD</v>
      </c>
      <c r="K975" t="str">
        <f t="shared" si="973"/>
        <v>AE06A7</v>
      </c>
    </row>
    <row r="976">
      <c r="A976" s="14">
        <v>974.0</v>
      </c>
      <c r="B976" t="str">
        <f t="shared" ref="B976:K976" si="974">DEC2HEX(HEX2DEC(B975)+1)</f>
        <v>AE06AE</v>
      </c>
      <c r="C976" t="str">
        <f t="shared" si="974"/>
        <v>AE06B0</v>
      </c>
      <c r="D976" t="str">
        <f t="shared" si="974"/>
        <v>AE06B2</v>
      </c>
      <c r="E976" t="str">
        <f t="shared" si="974"/>
        <v>AE06B4</v>
      </c>
      <c r="F976" t="str">
        <f t="shared" si="974"/>
        <v>AE06B6</v>
      </c>
      <c r="G976" t="str">
        <f t="shared" si="974"/>
        <v>AE06C8</v>
      </c>
      <c r="H976" t="str">
        <f t="shared" si="974"/>
        <v>AE06CA</v>
      </c>
      <c r="I976" t="str">
        <f t="shared" si="974"/>
        <v>AE06CC</v>
      </c>
      <c r="J976" t="str">
        <f t="shared" si="974"/>
        <v>AE06CE</v>
      </c>
      <c r="K976" t="str">
        <f t="shared" si="974"/>
        <v>AE06A8</v>
      </c>
    </row>
    <row r="977">
      <c r="A977" s="14">
        <v>975.0</v>
      </c>
      <c r="B977" t="str">
        <f t="shared" ref="B977:K977" si="975">DEC2HEX(HEX2DEC(B976)+1)</f>
        <v>AE06AF</v>
      </c>
      <c r="C977" t="str">
        <f t="shared" si="975"/>
        <v>AE06B1</v>
      </c>
      <c r="D977" t="str">
        <f t="shared" si="975"/>
        <v>AE06B3</v>
      </c>
      <c r="E977" t="str">
        <f t="shared" si="975"/>
        <v>AE06B5</v>
      </c>
      <c r="F977" t="str">
        <f t="shared" si="975"/>
        <v>AE06B7</v>
      </c>
      <c r="G977" t="str">
        <f t="shared" si="975"/>
        <v>AE06C9</v>
      </c>
      <c r="H977" t="str">
        <f t="shared" si="975"/>
        <v>AE06CB</v>
      </c>
      <c r="I977" t="str">
        <f t="shared" si="975"/>
        <v>AE06CD</v>
      </c>
      <c r="J977" t="str">
        <f t="shared" si="975"/>
        <v>AE06CF</v>
      </c>
      <c r="K977" t="str">
        <f t="shared" si="975"/>
        <v>AE06A9</v>
      </c>
    </row>
    <row r="978">
      <c r="A978" s="14">
        <v>976.0</v>
      </c>
      <c r="B978" t="str">
        <f t="shared" ref="B978:K978" si="976">DEC2HEX(HEX2DEC(B977)+1)</f>
        <v>AE06B0</v>
      </c>
      <c r="C978" t="str">
        <f t="shared" si="976"/>
        <v>AE06B2</v>
      </c>
      <c r="D978" t="str">
        <f t="shared" si="976"/>
        <v>AE06B4</v>
      </c>
      <c r="E978" t="str">
        <f t="shared" si="976"/>
        <v>AE06B6</v>
      </c>
      <c r="F978" t="str">
        <f t="shared" si="976"/>
        <v>AE06B8</v>
      </c>
      <c r="G978" t="str">
        <f t="shared" si="976"/>
        <v>AE06CA</v>
      </c>
      <c r="H978" t="str">
        <f t="shared" si="976"/>
        <v>AE06CC</v>
      </c>
      <c r="I978" t="str">
        <f t="shared" si="976"/>
        <v>AE06CE</v>
      </c>
      <c r="J978" t="str">
        <f t="shared" si="976"/>
        <v>AE06D0</v>
      </c>
      <c r="K978" t="str">
        <f t="shared" si="976"/>
        <v>AE06AA</v>
      </c>
    </row>
    <row r="979">
      <c r="A979" s="14">
        <v>977.0</v>
      </c>
      <c r="B979" t="str">
        <f t="shared" ref="B979:K979" si="977">DEC2HEX(HEX2DEC(B978)+1)</f>
        <v>AE06B1</v>
      </c>
      <c r="C979" t="str">
        <f t="shared" si="977"/>
        <v>AE06B3</v>
      </c>
      <c r="D979" t="str">
        <f t="shared" si="977"/>
        <v>AE06B5</v>
      </c>
      <c r="E979" t="str">
        <f t="shared" si="977"/>
        <v>AE06B7</v>
      </c>
      <c r="F979" t="str">
        <f t="shared" si="977"/>
        <v>AE06B9</v>
      </c>
      <c r="G979" t="str">
        <f t="shared" si="977"/>
        <v>AE06CB</v>
      </c>
      <c r="H979" t="str">
        <f t="shared" si="977"/>
        <v>AE06CD</v>
      </c>
      <c r="I979" t="str">
        <f t="shared" si="977"/>
        <v>AE06CF</v>
      </c>
      <c r="J979" t="str">
        <f t="shared" si="977"/>
        <v>AE06D1</v>
      </c>
      <c r="K979" t="str">
        <f t="shared" si="977"/>
        <v>AE06AB</v>
      </c>
    </row>
    <row r="980">
      <c r="A980" s="14">
        <v>978.0</v>
      </c>
      <c r="B980" t="str">
        <f t="shared" ref="B980:K980" si="978">DEC2HEX(HEX2DEC(B979)+1)</f>
        <v>AE06B2</v>
      </c>
      <c r="C980" t="str">
        <f t="shared" si="978"/>
        <v>AE06B4</v>
      </c>
      <c r="D980" t="str">
        <f t="shared" si="978"/>
        <v>AE06B6</v>
      </c>
      <c r="E980" t="str">
        <f t="shared" si="978"/>
        <v>AE06B8</v>
      </c>
      <c r="F980" t="str">
        <f t="shared" si="978"/>
        <v>AE06BA</v>
      </c>
      <c r="G980" t="str">
        <f t="shared" si="978"/>
        <v>AE06CC</v>
      </c>
      <c r="H980" t="str">
        <f t="shared" si="978"/>
        <v>AE06CE</v>
      </c>
      <c r="I980" t="str">
        <f t="shared" si="978"/>
        <v>AE06D0</v>
      </c>
      <c r="J980" t="str">
        <f t="shared" si="978"/>
        <v>AE06D2</v>
      </c>
      <c r="K980" t="str">
        <f t="shared" si="978"/>
        <v>AE06AC</v>
      </c>
    </row>
    <row r="981">
      <c r="A981" s="14">
        <v>979.0</v>
      </c>
      <c r="B981" t="str">
        <f t="shared" ref="B981:K981" si="979">DEC2HEX(HEX2DEC(B980)+1)</f>
        <v>AE06B3</v>
      </c>
      <c r="C981" t="str">
        <f t="shared" si="979"/>
        <v>AE06B5</v>
      </c>
      <c r="D981" t="str">
        <f t="shared" si="979"/>
        <v>AE06B7</v>
      </c>
      <c r="E981" t="str">
        <f t="shared" si="979"/>
        <v>AE06B9</v>
      </c>
      <c r="F981" t="str">
        <f t="shared" si="979"/>
        <v>AE06BB</v>
      </c>
      <c r="G981" t="str">
        <f t="shared" si="979"/>
        <v>AE06CD</v>
      </c>
      <c r="H981" t="str">
        <f t="shared" si="979"/>
        <v>AE06CF</v>
      </c>
      <c r="I981" t="str">
        <f t="shared" si="979"/>
        <v>AE06D1</v>
      </c>
      <c r="J981" t="str">
        <f t="shared" si="979"/>
        <v>AE06D3</v>
      </c>
      <c r="K981" t="str">
        <f t="shared" si="979"/>
        <v>AE06AD</v>
      </c>
    </row>
    <row r="982">
      <c r="A982" s="14">
        <v>980.0</v>
      </c>
      <c r="B982" t="str">
        <f t="shared" ref="B982:K982" si="980">DEC2HEX(HEX2DEC(B981)+1)</f>
        <v>AE06B4</v>
      </c>
      <c r="C982" t="str">
        <f t="shared" si="980"/>
        <v>AE06B6</v>
      </c>
      <c r="D982" t="str">
        <f t="shared" si="980"/>
        <v>AE06B8</v>
      </c>
      <c r="E982" t="str">
        <f t="shared" si="980"/>
        <v>AE06BA</v>
      </c>
      <c r="F982" t="str">
        <f t="shared" si="980"/>
        <v>AE06BC</v>
      </c>
      <c r="G982" t="str">
        <f t="shared" si="980"/>
        <v>AE06CE</v>
      </c>
      <c r="H982" t="str">
        <f t="shared" si="980"/>
        <v>AE06D0</v>
      </c>
      <c r="I982" t="str">
        <f t="shared" si="980"/>
        <v>AE06D2</v>
      </c>
      <c r="J982" t="str">
        <f t="shared" si="980"/>
        <v>AE06D4</v>
      </c>
      <c r="K982" t="str">
        <f t="shared" si="980"/>
        <v>AE06AE</v>
      </c>
    </row>
    <row r="983">
      <c r="A983" s="14">
        <v>981.0</v>
      </c>
      <c r="B983" t="str">
        <f t="shared" ref="B983:K983" si="981">DEC2HEX(HEX2DEC(B982)+1)</f>
        <v>AE06B5</v>
      </c>
      <c r="C983" t="str">
        <f t="shared" si="981"/>
        <v>AE06B7</v>
      </c>
      <c r="D983" t="str">
        <f t="shared" si="981"/>
        <v>AE06B9</v>
      </c>
      <c r="E983" t="str">
        <f t="shared" si="981"/>
        <v>AE06BB</v>
      </c>
      <c r="F983" t="str">
        <f t="shared" si="981"/>
        <v>AE06BD</v>
      </c>
      <c r="G983" t="str">
        <f t="shared" si="981"/>
        <v>AE06CF</v>
      </c>
      <c r="H983" t="str">
        <f t="shared" si="981"/>
        <v>AE06D1</v>
      </c>
      <c r="I983" t="str">
        <f t="shared" si="981"/>
        <v>AE06D3</v>
      </c>
      <c r="J983" t="str">
        <f t="shared" si="981"/>
        <v>AE06D5</v>
      </c>
      <c r="K983" t="str">
        <f t="shared" si="981"/>
        <v>AE06AF</v>
      </c>
    </row>
    <row r="984">
      <c r="A984" s="14">
        <v>982.0</v>
      </c>
      <c r="B984" t="str">
        <f t="shared" ref="B984:K984" si="982">DEC2HEX(HEX2DEC(B983)+1)</f>
        <v>AE06B6</v>
      </c>
      <c r="C984" t="str">
        <f t="shared" si="982"/>
        <v>AE06B8</v>
      </c>
      <c r="D984" t="str">
        <f t="shared" si="982"/>
        <v>AE06BA</v>
      </c>
      <c r="E984" t="str">
        <f t="shared" si="982"/>
        <v>AE06BC</v>
      </c>
      <c r="F984" t="str">
        <f t="shared" si="982"/>
        <v>AE06BE</v>
      </c>
      <c r="G984" t="str">
        <f t="shared" si="982"/>
        <v>AE06D0</v>
      </c>
      <c r="H984" t="str">
        <f t="shared" si="982"/>
        <v>AE06D2</v>
      </c>
      <c r="I984" t="str">
        <f t="shared" si="982"/>
        <v>AE06D4</v>
      </c>
      <c r="J984" t="str">
        <f t="shared" si="982"/>
        <v>AE06D6</v>
      </c>
      <c r="K984" t="str">
        <f t="shared" si="982"/>
        <v>AE06B0</v>
      </c>
    </row>
    <row r="985">
      <c r="A985" s="14">
        <v>983.0</v>
      </c>
      <c r="B985" t="str">
        <f t="shared" ref="B985:K985" si="983">DEC2HEX(HEX2DEC(B984)+1)</f>
        <v>AE06B7</v>
      </c>
      <c r="C985" t="str">
        <f t="shared" si="983"/>
        <v>AE06B9</v>
      </c>
      <c r="D985" t="str">
        <f t="shared" si="983"/>
        <v>AE06BB</v>
      </c>
      <c r="E985" t="str">
        <f t="shared" si="983"/>
        <v>AE06BD</v>
      </c>
      <c r="F985" t="str">
        <f t="shared" si="983"/>
        <v>AE06BF</v>
      </c>
      <c r="G985" t="str">
        <f t="shared" si="983"/>
        <v>AE06D1</v>
      </c>
      <c r="H985" t="str">
        <f t="shared" si="983"/>
        <v>AE06D3</v>
      </c>
      <c r="I985" t="str">
        <f t="shared" si="983"/>
        <v>AE06D5</v>
      </c>
      <c r="J985" t="str">
        <f t="shared" si="983"/>
        <v>AE06D7</v>
      </c>
      <c r="K985" t="str">
        <f t="shared" si="983"/>
        <v>AE06B1</v>
      </c>
    </row>
    <row r="986">
      <c r="A986" s="14">
        <v>984.0</v>
      </c>
      <c r="B986" t="str">
        <f t="shared" ref="B986:K986" si="984">DEC2HEX(HEX2DEC(B985)+1)</f>
        <v>AE06B8</v>
      </c>
      <c r="C986" t="str">
        <f t="shared" si="984"/>
        <v>AE06BA</v>
      </c>
      <c r="D986" t="str">
        <f t="shared" si="984"/>
        <v>AE06BC</v>
      </c>
      <c r="E986" t="str">
        <f t="shared" si="984"/>
        <v>AE06BE</v>
      </c>
      <c r="F986" t="str">
        <f t="shared" si="984"/>
        <v>AE06C0</v>
      </c>
      <c r="G986" t="str">
        <f t="shared" si="984"/>
        <v>AE06D2</v>
      </c>
      <c r="H986" t="str">
        <f t="shared" si="984"/>
        <v>AE06D4</v>
      </c>
      <c r="I986" t="str">
        <f t="shared" si="984"/>
        <v>AE06D6</v>
      </c>
      <c r="J986" t="str">
        <f t="shared" si="984"/>
        <v>AE06D8</v>
      </c>
      <c r="K986" t="str">
        <f t="shared" si="984"/>
        <v>AE06B2</v>
      </c>
    </row>
    <row r="987">
      <c r="A987" s="14">
        <v>985.0</v>
      </c>
      <c r="B987" t="str">
        <f t="shared" ref="B987:K987" si="985">DEC2HEX(HEX2DEC(B986)+1)</f>
        <v>AE06B9</v>
      </c>
      <c r="C987" t="str">
        <f t="shared" si="985"/>
        <v>AE06BB</v>
      </c>
      <c r="D987" t="str">
        <f t="shared" si="985"/>
        <v>AE06BD</v>
      </c>
      <c r="E987" t="str">
        <f t="shared" si="985"/>
        <v>AE06BF</v>
      </c>
      <c r="F987" t="str">
        <f t="shared" si="985"/>
        <v>AE06C1</v>
      </c>
      <c r="G987" t="str">
        <f t="shared" si="985"/>
        <v>AE06D3</v>
      </c>
      <c r="H987" t="str">
        <f t="shared" si="985"/>
        <v>AE06D5</v>
      </c>
      <c r="I987" t="str">
        <f t="shared" si="985"/>
        <v>AE06D7</v>
      </c>
      <c r="J987" t="str">
        <f t="shared" si="985"/>
        <v>AE06D9</v>
      </c>
      <c r="K987" t="str">
        <f t="shared" si="985"/>
        <v>AE06B3</v>
      </c>
    </row>
    <row r="988">
      <c r="A988" s="14">
        <v>986.0</v>
      </c>
      <c r="B988" t="str">
        <f t="shared" ref="B988:K988" si="986">DEC2HEX(HEX2DEC(B987)+1)</f>
        <v>AE06BA</v>
      </c>
      <c r="C988" t="str">
        <f t="shared" si="986"/>
        <v>AE06BC</v>
      </c>
      <c r="D988" t="str">
        <f t="shared" si="986"/>
        <v>AE06BE</v>
      </c>
      <c r="E988" t="str">
        <f t="shared" si="986"/>
        <v>AE06C0</v>
      </c>
      <c r="F988" t="str">
        <f t="shared" si="986"/>
        <v>AE06C2</v>
      </c>
      <c r="G988" t="str">
        <f t="shared" si="986"/>
        <v>AE06D4</v>
      </c>
      <c r="H988" t="str">
        <f t="shared" si="986"/>
        <v>AE06D6</v>
      </c>
      <c r="I988" t="str">
        <f t="shared" si="986"/>
        <v>AE06D8</v>
      </c>
      <c r="J988" t="str">
        <f t="shared" si="986"/>
        <v>AE06DA</v>
      </c>
      <c r="K988" t="str">
        <f t="shared" si="986"/>
        <v>AE06B4</v>
      </c>
    </row>
    <row r="989">
      <c r="A989" s="14">
        <v>987.0</v>
      </c>
      <c r="B989" t="str">
        <f t="shared" ref="B989:K989" si="987">DEC2HEX(HEX2DEC(B988)+1)</f>
        <v>AE06BB</v>
      </c>
      <c r="C989" t="str">
        <f t="shared" si="987"/>
        <v>AE06BD</v>
      </c>
      <c r="D989" t="str">
        <f t="shared" si="987"/>
        <v>AE06BF</v>
      </c>
      <c r="E989" t="str">
        <f t="shared" si="987"/>
        <v>AE06C1</v>
      </c>
      <c r="F989" t="str">
        <f t="shared" si="987"/>
        <v>AE06C3</v>
      </c>
      <c r="G989" t="str">
        <f t="shared" si="987"/>
        <v>AE06D5</v>
      </c>
      <c r="H989" t="str">
        <f t="shared" si="987"/>
        <v>AE06D7</v>
      </c>
      <c r="I989" t="str">
        <f t="shared" si="987"/>
        <v>AE06D9</v>
      </c>
      <c r="J989" t="str">
        <f t="shared" si="987"/>
        <v>AE06DB</v>
      </c>
      <c r="K989" t="str">
        <f t="shared" si="987"/>
        <v>AE06B5</v>
      </c>
    </row>
    <row r="990">
      <c r="A990" s="14">
        <v>988.0</v>
      </c>
      <c r="B990" t="str">
        <f t="shared" ref="B990:K990" si="988">DEC2HEX(HEX2DEC(B989)+1)</f>
        <v>AE06BC</v>
      </c>
      <c r="C990" t="str">
        <f t="shared" si="988"/>
        <v>AE06BE</v>
      </c>
      <c r="D990" t="str">
        <f t="shared" si="988"/>
        <v>AE06C0</v>
      </c>
      <c r="E990" t="str">
        <f t="shared" si="988"/>
        <v>AE06C2</v>
      </c>
      <c r="F990" t="str">
        <f t="shared" si="988"/>
        <v>AE06C4</v>
      </c>
      <c r="G990" t="str">
        <f t="shared" si="988"/>
        <v>AE06D6</v>
      </c>
      <c r="H990" t="str">
        <f t="shared" si="988"/>
        <v>AE06D8</v>
      </c>
      <c r="I990" t="str">
        <f t="shared" si="988"/>
        <v>AE06DA</v>
      </c>
      <c r="J990" t="str">
        <f t="shared" si="988"/>
        <v>AE06DC</v>
      </c>
      <c r="K990" t="str">
        <f t="shared" si="988"/>
        <v>AE06B6</v>
      </c>
    </row>
    <row r="991">
      <c r="A991" s="14">
        <v>989.0</v>
      </c>
      <c r="B991" t="str">
        <f t="shared" ref="B991:K991" si="989">DEC2HEX(HEX2DEC(B990)+1)</f>
        <v>AE06BD</v>
      </c>
      <c r="C991" t="str">
        <f t="shared" si="989"/>
        <v>AE06BF</v>
      </c>
      <c r="D991" t="str">
        <f t="shared" si="989"/>
        <v>AE06C1</v>
      </c>
      <c r="E991" t="str">
        <f t="shared" si="989"/>
        <v>AE06C3</v>
      </c>
      <c r="F991" t="str">
        <f t="shared" si="989"/>
        <v>AE06C5</v>
      </c>
      <c r="G991" t="str">
        <f t="shared" si="989"/>
        <v>AE06D7</v>
      </c>
      <c r="H991" t="str">
        <f t="shared" si="989"/>
        <v>AE06D9</v>
      </c>
      <c r="I991" t="str">
        <f t="shared" si="989"/>
        <v>AE06DB</v>
      </c>
      <c r="J991" t="str">
        <f t="shared" si="989"/>
        <v>AE06DD</v>
      </c>
      <c r="K991" t="str">
        <f t="shared" si="989"/>
        <v>AE06B7</v>
      </c>
    </row>
    <row r="992">
      <c r="A992" s="14">
        <v>990.0</v>
      </c>
      <c r="B992" t="str">
        <f t="shared" ref="B992:K992" si="990">DEC2HEX(HEX2DEC(B991)+1)</f>
        <v>AE06BE</v>
      </c>
      <c r="C992" t="str">
        <f t="shared" si="990"/>
        <v>AE06C0</v>
      </c>
      <c r="D992" t="str">
        <f t="shared" si="990"/>
        <v>AE06C2</v>
      </c>
      <c r="E992" t="str">
        <f t="shared" si="990"/>
        <v>AE06C4</v>
      </c>
      <c r="F992" t="str">
        <f t="shared" si="990"/>
        <v>AE06C6</v>
      </c>
      <c r="G992" t="str">
        <f t="shared" si="990"/>
        <v>AE06D8</v>
      </c>
      <c r="H992" t="str">
        <f t="shared" si="990"/>
        <v>AE06DA</v>
      </c>
      <c r="I992" t="str">
        <f t="shared" si="990"/>
        <v>AE06DC</v>
      </c>
      <c r="J992" t="str">
        <f t="shared" si="990"/>
        <v>AE06DE</v>
      </c>
      <c r="K992" t="str">
        <f t="shared" si="990"/>
        <v>AE06B8</v>
      </c>
    </row>
    <row r="993">
      <c r="A993" s="14">
        <v>991.0</v>
      </c>
      <c r="B993" t="str">
        <f t="shared" ref="B993:K993" si="991">DEC2HEX(HEX2DEC(B992)+1)</f>
        <v>AE06BF</v>
      </c>
      <c r="C993" t="str">
        <f t="shared" si="991"/>
        <v>AE06C1</v>
      </c>
      <c r="D993" t="str">
        <f t="shared" si="991"/>
        <v>AE06C3</v>
      </c>
      <c r="E993" t="str">
        <f t="shared" si="991"/>
        <v>AE06C5</v>
      </c>
      <c r="F993" t="str">
        <f t="shared" si="991"/>
        <v>AE06C7</v>
      </c>
      <c r="G993" t="str">
        <f t="shared" si="991"/>
        <v>AE06D9</v>
      </c>
      <c r="H993" t="str">
        <f t="shared" si="991"/>
        <v>AE06DB</v>
      </c>
      <c r="I993" t="str">
        <f t="shared" si="991"/>
        <v>AE06DD</v>
      </c>
      <c r="J993" t="str">
        <f t="shared" si="991"/>
        <v>AE06DF</v>
      </c>
      <c r="K993" t="str">
        <f t="shared" si="991"/>
        <v>AE06B9</v>
      </c>
    </row>
    <row r="994">
      <c r="A994" s="14">
        <v>992.0</v>
      </c>
      <c r="B994" t="str">
        <f t="shared" ref="B994:K994" si="992">DEC2HEX(HEX2DEC(B993)+1)</f>
        <v>AE06C0</v>
      </c>
      <c r="C994" t="str">
        <f t="shared" si="992"/>
        <v>AE06C2</v>
      </c>
      <c r="D994" t="str">
        <f t="shared" si="992"/>
        <v>AE06C4</v>
      </c>
      <c r="E994" t="str">
        <f t="shared" si="992"/>
        <v>AE06C6</v>
      </c>
      <c r="F994" t="str">
        <f t="shared" si="992"/>
        <v>AE06C8</v>
      </c>
      <c r="G994" t="str">
        <f t="shared" si="992"/>
        <v>AE06DA</v>
      </c>
      <c r="H994" t="str">
        <f t="shared" si="992"/>
        <v>AE06DC</v>
      </c>
      <c r="I994" t="str">
        <f t="shared" si="992"/>
        <v>AE06DE</v>
      </c>
      <c r="J994" t="str">
        <f t="shared" si="992"/>
        <v>AE06E0</v>
      </c>
      <c r="K994" t="str">
        <f t="shared" si="992"/>
        <v>AE06BA</v>
      </c>
    </row>
    <row r="995">
      <c r="A995" s="14">
        <v>993.0</v>
      </c>
      <c r="B995" t="str">
        <f t="shared" ref="B995:K995" si="993">DEC2HEX(HEX2DEC(B994)+1)</f>
        <v>AE06C1</v>
      </c>
      <c r="C995" t="str">
        <f t="shared" si="993"/>
        <v>AE06C3</v>
      </c>
      <c r="D995" t="str">
        <f t="shared" si="993"/>
        <v>AE06C5</v>
      </c>
      <c r="E995" t="str">
        <f t="shared" si="993"/>
        <v>AE06C7</v>
      </c>
      <c r="F995" t="str">
        <f t="shared" si="993"/>
        <v>AE06C9</v>
      </c>
      <c r="G995" t="str">
        <f t="shared" si="993"/>
        <v>AE06DB</v>
      </c>
      <c r="H995" t="str">
        <f t="shared" si="993"/>
        <v>AE06DD</v>
      </c>
      <c r="I995" t="str">
        <f t="shared" si="993"/>
        <v>AE06DF</v>
      </c>
      <c r="J995" t="str">
        <f t="shared" si="993"/>
        <v>AE06E1</v>
      </c>
      <c r="K995" t="str">
        <f t="shared" si="993"/>
        <v>AE06BB</v>
      </c>
    </row>
    <row r="996">
      <c r="A996" s="14">
        <v>994.0</v>
      </c>
      <c r="B996" t="str">
        <f t="shared" ref="B996:K996" si="994">DEC2HEX(HEX2DEC(B995)+1)</f>
        <v>AE06C2</v>
      </c>
      <c r="C996" t="str">
        <f t="shared" si="994"/>
        <v>AE06C4</v>
      </c>
      <c r="D996" t="str">
        <f t="shared" si="994"/>
        <v>AE06C6</v>
      </c>
      <c r="E996" t="str">
        <f t="shared" si="994"/>
        <v>AE06C8</v>
      </c>
      <c r="F996" t="str">
        <f t="shared" si="994"/>
        <v>AE06CA</v>
      </c>
      <c r="G996" t="str">
        <f t="shared" si="994"/>
        <v>AE06DC</v>
      </c>
      <c r="H996" t="str">
        <f t="shared" si="994"/>
        <v>AE06DE</v>
      </c>
      <c r="I996" t="str">
        <f t="shared" si="994"/>
        <v>AE06E0</v>
      </c>
      <c r="J996" t="str">
        <f t="shared" si="994"/>
        <v>AE06E2</v>
      </c>
      <c r="K996" t="str">
        <f t="shared" si="994"/>
        <v>AE06BC</v>
      </c>
    </row>
    <row r="997">
      <c r="A997" s="14">
        <v>995.0</v>
      </c>
      <c r="B997" t="str">
        <f t="shared" ref="B997:K997" si="995">DEC2HEX(HEX2DEC(B996)+1)</f>
        <v>AE06C3</v>
      </c>
      <c r="C997" t="str">
        <f t="shared" si="995"/>
        <v>AE06C5</v>
      </c>
      <c r="D997" t="str">
        <f t="shared" si="995"/>
        <v>AE06C7</v>
      </c>
      <c r="E997" t="str">
        <f t="shared" si="995"/>
        <v>AE06C9</v>
      </c>
      <c r="F997" t="str">
        <f t="shared" si="995"/>
        <v>AE06CB</v>
      </c>
      <c r="G997" t="str">
        <f t="shared" si="995"/>
        <v>AE06DD</v>
      </c>
      <c r="H997" t="str">
        <f t="shared" si="995"/>
        <v>AE06DF</v>
      </c>
      <c r="I997" t="str">
        <f t="shared" si="995"/>
        <v>AE06E1</v>
      </c>
      <c r="J997" t="str">
        <f t="shared" si="995"/>
        <v>AE06E3</v>
      </c>
      <c r="K997" t="str">
        <f t="shared" si="995"/>
        <v>AE06BD</v>
      </c>
    </row>
    <row r="998">
      <c r="A998" s="14">
        <v>996.0</v>
      </c>
      <c r="B998" t="str">
        <f t="shared" ref="B998:K998" si="996">DEC2HEX(HEX2DEC(B997)+1)</f>
        <v>AE06C4</v>
      </c>
      <c r="C998" t="str">
        <f t="shared" si="996"/>
        <v>AE06C6</v>
      </c>
      <c r="D998" t="str">
        <f t="shared" si="996"/>
        <v>AE06C8</v>
      </c>
      <c r="E998" t="str">
        <f t="shared" si="996"/>
        <v>AE06CA</v>
      </c>
      <c r="F998" t="str">
        <f t="shared" si="996"/>
        <v>AE06CC</v>
      </c>
      <c r="G998" t="str">
        <f t="shared" si="996"/>
        <v>AE06DE</v>
      </c>
      <c r="H998" t="str">
        <f t="shared" si="996"/>
        <v>AE06E0</v>
      </c>
      <c r="I998" t="str">
        <f t="shared" si="996"/>
        <v>AE06E2</v>
      </c>
      <c r="J998" t="str">
        <f t="shared" si="996"/>
        <v>AE06E4</v>
      </c>
      <c r="K998" t="str">
        <f t="shared" si="996"/>
        <v>AE06BE</v>
      </c>
    </row>
    <row r="999">
      <c r="A999" s="14">
        <v>997.0</v>
      </c>
      <c r="B999" t="str">
        <f t="shared" ref="B999:K999" si="997">DEC2HEX(HEX2DEC(B998)+1)</f>
        <v>AE06C5</v>
      </c>
      <c r="C999" t="str">
        <f t="shared" si="997"/>
        <v>AE06C7</v>
      </c>
      <c r="D999" t="str">
        <f t="shared" si="997"/>
        <v>AE06C9</v>
      </c>
      <c r="E999" t="str">
        <f t="shared" si="997"/>
        <v>AE06CB</v>
      </c>
      <c r="F999" t="str">
        <f t="shared" si="997"/>
        <v>AE06CD</v>
      </c>
      <c r="G999" t="str">
        <f t="shared" si="997"/>
        <v>AE06DF</v>
      </c>
      <c r="H999" t="str">
        <f t="shared" si="997"/>
        <v>AE06E1</v>
      </c>
      <c r="I999" t="str">
        <f t="shared" si="997"/>
        <v>AE06E3</v>
      </c>
      <c r="J999" t="str">
        <f t="shared" si="997"/>
        <v>AE06E5</v>
      </c>
      <c r="K999" t="str">
        <f t="shared" si="997"/>
        <v>AE06BF</v>
      </c>
    </row>
    <row r="1000">
      <c r="A1000" s="14">
        <v>998.0</v>
      </c>
      <c r="B1000" t="str">
        <f t="shared" ref="B1000:K1000" si="998">DEC2HEX(HEX2DEC(B999)+1)</f>
        <v>AE06C6</v>
      </c>
      <c r="C1000" t="str">
        <f t="shared" si="998"/>
        <v>AE06C8</v>
      </c>
      <c r="D1000" t="str">
        <f t="shared" si="998"/>
        <v>AE06CA</v>
      </c>
      <c r="E1000" t="str">
        <f t="shared" si="998"/>
        <v>AE06CC</v>
      </c>
      <c r="F1000" t="str">
        <f t="shared" si="998"/>
        <v>AE06CE</v>
      </c>
      <c r="G1000" t="str">
        <f t="shared" si="998"/>
        <v>AE06E0</v>
      </c>
      <c r="H1000" t="str">
        <f t="shared" si="998"/>
        <v>AE06E2</v>
      </c>
      <c r="I1000" t="str">
        <f t="shared" si="998"/>
        <v>AE06E4</v>
      </c>
      <c r="J1000" t="str">
        <f t="shared" si="998"/>
        <v>AE06E6</v>
      </c>
      <c r="K1000" t="str">
        <f t="shared" si="998"/>
        <v>AE06C0</v>
      </c>
    </row>
    <row r="1001">
      <c r="A1001" s="14"/>
    </row>
    <row r="1002">
      <c r="A1002" s="14"/>
    </row>
    <row r="1003">
      <c r="A1003" s="14"/>
    </row>
    <row r="1004">
      <c r="A1004" s="14"/>
    </row>
    <row r="1005">
      <c r="A1005" s="14"/>
    </row>
    <row r="1006">
      <c r="A1006" s="14"/>
    </row>
    <row r="1007">
      <c r="A1007" s="14"/>
    </row>
    <row r="1008">
      <c r="A1008" s="14"/>
    </row>
    <row r="1009">
      <c r="A1009" s="14"/>
    </row>
    <row r="1010">
      <c r="A1010" s="14"/>
    </row>
    <row r="1011">
      <c r="A1011" s="14"/>
    </row>
    <row r="1012">
      <c r="A1012" s="14"/>
    </row>
    <row r="1013">
      <c r="A1013" s="14"/>
    </row>
    <row r="1014">
      <c r="A1014" s="14"/>
    </row>
    <row r="1015">
      <c r="A1015" s="14"/>
    </row>
    <row r="1016">
      <c r="A1016" s="14"/>
    </row>
    <row r="1017">
      <c r="A1017" s="14"/>
    </row>
    <row r="1018">
      <c r="A1018" s="14"/>
    </row>
    <row r="1019">
      <c r="A1019" s="14"/>
    </row>
    <row r="1020">
      <c r="A1020" s="14"/>
    </row>
    <row r="1021">
      <c r="A1021" s="14"/>
    </row>
    <row r="1022">
      <c r="A1022" s="14"/>
    </row>
    <row r="1023">
      <c r="A1023" s="14"/>
    </row>
    <row r="1024">
      <c r="A1024" s="14"/>
    </row>
    <row r="1025">
      <c r="A1025" s="14"/>
    </row>
    <row r="1026">
      <c r="A1026" s="14"/>
    </row>
    <row r="1027">
      <c r="A1027" s="14"/>
    </row>
    <row r="1028">
      <c r="A1028" s="14"/>
    </row>
    <row r="1029">
      <c r="A1029" s="14"/>
    </row>
    <row r="1030">
      <c r="A1030" s="14"/>
    </row>
    <row r="1031">
      <c r="A1031" s="14"/>
    </row>
    <row r="1032">
      <c r="A1032" s="14"/>
    </row>
    <row r="1033">
      <c r="A1033" s="14"/>
    </row>
    <row r="1034">
      <c r="A1034" s="14"/>
    </row>
    <row r="1035">
      <c r="A1035" s="14"/>
    </row>
    <row r="1036">
      <c r="A1036" s="14"/>
    </row>
    <row r="1037">
      <c r="A1037" s="14"/>
    </row>
    <row r="1038">
      <c r="A1038" s="14"/>
    </row>
    <row r="1039">
      <c r="A1039" s="14"/>
    </row>
    <row r="1040">
      <c r="A1040" s="14"/>
    </row>
    <row r="1041">
      <c r="A1041" s="14"/>
    </row>
    <row r="1042">
      <c r="A1042" s="14"/>
    </row>
    <row r="1043">
      <c r="A1043" s="14"/>
    </row>
    <row r="1044">
      <c r="A1044" s="14"/>
    </row>
    <row r="1045">
      <c r="A1045" s="14"/>
    </row>
    <row r="1046">
      <c r="A1046" s="14"/>
    </row>
    <row r="1047">
      <c r="A1047" s="14"/>
    </row>
    <row r="1048">
      <c r="A1048" s="14"/>
    </row>
    <row r="1049">
      <c r="A1049" s="14"/>
    </row>
    <row r="1050">
      <c r="A1050" s="14"/>
    </row>
    <row r="1051">
      <c r="A1051" s="14"/>
    </row>
    <row r="1052">
      <c r="A1052" s="14"/>
    </row>
    <row r="1053">
      <c r="A1053" s="14"/>
    </row>
    <row r="1054">
      <c r="A1054" s="14"/>
    </row>
    <row r="1055">
      <c r="A1055" s="14"/>
    </row>
    <row r="1056">
      <c r="A1056" s="14"/>
    </row>
    <row r="1057">
      <c r="A1057" s="14"/>
    </row>
    <row r="1058">
      <c r="A1058" s="14"/>
    </row>
    <row r="1059">
      <c r="A1059" s="14"/>
    </row>
    <row r="1060">
      <c r="A1060" s="14"/>
    </row>
    <row r="1061">
      <c r="A1061" s="14"/>
    </row>
    <row r="1062">
      <c r="A1062" s="14"/>
    </row>
    <row r="1063">
      <c r="A1063" s="14"/>
    </row>
    <row r="1064">
      <c r="A1064" s="14"/>
    </row>
    <row r="1065">
      <c r="A1065" s="14"/>
    </row>
    <row r="1066">
      <c r="A1066" s="14"/>
    </row>
    <row r="1067">
      <c r="A1067" s="14"/>
    </row>
    <row r="1068">
      <c r="A1068" s="14"/>
    </row>
    <row r="1069">
      <c r="A1069" s="14"/>
    </row>
    <row r="1070">
      <c r="A1070" s="14"/>
    </row>
    <row r="1071">
      <c r="A1071" s="14"/>
    </row>
    <row r="1072">
      <c r="A1072" s="14"/>
    </row>
    <row r="1073">
      <c r="A1073" s="14"/>
    </row>
    <row r="1074">
      <c r="A1074" s="14"/>
    </row>
    <row r="1075">
      <c r="A1075" s="14"/>
    </row>
    <row r="1076">
      <c r="A1076" s="14"/>
    </row>
    <row r="1077">
      <c r="A1077" s="14"/>
    </row>
    <row r="1078">
      <c r="A1078" s="14"/>
    </row>
    <row r="1079">
      <c r="A1079" s="14"/>
    </row>
    <row r="1080">
      <c r="A1080" s="14"/>
    </row>
    <row r="1081">
      <c r="A1081" s="14"/>
    </row>
    <row r="1082">
      <c r="A1082" s="14"/>
    </row>
    <row r="1083">
      <c r="A1083" s="14"/>
    </row>
    <row r="1084">
      <c r="A1084" s="14"/>
    </row>
    <row r="1085">
      <c r="A1085" s="14"/>
    </row>
    <row r="1086">
      <c r="A1086" s="14"/>
    </row>
    <row r="1087">
      <c r="A1087" s="14"/>
    </row>
    <row r="1088">
      <c r="A1088" s="14"/>
    </row>
    <row r="1089">
      <c r="A1089" s="14"/>
    </row>
    <row r="1090">
      <c r="A1090" s="14"/>
    </row>
    <row r="1091">
      <c r="A1091" s="14"/>
    </row>
    <row r="1092">
      <c r="A1092" s="14"/>
    </row>
    <row r="1093">
      <c r="A1093" s="14"/>
    </row>
    <row r="1094">
      <c r="A1094" s="14"/>
    </row>
    <row r="1095">
      <c r="A1095" s="14"/>
    </row>
    <row r="1096">
      <c r="A1096" s="14"/>
    </row>
    <row r="1097">
      <c r="A1097" s="14"/>
    </row>
    <row r="1098">
      <c r="A1098" s="14"/>
    </row>
    <row r="1099">
      <c r="A1099" s="14"/>
    </row>
    <row r="1100">
      <c r="A1100" s="14"/>
    </row>
    <row r="1101">
      <c r="A1101" s="14"/>
    </row>
    <row r="1102">
      <c r="A1102" s="14"/>
    </row>
    <row r="1103">
      <c r="A1103" s="14"/>
    </row>
    <row r="1104">
      <c r="A1104" s="14"/>
    </row>
    <row r="1105">
      <c r="A1105" s="14"/>
    </row>
    <row r="1106">
      <c r="A1106" s="14"/>
    </row>
    <row r="1107">
      <c r="A1107" s="14"/>
    </row>
    <row r="1108">
      <c r="A1108" s="14"/>
    </row>
    <row r="1109">
      <c r="A1109" s="14"/>
    </row>
    <row r="1110">
      <c r="A1110" s="14"/>
    </row>
    <row r="1111">
      <c r="A1111" s="14"/>
    </row>
    <row r="1112">
      <c r="A1112" s="14"/>
    </row>
    <row r="1113">
      <c r="A1113" s="14"/>
    </row>
    <row r="1114">
      <c r="A1114" s="14"/>
    </row>
    <row r="1115">
      <c r="A1115" s="14"/>
    </row>
    <row r="1116">
      <c r="A1116" s="14"/>
    </row>
    <row r="1117">
      <c r="A1117" s="14"/>
    </row>
    <row r="1118">
      <c r="A1118" s="14"/>
    </row>
    <row r="1119">
      <c r="A1119" s="14"/>
    </row>
    <row r="1120">
      <c r="A1120" s="14"/>
    </row>
    <row r="1121">
      <c r="A1121" s="14"/>
    </row>
    <row r="1122">
      <c r="A1122" s="14"/>
    </row>
    <row r="1123">
      <c r="A1123" s="14"/>
    </row>
    <row r="1124">
      <c r="A1124" s="14"/>
    </row>
    <row r="1125">
      <c r="A1125" s="14"/>
    </row>
    <row r="1126">
      <c r="A1126" s="14"/>
    </row>
    <row r="1127">
      <c r="A1127" s="14"/>
    </row>
    <row r="1128">
      <c r="A1128" s="14"/>
    </row>
    <row r="1129">
      <c r="A1129" s="14"/>
    </row>
    <row r="1130">
      <c r="A1130" s="14"/>
    </row>
    <row r="1131">
      <c r="A1131" s="14"/>
    </row>
    <row r="1132">
      <c r="A1132" s="14"/>
    </row>
    <row r="1133">
      <c r="A1133" s="14"/>
    </row>
    <row r="1134">
      <c r="A1134" s="14"/>
    </row>
    <row r="1135">
      <c r="A1135" s="14"/>
    </row>
    <row r="1136">
      <c r="A1136" s="14"/>
    </row>
    <row r="1137">
      <c r="A1137" s="14"/>
    </row>
    <row r="1138">
      <c r="A1138" s="14"/>
    </row>
    <row r="1139">
      <c r="A1139" s="14"/>
    </row>
    <row r="1140">
      <c r="A1140" s="14"/>
    </row>
    <row r="1141">
      <c r="A1141" s="14"/>
    </row>
    <row r="1142">
      <c r="A1142" s="14"/>
    </row>
    <row r="1143">
      <c r="A1143" s="14"/>
    </row>
    <row r="1144">
      <c r="A1144" s="14"/>
    </row>
    <row r="1145">
      <c r="A1145" s="14"/>
    </row>
    <row r="1146">
      <c r="A1146" s="14"/>
    </row>
    <row r="1147">
      <c r="A1147" s="14"/>
    </row>
    <row r="1148">
      <c r="A1148" s="14"/>
    </row>
    <row r="1149">
      <c r="A1149" s="14"/>
    </row>
    <row r="1150">
      <c r="A1150" s="14"/>
    </row>
    <row r="1151">
      <c r="A1151" s="14"/>
    </row>
    <row r="1152">
      <c r="A1152" s="14"/>
    </row>
    <row r="1153">
      <c r="A1153" s="14"/>
    </row>
    <row r="1154">
      <c r="A1154" s="14"/>
    </row>
    <row r="1155">
      <c r="A1155" s="14"/>
    </row>
    <row r="1156">
      <c r="A1156" s="14"/>
    </row>
    <row r="1157">
      <c r="A1157" s="14"/>
    </row>
    <row r="1158">
      <c r="A1158" s="14"/>
    </row>
    <row r="1159">
      <c r="A1159" s="14"/>
    </row>
    <row r="1160">
      <c r="A1160" s="14"/>
    </row>
    <row r="1161">
      <c r="A1161" s="14"/>
    </row>
    <row r="1162">
      <c r="A1162" s="14"/>
    </row>
    <row r="1163">
      <c r="A1163" s="14"/>
    </row>
    <row r="1164">
      <c r="A1164" s="14"/>
    </row>
    <row r="1165">
      <c r="A1165" s="14"/>
    </row>
    <row r="1166">
      <c r="A1166" s="14"/>
    </row>
    <row r="1167">
      <c r="A1167" s="14"/>
    </row>
    <row r="1168">
      <c r="A1168" s="14"/>
    </row>
    <row r="1169">
      <c r="A1169" s="14"/>
    </row>
    <row r="1170">
      <c r="A1170" s="14"/>
    </row>
    <row r="1171">
      <c r="A1171" s="14"/>
    </row>
    <row r="1172">
      <c r="A1172" s="14"/>
    </row>
    <row r="1173">
      <c r="A1173" s="14"/>
    </row>
    <row r="1174">
      <c r="A1174" s="14"/>
    </row>
    <row r="1175">
      <c r="A1175" s="14"/>
    </row>
    <row r="1176">
      <c r="A1176" s="14"/>
    </row>
    <row r="1177">
      <c r="A1177" s="14"/>
    </row>
    <row r="1178">
      <c r="A1178" s="14"/>
    </row>
    <row r="1179">
      <c r="A1179" s="14"/>
    </row>
    <row r="1180">
      <c r="A1180" s="14"/>
    </row>
    <row r="1181">
      <c r="A1181" s="14"/>
    </row>
    <row r="1182">
      <c r="A1182" s="14"/>
    </row>
    <row r="1183">
      <c r="A1183" s="14"/>
    </row>
    <row r="1184">
      <c r="A1184" s="14"/>
    </row>
    <row r="1185">
      <c r="A1185" s="14"/>
    </row>
    <row r="1186">
      <c r="A1186" s="14"/>
    </row>
    <row r="1187">
      <c r="A1187" s="14"/>
    </row>
    <row r="1188">
      <c r="A1188" s="14"/>
    </row>
    <row r="1189">
      <c r="A1189" s="14"/>
    </row>
    <row r="1190">
      <c r="A1190" s="14"/>
    </row>
    <row r="1191">
      <c r="A1191" s="14"/>
    </row>
    <row r="1192">
      <c r="A1192" s="14"/>
    </row>
    <row r="1193">
      <c r="A1193" s="14"/>
    </row>
    <row r="1194">
      <c r="A1194" s="14"/>
    </row>
    <row r="1195">
      <c r="A1195" s="14"/>
    </row>
    <row r="1196">
      <c r="A1196" s="14"/>
    </row>
    <row r="1197">
      <c r="A1197" s="14"/>
    </row>
    <row r="1198">
      <c r="A1198" s="14"/>
    </row>
    <row r="1199">
      <c r="A1199" s="14"/>
    </row>
    <row r="1200">
      <c r="A1200" s="14"/>
    </row>
    <row r="1201">
      <c r="A1201" s="14"/>
    </row>
    <row r="1202">
      <c r="A1202" s="14"/>
    </row>
    <row r="1203">
      <c r="A1203" s="14"/>
    </row>
    <row r="1204">
      <c r="A1204" s="14"/>
    </row>
    <row r="1205">
      <c r="A1205" s="14"/>
    </row>
    <row r="1206">
      <c r="A1206" s="14"/>
    </row>
    <row r="1207">
      <c r="A1207" s="14"/>
    </row>
    <row r="1208">
      <c r="A1208" s="14"/>
    </row>
    <row r="1209">
      <c r="A1209" s="14"/>
    </row>
    <row r="1210">
      <c r="A1210" s="14"/>
    </row>
    <row r="1211">
      <c r="A1211" s="14"/>
    </row>
    <row r="1212">
      <c r="A1212" s="14"/>
    </row>
    <row r="1213">
      <c r="A1213" s="14"/>
    </row>
    <row r="1214">
      <c r="A1214" s="14"/>
    </row>
    <row r="1215">
      <c r="A1215" s="14"/>
    </row>
    <row r="1216">
      <c r="A1216" s="14"/>
    </row>
    <row r="1217">
      <c r="A1217" s="14"/>
    </row>
    <row r="1218">
      <c r="A1218" s="14"/>
    </row>
    <row r="1219">
      <c r="A1219" s="14"/>
    </row>
    <row r="1220">
      <c r="A1220" s="14"/>
    </row>
    <row r="1221">
      <c r="A1221" s="14"/>
    </row>
    <row r="1222">
      <c r="A1222" s="14"/>
    </row>
    <row r="1223">
      <c r="A1223" s="14"/>
    </row>
    <row r="1224">
      <c r="A1224" s="14"/>
    </row>
    <row r="1225">
      <c r="A1225" s="14"/>
    </row>
    <row r="1226">
      <c r="A1226" s="14"/>
    </row>
    <row r="1227">
      <c r="A1227" s="14"/>
    </row>
    <row r="1228">
      <c r="A1228" s="14"/>
    </row>
    <row r="1229">
      <c r="A1229" s="14"/>
    </row>
    <row r="1230">
      <c r="A1230" s="14"/>
    </row>
    <row r="1231">
      <c r="A1231" s="14"/>
    </row>
    <row r="1232">
      <c r="A1232" s="14"/>
    </row>
    <row r="1233">
      <c r="A1233" s="14"/>
    </row>
    <row r="1234">
      <c r="A1234" s="14"/>
    </row>
    <row r="1235">
      <c r="A1235" s="14"/>
    </row>
    <row r="1236">
      <c r="A1236" s="14"/>
    </row>
    <row r="1237">
      <c r="A1237" s="14"/>
    </row>
    <row r="1238">
      <c r="A1238" s="14"/>
    </row>
    <row r="1239">
      <c r="A1239" s="14"/>
    </row>
    <row r="1240">
      <c r="A1240" s="14"/>
    </row>
    <row r="1241">
      <c r="A1241" s="14"/>
    </row>
    <row r="1242">
      <c r="A1242" s="14"/>
    </row>
    <row r="1243">
      <c r="A1243" s="14"/>
    </row>
    <row r="1244">
      <c r="A1244" s="14"/>
    </row>
    <row r="1245">
      <c r="A1245" s="14"/>
    </row>
    <row r="1246">
      <c r="A1246" s="14"/>
    </row>
    <row r="1247">
      <c r="A1247" s="14"/>
    </row>
    <row r="1248">
      <c r="A1248" s="14"/>
    </row>
    <row r="1249">
      <c r="A1249" s="14"/>
    </row>
    <row r="1250">
      <c r="A1250" s="14"/>
    </row>
    <row r="1251">
      <c r="A1251" s="14"/>
    </row>
    <row r="1252">
      <c r="A1252" s="14"/>
    </row>
    <row r="1253">
      <c r="A1253" s="14"/>
    </row>
    <row r="1254">
      <c r="A1254" s="14"/>
    </row>
    <row r="1255">
      <c r="A1255" s="14"/>
    </row>
    <row r="1256">
      <c r="A1256" s="14"/>
    </row>
    <row r="1257">
      <c r="A1257" s="14"/>
    </row>
    <row r="1258">
      <c r="A1258" s="14"/>
    </row>
    <row r="1259">
      <c r="A1259" s="14"/>
    </row>
    <row r="1260">
      <c r="A1260" s="14"/>
    </row>
    <row r="1261">
      <c r="A1261" s="14"/>
    </row>
    <row r="1262">
      <c r="A1262" s="14"/>
    </row>
    <row r="1263">
      <c r="A1263" s="14"/>
    </row>
    <row r="1264">
      <c r="A1264" s="14"/>
    </row>
    <row r="1265">
      <c r="A1265" s="14"/>
    </row>
    <row r="1266">
      <c r="A1266" s="14"/>
    </row>
    <row r="1267">
      <c r="A1267" s="14"/>
    </row>
    <row r="1268">
      <c r="A1268" s="14"/>
    </row>
    <row r="1269">
      <c r="A1269" s="14"/>
    </row>
    <row r="1270">
      <c r="A1270" s="14"/>
    </row>
    <row r="1271">
      <c r="A1271" s="14"/>
    </row>
    <row r="1272">
      <c r="A1272" s="14"/>
    </row>
    <row r="1273">
      <c r="A1273" s="14"/>
    </row>
    <row r="1274">
      <c r="A1274" s="14"/>
    </row>
    <row r="1275">
      <c r="A1275" s="14"/>
    </row>
    <row r="1276">
      <c r="A1276" s="14"/>
    </row>
    <row r="1277">
      <c r="A1277" s="14"/>
    </row>
    <row r="1278">
      <c r="A1278" s="14"/>
    </row>
    <row r="1279">
      <c r="A1279" s="14"/>
    </row>
    <row r="1280">
      <c r="A1280" s="14"/>
    </row>
    <row r="1281">
      <c r="A1281" s="14"/>
    </row>
    <row r="1282">
      <c r="A1282" s="14"/>
    </row>
    <row r="1283">
      <c r="A1283" s="14"/>
    </row>
    <row r="1284">
      <c r="A1284" s="14"/>
    </row>
    <row r="1285">
      <c r="A1285" s="14"/>
    </row>
    <row r="1286">
      <c r="A1286" s="14"/>
    </row>
    <row r="1287">
      <c r="A1287" s="14"/>
    </row>
    <row r="1288">
      <c r="A1288" s="14"/>
    </row>
    <row r="1289">
      <c r="A1289" s="14"/>
    </row>
    <row r="1290">
      <c r="A1290" s="14"/>
    </row>
    <row r="1291">
      <c r="A1291" s="14"/>
    </row>
    <row r="1292">
      <c r="A1292" s="14"/>
    </row>
    <row r="1293">
      <c r="A1293" s="14"/>
    </row>
    <row r="1294">
      <c r="A1294" s="14"/>
    </row>
    <row r="1295">
      <c r="A1295" s="14"/>
    </row>
    <row r="1296">
      <c r="A1296" s="14"/>
    </row>
    <row r="1297">
      <c r="A1297" s="14"/>
    </row>
    <row r="1298">
      <c r="A1298" s="14"/>
    </row>
    <row r="1299">
      <c r="A1299" s="14"/>
    </row>
    <row r="1300">
      <c r="A1300" s="14"/>
    </row>
    <row r="1301">
      <c r="A1301" s="14"/>
    </row>
    <row r="1302">
      <c r="A1302" s="14"/>
    </row>
    <row r="1303">
      <c r="A1303" s="14"/>
    </row>
    <row r="1304">
      <c r="A1304" s="14"/>
    </row>
    <row r="1305">
      <c r="A1305" s="14"/>
    </row>
    <row r="1306">
      <c r="A1306" s="14"/>
    </row>
    <row r="1307">
      <c r="A1307" s="14"/>
    </row>
    <row r="1308">
      <c r="A1308" s="14"/>
    </row>
    <row r="1309">
      <c r="A1309" s="14"/>
    </row>
    <row r="1310">
      <c r="A1310" s="14"/>
    </row>
    <row r="1311">
      <c r="A1311" s="14"/>
    </row>
    <row r="1312">
      <c r="A1312" s="14"/>
    </row>
    <row r="1313">
      <c r="A1313" s="14"/>
    </row>
    <row r="1314">
      <c r="A1314" s="14"/>
    </row>
    <row r="1315">
      <c r="A1315" s="14"/>
    </row>
    <row r="1316">
      <c r="A1316" s="14"/>
    </row>
    <row r="1317">
      <c r="A1317" s="14"/>
    </row>
    <row r="1318">
      <c r="A1318" s="14"/>
    </row>
    <row r="1319">
      <c r="A1319" s="14"/>
    </row>
    <row r="1320">
      <c r="A1320" s="14"/>
    </row>
    <row r="1321">
      <c r="A1321" s="14"/>
    </row>
    <row r="1322">
      <c r="A1322" s="14"/>
    </row>
    <row r="1323">
      <c r="A1323" s="14"/>
    </row>
    <row r="1324">
      <c r="A1324" s="14"/>
    </row>
    <row r="1325">
      <c r="A1325" s="14"/>
    </row>
    <row r="1326">
      <c r="A1326" s="14"/>
    </row>
    <row r="1327">
      <c r="A1327" s="14"/>
    </row>
    <row r="1328">
      <c r="A1328" s="14"/>
    </row>
    <row r="1329">
      <c r="A1329" s="14"/>
    </row>
    <row r="1330">
      <c r="A1330" s="14"/>
    </row>
    <row r="1331">
      <c r="A1331" s="14"/>
    </row>
    <row r="1332">
      <c r="A1332" s="14"/>
    </row>
    <row r="1333">
      <c r="A1333" s="14"/>
    </row>
    <row r="1334">
      <c r="A1334" s="14"/>
    </row>
    <row r="1335">
      <c r="A1335" s="14"/>
    </row>
    <row r="1336">
      <c r="A1336" s="14"/>
    </row>
    <row r="1337">
      <c r="A1337" s="14"/>
    </row>
    <row r="1338">
      <c r="A1338" s="14"/>
    </row>
    <row r="1339">
      <c r="A1339" s="14"/>
    </row>
    <row r="1340">
      <c r="A1340" s="14"/>
    </row>
    <row r="1341">
      <c r="A1341" s="14"/>
    </row>
    <row r="1342">
      <c r="A1342" s="14"/>
    </row>
    <row r="1343">
      <c r="A1343" s="14"/>
    </row>
    <row r="1344">
      <c r="A1344" s="14"/>
    </row>
    <row r="1345">
      <c r="A1345" s="14"/>
    </row>
    <row r="1346">
      <c r="A1346" s="14"/>
    </row>
    <row r="1347">
      <c r="A1347" s="14"/>
    </row>
    <row r="1348">
      <c r="A1348" s="14"/>
    </row>
    <row r="1349">
      <c r="A1349" s="14"/>
    </row>
    <row r="1350">
      <c r="A1350" s="14"/>
    </row>
    <row r="1351">
      <c r="A1351" s="14"/>
    </row>
    <row r="1352">
      <c r="A1352" s="14"/>
    </row>
    <row r="1353">
      <c r="A1353" s="14"/>
    </row>
    <row r="1354">
      <c r="A1354" s="14"/>
    </row>
    <row r="1355">
      <c r="A1355" s="14"/>
    </row>
    <row r="1356">
      <c r="A1356" s="14"/>
    </row>
    <row r="1357">
      <c r="A1357" s="14"/>
    </row>
    <row r="1358">
      <c r="A1358" s="14"/>
    </row>
    <row r="1359">
      <c r="A1359" s="14"/>
    </row>
    <row r="1360">
      <c r="A1360" s="14"/>
    </row>
    <row r="1361">
      <c r="A1361" s="14"/>
    </row>
    <row r="1362">
      <c r="A1362" s="14"/>
    </row>
    <row r="1363">
      <c r="A1363" s="14"/>
    </row>
    <row r="1364">
      <c r="A1364" s="14"/>
    </row>
    <row r="1365">
      <c r="A1365" s="14"/>
    </row>
    <row r="1366">
      <c r="A1366" s="14"/>
    </row>
    <row r="1367">
      <c r="A1367" s="14"/>
    </row>
    <row r="1368">
      <c r="A1368" s="14"/>
    </row>
    <row r="1369">
      <c r="A1369" s="14"/>
    </row>
    <row r="1370">
      <c r="A1370" s="14"/>
    </row>
    <row r="1371">
      <c r="A1371" s="14"/>
    </row>
    <row r="1372">
      <c r="A1372" s="14"/>
    </row>
    <row r="1373">
      <c r="A1373" s="14"/>
    </row>
    <row r="1374">
      <c r="A1374" s="14"/>
    </row>
    <row r="1375">
      <c r="A1375" s="14"/>
    </row>
    <row r="1376">
      <c r="A1376" s="14"/>
    </row>
    <row r="1377">
      <c r="A1377" s="14"/>
    </row>
    <row r="1378">
      <c r="A1378" s="14"/>
    </row>
    <row r="1379">
      <c r="A1379" s="14"/>
    </row>
    <row r="1380">
      <c r="A1380" s="14"/>
    </row>
    <row r="1381">
      <c r="A1381" s="14"/>
    </row>
    <row r="1382">
      <c r="A1382" s="14"/>
    </row>
    <row r="1383">
      <c r="A1383" s="14"/>
    </row>
    <row r="1384">
      <c r="A1384" s="14"/>
    </row>
    <row r="1385">
      <c r="A1385" s="14"/>
    </row>
    <row r="1386">
      <c r="A1386" s="14"/>
    </row>
    <row r="1387">
      <c r="A1387" s="14"/>
    </row>
    <row r="1388">
      <c r="A1388" s="14"/>
    </row>
    <row r="1389">
      <c r="A1389" s="14"/>
    </row>
    <row r="1390">
      <c r="A1390" s="14"/>
    </row>
    <row r="1391">
      <c r="A1391" s="14"/>
    </row>
    <row r="1392">
      <c r="A1392" s="14"/>
    </row>
    <row r="1393">
      <c r="A1393" s="14"/>
    </row>
    <row r="1394">
      <c r="A1394" s="14"/>
    </row>
    <row r="1395">
      <c r="A1395" s="14"/>
    </row>
    <row r="1396">
      <c r="A1396" s="14"/>
    </row>
    <row r="1397">
      <c r="A1397" s="14"/>
    </row>
    <row r="1398">
      <c r="A1398" s="14"/>
    </row>
    <row r="1399">
      <c r="A1399" s="14"/>
    </row>
    <row r="1400">
      <c r="A1400" s="14"/>
    </row>
    <row r="1401">
      <c r="A1401" s="14"/>
    </row>
    <row r="1402">
      <c r="A1402" s="14"/>
    </row>
    <row r="1403">
      <c r="A1403" s="14"/>
    </row>
    <row r="1404">
      <c r="A1404" s="14"/>
    </row>
    <row r="1405">
      <c r="A1405" s="14"/>
    </row>
    <row r="1406">
      <c r="A1406" s="14"/>
    </row>
    <row r="1407">
      <c r="A1407" s="14"/>
    </row>
    <row r="1408">
      <c r="A1408" s="14"/>
    </row>
    <row r="1409">
      <c r="A1409" s="14"/>
    </row>
    <row r="1410">
      <c r="A1410" s="14"/>
    </row>
    <row r="1411">
      <c r="A1411" s="14"/>
    </row>
    <row r="1412">
      <c r="A1412" s="14"/>
    </row>
    <row r="1413">
      <c r="A1413" s="14"/>
    </row>
    <row r="1414">
      <c r="A1414" s="14"/>
    </row>
    <row r="1415">
      <c r="A1415" s="14"/>
    </row>
    <row r="1416">
      <c r="A1416" s="14"/>
    </row>
    <row r="1417">
      <c r="A1417" s="14"/>
    </row>
    <row r="1418">
      <c r="A1418" s="14"/>
    </row>
    <row r="1419">
      <c r="A1419" s="14"/>
    </row>
    <row r="1420">
      <c r="A1420" s="14"/>
    </row>
    <row r="1421">
      <c r="A1421" s="14"/>
    </row>
    <row r="1422">
      <c r="A1422" s="14"/>
    </row>
    <row r="1423">
      <c r="A1423" s="14"/>
    </row>
    <row r="1424">
      <c r="A1424" s="14"/>
    </row>
    <row r="1425">
      <c r="A1425" s="14"/>
    </row>
    <row r="1426">
      <c r="A1426" s="14"/>
    </row>
    <row r="1427">
      <c r="A1427" s="14"/>
    </row>
    <row r="1428">
      <c r="A1428" s="14"/>
    </row>
    <row r="1429">
      <c r="A1429" s="14"/>
    </row>
    <row r="1430">
      <c r="A1430" s="14"/>
    </row>
    <row r="1431">
      <c r="A1431" s="14"/>
    </row>
    <row r="1432">
      <c r="A1432" s="14"/>
    </row>
    <row r="1433">
      <c r="A1433" s="14"/>
    </row>
    <row r="1434">
      <c r="A1434" s="14"/>
    </row>
    <row r="1435">
      <c r="A1435" s="14"/>
    </row>
    <row r="1436">
      <c r="A1436" s="14"/>
    </row>
    <row r="1437">
      <c r="A1437" s="14"/>
    </row>
    <row r="1438">
      <c r="A1438" s="14"/>
    </row>
    <row r="1439">
      <c r="A1439" s="14"/>
    </row>
    <row r="1440">
      <c r="A1440" s="14"/>
    </row>
    <row r="1441">
      <c r="A1441" s="14"/>
    </row>
    <row r="1442">
      <c r="A1442" s="14"/>
    </row>
    <row r="1443">
      <c r="A1443" s="14"/>
    </row>
    <row r="1444">
      <c r="A1444" s="14"/>
    </row>
    <row r="1445">
      <c r="A1445" s="14"/>
    </row>
    <row r="1446">
      <c r="A1446" s="14"/>
    </row>
    <row r="1447">
      <c r="A1447" s="14"/>
    </row>
    <row r="1448">
      <c r="A1448" s="14"/>
    </row>
    <row r="1449">
      <c r="A1449" s="14"/>
    </row>
    <row r="1450">
      <c r="A1450" s="14"/>
    </row>
    <row r="1451">
      <c r="A1451" s="14"/>
    </row>
    <row r="1452">
      <c r="A1452" s="14"/>
    </row>
    <row r="1453">
      <c r="A1453" s="14"/>
    </row>
    <row r="1454">
      <c r="A1454" s="14"/>
    </row>
    <row r="1455">
      <c r="A1455" s="14"/>
    </row>
    <row r="1456">
      <c r="A1456" s="14"/>
    </row>
    <row r="1457">
      <c r="A1457" s="14"/>
    </row>
    <row r="1458">
      <c r="A1458" s="14"/>
    </row>
    <row r="1459">
      <c r="A1459" s="14"/>
    </row>
    <row r="1460">
      <c r="A1460" s="14"/>
    </row>
    <row r="1461">
      <c r="A1461" s="14"/>
    </row>
    <row r="1462">
      <c r="A1462" s="14"/>
    </row>
    <row r="1463">
      <c r="A1463" s="14"/>
    </row>
    <row r="1464">
      <c r="A1464" s="14"/>
    </row>
    <row r="1465">
      <c r="A1465" s="14"/>
    </row>
    <row r="1466">
      <c r="A1466" s="14"/>
    </row>
    <row r="1467">
      <c r="A1467" s="14"/>
    </row>
    <row r="1468">
      <c r="A1468" s="14"/>
    </row>
    <row r="1469">
      <c r="A1469" s="14"/>
    </row>
    <row r="1470">
      <c r="A1470" s="14"/>
    </row>
    <row r="1471">
      <c r="A1471" s="14"/>
    </row>
    <row r="1472">
      <c r="A1472" s="14"/>
    </row>
    <row r="1473">
      <c r="A1473" s="14"/>
    </row>
    <row r="1474">
      <c r="A1474" s="14"/>
    </row>
    <row r="1475">
      <c r="A1475" s="14"/>
    </row>
    <row r="1476">
      <c r="A1476" s="14"/>
    </row>
    <row r="1477">
      <c r="A1477" s="14"/>
    </row>
    <row r="1478">
      <c r="A1478" s="14"/>
    </row>
    <row r="1479">
      <c r="A1479" s="14"/>
    </row>
    <row r="1480">
      <c r="A1480" s="14"/>
    </row>
    <row r="1481">
      <c r="A1481" s="14"/>
    </row>
    <row r="1482">
      <c r="A1482" s="14"/>
    </row>
    <row r="1483">
      <c r="A1483" s="14"/>
    </row>
    <row r="1484">
      <c r="A1484" s="14"/>
    </row>
    <row r="1485">
      <c r="A1485" s="14"/>
    </row>
    <row r="1486">
      <c r="A1486" s="14"/>
    </row>
    <row r="1487">
      <c r="A1487" s="14"/>
    </row>
    <row r="1488">
      <c r="A1488" s="14"/>
    </row>
    <row r="1489">
      <c r="A1489" s="14"/>
    </row>
    <row r="1490">
      <c r="A1490" s="14"/>
    </row>
    <row r="1491">
      <c r="A1491" s="14"/>
    </row>
    <row r="1492">
      <c r="A1492" s="14"/>
    </row>
    <row r="1493">
      <c r="A1493" s="14"/>
    </row>
    <row r="1494">
      <c r="A1494" s="14"/>
    </row>
    <row r="1495">
      <c r="A1495" s="14"/>
    </row>
    <row r="1496">
      <c r="A1496" s="14"/>
    </row>
    <row r="1497">
      <c r="A1497" s="14"/>
    </row>
    <row r="1498">
      <c r="A1498" s="14"/>
    </row>
    <row r="1499">
      <c r="A1499" s="14"/>
    </row>
    <row r="1500">
      <c r="A1500" s="14"/>
    </row>
    <row r="1501">
      <c r="A1501" s="14"/>
    </row>
    <row r="1502">
      <c r="A1502" s="14"/>
    </row>
    <row r="1503">
      <c r="A1503" s="14"/>
    </row>
    <row r="1504">
      <c r="A1504" s="14"/>
    </row>
    <row r="1505">
      <c r="A1505" s="14"/>
    </row>
    <row r="1506">
      <c r="A1506" s="14"/>
    </row>
    <row r="1507">
      <c r="A1507" s="14"/>
    </row>
    <row r="1508">
      <c r="A1508" s="14"/>
    </row>
    <row r="1509">
      <c r="A1509" s="14"/>
    </row>
    <row r="1510">
      <c r="A1510" s="14"/>
    </row>
    <row r="1511">
      <c r="A1511" s="14"/>
    </row>
    <row r="1512">
      <c r="A1512" s="14"/>
    </row>
    <row r="1513">
      <c r="A1513" s="14"/>
    </row>
    <row r="1514">
      <c r="A1514" s="14"/>
    </row>
    <row r="1515">
      <c r="A1515" s="14"/>
    </row>
    <row r="1516">
      <c r="A1516" s="14"/>
    </row>
    <row r="1517">
      <c r="A1517" s="14"/>
    </row>
    <row r="1518">
      <c r="A1518" s="14"/>
    </row>
    <row r="1519">
      <c r="A1519" s="14"/>
    </row>
    <row r="1520">
      <c r="A1520" s="14"/>
    </row>
    <row r="1521">
      <c r="A1521" s="14"/>
    </row>
    <row r="1522">
      <c r="A1522" s="14"/>
    </row>
    <row r="1523">
      <c r="A1523" s="14"/>
    </row>
    <row r="1524">
      <c r="A1524" s="14"/>
    </row>
    <row r="1525">
      <c r="A1525" s="14"/>
    </row>
    <row r="1526">
      <c r="A1526" s="14"/>
    </row>
    <row r="1527">
      <c r="A1527" s="14"/>
    </row>
    <row r="1528">
      <c r="A1528" s="14"/>
    </row>
    <row r="1529">
      <c r="A1529" s="14"/>
    </row>
    <row r="1530">
      <c r="A1530" s="14"/>
    </row>
    <row r="1531">
      <c r="A1531" s="14"/>
    </row>
    <row r="1532">
      <c r="A1532" s="14"/>
    </row>
    <row r="1533">
      <c r="A1533" s="14"/>
    </row>
    <row r="1534">
      <c r="A1534" s="14"/>
    </row>
    <row r="1535">
      <c r="A1535" s="14"/>
    </row>
    <row r="1536">
      <c r="A1536" s="14"/>
    </row>
    <row r="1537">
      <c r="A1537" s="14"/>
    </row>
    <row r="1538">
      <c r="A1538" s="14"/>
    </row>
    <row r="1539">
      <c r="A1539" s="14"/>
    </row>
    <row r="1540">
      <c r="A1540" s="14"/>
    </row>
    <row r="1541">
      <c r="A1541" s="14"/>
    </row>
    <row r="1542">
      <c r="A1542" s="14"/>
    </row>
    <row r="1543">
      <c r="A1543" s="14"/>
    </row>
    <row r="1544">
      <c r="A1544" s="14"/>
    </row>
    <row r="1545">
      <c r="A1545" s="14"/>
    </row>
    <row r="1546">
      <c r="A1546" s="14"/>
    </row>
    <row r="1547">
      <c r="A1547" s="14"/>
    </row>
    <row r="1548">
      <c r="A1548" s="14"/>
    </row>
    <row r="1549">
      <c r="A1549" s="14"/>
    </row>
    <row r="1550">
      <c r="A1550" s="14"/>
    </row>
    <row r="1551">
      <c r="A1551" s="14"/>
    </row>
    <row r="1552">
      <c r="A1552" s="14"/>
    </row>
    <row r="1553">
      <c r="A1553" s="14"/>
    </row>
    <row r="1554">
      <c r="A1554" s="14"/>
    </row>
    <row r="1555">
      <c r="A1555" s="14"/>
    </row>
    <row r="1556">
      <c r="A1556" s="14"/>
    </row>
    <row r="1557">
      <c r="A1557" s="14"/>
    </row>
    <row r="1558">
      <c r="A1558" s="14"/>
    </row>
    <row r="1559">
      <c r="A1559" s="14"/>
    </row>
    <row r="1560">
      <c r="A1560" s="14"/>
    </row>
    <row r="1561">
      <c r="A1561" s="14"/>
    </row>
    <row r="1562">
      <c r="A1562" s="14"/>
    </row>
    <row r="1563">
      <c r="A1563" s="14"/>
    </row>
    <row r="1564">
      <c r="A1564" s="14"/>
    </row>
    <row r="1565">
      <c r="A1565" s="14"/>
    </row>
    <row r="1566">
      <c r="A1566" s="14"/>
    </row>
    <row r="1567">
      <c r="A1567" s="14"/>
    </row>
    <row r="1568">
      <c r="A1568" s="14"/>
    </row>
    <row r="1569">
      <c r="A1569" s="14"/>
    </row>
    <row r="1570">
      <c r="A1570" s="14"/>
    </row>
    <row r="1571">
      <c r="A1571" s="14"/>
    </row>
    <row r="1572">
      <c r="A1572" s="14"/>
    </row>
    <row r="1573">
      <c r="A1573" s="14"/>
    </row>
    <row r="1574">
      <c r="A1574" s="14"/>
    </row>
    <row r="1575">
      <c r="A1575" s="14"/>
    </row>
    <row r="1576">
      <c r="A1576" s="14"/>
    </row>
    <row r="1577">
      <c r="A1577" s="14"/>
    </row>
    <row r="1578">
      <c r="A1578" s="14"/>
    </row>
    <row r="1579">
      <c r="A1579" s="14"/>
    </row>
    <row r="1580">
      <c r="A1580" s="14"/>
    </row>
    <row r="1581">
      <c r="A1581" s="14"/>
    </row>
    <row r="1582">
      <c r="A1582" s="14"/>
    </row>
    <row r="1583">
      <c r="A1583" s="14"/>
    </row>
    <row r="1584">
      <c r="A1584" s="14"/>
    </row>
    <row r="1585">
      <c r="A1585" s="14"/>
    </row>
    <row r="1586">
      <c r="A1586" s="14"/>
    </row>
    <row r="1587">
      <c r="A1587" s="14"/>
    </row>
    <row r="1588">
      <c r="A1588" s="14"/>
    </row>
    <row r="1589">
      <c r="A1589" s="14"/>
    </row>
    <row r="1590">
      <c r="A1590" s="14"/>
    </row>
    <row r="1591">
      <c r="A1591" s="14"/>
    </row>
    <row r="1592">
      <c r="A1592" s="14"/>
    </row>
    <row r="1593">
      <c r="A1593" s="14"/>
    </row>
    <row r="1594">
      <c r="A1594" s="14"/>
    </row>
    <row r="1595">
      <c r="A1595" s="14"/>
    </row>
    <row r="1596">
      <c r="A1596" s="14"/>
    </row>
    <row r="1597">
      <c r="A1597" s="14"/>
    </row>
    <row r="1598">
      <c r="A1598" s="14"/>
    </row>
    <row r="1599">
      <c r="A1599" s="14"/>
    </row>
    <row r="1600">
      <c r="A1600" s="14"/>
    </row>
    <row r="1601">
      <c r="A1601" s="14"/>
    </row>
    <row r="1602">
      <c r="A1602" s="14"/>
    </row>
    <row r="1603">
      <c r="A1603" s="14"/>
    </row>
    <row r="1604">
      <c r="A1604" s="14"/>
    </row>
    <row r="1605">
      <c r="A1605" s="14"/>
    </row>
    <row r="1606">
      <c r="A1606" s="14"/>
    </row>
    <row r="1607">
      <c r="A1607" s="14"/>
    </row>
    <row r="1608">
      <c r="A1608" s="14"/>
    </row>
    <row r="1609">
      <c r="A1609" s="14"/>
    </row>
    <row r="1610">
      <c r="A1610" s="14"/>
    </row>
    <row r="1611">
      <c r="A1611" s="14"/>
    </row>
    <row r="1612">
      <c r="A1612" s="14"/>
    </row>
    <row r="1613">
      <c r="A1613" s="14"/>
    </row>
    <row r="1614">
      <c r="A1614" s="14"/>
    </row>
    <row r="1615">
      <c r="A1615" s="14"/>
    </row>
    <row r="1616">
      <c r="A1616" s="14"/>
    </row>
    <row r="1617">
      <c r="A1617" s="14"/>
    </row>
    <row r="1618">
      <c r="A1618" s="14"/>
    </row>
    <row r="1619">
      <c r="A1619" s="14"/>
    </row>
    <row r="1620">
      <c r="A1620" s="14"/>
    </row>
    <row r="1621">
      <c r="A1621" s="14"/>
    </row>
    <row r="1622">
      <c r="A1622" s="14"/>
    </row>
    <row r="1623">
      <c r="A1623" s="14"/>
    </row>
    <row r="1624">
      <c r="A1624" s="14"/>
    </row>
    <row r="1625">
      <c r="A1625" s="14"/>
    </row>
    <row r="1626">
      <c r="A1626" s="14"/>
    </row>
    <row r="1627">
      <c r="A1627" s="14"/>
    </row>
    <row r="1628">
      <c r="A1628" s="14"/>
    </row>
    <row r="1629">
      <c r="A1629" s="14"/>
    </row>
    <row r="1630">
      <c r="A1630" s="14"/>
    </row>
    <row r="1631">
      <c r="A1631" s="14"/>
    </row>
    <row r="1632">
      <c r="A1632" s="14"/>
    </row>
    <row r="1633">
      <c r="A1633" s="14"/>
    </row>
    <row r="1634">
      <c r="A1634" s="14"/>
    </row>
    <row r="1635">
      <c r="A1635" s="14"/>
    </row>
    <row r="1636">
      <c r="A1636" s="14"/>
    </row>
    <row r="1637">
      <c r="A1637" s="14"/>
    </row>
    <row r="1638">
      <c r="A1638" s="14"/>
    </row>
    <row r="1639">
      <c r="A1639" s="14"/>
    </row>
    <row r="1640">
      <c r="A1640" s="14"/>
    </row>
    <row r="1641">
      <c r="A1641" s="14"/>
    </row>
    <row r="1642">
      <c r="A1642" s="14"/>
    </row>
    <row r="1643">
      <c r="A1643" s="14"/>
    </row>
    <row r="1644">
      <c r="A1644" s="14"/>
    </row>
    <row r="1645">
      <c r="A1645" s="14"/>
    </row>
    <row r="1646">
      <c r="A1646" s="14"/>
    </row>
    <row r="1647">
      <c r="A1647" s="14"/>
    </row>
    <row r="1648">
      <c r="A1648" s="14"/>
    </row>
    <row r="1649">
      <c r="A1649" s="14"/>
    </row>
    <row r="1650">
      <c r="A1650" s="14"/>
    </row>
    <row r="1651">
      <c r="A1651" s="14"/>
    </row>
    <row r="1652">
      <c r="A1652" s="14"/>
    </row>
    <row r="1653">
      <c r="A1653" s="14"/>
    </row>
    <row r="1654">
      <c r="A1654" s="14"/>
    </row>
    <row r="1655">
      <c r="A1655" s="14"/>
    </row>
    <row r="1656">
      <c r="A1656" s="14"/>
    </row>
    <row r="1657">
      <c r="A1657" s="14"/>
    </row>
    <row r="1658">
      <c r="A1658" s="14"/>
    </row>
    <row r="1659">
      <c r="A1659" s="14"/>
    </row>
    <row r="1660">
      <c r="A1660" s="14"/>
    </row>
    <row r="1661">
      <c r="A1661" s="14"/>
    </row>
    <row r="1662">
      <c r="A1662" s="14"/>
    </row>
    <row r="1663">
      <c r="A1663" s="14"/>
    </row>
    <row r="1664">
      <c r="A1664" s="14"/>
    </row>
    <row r="1665">
      <c r="A1665" s="14"/>
    </row>
    <row r="1666">
      <c r="A1666" s="14"/>
    </row>
    <row r="1667">
      <c r="A1667" s="14"/>
    </row>
    <row r="1668">
      <c r="A1668" s="14"/>
    </row>
    <row r="1669">
      <c r="A1669" s="14"/>
    </row>
    <row r="1670">
      <c r="A1670" s="14"/>
    </row>
    <row r="1671">
      <c r="A1671" s="14"/>
    </row>
    <row r="1672">
      <c r="A1672" s="14"/>
    </row>
    <row r="1673">
      <c r="A1673" s="14"/>
    </row>
    <row r="1674">
      <c r="A1674" s="14"/>
    </row>
    <row r="1675">
      <c r="A1675" s="14"/>
    </row>
    <row r="1676">
      <c r="A1676" s="14"/>
    </row>
    <row r="1677">
      <c r="A1677" s="14"/>
    </row>
    <row r="1678">
      <c r="A1678" s="14"/>
    </row>
    <row r="1679">
      <c r="A1679" s="14"/>
    </row>
    <row r="1680">
      <c r="A1680" s="14"/>
    </row>
    <row r="1681">
      <c r="A1681" s="14"/>
    </row>
    <row r="1682">
      <c r="A1682" s="14"/>
    </row>
    <row r="1683">
      <c r="A1683" s="14"/>
    </row>
    <row r="1684">
      <c r="A1684" s="14"/>
    </row>
    <row r="1685">
      <c r="A1685" s="14"/>
    </row>
    <row r="1686">
      <c r="A1686" s="14"/>
    </row>
    <row r="1687">
      <c r="A1687" s="14"/>
    </row>
    <row r="1688">
      <c r="A1688" s="14"/>
    </row>
    <row r="1689">
      <c r="A1689" s="14"/>
    </row>
    <row r="1690">
      <c r="A1690" s="14"/>
    </row>
    <row r="1691">
      <c r="A1691" s="14"/>
    </row>
    <row r="1692">
      <c r="A1692" s="14"/>
    </row>
    <row r="1693">
      <c r="A1693" s="14"/>
    </row>
    <row r="1694">
      <c r="A1694" s="14"/>
    </row>
    <row r="1695">
      <c r="A1695" s="14"/>
    </row>
    <row r="1696">
      <c r="A1696" s="14"/>
    </row>
    <row r="1697">
      <c r="A1697" s="14"/>
    </row>
    <row r="1698">
      <c r="A1698" s="14"/>
    </row>
    <row r="1699">
      <c r="A1699" s="14"/>
    </row>
    <row r="1700">
      <c r="A1700" s="14"/>
    </row>
    <row r="1701">
      <c r="A1701" s="14"/>
    </row>
    <row r="1702">
      <c r="A1702" s="14"/>
    </row>
    <row r="1703">
      <c r="A1703" s="14"/>
    </row>
    <row r="1704">
      <c r="A1704" s="14"/>
    </row>
    <row r="1705">
      <c r="A1705" s="14"/>
    </row>
    <row r="1706">
      <c r="A1706" s="14"/>
    </row>
    <row r="1707">
      <c r="A1707" s="14"/>
    </row>
    <row r="1708">
      <c r="A1708" s="14"/>
    </row>
    <row r="1709">
      <c r="A1709" s="14"/>
    </row>
    <row r="1710">
      <c r="A1710" s="14"/>
    </row>
    <row r="1711">
      <c r="A1711" s="14"/>
    </row>
    <row r="1712">
      <c r="A1712" s="14"/>
    </row>
    <row r="1713">
      <c r="A1713" s="14"/>
    </row>
    <row r="1714">
      <c r="A1714" s="14"/>
    </row>
    <row r="1715">
      <c r="A1715" s="14"/>
    </row>
    <row r="1716">
      <c r="A1716" s="14"/>
    </row>
    <row r="1717">
      <c r="A1717" s="14"/>
    </row>
    <row r="1718">
      <c r="A1718" s="14"/>
    </row>
    <row r="1719">
      <c r="A1719" s="14"/>
    </row>
    <row r="1720">
      <c r="A1720" s="14"/>
    </row>
    <row r="1721">
      <c r="A1721" s="14"/>
    </row>
    <row r="1722">
      <c r="A1722" s="14"/>
    </row>
    <row r="1723">
      <c r="A1723" s="14"/>
    </row>
    <row r="1724">
      <c r="A1724" s="14"/>
    </row>
    <row r="1725">
      <c r="A1725" s="14"/>
    </row>
    <row r="1726">
      <c r="A1726" s="14"/>
    </row>
    <row r="1727">
      <c r="A1727" s="14"/>
    </row>
    <row r="1728">
      <c r="A1728" s="14"/>
    </row>
    <row r="1729">
      <c r="A1729" s="14"/>
    </row>
    <row r="1730">
      <c r="A1730" s="14"/>
    </row>
    <row r="1731">
      <c r="A1731" s="14"/>
    </row>
    <row r="1732">
      <c r="A1732" s="14"/>
    </row>
    <row r="1733">
      <c r="A1733" s="14"/>
    </row>
    <row r="1734">
      <c r="A1734" s="14"/>
    </row>
    <row r="1735">
      <c r="A1735" s="14"/>
    </row>
    <row r="1736">
      <c r="A1736" s="14"/>
    </row>
    <row r="1737">
      <c r="A1737" s="14"/>
    </row>
    <row r="1738">
      <c r="A1738" s="14"/>
    </row>
    <row r="1739">
      <c r="A1739" s="14"/>
    </row>
    <row r="1740">
      <c r="A1740" s="14"/>
    </row>
    <row r="1741">
      <c r="A1741" s="14"/>
    </row>
    <row r="1742">
      <c r="A1742" s="14"/>
    </row>
    <row r="1743">
      <c r="A1743" s="14"/>
    </row>
    <row r="1744">
      <c r="A1744" s="14"/>
    </row>
    <row r="1745">
      <c r="A1745" s="14"/>
    </row>
    <row r="1746">
      <c r="A1746" s="14"/>
    </row>
    <row r="1747">
      <c r="A1747" s="14"/>
    </row>
    <row r="1748">
      <c r="A1748" s="14"/>
    </row>
    <row r="1749">
      <c r="A1749" s="14"/>
    </row>
    <row r="1750">
      <c r="A1750" s="14"/>
    </row>
    <row r="1751">
      <c r="A1751" s="14"/>
    </row>
    <row r="1752">
      <c r="A1752" s="14"/>
    </row>
    <row r="1753">
      <c r="A1753" s="14"/>
    </row>
    <row r="1754">
      <c r="A1754" s="14"/>
    </row>
    <row r="1755">
      <c r="A1755" s="14"/>
    </row>
    <row r="1756">
      <c r="A1756" s="14"/>
    </row>
    <row r="1757">
      <c r="A1757" s="14"/>
    </row>
    <row r="1758">
      <c r="A1758" s="14"/>
    </row>
    <row r="1759">
      <c r="A1759" s="14"/>
    </row>
    <row r="1760">
      <c r="A1760" s="14"/>
    </row>
    <row r="1761">
      <c r="A1761" s="14"/>
    </row>
    <row r="1762">
      <c r="A1762" s="14"/>
    </row>
    <row r="1763">
      <c r="A1763" s="14"/>
    </row>
    <row r="1764">
      <c r="A1764" s="14"/>
    </row>
    <row r="1765">
      <c r="A1765" s="14"/>
    </row>
    <row r="1766">
      <c r="A1766" s="14"/>
    </row>
    <row r="1767">
      <c r="A1767" s="14"/>
    </row>
    <row r="1768">
      <c r="A1768" s="14"/>
    </row>
    <row r="1769">
      <c r="A1769" s="14"/>
    </row>
    <row r="1770">
      <c r="A1770" s="14"/>
    </row>
    <row r="1771">
      <c r="A1771" s="14"/>
    </row>
    <row r="1772">
      <c r="A1772" s="14"/>
    </row>
    <row r="1773">
      <c r="A1773" s="14"/>
    </row>
    <row r="1774">
      <c r="A1774" s="14"/>
    </row>
    <row r="1775">
      <c r="A1775" s="14"/>
    </row>
    <row r="1776">
      <c r="A1776" s="14"/>
    </row>
    <row r="1777">
      <c r="A1777" s="14"/>
    </row>
    <row r="1778">
      <c r="A1778" s="14"/>
    </row>
    <row r="1779">
      <c r="A1779" s="14"/>
    </row>
    <row r="1780">
      <c r="A1780" s="14"/>
    </row>
    <row r="1781">
      <c r="A1781" s="14"/>
    </row>
    <row r="1782">
      <c r="A1782" s="14"/>
    </row>
    <row r="1783">
      <c r="A1783" s="14"/>
    </row>
    <row r="1784">
      <c r="A1784" s="14"/>
    </row>
    <row r="1785">
      <c r="A1785" s="14"/>
    </row>
    <row r="1786">
      <c r="A1786" s="14"/>
    </row>
    <row r="1787">
      <c r="A1787" s="14"/>
    </row>
    <row r="1788">
      <c r="A1788" s="14"/>
    </row>
    <row r="1789">
      <c r="A1789" s="14"/>
    </row>
    <row r="1790">
      <c r="A1790" s="14"/>
    </row>
    <row r="1791">
      <c r="A1791" s="14"/>
    </row>
    <row r="1792">
      <c r="A1792" s="14"/>
    </row>
    <row r="1793">
      <c r="A1793" s="14"/>
    </row>
    <row r="1794">
      <c r="A1794" s="14"/>
    </row>
    <row r="1795">
      <c r="A1795" s="14"/>
    </row>
    <row r="1796">
      <c r="A1796" s="14"/>
    </row>
    <row r="1797">
      <c r="A1797" s="14"/>
    </row>
    <row r="1798">
      <c r="A1798" s="14"/>
    </row>
    <row r="1799">
      <c r="A1799" s="14"/>
    </row>
    <row r="1800">
      <c r="A1800" s="14"/>
    </row>
    <row r="1801">
      <c r="A1801" s="14"/>
    </row>
    <row r="1802">
      <c r="A1802" s="14"/>
    </row>
    <row r="1803">
      <c r="A1803" s="14"/>
    </row>
    <row r="1804">
      <c r="A1804" s="14"/>
    </row>
    <row r="1805">
      <c r="A1805" s="14"/>
    </row>
    <row r="1806">
      <c r="A1806" s="14"/>
    </row>
    <row r="1807">
      <c r="A1807" s="14"/>
    </row>
    <row r="1808">
      <c r="A1808" s="14"/>
    </row>
    <row r="1809">
      <c r="A1809" s="14"/>
    </row>
    <row r="1810">
      <c r="A1810" s="14"/>
    </row>
    <row r="1811">
      <c r="A1811" s="14"/>
    </row>
    <row r="1812">
      <c r="A1812" s="14"/>
    </row>
    <row r="1813">
      <c r="A1813" s="14"/>
    </row>
    <row r="1814">
      <c r="A1814" s="14"/>
    </row>
    <row r="1815">
      <c r="A1815" s="14"/>
    </row>
    <row r="1816">
      <c r="A1816" s="14"/>
    </row>
    <row r="1817">
      <c r="A1817" s="14"/>
    </row>
    <row r="1818">
      <c r="A1818" s="14"/>
    </row>
    <row r="1819">
      <c r="A1819" s="14"/>
    </row>
    <row r="1820">
      <c r="A1820" s="14"/>
    </row>
    <row r="1821">
      <c r="A1821" s="14"/>
    </row>
    <row r="1822">
      <c r="A1822" s="14"/>
    </row>
    <row r="1823">
      <c r="A1823" s="14"/>
    </row>
    <row r="1824">
      <c r="A1824" s="14"/>
    </row>
    <row r="1825">
      <c r="A1825" s="14"/>
    </row>
    <row r="1826">
      <c r="A1826" s="14"/>
    </row>
    <row r="1827">
      <c r="A1827" s="14"/>
    </row>
    <row r="1828">
      <c r="A1828" s="14"/>
    </row>
    <row r="1829">
      <c r="A1829" s="14"/>
    </row>
    <row r="1830">
      <c r="A1830" s="14"/>
    </row>
    <row r="1831">
      <c r="A1831" s="14"/>
    </row>
    <row r="1832">
      <c r="A1832" s="14"/>
    </row>
    <row r="1833">
      <c r="A1833" s="14"/>
    </row>
    <row r="1834">
      <c r="A1834" s="14"/>
    </row>
    <row r="1835">
      <c r="A1835" s="14"/>
    </row>
    <row r="1836">
      <c r="A1836" s="14"/>
    </row>
    <row r="1837">
      <c r="A1837" s="14"/>
    </row>
    <row r="1838">
      <c r="A1838" s="14"/>
    </row>
    <row r="1839">
      <c r="A1839" s="14"/>
    </row>
    <row r="1840">
      <c r="A1840" s="14"/>
    </row>
    <row r="1841">
      <c r="A1841" s="14"/>
    </row>
    <row r="1842">
      <c r="A1842" s="14"/>
    </row>
    <row r="1843">
      <c r="A1843" s="14"/>
    </row>
    <row r="1844">
      <c r="A1844" s="14"/>
    </row>
    <row r="1845">
      <c r="A1845" s="14"/>
    </row>
    <row r="1846">
      <c r="A1846" s="14"/>
    </row>
    <row r="1847">
      <c r="A1847" s="14"/>
    </row>
    <row r="1848">
      <c r="A1848" s="14"/>
    </row>
    <row r="1849">
      <c r="A1849" s="14"/>
    </row>
    <row r="1850">
      <c r="A1850" s="14"/>
    </row>
    <row r="1851">
      <c r="A1851" s="14"/>
    </row>
    <row r="1852">
      <c r="A1852" s="14"/>
    </row>
    <row r="1853">
      <c r="A1853" s="14"/>
    </row>
    <row r="1854">
      <c r="A1854" s="14"/>
    </row>
    <row r="1855">
      <c r="A1855" s="14"/>
    </row>
    <row r="1856">
      <c r="A1856" s="14"/>
    </row>
    <row r="1857">
      <c r="A1857" s="14"/>
    </row>
    <row r="1858">
      <c r="A1858" s="14"/>
    </row>
    <row r="1859">
      <c r="A1859" s="14"/>
    </row>
    <row r="1860">
      <c r="A1860" s="14"/>
    </row>
    <row r="1861">
      <c r="A1861" s="14"/>
    </row>
    <row r="1862">
      <c r="A1862" s="14"/>
    </row>
    <row r="1863">
      <c r="A1863" s="14"/>
    </row>
    <row r="1864">
      <c r="A1864" s="14"/>
    </row>
    <row r="1865">
      <c r="A1865" s="14"/>
    </row>
    <row r="1866">
      <c r="A1866" s="14"/>
    </row>
    <row r="1867">
      <c r="A1867" s="14"/>
    </row>
    <row r="1868">
      <c r="A1868" s="14"/>
    </row>
    <row r="1869">
      <c r="A1869" s="14"/>
    </row>
    <row r="1870">
      <c r="A1870" s="14"/>
    </row>
    <row r="1871">
      <c r="A1871" s="14"/>
    </row>
    <row r="1872">
      <c r="A1872" s="14"/>
    </row>
    <row r="1873">
      <c r="A1873" s="14"/>
    </row>
    <row r="1874">
      <c r="A1874" s="14"/>
    </row>
    <row r="1875">
      <c r="A1875" s="14"/>
    </row>
    <row r="1876">
      <c r="A1876" s="14"/>
    </row>
    <row r="1877">
      <c r="A1877" s="14"/>
    </row>
    <row r="1878">
      <c r="A1878" s="14"/>
    </row>
    <row r="1879">
      <c r="A1879" s="14"/>
    </row>
    <row r="1880">
      <c r="A1880" s="14"/>
    </row>
    <row r="1881">
      <c r="A1881" s="14"/>
    </row>
    <row r="1882">
      <c r="A1882" s="14"/>
    </row>
    <row r="1883">
      <c r="A1883" s="14"/>
    </row>
    <row r="1884">
      <c r="A1884" s="14"/>
    </row>
    <row r="1885">
      <c r="A1885" s="14"/>
    </row>
    <row r="1886">
      <c r="A1886" s="14"/>
    </row>
    <row r="1887">
      <c r="A1887" s="14"/>
    </row>
    <row r="1888">
      <c r="A1888" s="14"/>
    </row>
    <row r="1889">
      <c r="A1889" s="14"/>
    </row>
    <row r="1890">
      <c r="A1890" s="14"/>
    </row>
    <row r="1891">
      <c r="A1891" s="14"/>
    </row>
    <row r="1892">
      <c r="A1892" s="14"/>
    </row>
    <row r="1893">
      <c r="A1893" s="14"/>
    </row>
    <row r="1894">
      <c r="A1894" s="14"/>
    </row>
    <row r="1895">
      <c r="A1895" s="14"/>
    </row>
    <row r="1896">
      <c r="A1896" s="14"/>
    </row>
    <row r="1897">
      <c r="A1897" s="14"/>
    </row>
    <row r="1898">
      <c r="A1898" s="14"/>
    </row>
    <row r="1899">
      <c r="A1899" s="14"/>
    </row>
    <row r="1900">
      <c r="A1900" s="14"/>
    </row>
    <row r="1901">
      <c r="A1901" s="14"/>
    </row>
    <row r="1902">
      <c r="A1902" s="14"/>
    </row>
    <row r="1903">
      <c r="A1903" s="14"/>
    </row>
    <row r="1904">
      <c r="A1904" s="14"/>
    </row>
    <row r="1905">
      <c r="A1905" s="14"/>
    </row>
    <row r="1906">
      <c r="A1906" s="14"/>
    </row>
    <row r="1907">
      <c r="A1907" s="14"/>
    </row>
    <row r="1908">
      <c r="A1908" s="14"/>
    </row>
    <row r="1909">
      <c r="A1909" s="14"/>
    </row>
    <row r="1910">
      <c r="A1910" s="14"/>
    </row>
    <row r="1911">
      <c r="A1911" s="14"/>
    </row>
    <row r="1912">
      <c r="A1912" s="14"/>
    </row>
    <row r="1913">
      <c r="A1913" s="14"/>
    </row>
    <row r="1914">
      <c r="A1914" s="14"/>
    </row>
    <row r="1915">
      <c r="A1915" s="14"/>
    </row>
    <row r="1916">
      <c r="A1916" s="14"/>
    </row>
    <row r="1917">
      <c r="A1917" s="14"/>
    </row>
    <row r="1918">
      <c r="A1918" s="14"/>
    </row>
    <row r="1919">
      <c r="A1919" s="14"/>
    </row>
    <row r="1920">
      <c r="A1920" s="14"/>
    </row>
    <row r="1921">
      <c r="A1921" s="14"/>
    </row>
    <row r="1922">
      <c r="A1922" s="14"/>
    </row>
    <row r="1923">
      <c r="A1923" s="14"/>
    </row>
    <row r="1924">
      <c r="A1924" s="14"/>
    </row>
    <row r="1925">
      <c r="A1925" s="14"/>
    </row>
    <row r="1926">
      <c r="A1926" s="14"/>
    </row>
    <row r="1927">
      <c r="A1927" s="14"/>
    </row>
    <row r="1928">
      <c r="A1928" s="14"/>
    </row>
    <row r="1929">
      <c r="A1929" s="14"/>
    </row>
    <row r="1930">
      <c r="A1930" s="14"/>
    </row>
    <row r="1931">
      <c r="A1931" s="14"/>
    </row>
    <row r="1932">
      <c r="A1932" s="14"/>
    </row>
    <row r="1933">
      <c r="A1933" s="14"/>
    </row>
    <row r="1934">
      <c r="A1934" s="14"/>
    </row>
    <row r="1935">
      <c r="A1935" s="14"/>
    </row>
    <row r="1936">
      <c r="A1936" s="14"/>
    </row>
    <row r="1937">
      <c r="A1937" s="14"/>
    </row>
    <row r="1938">
      <c r="A1938" s="14"/>
    </row>
    <row r="1939">
      <c r="A1939" s="14"/>
    </row>
    <row r="1940">
      <c r="A1940" s="14"/>
    </row>
    <row r="1941">
      <c r="A1941" s="14"/>
    </row>
    <row r="1942">
      <c r="A1942" s="14"/>
    </row>
    <row r="1943">
      <c r="A1943" s="14"/>
    </row>
    <row r="1944">
      <c r="A1944" s="14"/>
    </row>
    <row r="1945">
      <c r="A1945" s="14"/>
    </row>
    <row r="1946">
      <c r="A1946" s="14"/>
    </row>
    <row r="1947">
      <c r="A1947" s="14"/>
    </row>
    <row r="1948">
      <c r="A1948" s="14"/>
    </row>
    <row r="1949">
      <c r="A1949" s="14"/>
    </row>
    <row r="1950">
      <c r="A1950" s="14"/>
    </row>
    <row r="1951">
      <c r="A1951" s="14"/>
    </row>
    <row r="1952">
      <c r="A1952" s="14"/>
    </row>
    <row r="1953">
      <c r="A1953" s="14"/>
    </row>
    <row r="1954">
      <c r="A1954" s="14"/>
    </row>
    <row r="1955">
      <c r="A1955" s="14"/>
    </row>
    <row r="1956">
      <c r="A1956" s="14"/>
    </row>
    <row r="1957">
      <c r="A1957" s="14"/>
    </row>
    <row r="1958">
      <c r="A1958" s="14"/>
    </row>
    <row r="1959">
      <c r="A1959" s="14"/>
    </row>
    <row r="1960">
      <c r="A1960" s="14"/>
    </row>
    <row r="1961">
      <c r="A1961" s="14"/>
    </row>
    <row r="1962">
      <c r="A1962" s="14"/>
    </row>
    <row r="1963">
      <c r="A1963" s="14"/>
    </row>
    <row r="1964">
      <c r="A1964" s="14"/>
    </row>
    <row r="1965">
      <c r="A1965" s="14"/>
    </row>
    <row r="1966">
      <c r="A1966" s="14"/>
    </row>
    <row r="1967">
      <c r="A1967" s="14"/>
    </row>
    <row r="1968">
      <c r="A1968" s="14"/>
    </row>
    <row r="1969">
      <c r="A1969" s="14"/>
    </row>
    <row r="1970">
      <c r="A1970" s="14"/>
    </row>
    <row r="1971">
      <c r="A1971" s="14"/>
    </row>
    <row r="1972">
      <c r="A1972" s="14"/>
    </row>
    <row r="1973">
      <c r="A1973" s="14"/>
    </row>
    <row r="1974">
      <c r="A1974" s="14"/>
    </row>
    <row r="1975">
      <c r="A1975" s="14"/>
    </row>
    <row r="1976">
      <c r="A1976" s="14"/>
    </row>
    <row r="1977">
      <c r="A1977" s="14"/>
    </row>
    <row r="1978">
      <c r="A1978" s="14"/>
    </row>
    <row r="1979">
      <c r="A1979" s="14"/>
    </row>
    <row r="1980">
      <c r="A1980" s="14"/>
    </row>
    <row r="1981">
      <c r="A1981" s="14"/>
    </row>
    <row r="1982">
      <c r="A1982" s="14"/>
    </row>
    <row r="1983">
      <c r="A1983" s="14"/>
    </row>
    <row r="1984">
      <c r="A1984" s="14"/>
    </row>
    <row r="1985">
      <c r="A1985" s="14"/>
    </row>
    <row r="1986">
      <c r="A1986" s="14"/>
    </row>
    <row r="1987">
      <c r="A1987" s="14"/>
    </row>
    <row r="1988">
      <c r="A1988" s="14"/>
    </row>
    <row r="1989">
      <c r="A1989" s="14"/>
    </row>
    <row r="1990">
      <c r="A1990" s="14"/>
    </row>
    <row r="1991">
      <c r="A1991" s="14"/>
    </row>
    <row r="1992">
      <c r="A1992" s="14"/>
    </row>
    <row r="1993">
      <c r="A1993" s="14"/>
    </row>
    <row r="1994">
      <c r="A1994" s="14"/>
    </row>
    <row r="1995">
      <c r="A1995" s="14"/>
    </row>
    <row r="1996">
      <c r="A1996" s="14"/>
    </row>
    <row r="1997">
      <c r="A1997" s="14"/>
    </row>
    <row r="1998">
      <c r="A1998" s="14"/>
    </row>
    <row r="1999">
      <c r="A1999" s="14"/>
    </row>
    <row r="2000">
      <c r="A2000" s="14"/>
    </row>
  </sheetData>
  <drawing r:id="rId1"/>
</worksheet>
</file>